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fa3ccefff34a3b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Attekintes" sheetId="1" ns1:id="R8064f2838a464532"/>
    <sheet name="Darabok" sheetId="2" ns1:id="R5e31eb653fdf4aaa"/>
    <sheet name="Furatok" sheetId="3" ns1:id="Ra9144d81e192471c"/>
    <sheet name="Programok" sheetId="4" ns1:id="Rdefd13435dbd4995"/>
    <sheet name="Cimkek" sheetId="5" ns1:id="Rb5fb8c41b4d1404d"/>
  </sheets>
  <definedNames>
    <definedName name="_xlnm.Print_Area" localSheetId="4">'Cimkek'!$A$1:$I$270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0"/>
  </x:numFmts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2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94743"/>
      </x:patternFill>
    </x:fill>
    <x:fill>
      <x:patternFill patternType="solid">
        <x:fgColor rgb="FFFFF2D5"/>
      </x:patternFill>
    </x:fill>
    <x:fill>
      <x:patternFill patternType="solid">
        <x:fgColor rgb="FFE1E6E0"/>
      </x:patternFill>
    </x:fill>
  </x:fills>
  <x:borders count="9">
    <x:border>
      <x:left/>
      <x:right/>
      <x:top/>
      <x:bottom/>
      <x:diagonal/>
    </x:border>
    <x:border>
      <x:left style="thin">
        <x:color rgb="FFAAAAAA"/>
      </x:left>
      <x:right/>
      <x:top style="thin">
        <x:color rgb="FFAAAAAA"/>
      </x:top>
      <x:bottom/>
      <x:diagonal/>
    </x:border>
    <x:border>
      <x:left/>
      <x:right/>
      <x:top style="thin">
        <x:color rgb="FFAAAAAA"/>
      </x:top>
      <x:bottom/>
      <x:diagonal/>
    </x:border>
    <x:border>
      <x:left/>
      <x:right style="thin">
        <x:color rgb="FFAAAAAA"/>
      </x:right>
      <x:top style="thin">
        <x:color rgb="FFAAAAAA"/>
      </x:top>
      <x:bottom/>
      <x:diagonal/>
    </x:border>
    <x:border>
      <x:left style="thin">
        <x:color rgb="FFAAAAAA"/>
      </x:left>
      <x:right/>
      <x:top/>
      <x:bottom/>
      <x:diagonal/>
    </x:border>
    <x:border>
      <x:left/>
      <x:right style="thin">
        <x:color rgb="FFAAAAAA"/>
      </x:right>
      <x:top/>
      <x:bottom/>
      <x:diagonal/>
    </x:border>
    <x:border>
      <x:left style="thin">
        <x:color rgb="FFAAAAAA"/>
      </x:left>
      <x:right/>
      <x:top/>
      <x:bottom style="thin">
        <x:color rgb="FFAAAAAA"/>
      </x:bottom>
      <x:diagonal/>
    </x:border>
    <x:border>
      <x:left/>
      <x:right/>
      <x:top/>
      <x:bottom style="thin">
        <x:color rgb="FFAAAAAA"/>
      </x:bottom>
      <x:diagonal/>
    </x:border>
    <x:border>
      <x:left/>
      <x:right style="thin">
        <x:color rgb="FFAAAAAA"/>
      </x:right>
      <x:top/>
      <x:bottom style="thin">
        <x:color rgb="FFAAAAAA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6bca8bf5c245a2" /><Relationship Type="http://schemas.openxmlformats.org/officeDocument/2006/relationships/theme" Target="/xl/theme/theme1.xml" Id="R54ae19b29fe54e6e" /><Relationship Type="http://schemas.openxmlformats.org/officeDocument/2006/relationships/sharedStrings" Target="/xl/sharedStrings.xml" Id="Rf8b1da4aa37d4e09" /><Relationship Type="http://schemas.openxmlformats.org/officeDocument/2006/relationships/worksheet" Target="/xl/worksheets/sheet1.xml" Id="R8064f2838a464532" /><Relationship Type="http://schemas.openxmlformats.org/officeDocument/2006/relationships/worksheet" Target="/xl/worksheets/sheet2.xml" Id="R5e31eb653fdf4aaa" /><Relationship Type="http://schemas.openxmlformats.org/officeDocument/2006/relationships/worksheet" Target="/xl/worksheets/sheet3.xml" Id="Ra9144d81e192471c" /><Relationship Type="http://schemas.openxmlformats.org/officeDocument/2006/relationships/worksheet" Target="/xl/worksheets/sheet4.xml" Id="Rdefd13435dbd4995" /><Relationship Type="http://schemas.openxmlformats.org/officeDocument/2006/relationships/worksheet" Target="/xl/worksheets/sheet5.xml" Id="Rb5fb8c41b4d1404d" /></Relationships>
</file>

<file path=xl/tables/table1.xml><?xml version="1.0" encoding="utf-8"?>
<x:table xmlns:x="http://schemas.openxmlformats.org/spreadsheetml/2006/main" id="1" name="R13Darabok" displayName="R13Darabok" ref="A5:S59" headerRowCount="1" totalsRowCount="0" totalsRowShown="0">
  <x:tableColumns count="19">
    <x:tableColumn id="1" name="Darabazonosító"/>
    <x:tableColumn id="2" name="Megnevezés"/>
    <x:tableColumn id="3" name="Kész U mm"/>
    <x:tableColumn id="4" name="Kész V mm"/>
    <x:tableColumn id="5" name="Vast. mm"/>
    <x:tableColumn id="6" name="Anyag"/>
    <x:tableColumn id="7" name="E1 mm"/>
    <x:tableColumn id="8" name="E2 mm"/>
    <x:tableColumn id="9" name="E3 mm"/>
    <x:tableColumn id="10" name="E4 mm"/>
    <x:tableColumn id="11" name="U ráhagyás"/>
    <x:tableColumn id="12" name="V ráhagyás"/>
    <x:tableColumn id="13" name="Nyers U mm"/>
    <x:tableColumn id="14" name="Nyers V mm"/>
    <x:tableColumn id="15" name="Felület m²"/>
    <x:tableColumn id="16" name="C műhelykód"/>
    <x:tableColumn id="17" name="Műhely megjegyzés / jóváhagyás"/>
    <x:tableColumn id="18" name="Furat db"/>
    <x:tableColumn id="19" name="Revíziós vonalkó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13Furatok" displayName="R13Furatok" ref="A5:S298" headerRowCount="1" totalsRowCount="0" totalsRowShown="0">
  <x:tableColumns count="19">
    <x:tableColumn id="1" name="Furat ID"/>
    <x:tableColumn id="2" name="Darab"/>
    <x:tableColumn id="3" name="Funkció"/>
    <x:tableColumn id="4" name="U"/>
    <x:tableColumn id="5" name="V"/>
    <x:tableColumn id="6" name="W"/>
    <x:tableColumn id="7" name="Irány U"/>
    <x:tableColumn id="8" name="Irány V"/>
    <x:tableColumn id="9" name="Irány W"/>
    <x:tableColumn id="10" name="Ø mm"/>
    <x:tableColumn id="11" name="Mélység"/>
    <x:tableColumn id="12" name="X összeáll."/>
    <x:tableColumn id="13" name="Y összeáll."/>
    <x:tableColumn id="14" name="Z összeáll."/>
    <x:tableColumn id="15" name="Irány X"/>
    <x:tableColumn id="16" name="Irány Y"/>
    <x:tableColumn id="17" name="Irány Z"/>
    <x:tableColumn id="18" name="Forrás / tervezői feltétel"/>
    <x:tableColumn id="19" name="Státusz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553d11eb6a4f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82176bb75494b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08" hidden="0" customWidth="1"/>
  </x:cols>
  <x:sheetData>
    <x:row r="1" ht="32" customHeight="1">
      <x:c r="A1" s="9" t="str">
        <x:v>R13 / médiafal műhelyi csomag</x:v>
      </x:c>
      <x:c r="B1" s="9" t="str">
        <x:v>2026.10.28. / terv, nem gyártási kiadás</x:v>
      </x:c>
    </x:row>
    <x:row r="2" ht="32" customHeight="1">
      <x:c r="A2" s="2" t="str">
        <x:v>Lapalkatrészek</x:v>
      </x:c>
      <x:c r="B2" s="2" t="n">
        <x:f>COUNTA(Darabok!A6:A59)</x:f>
        <x:v>54</x:v>
      </x:c>
    </x:row>
    <x:row r="3" ht="32" customHeight="1">
      <x:c r="A3" s="2" t="str">
        <x:v>CAD-ben kivont furatok</x:v>
      </x:c>
      <x:c r="B3" s="2" t="n">
        <x:f>COUNTA(Furatok!A6:A298)</x:f>
        <x:v>293</x:v>
      </x:c>
    </x:row>
    <x:row r="4" ht="32" customHeight="1">
      <x:c r="A4" s="2" t="str">
        <x:v>Aktív MPR-tervezetek</x:v>
      </x:c>
      <x:c r="B4" s="2" t="n">
        <x:f>COUNTA(Programok!A6:A39)</x:f>
        <x:v>34</x:v>
      </x:c>
    </x:row>
    <x:row r="5" ht="32" customHeight="1">
      <x:c r="A5" s="2" t="str">
        <x:v>MPR-ben leképezett furatok</x:v>
      </x:c>
      <x:c r="B5" s="2" t="n">
        <x:f>SUM(Programok!E6:E39)</x:f>
        <x:v>293</x:v>
      </x:c>
    </x:row>
    <x:row r="6" ht="32" customHeight="1">
      <x:c r="A6" s="2" t="str">
        <x:v>Összes lapfelület m²</x:v>
      </x:c>
      <x:c r="B6" s="8" t="n">
        <x:f>SUM(Darabok!O6:O59)</x:f>
        <x:v>21.693331000000008</x:v>
      </x:c>
    </x:row>
    <x:row r="7" ht="44" customHeight="1">
      <x:c r="A7" s="2" t="str">
        <x:v>Költségállapot</x:v>
      </x:c>
      <x:c r="B7" s="2" t="str">
        <x:v>Nincs új igazolt beszállítói ajánlat; ez a munkafüzet nem a teljes lakás költségregisztere.</x:v>
      </x:c>
    </x:row>
    <x:row r="8" ht="44" customHeight="1">
      <x:c r="A8" s="2" t="str">
        <x:v>Új betét</x:v>
      </x:c>
      <x:c r="B8" s="2" t="str">
        <x:v>KI13-GAP-LOW-01,117×380×18mm. Régi azonosítók megmaradtak.</x:v>
      </x:c>
    </x:row>
    <x:row r="9" ht="44" customHeight="1">
      <x:c r="A9" s="2" t="str">
        <x:v>Mélység</x:v>
      </x:c>
      <x:c r="B9" s="2" t="str">
        <x:v>18mm front+3mm nyomási hézag+382mm korpusz=403mm; tervadat.</x:v>
      </x:c>
    </x:row>
    <x:row r="10" ht="44" customHeight="1">
      <x:c r="A10" s="2" t="str">
        <x:v>MPR A/B</x:v>
      </x:c>
      <x:c r="B10" s="2" t="str">
        <x:v>B oldali fordítás U körül: V_B=Vméret-V_A. Külön befogás, műhelyben ellenőrizendő.</x:v>
      </x:c>
    </x:row>
    <x:row r="11" ht="44" customHeight="1">
      <x:c r="A11" s="2" t="str">
        <x:v>Polctartó</x:v>
      </x:c>
      <x:c r="B11" s="2" t="str">
        <x:v>56 db Ø5×8 hely; 4/polc. Vasalat és terhelhetőség még jóváhagyandó.</x:v>
      </x:c>
    </x:row>
    <x:row r="12" ht="44" customHeight="1">
      <x:c r="A12" s="2" t="str">
        <x:v>Pánt</x:v>
      </x:c>
      <x:c r="B12" s="2" t="str">
        <x:v>16 db70T3550.TL+16db173H7100; 3-4. alsó frontnak nincs pántfúrása.</x:v>
      </x:c>
    </x:row>
    <x:row r="13" ht="44" customHeight="1">
      <x:c r="A13" s="2" t="str">
        <x:v>Csap</x:v>
      </x:c>
      <x:c r="B13" s="2" t="str">
        <x:v>78db8×30;156furat12/22mm páros mélységgel.</x:v>
      </x:c>
    </x:row>
    <x:row r="14" ht="44" customHeight="1">
      <x:c r="A14" s="2" t="str">
        <x:v>Alsó3-4. ajtó</x:v>
      </x:c>
      <x:c r="B14" s="2" t="str">
        <x:v>A nyílófront/asztal konfliktus nincs végleg lezárva. S10 páros tolóajtó külön méretezett alternatíva a PDF-ben.</x:v>
      </x:c>
    </x:row>
    <x:row r="15" ht="44" customHeight="1">
      <x:c r="A15" s="2" t="str">
        <x:v>Fal/hátlap rögzítés</x:v>
      </x:c>
      <x:c r="B15" s="2" t="str">
        <x:v>Még nincs teljesen megtervezve és jóváhagyva. A54lapos modell nem a teljes rögzítőkészlet.</x:v>
      </x:c>
    </x:row>
    <x:row r="16" ht="44" customHeight="1">
      <x:c r="A16" s="2" t="str">
        <x:v>Szerszám</x:v>
      </x:c>
      <x:c r="B16" s="2" t="str">
        <x:v>Szükséges2.5/5/8/35mm fúró; Ø60AV átvezetés megmunkálási módja külön kiválasztandó. Tényleges gépi szerszámazonosítók hiányoznak.</x:v>
      </x:c>
    </x:row>
    <x:row r="17" ht="44" customHeight="1">
      <x:c r="A17" s="2" t="str">
        <x:v>Címke</x:v>
      </x:c>
      <x:c r="B17" s="2" t="str">
        <x:v>R13:darabID. Helyi SQLite kereső működik; Livewood/woodWOPimport nincs tesztelve.</x:v>
      </x:c>
    </x:row>
    <x:row r="18" ht="44" customHeight="1">
      <x:c r="A18" s="2" t="str">
        <x:v>Minták/felmérés</x:v>
      </x:c>
      <x:c r="B18" s="2" t="str">
        <x:v>Nyitott fizikai ellenőrzések; a CAD színe és a névleges méret nem elfogadott minta/felmérés.</x:v>
      </x:c>
    </x:row>
    <x:row r="19" ht="44" customHeight="1">
      <x:c r="A19" s="2" t="str">
        <x:v>Átvett kézi adatok</x:v>
      </x:c>
      <x:c r="B19" s="2" t="str">
        <x:v>R12ből átvett G:L él/ráhagyás ésP:Q műhelykód/állapot mezők. Az eredeti teljes forrás tartalma az audit/R12_excel_snapshot.json fájlban.</x:v>
      </x:c>
    </x:row>
    <x:row r="20" ht="44" customHeight="1">
      <x:c r="A20" s="2" t="str">
        <x:v>Aktív fájl</x:v>
      </x:c>
      <x:c r="B20" s="2" t="str">
        <x:v>mpr_aktiv_tervezet/ - műveletek bekapcsolva a felhasználó kérésére. A bekapcsolás nem műhelyjóváhagyás.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7" hidden="0" customWidth="1"/>
    <x:col min="2" max="2" width="42" hidden="0" customWidth="1"/>
    <x:col min="3" max="3" width="18" hidden="0" customWidth="1"/>
    <x:col min="4" max="4" width="18" hidden="0" customWidth="1"/>
    <x:col min="5" max="5" width="18" hidden="0" customWidth="1"/>
    <x:col min="6" max="6" width="17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30" hidden="0" customWidth="1"/>
    <x:col min="18" max="18" width="30" hidden="0" customWidth="1"/>
    <x:col min="19" max="19" width="30" hidden="0" customWidth="1"/>
  </x:cols>
  <x:sheetData>
    <x:row r="1">
      <x:c r="A1" t="str">
        <x:v>TV-modul R13 / készméretek és alkatrészazonosítók</x:v>
      </x:c>
    </x:row>
    <x:row r="2">
      <x:c r="A2" t="str">
        <x:v>R12 kézi élkód, ráhagyás és jóváhagyási mezők átvéve; eredeti munkafüzet változatlan. Minden méret tervadat.</x:v>
      </x:c>
    </x:row>
    <x:row r="5" ht="35" customHeight="1">
      <x:c r="A5" s="4" t="str">
        <x:v>Darabazonosító</x:v>
      </x:c>
      <x:c r="B5" s="4" t="str">
        <x:v>Megnevezés</x:v>
      </x:c>
      <x:c r="C5" s="4" t="str">
        <x:v>Kész U mm</x:v>
      </x:c>
      <x:c r="D5" s="4" t="str">
        <x:v>Kész V mm</x:v>
      </x:c>
      <x:c r="E5" s="4" t="str">
        <x:v>Vast. mm</x:v>
      </x:c>
      <x:c r="F5" s="4" t="str">
        <x:v>Anyag</x:v>
      </x:c>
      <x:c r="G5" s="4" t="str">
        <x:v>E1 mm</x:v>
      </x:c>
      <x:c r="H5" s="4" t="str">
        <x:v>E2 mm</x:v>
      </x:c>
      <x:c r="I5" s="4" t="str">
        <x:v>E3 mm</x:v>
      </x:c>
      <x:c r="J5" s="4" t="str">
        <x:v>E4 mm</x:v>
      </x:c>
      <x:c r="K5" s="4" t="str">
        <x:v>U ráhagyás</x:v>
      </x:c>
      <x:c r="L5" s="4" t="str">
        <x:v>V ráhagyás</x:v>
      </x:c>
      <x:c r="M5" s="4" t="str">
        <x:v>Nyers U mm</x:v>
      </x:c>
      <x:c r="N5" s="4" t="str">
        <x:v>Nyers V mm</x:v>
      </x:c>
      <x:c r="O5" s="4" t="str">
        <x:v>Felület m²</x:v>
      </x:c>
      <x:c r="P5" s="4" t="str">
        <x:v>C műhelykód</x:v>
      </x:c>
      <x:c r="Q5" s="4" t="str">
        <x:v>Műhely megjegyzés / jóváhagyás</x:v>
      </x:c>
      <x:c r="R5" s="4" t="str">
        <x:v>Furat db</x:v>
      </x:c>
      <x:c r="S5" s="4" t="str">
        <x:v>Revíziós vonalkód</x:v>
      </x:c>
    </x:row>
    <x:row r="6" ht="32" customHeight="1">
      <x:c r="A6" s="2" t="str">
        <x:v>KI12-TV01S-01</x:v>
      </x:c>
      <x:c r="B6" s="2" t="str">
        <x:v>Torony oldalak / bal oldallap</x:v>
      </x:c>
      <x:c r="C6" s="6" t="n">
        <x:v>2330</x:v>
      </x:c>
      <x:c r="D6" s="6" t="n">
        <x:v>382</x:v>
      </x:c>
      <x:c r="E6" s="6" t="n">
        <x:v>18</x:v>
      </x:c>
      <x:c r="F6" s="6" t="str">
        <x:v>M03</x:v>
      </x:c>
      <x:c r="G6" s="7" t="n">
        <x:v>1</x:v>
      </x:c>
      <x:c r="H6" s="7" t="n">
        <x:v>0</x:v>
      </x:c>
      <x:c r="I6" s="7" t="n">
        <x:v>0</x:v>
      </x:c>
      <x:c r="J6" s="7" t="n">
        <x:v>0</x:v>
      </x:c>
      <x:c r="K6" s="7"/>
      <x:c r="L6" s="7"/>
      <x:c r="M6" s="6" t="str">
        <x:f>IF(COUNT(H6,J6,K6)=3,C6-H6-J6+K6,"NYITOTT")</x:f>
        <x:v>NYITOTT</x:v>
      </x:c>
      <x:c r="N6" s="6" t="str">
        <x:f>IF(COUNT(G6,I6,L6)=3,D6-G6-I6+L6,"NYITOTT")</x:f>
        <x:v>NYITOTT</x:v>
      </x:c>
      <x:c r="O6" s="8" t="n">
        <x:f>C6*D6/1000000</x:f>
        <x:v>0.89006</x:v>
      </x:c>
      <x:c r="P6" s="5" t="str">
        <x:v>NYITOTT</x:v>
      </x:c>
      <x:c r="Q6" s="5" t="str">
        <x:v>NEM</x:v>
      </x:c>
      <x:c r="R6" s="2" t="n">
        <x:f>COUNTIF(Furatok!B6:B298,A6)</x:f>
        <x:v>26</x:v>
      </x:c>
      <x:c r="S6" s="2" t="str">
        <x:v>R13:KI12-TV01S-01</x:v>
      </x:c>
    </x:row>
    <x:row r="7" ht="32" customHeight="1">
      <x:c r="A7" s="2" t="str">
        <x:v>KI12-TV01S-02</x:v>
      </x:c>
      <x:c r="B7" s="2" t="str">
        <x:v>Torony oldalak / jobb oldallap</x:v>
      </x:c>
      <x:c r="C7" s="6" t="n">
        <x:v>2330</x:v>
      </x:c>
      <x:c r="D7" s="6" t="n">
        <x:v>382</x:v>
      </x:c>
      <x:c r="E7" s="6" t="n">
        <x:v>18</x:v>
      </x:c>
      <x:c r="F7" s="6" t="str">
        <x:v>M03</x:v>
      </x:c>
      <x:c r="G7" s="7" t="n">
        <x:v>1</x:v>
      </x:c>
      <x:c r="H7" s="7" t="n">
        <x:v>0</x:v>
      </x:c>
      <x:c r="I7" s="7" t="n">
        <x:v>0</x:v>
      </x:c>
      <x:c r="J7" s="7" t="n">
        <x:v>0</x:v>
      </x:c>
      <x:c r="K7" s="7"/>
      <x:c r="L7" s="7"/>
      <x:c r="M7" s="6" t="str">
        <x:f>IF(COUNT(H7,J7,K7)=3,C7-H7-J7+K7,"NYITOTT")</x:f>
        <x:v>NYITOTT</x:v>
      </x:c>
      <x:c r="N7" s="6" t="str">
        <x:f>IF(COUNT(G7,I7,L7)=3,D7-G7-I7+L7,"NYITOTT")</x:f>
        <x:v>NYITOTT</x:v>
      </x:c>
      <x:c r="O7" s="8" t="n">
        <x:f>C7*D7/1000000</x:f>
        <x:v>0.89006</x:v>
      </x:c>
      <x:c r="P7" s="5" t="str">
        <x:v>NYITOTT</x:v>
      </x:c>
      <x:c r="Q7" s="5" t="str">
        <x:v>NEM</x:v>
      </x:c>
      <x:c r="R7" s="2" t="n">
        <x:f>COUNTIF(Furatok!B6:B298,A7)</x:f>
        <x:v>26</x:v>
      </x:c>
      <x:c r="S7" s="2" t="str">
        <x:v>R13:KI12-TV01S-02</x:v>
      </x:c>
    </x:row>
    <x:row r="8" ht="32" customHeight="1">
      <x:c r="A8" s="2" t="str">
        <x:v>KI12-TV01T-01</x:v>
      </x:c>
      <x:c r="B8" s="2" t="str">
        <x:v>Torony tető/fenék / alsó</x:v>
      </x:c>
      <x:c r="C8" s="6" t="n">
        <x:v>684</x:v>
      </x:c>
      <x:c r="D8" s="6" t="n">
        <x:v>382</x:v>
      </x:c>
      <x:c r="E8" s="6" t="n">
        <x:v>18</x:v>
      </x:c>
      <x:c r="F8" s="6" t="str">
        <x:v>M03</x:v>
      </x:c>
      <x:c r="G8" s="7" t="n">
        <x:v>1</x:v>
      </x:c>
      <x:c r="H8" s="7" t="n">
        <x:v>0</x:v>
      </x:c>
      <x:c r="I8" s="7" t="n">
        <x:v>0</x:v>
      </x:c>
      <x:c r="J8" s="7" t="n">
        <x:v>0</x:v>
      </x:c>
      <x:c r="K8" s="7"/>
      <x:c r="L8" s="7"/>
      <x:c r="M8" s="6" t="str">
        <x:f>IF(COUNT(H8,J8,K8)=3,C8-H8-J8+K8,"NYITOTT")</x:f>
        <x:v>NYITOTT</x:v>
      </x:c>
      <x:c r="N8" s="6" t="str">
        <x:f>IF(COUNT(G8,I8,L8)=3,D8-G8-I8+L8,"NYITOTT")</x:f>
        <x:v>NYITOTT</x:v>
      </x:c>
      <x:c r="O8" s="8" t="n">
        <x:f>C8*D8/1000000</x:f>
        <x:v>0.261288</x:v>
      </x:c>
      <x:c r="P8" s="5" t="str">
        <x:v>NYITOTT</x:v>
      </x:c>
      <x:c r="Q8" s="5" t="str">
        <x:v>NEM</x:v>
      </x:c>
      <x:c r="R8" s="2" t="n">
        <x:f>COUNTIF(Furatok!B6:B298,A8)</x:f>
        <x:v>9</x:v>
      </x:c>
      <x:c r="S8" s="2" t="str">
        <x:v>R13:KI12-TV01T-01</x:v>
      </x:c>
    </x:row>
    <x:row r="9" ht="32" customHeight="1">
      <x:c r="A9" s="2" t="str">
        <x:v>KI12-TV01T-02</x:v>
      </x:c>
      <x:c r="B9" s="2" t="str">
        <x:v>Torony tető/fenék / felső</x:v>
      </x:c>
      <x:c r="C9" s="6" t="n">
        <x:v>684</x:v>
      </x:c>
      <x:c r="D9" s="6" t="n">
        <x:v>382</x:v>
      </x:c>
      <x:c r="E9" s="6" t="n">
        <x:v>18</x:v>
      </x:c>
      <x:c r="F9" s="6" t="str">
        <x:v>M03</x:v>
      </x:c>
      <x:c r="G9" s="7" t="n">
        <x:v>1</x:v>
      </x:c>
      <x:c r="H9" s="7" t="n">
        <x:v>0</x:v>
      </x:c>
      <x:c r="I9" s="7" t="n">
        <x:v>0</x:v>
      </x:c>
      <x:c r="J9" s="7" t="n">
        <x:v>0</x:v>
      </x:c>
      <x:c r="K9" s="7"/>
      <x:c r="L9" s="7"/>
      <x:c r="M9" s="6" t="str">
        <x:f>IF(COUNT(H9,J9,K9)=3,C9-H9-J9+K9,"NYITOTT")</x:f>
        <x:v>NYITOTT</x:v>
      </x:c>
      <x:c r="N9" s="6" t="str">
        <x:f>IF(COUNT(G9,I9,L9)=3,D9-G9-I9+L9,"NYITOTT")</x:f>
        <x:v>NYITOTT</x:v>
      </x:c>
      <x:c r="O9" s="8" t="n">
        <x:f>C9*D9/1000000</x:f>
        <x:v>0.261288</x:v>
      </x:c>
      <x:c r="P9" s="5" t="str">
        <x:v>NYITOTT</x:v>
      </x:c>
      <x:c r="Q9" s="5" t="str">
        <x:v>NEM</x:v>
      </x:c>
      <x:c r="R9" s="2" t="n">
        <x:f>COUNTIF(Furatok!B6:B298,A9)</x:f>
        <x:v>9</x:v>
      </x:c>
      <x:c r="S9" s="2" t="str">
        <x:v>R13:KI12-TV01T-02</x:v>
      </x:c>
    </x:row>
    <x:row r="10" ht="32" customHeight="1">
      <x:c r="A10" s="2" t="str">
        <x:v>KI12-TV01C-01</x:v>
      </x:c>
      <x:c r="B10" s="2" t="str">
        <x:v>Torony középosztó / példány 1</x:v>
      </x:c>
      <x:c r="C10" s="6" t="n">
        <x:v>2294</x:v>
      </x:c>
      <x:c r="D10" s="6" t="n">
        <x:v>374</x:v>
      </x:c>
      <x:c r="E10" s="6" t="n">
        <x:v>18</x:v>
      </x:c>
      <x:c r="F10" s="6" t="str">
        <x:v>M03</x:v>
      </x:c>
      <x:c r="G10" s="7" t="n">
        <x:v>1</x:v>
      </x:c>
      <x:c r="H10" s="7" t="n">
        <x:v>0</x:v>
      </x:c>
      <x:c r="I10" s="7" t="n">
        <x:v>0</x:v>
      </x:c>
      <x:c r="J10" s="7" t="n">
        <x:v>0</x:v>
      </x:c>
      <x:c r="K10" s="7"/>
      <x:c r="L10" s="7"/>
      <x:c r="M10" s="6" t="str">
        <x:f>IF(COUNT(H10,J10,K10)=3,C10-H10-J10+K10,"NYITOTT")</x:f>
        <x:v>NYITOTT</x:v>
      </x:c>
      <x:c r="N10" s="6" t="str">
        <x:f>IF(COUNT(G10,I10,L10)=3,D10-G10-I10+L10,"NYITOTT")</x:f>
        <x:v>NYITOTT</x:v>
      </x:c>
      <x:c r="O10" s="8" t="n">
        <x:f>C10*D10/1000000</x:f>
        <x:v>0.857956</x:v>
      </x:c>
      <x:c r="P10" s="5" t="str">
        <x:v>NYITOTT</x:v>
      </x:c>
      <x:c r="Q10" s="5" t="str">
        <x:v>NEM</x:v>
      </x:c>
      <x:c r="R10" s="2" t="n">
        <x:f>COUNTIF(Furatok!B6:B298,A10)</x:f>
        <x:v>26</x:v>
      </x:c>
      <x:c r="S10" s="2" t="str">
        <x:v>R13:KI12-TV01C-01</x:v>
      </x:c>
    </x:row>
    <x:row r="11" ht="32" customHeight="1">
      <x:c r="A11" s="2" t="str">
        <x:v>KI12-TV01P-01</x:v>
      </x:c>
      <x:c r="B11" s="2" t="str">
        <x:v>Torony állítható polc / példány 1</x:v>
      </x:c>
      <x:c r="C11" s="6" t="n">
        <x:v>331</x:v>
      </x:c>
      <x:c r="D11" s="6" t="n">
        <x:v>320</x:v>
      </x:c>
      <x:c r="E11" s="6" t="n">
        <x:v>18</x:v>
      </x:c>
      <x:c r="F11" s="6" t="str">
        <x:v>M03</x:v>
      </x:c>
      <x:c r="G11" s="7" t="n">
        <x:v>1</x:v>
      </x:c>
      <x:c r="H11" s="7" t="n">
        <x:v>0</x:v>
      </x:c>
      <x:c r="I11" s="7" t="n">
        <x:v>0</x:v>
      </x:c>
      <x:c r="J11" s="7" t="n">
        <x:v>0</x:v>
      </x:c>
      <x:c r="K11" s="7"/>
      <x:c r="L11" s="7"/>
      <x:c r="M11" s="6" t="str">
        <x:f>IF(COUNT(H11,J11,K11)=3,C11-H11-J11+K11,"NYITOTT")</x:f>
        <x:v>NYITOTT</x:v>
      </x:c>
      <x:c r="N11" s="6" t="str">
        <x:f>IF(COUNT(G11,I11,L11)=3,D11-G11-I11+L11,"NYITOTT")</x:f>
        <x:v>NYITOTT</x:v>
      </x:c>
      <x:c r="O11" s="8" t="n">
        <x:f>C11*D11/1000000</x:f>
        <x:v>0.10592</x:v>
      </x:c>
      <x:c r="P11" s="5" t="str">
        <x:v>NYITOTT</x:v>
      </x:c>
      <x:c r="Q11" s="5" t="str">
        <x:v>NEM</x:v>
      </x:c>
      <x:c r="R11" s="2" t="n">
        <x:f>COUNTIF(Furatok!B6:B298,A11)</x:f>
        <x:v>0</x:v>
      </x:c>
      <x:c r="S11" s="2" t="str">
        <x:v>R13:KI12-TV01P-01</x:v>
      </x:c>
    </x:row>
    <x:row r="12" ht="32" customHeight="1">
      <x:c r="A12" s="2" t="str">
        <x:v>KI12-TV01P-02</x:v>
      </x:c>
      <x:c r="B12" s="2" t="str">
        <x:v>Torony állítható polc / példány 2</x:v>
      </x:c>
      <x:c r="C12" s="6" t="n">
        <x:v>331</x:v>
      </x:c>
      <x:c r="D12" s="6" t="n">
        <x:v>320</x:v>
      </x:c>
      <x:c r="E12" s="6" t="n">
        <x:v>18</x:v>
      </x:c>
      <x:c r="F12" s="6" t="str">
        <x:v>M03</x:v>
      </x:c>
      <x:c r="G12" s="7" t="n">
        <x:v>1</x:v>
      </x:c>
      <x:c r="H12" s="7" t="n">
        <x:v>0</x:v>
      </x:c>
      <x:c r="I12" s="7" t="n">
        <x:v>0</x:v>
      </x:c>
      <x:c r="J12" s="7" t="n">
        <x:v>0</x:v>
      </x:c>
      <x:c r="K12" s="7"/>
      <x:c r="L12" s="7"/>
      <x:c r="M12" s="6" t="str">
        <x:f>IF(COUNT(H12,J12,K12)=3,C12-H12-J12+K12,"NYITOTT")</x:f>
        <x:v>NYITOTT</x:v>
      </x:c>
      <x:c r="N12" s="6" t="str">
        <x:f>IF(COUNT(G12,I12,L12)=3,D12-G12-I12+L12,"NYITOTT")</x:f>
        <x:v>NYITOTT</x:v>
      </x:c>
      <x:c r="O12" s="8" t="n">
        <x:f>C12*D12/1000000</x:f>
        <x:v>0.10592</x:v>
      </x:c>
      <x:c r="P12" s="5" t="str">
        <x:v>NYITOTT</x:v>
      </x:c>
      <x:c r="Q12" s="5" t="str">
        <x:v>NEM</x:v>
      </x:c>
      <x:c r="R12" s="2" t="n">
        <x:f>COUNTIF(Furatok!B6:B298,A12)</x:f>
        <x:v>0</x:v>
      </x:c>
      <x:c r="S12" s="2" t="str">
        <x:v>R13:KI12-TV01P-02</x:v>
      </x:c>
    </x:row>
    <x:row r="13" ht="32" customHeight="1">
      <x:c r="A13" s="2" t="str">
        <x:v>KI12-TV01P-03</x:v>
      </x:c>
      <x:c r="B13" s="2" t="str">
        <x:v>Torony állítható polc / példány 3</x:v>
      </x:c>
      <x:c r="C13" s="6" t="n">
        <x:v>331</x:v>
      </x:c>
      <x:c r="D13" s="6" t="n">
        <x:v>320</x:v>
      </x:c>
      <x:c r="E13" s="6" t="n">
        <x:v>18</x:v>
      </x:c>
      <x:c r="F13" s="6" t="str">
        <x:v>M03</x:v>
      </x:c>
      <x:c r="G13" s="7" t="n">
        <x:v>1</x:v>
      </x:c>
      <x:c r="H13" s="7" t="n">
        <x:v>0</x:v>
      </x:c>
      <x:c r="I13" s="7" t="n">
        <x:v>0</x:v>
      </x:c>
      <x:c r="J13" s="7" t="n">
        <x:v>0</x:v>
      </x:c>
      <x:c r="K13" s="7"/>
      <x:c r="L13" s="7"/>
      <x:c r="M13" s="6" t="str">
        <x:f>IF(COUNT(H13,J13,K13)=3,C13-H13-J13+K13,"NYITOTT")</x:f>
        <x:v>NYITOTT</x:v>
      </x:c>
      <x:c r="N13" s="6" t="str">
        <x:f>IF(COUNT(G13,I13,L13)=3,D13-G13-I13+L13,"NYITOTT")</x:f>
        <x:v>NYITOTT</x:v>
      </x:c>
      <x:c r="O13" s="8" t="n">
        <x:f>C13*D13/1000000</x:f>
        <x:v>0.10592</x:v>
      </x:c>
      <x:c r="P13" s="5" t="str">
        <x:v>NYITOTT</x:v>
      </x:c>
      <x:c r="Q13" s="5" t="str">
        <x:v>NEM</x:v>
      </x:c>
      <x:c r="R13" s="2" t="n">
        <x:f>COUNTIF(Furatok!B6:B298,A13)</x:f>
        <x:v>0</x:v>
      </x:c>
      <x:c r="S13" s="2" t="str">
        <x:v>R13:KI12-TV01P-03</x:v>
      </x:c>
    </x:row>
    <x:row r="14" ht="32" customHeight="1">
      <x:c r="A14" s="2" t="str">
        <x:v>KI12-TV01P-04</x:v>
      </x:c>
      <x:c r="B14" s="2" t="str">
        <x:v>Torony állítható polc / példány 4</x:v>
      </x:c>
      <x:c r="C14" s="6" t="n">
        <x:v>331</x:v>
      </x:c>
      <x:c r="D14" s="6" t="n">
        <x:v>320</x:v>
      </x:c>
      <x:c r="E14" s="6" t="n">
        <x:v>18</x:v>
      </x:c>
      <x:c r="F14" s="6" t="str">
        <x:v>M03</x:v>
      </x:c>
      <x:c r="G14" s="7" t="n">
        <x:v>1</x:v>
      </x:c>
      <x:c r="H14" s="7" t="n">
        <x:v>0</x:v>
      </x:c>
      <x:c r="I14" s="7" t="n">
        <x:v>0</x:v>
      </x:c>
      <x:c r="J14" s="7" t="n">
        <x:v>0</x:v>
      </x:c>
      <x:c r="K14" s="7"/>
      <x:c r="L14" s="7"/>
      <x:c r="M14" s="6" t="str">
        <x:f>IF(COUNT(H14,J14,K14)=3,C14-H14-J14+K14,"NYITOTT")</x:f>
        <x:v>NYITOTT</x:v>
      </x:c>
      <x:c r="N14" s="6" t="str">
        <x:f>IF(COUNT(G14,I14,L14)=3,D14-G14-I14+L14,"NYITOTT")</x:f>
        <x:v>NYITOTT</x:v>
      </x:c>
      <x:c r="O14" s="8" t="n">
        <x:f>C14*D14/1000000</x:f>
        <x:v>0.10592</x:v>
      </x:c>
      <x:c r="P14" s="5" t="str">
        <x:v>NYITOTT</x:v>
      </x:c>
      <x:c r="Q14" s="5" t="str">
        <x:v>NEM</x:v>
      </x:c>
      <x:c r="R14" s="2" t="n">
        <x:f>COUNTIF(Furatok!B6:B298,A14)</x:f>
        <x:v>0</x:v>
      </x:c>
      <x:c r="S14" s="2" t="str">
        <x:v>R13:KI12-TV01P-04</x:v>
      </x:c>
    </x:row>
    <x:row r="15" ht="32" customHeight="1">
      <x:c r="A15" s="2" t="str">
        <x:v>KI12-TV01P-05</x:v>
      </x:c>
      <x:c r="B15" s="2" t="str">
        <x:v>Torony állítható polc / példány 5</x:v>
      </x:c>
      <x:c r="C15" s="6" t="n">
        <x:v>331</x:v>
      </x:c>
      <x:c r="D15" s="6" t="n">
        <x:v>320</x:v>
      </x:c>
      <x:c r="E15" s="6" t="n">
        <x:v>18</x:v>
      </x:c>
      <x:c r="F15" s="6" t="str">
        <x:v>M03</x:v>
      </x:c>
      <x:c r="G15" s="7" t="n">
        <x:v>1</x:v>
      </x:c>
      <x:c r="H15" s="7" t="n">
        <x:v>0</x:v>
      </x:c>
      <x:c r="I15" s="7" t="n">
        <x:v>0</x:v>
      </x:c>
      <x:c r="J15" s="7" t="n">
        <x:v>0</x:v>
      </x:c>
      <x:c r="K15" s="7"/>
      <x:c r="L15" s="7"/>
      <x:c r="M15" s="6" t="str">
        <x:f>IF(COUNT(H15,J15,K15)=3,C15-H15-J15+K15,"NYITOTT")</x:f>
        <x:v>NYITOTT</x:v>
      </x:c>
      <x:c r="N15" s="6" t="str">
        <x:f>IF(COUNT(G15,I15,L15)=3,D15-G15-I15+L15,"NYITOTT")</x:f>
        <x:v>NYITOTT</x:v>
      </x:c>
      <x:c r="O15" s="8" t="n">
        <x:f>C15*D15/1000000</x:f>
        <x:v>0.10592</x:v>
      </x:c>
      <x:c r="P15" s="5" t="str">
        <x:v>NYITOTT</x:v>
      </x:c>
      <x:c r="Q15" s="5" t="str">
        <x:v>NEM</x:v>
      </x:c>
      <x:c r="R15" s="2" t="n">
        <x:f>COUNTIF(Furatok!B6:B298,A15)</x:f>
        <x:v>0</x:v>
      </x:c>
      <x:c r="S15" s="2" t="str">
        <x:v>R13:KI12-TV01P-05</x:v>
      </x:c>
    </x:row>
    <x:row r="16" ht="32" customHeight="1">
      <x:c r="A16" s="2" t="str">
        <x:v>KI12-TV01P-06</x:v>
      </x:c>
      <x:c r="B16" s="2" t="str">
        <x:v>Torony állítható polc / példány 6</x:v>
      </x:c>
      <x:c r="C16" s="6" t="n">
        <x:v>331</x:v>
      </x:c>
      <x:c r="D16" s="6" t="n">
        <x:v>320</x:v>
      </x:c>
      <x:c r="E16" s="6" t="n">
        <x:v>18</x:v>
      </x:c>
      <x:c r="F16" s="6" t="str">
        <x:v>M03</x:v>
      </x:c>
      <x:c r="G16" s="7" t="n">
        <x:v>1</x:v>
      </x:c>
      <x:c r="H16" s="7" t="n">
        <x:v>0</x:v>
      </x:c>
      <x:c r="I16" s="7" t="n">
        <x:v>0</x:v>
      </x:c>
      <x:c r="J16" s="7" t="n">
        <x:v>0</x:v>
      </x:c>
      <x:c r="K16" s="7"/>
      <x:c r="L16" s="7"/>
      <x:c r="M16" s="6" t="str">
        <x:f>IF(COUNT(H16,J16,K16)=3,C16-H16-J16+K16,"NYITOTT")</x:f>
        <x:v>NYITOTT</x:v>
      </x:c>
      <x:c r="N16" s="6" t="str">
        <x:f>IF(COUNT(G16,I16,L16)=3,D16-G16-I16+L16,"NYITOTT")</x:f>
        <x:v>NYITOTT</x:v>
      </x:c>
      <x:c r="O16" s="8" t="n">
        <x:f>C16*D16/1000000</x:f>
        <x:v>0.10592</x:v>
      </x:c>
      <x:c r="P16" s="5" t="str">
        <x:v>NYITOTT</x:v>
      </x:c>
      <x:c r="Q16" s="5" t="str">
        <x:v>NEM</x:v>
      </x:c>
      <x:c r="R16" s="2" t="n">
        <x:f>COUNTIF(Furatok!B6:B298,A16)</x:f>
        <x:v>0</x:v>
      </x:c>
      <x:c r="S16" s="2" t="str">
        <x:v>R13:KI12-TV01P-06</x:v>
      </x:c>
    </x:row>
    <x:row r="17" ht="32" customHeight="1">
      <x:c r="A17" s="2" t="str">
        <x:v>KI12-TV01P-07</x:v>
      </x:c>
      <x:c r="B17" s="2" t="str">
        <x:v>Torony állítható polc / példány 7</x:v>
      </x:c>
      <x:c r="C17" s="6" t="n">
        <x:v>331</x:v>
      </x:c>
      <x:c r="D17" s="6" t="n">
        <x:v>320</x:v>
      </x:c>
      <x:c r="E17" s="6" t="n">
        <x:v>18</x:v>
      </x:c>
      <x:c r="F17" s="6" t="str">
        <x:v>M03</x:v>
      </x:c>
      <x:c r="G17" s="7" t="n">
        <x:v>1</x:v>
      </x:c>
      <x:c r="H17" s="7" t="n">
        <x:v>0</x:v>
      </x:c>
      <x:c r="I17" s="7" t="n">
        <x:v>0</x:v>
      </x:c>
      <x:c r="J17" s="7" t="n">
        <x:v>0</x:v>
      </x:c>
      <x:c r="K17" s="7"/>
      <x:c r="L17" s="7"/>
      <x:c r="M17" s="6" t="str">
        <x:f>IF(COUNT(H17,J17,K17)=3,C17-H17-J17+K17,"NYITOTT")</x:f>
        <x:v>NYITOTT</x:v>
      </x:c>
      <x:c r="N17" s="6" t="str">
        <x:f>IF(COUNT(G17,I17,L17)=3,D17-G17-I17+L17,"NYITOTT")</x:f>
        <x:v>NYITOTT</x:v>
      </x:c>
      <x:c r="O17" s="8" t="n">
        <x:f>C17*D17/1000000</x:f>
        <x:v>0.10592</x:v>
      </x:c>
      <x:c r="P17" s="5" t="str">
        <x:v>NYITOTT</x:v>
      </x:c>
      <x:c r="Q17" s="5" t="str">
        <x:v>NEM</x:v>
      </x:c>
      <x:c r="R17" s="2" t="n">
        <x:f>COUNTIF(Furatok!B6:B298,A17)</x:f>
        <x:v>0</x:v>
      </x:c>
      <x:c r="S17" s="2" t="str">
        <x:v>R13:KI12-TV01P-07</x:v>
      </x:c>
    </x:row>
    <x:row r="18" ht="32" customHeight="1">
      <x:c r="A18" s="2" t="str">
        <x:v>KI12-TV01P-08</x:v>
      </x:c>
      <x:c r="B18" s="2" t="str">
        <x:v>Torony állítható polc / példány 8</x:v>
      </x:c>
      <x:c r="C18" s="6" t="n">
        <x:v>331</x:v>
      </x:c>
      <x:c r="D18" s="6" t="n">
        <x:v>320</x:v>
      </x:c>
      <x:c r="E18" s="6" t="n">
        <x:v>18</x:v>
      </x:c>
      <x:c r="F18" s="6" t="str">
        <x:v>M03</x:v>
      </x:c>
      <x:c r="G18" s="7" t="n">
        <x:v>1</x:v>
      </x:c>
      <x:c r="H18" s="7" t="n">
        <x:v>0</x:v>
      </x:c>
      <x:c r="I18" s="7" t="n">
        <x:v>0</x:v>
      </x:c>
      <x:c r="J18" s="7" t="n">
        <x:v>0</x:v>
      </x:c>
      <x:c r="K18" s="7"/>
      <x:c r="L18" s="7"/>
      <x:c r="M18" s="6" t="str">
        <x:f>IF(COUNT(H18,J18,K18)=3,C18-H18-J18+K18,"NYITOTT")</x:f>
        <x:v>NYITOTT</x:v>
      </x:c>
      <x:c r="N18" s="6" t="str">
        <x:f>IF(COUNT(G18,I18,L18)=3,D18-G18-I18+L18,"NYITOTT")</x:f>
        <x:v>NYITOTT</x:v>
      </x:c>
      <x:c r="O18" s="8" t="n">
        <x:f>C18*D18/1000000</x:f>
        <x:v>0.10592</x:v>
      </x:c>
      <x:c r="P18" s="5" t="str">
        <x:v>NYITOTT</x:v>
      </x:c>
      <x:c r="Q18" s="5" t="str">
        <x:v>NEM</x:v>
      </x:c>
      <x:c r="R18" s="2" t="n">
        <x:f>COUNTIF(Furatok!B6:B298,A18)</x:f>
        <x:v>0</x:v>
      </x:c>
      <x:c r="S18" s="2" t="str">
        <x:v>R13:KI12-TV01P-08</x:v>
      </x:c>
    </x:row>
    <x:row r="19" ht="32" customHeight="1">
      <x:c r="A19" s="2" t="str">
        <x:v>KI12-TV01P-09</x:v>
      </x:c>
      <x:c r="B19" s="2" t="str">
        <x:v>Torony állítható polc / példány 9</x:v>
      </x:c>
      <x:c r="C19" s="6" t="n">
        <x:v>331</x:v>
      </x:c>
      <x:c r="D19" s="6" t="n">
        <x:v>320</x:v>
      </x:c>
      <x:c r="E19" s="6" t="n">
        <x:v>18</x:v>
      </x:c>
      <x:c r="F19" s="6" t="str">
        <x:v>M03</x:v>
      </x:c>
      <x:c r="G19" s="7" t="n">
        <x:v>1</x:v>
      </x:c>
      <x:c r="H19" s="7" t="n">
        <x:v>0</x:v>
      </x:c>
      <x:c r="I19" s="7" t="n">
        <x:v>0</x:v>
      </x:c>
      <x:c r="J19" s="7" t="n">
        <x:v>0</x:v>
      </x:c>
      <x:c r="K19" s="7"/>
      <x:c r="L19" s="7"/>
      <x:c r="M19" s="6" t="str">
        <x:f>IF(COUNT(H19,J19,K19)=3,C19-H19-J19+K19,"NYITOTT")</x:f>
        <x:v>NYITOTT</x:v>
      </x:c>
      <x:c r="N19" s="6" t="str">
        <x:f>IF(COUNT(G19,I19,L19)=3,D19-G19-I19+L19,"NYITOTT")</x:f>
        <x:v>NYITOTT</x:v>
      </x:c>
      <x:c r="O19" s="8" t="n">
        <x:f>C19*D19/1000000</x:f>
        <x:v>0.10592</x:v>
      </x:c>
      <x:c r="P19" s="5" t="str">
        <x:v>NYITOTT</x:v>
      </x:c>
      <x:c r="Q19" s="5" t="str">
        <x:v>NEM</x:v>
      </x:c>
      <x:c r="R19" s="2" t="n">
        <x:f>COUNTIF(Furatok!B6:B298,A19)</x:f>
        <x:v>0</x:v>
      </x:c>
      <x:c r="S19" s="2" t="str">
        <x:v>R13:KI12-TV01P-09</x:v>
      </x:c>
    </x:row>
    <x:row r="20" ht="32" customHeight="1">
      <x:c r="A20" s="2" t="str">
        <x:v>KI12-TV01P-10</x:v>
      </x:c>
      <x:c r="B20" s="2" t="str">
        <x:v>Torony állítható polc / példány 10</x:v>
      </x:c>
      <x:c r="C20" s="6" t="n">
        <x:v>331</x:v>
      </x:c>
      <x:c r="D20" s="6" t="n">
        <x:v>320</x:v>
      </x:c>
      <x:c r="E20" s="6" t="n">
        <x:v>18</x:v>
      </x:c>
      <x:c r="F20" s="6" t="str">
        <x:v>M03</x:v>
      </x:c>
      <x:c r="G20" s="7" t="n">
        <x:v>1</x:v>
      </x:c>
      <x:c r="H20" s="7" t="n">
        <x:v>0</x:v>
      </x:c>
      <x:c r="I20" s="7" t="n">
        <x:v>0</x:v>
      </x:c>
      <x:c r="J20" s="7" t="n">
        <x:v>0</x:v>
      </x:c>
      <x:c r="K20" s="7"/>
      <x:c r="L20" s="7"/>
      <x:c r="M20" s="6" t="str">
        <x:f>IF(COUNT(H20,J20,K20)=3,C20-H20-J20+K20,"NYITOTT")</x:f>
        <x:v>NYITOTT</x:v>
      </x:c>
      <x:c r="N20" s="6" t="str">
        <x:f>IF(COUNT(G20,I20,L20)=3,D20-G20-I20+L20,"NYITOTT")</x:f>
        <x:v>NYITOTT</x:v>
      </x:c>
      <x:c r="O20" s="8" t="n">
        <x:f>C20*D20/1000000</x:f>
        <x:v>0.10592</x:v>
      </x:c>
      <x:c r="P20" s="5" t="str">
        <x:v>NYITOTT</x:v>
      </x:c>
      <x:c r="Q20" s="5" t="str">
        <x:v>NEM</x:v>
      </x:c>
      <x:c r="R20" s="2" t="n">
        <x:f>COUNTIF(Furatok!B6:B298,A20)</x:f>
        <x:v>0</x:v>
      </x:c>
      <x:c r="S20" s="2" t="str">
        <x:v>R13:KI12-TV01P-10</x:v>
      </x:c>
    </x:row>
    <x:row r="21" ht="32" customHeight="1">
      <x:c r="A21" s="2" t="str">
        <x:v>KI12-TV01F-01</x:v>
      </x:c>
      <x:c r="B21" s="2" t="str">
        <x:v>Torony front / bal ajtó</x:v>
      </x:c>
      <x:c r="C21" s="6" t="n">
        <x:v>2327</x:v>
      </x:c>
      <x:c r="D21" s="6" t="n">
        <x:v>357</x:v>
      </x:c>
      <x:c r="E21" s="6" t="n">
        <x:v>18</x:v>
      </x:c>
      <x:c r="F21" s="6" t="str">
        <x:v>M01+nyomat</x:v>
      </x:c>
      <x:c r="G21" s="7" t="n">
        <x:v>1</x:v>
      </x:c>
      <x:c r="H21" s="7" t="n">
        <x:v>1</x:v>
      </x:c>
      <x:c r="I21" s="7" t="n">
        <x:v>1</x:v>
      </x:c>
      <x:c r="J21" s="7" t="n">
        <x:v>1</x:v>
      </x:c>
      <x:c r="K21" s="7"/>
      <x:c r="L21" s="7"/>
      <x:c r="M21" s="6" t="str">
        <x:f>IF(COUNT(H21,J21,K21)=3,C21-H21-J21+K21,"NYITOTT")</x:f>
        <x:v>NYITOTT</x:v>
      </x:c>
      <x:c r="N21" s="6" t="str">
        <x:f>IF(COUNT(G21,I21,L21)=3,D21-G21-I21+L21,"NYITOTT")</x:f>
        <x:v>NYITOTT</x:v>
      </x:c>
      <x:c r="O21" s="8" t="n">
        <x:f>C21*D21/1000000</x:f>
        <x:v>0.830739</x:v>
      </x:c>
      <x:c r="P21" s="5" t="str">
        <x:v>NYITOTT</x:v>
      </x:c>
      <x:c r="Q21" s="5" t="str">
        <x:v>NEM</x:v>
      </x:c>
      <x:c r="R21" s="2" t="n">
        <x:f>COUNTIF(Furatok!B6:B298,A21)</x:f>
        <x:v>15</x:v>
      </x:c>
      <x:c r="S21" s="2" t="str">
        <x:v>R13:KI12-TV01F-01</x:v>
      </x:c>
    </x:row>
    <x:row r="22" ht="32" customHeight="1">
      <x:c r="A22" s="2" t="str">
        <x:v>KI12-TV01F-02</x:v>
      </x:c>
      <x:c r="B22" s="2" t="str">
        <x:v>Torony front / jobb ajtó</x:v>
      </x:c>
      <x:c r="C22" s="6" t="n">
        <x:v>2327</x:v>
      </x:c>
      <x:c r="D22" s="6" t="n">
        <x:v>357</x:v>
      </x:c>
      <x:c r="E22" s="6" t="n">
        <x:v>18</x:v>
      </x:c>
      <x:c r="F22" s="6" t="str">
        <x:v>M01+nyomat</x:v>
      </x:c>
      <x:c r="G22" s="7" t="n">
        <x:v>1</x:v>
      </x:c>
      <x:c r="H22" s="7" t="n">
        <x:v>1</x:v>
      </x:c>
      <x:c r="I22" s="7" t="n">
        <x:v>1</x:v>
      </x:c>
      <x:c r="J22" s="7" t="n">
        <x:v>1</x:v>
      </x:c>
      <x:c r="K22" s="7"/>
      <x:c r="L22" s="7"/>
      <x:c r="M22" s="6" t="str">
        <x:f>IF(COUNT(H22,J22,K22)=3,C22-H22-J22+K22,"NYITOTT")</x:f>
        <x:v>NYITOTT</x:v>
      </x:c>
      <x:c r="N22" s="6" t="str">
        <x:f>IF(COUNT(G22,I22,L22)=3,D22-G22-I22+L22,"NYITOTT")</x:f>
        <x:v>NYITOTT</x:v>
      </x:c>
      <x:c r="O22" s="8" t="n">
        <x:f>C22*D22/1000000</x:f>
        <x:v>0.830739</x:v>
      </x:c>
      <x:c r="P22" s="5" t="str">
        <x:v>NYITOTT</x:v>
      </x:c>
      <x:c r="Q22" s="5" t="str">
        <x:v>NEM</x:v>
      </x:c>
      <x:c r="R22" s="2" t="n">
        <x:f>COUNTIF(Furatok!B6:B298,A22)</x:f>
        <x:v>15</x:v>
      </x:c>
      <x:c r="S22" s="2" t="str">
        <x:v>R13:KI12-TV01F-02</x:v>
      </x:c>
    </x:row>
    <x:row r="23" ht="32" customHeight="1">
      <x:c r="A23" s="2" t="str">
        <x:v>KI12-TV01H-01</x:v>
      </x:c>
      <x:c r="B23" s="2" t="str">
        <x:v>Torony hátlap / példány 1</x:v>
      </x:c>
      <x:c r="C23" s="6" t="n">
        <x:v>2294</x:v>
      </x:c>
      <x:c r="D23" s="6" t="n">
        <x:v>684</x:v>
      </x:c>
      <x:c r="E23" s="6" t="n">
        <x:v>8</x:v>
      </x:c>
      <x:c r="F23" s="6" t="str">
        <x:v>M03</x:v>
      </x:c>
      <x:c r="G23" s="7" t="n">
        <x:v>0</x:v>
      </x:c>
      <x:c r="H23" s="7" t="n">
        <x:v>0</x:v>
      </x:c>
      <x:c r="I23" s="7" t="n">
        <x:v>0</x:v>
      </x:c>
      <x:c r="J23" s="7" t="n">
        <x:v>0</x:v>
      </x:c>
      <x:c r="K23" s="7"/>
      <x:c r="L23" s="7"/>
      <x:c r="M23" s="6" t="str">
        <x:f>IF(COUNT(H23,J23,K23)=3,C23-H23-J23+K23,"NYITOTT")</x:f>
        <x:v>NYITOTT</x:v>
      </x:c>
      <x:c r="N23" s="6" t="str">
        <x:f>IF(COUNT(G23,I23,L23)=3,D23-G23-I23+L23,"NYITOTT")</x:f>
        <x:v>NYITOTT</x:v>
      </x:c>
      <x:c r="O23" s="8" t="n">
        <x:f>C23*D23/1000000</x:f>
        <x:v>1.569096</x:v>
      </x:c>
      <x:c r="P23" s="5" t="str">
        <x:v>NYITOTT</x:v>
      </x:c>
      <x:c r="Q23" s="5" t="str">
        <x:v>NEM</x:v>
      </x:c>
      <x:c r="R23" s="2" t="n">
        <x:f>COUNTIF(Furatok!B6:B298,A23)</x:f>
        <x:v>0</x:v>
      </x:c>
      <x:c r="S23" s="2" t="str">
        <x:v>R13:KI12-TV01H-01</x:v>
      </x:c>
    </x:row>
    <x:row r="24" ht="32" customHeight="1">
      <x:c r="A24" s="2" t="str">
        <x:v>KI12-TV02S-01</x:v>
      </x:c>
      <x:c r="B24" s="2" t="str">
        <x:v>Alsó oldalak / bal oldallap</x:v>
      </x:c>
      <x:c r="C24" s="6" t="n">
        <x:v>382</x:v>
      </x:c>
      <x:c r="D24" s="6" t="n">
        <x:v>382</x:v>
      </x:c>
      <x:c r="E24" s="6" t="n">
        <x:v>18</x:v>
      </x:c>
      <x:c r="F24" s="6" t="str">
        <x:v>M03</x:v>
      </x:c>
      <x:c r="G24" s="7" t="n">
        <x:v>1</x:v>
      </x:c>
      <x:c r="H24" s="7" t="n">
        <x:v>0</x:v>
      </x:c>
      <x:c r="I24" s="7" t="n">
        <x:v>0</x:v>
      </x:c>
      <x:c r="J24" s="7" t="n">
        <x:v>0</x:v>
      </x:c>
      <x:c r="K24" s="7"/>
      <x:c r="L24" s="7"/>
      <x:c r="M24" s="6" t="str">
        <x:f>IF(COUNT(H24,J24,K24)=3,C24-H24-J24+K24,"NYITOTT")</x:f>
        <x:v>NYITOTT</x:v>
      </x:c>
      <x:c r="N24" s="6" t="str">
        <x:f>IF(COUNT(G24,I24,L24)=3,D24-G24-I24+L24,"NYITOTT")</x:f>
        <x:v>NYITOTT</x:v>
      </x:c>
      <x:c r="O24" s="8" t="n">
        <x:f>C24*D24/1000000</x:f>
        <x:v>0.145924</x:v>
      </x:c>
      <x:c r="P24" s="5" t="str">
        <x:v>NYITOTT</x:v>
      </x:c>
      <x:c r="Q24" s="5" t="str">
        <x:v>NEM</x:v>
      </x:c>
      <x:c r="R24" s="2" t="n">
        <x:f>COUNTIF(Furatok!B6:B298,A24)</x:f>
        <x:v>12</x:v>
      </x:c>
      <x:c r="S24" s="2" t="str">
        <x:v>R13:KI12-TV02S-01</x:v>
      </x:c>
    </x:row>
    <x:row r="25" ht="32" customHeight="1">
      <x:c r="A25" s="2" t="str">
        <x:v>KI12-TV02S-02</x:v>
      </x:c>
      <x:c r="B25" s="2" t="str">
        <x:v>Alsó oldalak / jobb oldallap</x:v>
      </x:c>
      <x:c r="C25" s="6" t="n">
        <x:v>382</x:v>
      </x:c>
      <x:c r="D25" s="6" t="n">
        <x:v>382</x:v>
      </x:c>
      <x:c r="E25" s="6" t="n">
        <x:v>18</x:v>
      </x:c>
      <x:c r="F25" s="6" t="str">
        <x:v>M03</x:v>
      </x:c>
      <x:c r="G25" s="7" t="n">
        <x:v>1</x:v>
      </x:c>
      <x:c r="H25" s="7" t="n">
        <x:v>0</x:v>
      </x:c>
      <x:c r="I25" s="7" t="n">
        <x:v>0</x:v>
      </x:c>
      <x:c r="J25" s="7" t="n">
        <x:v>0</x:v>
      </x:c>
      <x:c r="K25" s="7"/>
      <x:c r="L25" s="7"/>
      <x:c r="M25" s="6" t="str">
        <x:f>IF(COUNT(H25,J25,K25)=3,C25-H25-J25+K25,"NYITOTT")</x:f>
        <x:v>NYITOTT</x:v>
      </x:c>
      <x:c r="N25" s="6" t="str">
        <x:f>IF(COUNT(G25,I25,L25)=3,D25-G25-I25+L25,"NYITOTT")</x:f>
        <x:v>NYITOTT</x:v>
      </x:c>
      <x:c r="O25" s="8" t="n">
        <x:f>C25*D25/1000000</x:f>
        <x:v>0.145924</x:v>
      </x:c>
      <x:c r="P25" s="5" t="str">
        <x:v>NYITOTT</x:v>
      </x:c>
      <x:c r="Q25" s="5" t="str">
        <x:v>NEM</x:v>
      </x:c>
      <x:c r="R25" s="2" t="n">
        <x:f>COUNTIF(Furatok!B6:B298,A25)</x:f>
        <x:v>8</x:v>
      </x:c>
      <x:c r="S25" s="2" t="str">
        <x:v>R13:KI12-TV02S-02</x:v>
      </x:c>
    </x:row>
    <x:row r="26" ht="32" customHeight="1">
      <x:c r="A26" s="2" t="str">
        <x:v>KI12-TV02S-03</x:v>
      </x:c>
      <x:c r="B26" s="2" t="str">
        <x:v>Alsó oldalak / bal oldallap</x:v>
      </x:c>
      <x:c r="C26" s="6" t="n">
        <x:v>382</x:v>
      </x:c>
      <x:c r="D26" s="6" t="n">
        <x:v>382</x:v>
      </x:c>
      <x:c r="E26" s="6" t="n">
        <x:v>18</x:v>
      </x:c>
      <x:c r="F26" s="6" t="str">
        <x:v>M03</x:v>
      </x:c>
      <x:c r="G26" s="7" t="n">
        <x:v>1</x:v>
      </x:c>
      <x:c r="H26" s="7" t="n">
        <x:v>0</x:v>
      </x:c>
      <x:c r="I26" s="7" t="n">
        <x:v>0</x:v>
      </x:c>
      <x:c r="J26" s="7" t="n">
        <x:v>0</x:v>
      </x:c>
      <x:c r="K26" s="7"/>
      <x:c r="L26" s="7"/>
      <x:c r="M26" s="6" t="str">
        <x:f>IF(COUNT(H26,J26,K26)=3,C26-H26-J26+K26,"NYITOTT")</x:f>
        <x:v>NYITOTT</x:v>
      </x:c>
      <x:c r="N26" s="6" t="str">
        <x:f>IF(COUNT(G26,I26,L26)=3,D26-G26-I26+L26,"NYITOTT")</x:f>
        <x:v>NYITOTT</x:v>
      </x:c>
      <x:c r="O26" s="8" t="n">
        <x:f>C26*D26/1000000</x:f>
        <x:v>0.145924</x:v>
      </x:c>
      <x:c r="P26" s="5" t="str">
        <x:v>NYITOTT</x:v>
      </x:c>
      <x:c r="Q26" s="5" t="str">
        <x:v>NEM</x:v>
      </x:c>
      <x:c r="R26" s="2" t="n">
        <x:f>COUNTIF(Furatok!B6:B298,A26)</x:f>
        <x:v>10</x:v>
      </x:c>
      <x:c r="S26" s="2" t="str">
        <x:v>R13:KI12-TV02S-03</x:v>
      </x:c>
    </x:row>
    <x:row r="27" ht="32" customHeight="1">
      <x:c r="A27" s="2" t="str">
        <x:v>KI12-TV02S-04</x:v>
      </x:c>
      <x:c r="B27" s="2" t="str">
        <x:v>Alsó oldalak / jobb oldallap</x:v>
      </x:c>
      <x:c r="C27" s="6" t="n">
        <x:v>382</x:v>
      </x:c>
      <x:c r="D27" s="6" t="n">
        <x:v>382</x:v>
      </x:c>
      <x:c r="E27" s="6" t="n">
        <x:v>18</x:v>
      </x:c>
      <x:c r="F27" s="6" t="str">
        <x:v>M03</x:v>
      </x:c>
      <x:c r="G27" s="7" t="n">
        <x:v>1</x:v>
      </x:c>
      <x:c r="H27" s="7" t="n">
        <x:v>0</x:v>
      </x:c>
      <x:c r="I27" s="7" t="n">
        <x:v>0</x:v>
      </x:c>
      <x:c r="J27" s="7" t="n">
        <x:v>0</x:v>
      </x:c>
      <x:c r="K27" s="7"/>
      <x:c r="L27" s="7"/>
      <x:c r="M27" s="6" t="str">
        <x:f>IF(COUNT(H27,J27,K27)=3,C27-H27-J27+K27,"NYITOTT")</x:f>
        <x:v>NYITOTT</x:v>
      </x:c>
      <x:c r="N27" s="6" t="str">
        <x:f>IF(COUNT(G27,I27,L27)=3,D27-G27-I27+L27,"NYITOTT")</x:f>
        <x:v>NYITOTT</x:v>
      </x:c>
      <x:c r="O27" s="8" t="n">
        <x:f>C27*D27/1000000</x:f>
        <x:v>0.145924</x:v>
      </x:c>
      <x:c r="P27" s="5" t="str">
        <x:v>NYITOTT</x:v>
      </x:c>
      <x:c r="Q27" s="5" t="str">
        <x:v>NEM</x:v>
      </x:c>
      <x:c r="R27" s="2" t="n">
        <x:f>COUNTIF(Furatok!B6:B298,A27)</x:f>
        <x:v>6</x:v>
      </x:c>
      <x:c r="S27" s="2" t="str">
        <x:v>R13:KI12-TV02S-04</x:v>
      </x:c>
    </x:row>
    <x:row r="28" ht="32" customHeight="1">
      <x:c r="A28" s="2" t="str">
        <x:v>KI12-TV02S-05</x:v>
      </x:c>
      <x:c r="B28" s="2" t="str">
        <x:v>Alsó oldalak / bal oldallap</x:v>
      </x:c>
      <x:c r="C28" s="6" t="n">
        <x:v>382</x:v>
      </x:c>
      <x:c r="D28" s="6" t="n">
        <x:v>382</x:v>
      </x:c>
      <x:c r="E28" s="6" t="n">
        <x:v>18</x:v>
      </x:c>
      <x:c r="F28" s="6" t="str">
        <x:v>M03</x:v>
      </x:c>
      <x:c r="G28" s="7" t="n">
        <x:v>1</x:v>
      </x:c>
      <x:c r="H28" s="7" t="n">
        <x:v>0</x:v>
      </x:c>
      <x:c r="I28" s="7" t="n">
        <x:v>0</x:v>
      </x:c>
      <x:c r="J28" s="7" t="n">
        <x:v>0</x:v>
      </x:c>
      <x:c r="K28" s="7"/>
      <x:c r="L28" s="7"/>
      <x:c r="M28" s="6" t="str">
        <x:f>IF(COUNT(H28,J28,K28)=3,C28-H28-J28+K28,"NYITOTT")</x:f>
        <x:v>NYITOTT</x:v>
      </x:c>
      <x:c r="N28" s="6" t="str">
        <x:f>IF(COUNT(G28,I28,L28)=3,D28-G28-I28+L28,"NYITOTT")</x:f>
        <x:v>NYITOTT</x:v>
      </x:c>
      <x:c r="O28" s="8" t="n">
        <x:f>C28*D28/1000000</x:f>
        <x:v>0.145924</x:v>
      </x:c>
      <x:c r="P28" s="5" t="str">
        <x:v>NYITOTT</x:v>
      </x:c>
      <x:c r="Q28" s="5" t="str">
        <x:v>NEM</x:v>
      </x:c>
      <x:c r="R28" s="2" t="n">
        <x:f>COUNTIF(Furatok!B6:B298,A28)</x:f>
        <x:v>8</x:v>
      </x:c>
      <x:c r="S28" s="2" t="str">
        <x:v>R13:KI12-TV02S-05</x:v>
      </x:c>
    </x:row>
    <x:row r="29" ht="32" customHeight="1">
      <x:c r="A29" s="2" t="str">
        <x:v>KI12-TV02S-06</x:v>
      </x:c>
      <x:c r="B29" s="2" t="str">
        <x:v>Alsó oldalak / jobb oldallap</x:v>
      </x:c>
      <x:c r="C29" s="6" t="n">
        <x:v>382</x:v>
      </x:c>
      <x:c r="D29" s="6" t="n">
        <x:v>382</x:v>
      </x:c>
      <x:c r="E29" s="6" t="n">
        <x:v>18</x:v>
      </x:c>
      <x:c r="F29" s="6" t="str">
        <x:v>M03</x:v>
      </x:c>
      <x:c r="G29" s="7" t="n">
        <x:v>1</x:v>
      </x:c>
      <x:c r="H29" s="7" t="n">
        <x:v>0</x:v>
      </x:c>
      <x:c r="I29" s="7" t="n">
        <x:v>0</x:v>
      </x:c>
      <x:c r="J29" s="7" t="n">
        <x:v>0</x:v>
      </x:c>
      <x:c r="K29" s="7"/>
      <x:c r="L29" s="7"/>
      <x:c r="M29" s="6" t="str">
        <x:f>IF(COUNT(H29,J29,K29)=3,C29-H29-J29+K29,"NYITOTT")</x:f>
        <x:v>NYITOTT</x:v>
      </x:c>
      <x:c r="N29" s="6" t="str">
        <x:f>IF(COUNT(G29,I29,L29)=3,D29-G29-I29+L29,"NYITOTT")</x:f>
        <x:v>NYITOTT</x:v>
      </x:c>
      <x:c r="O29" s="8" t="n">
        <x:f>C29*D29/1000000</x:f>
        <x:v>0.145924</x:v>
      </x:c>
      <x:c r="P29" s="5" t="str">
        <x:v>NYITOTT</x:v>
      </x:c>
      <x:c r="Q29" s="5" t="str">
        <x:v>NEM</x:v>
      </x:c>
      <x:c r="R29" s="2" t="n">
        <x:f>COUNTIF(Furatok!B6:B298,A29)</x:f>
        <x:v>8</x:v>
      </x:c>
      <x:c r="S29" s="2" t="str">
        <x:v>R13:KI12-TV02S-06</x:v>
      </x:c>
    </x:row>
    <x:row r="30" ht="32" customHeight="1">
      <x:c r="A30" s="2" t="str">
        <x:v>KI12-TV02S-07</x:v>
      </x:c>
      <x:c r="B30" s="2" t="str">
        <x:v>Alsó oldalak / bal oldallap</x:v>
      </x:c>
      <x:c r="C30" s="6" t="n">
        <x:v>382</x:v>
      </x:c>
      <x:c r="D30" s="6" t="n">
        <x:v>382</x:v>
      </x:c>
      <x:c r="E30" s="6" t="n">
        <x:v>18</x:v>
      </x:c>
      <x:c r="F30" s="6" t="str">
        <x:v>M03</x:v>
      </x:c>
      <x:c r="G30" s="7" t="n">
        <x:v>1</x:v>
      </x:c>
      <x:c r="H30" s="7" t="n">
        <x:v>0</x:v>
      </x:c>
      <x:c r="I30" s="7" t="n">
        <x:v>0</x:v>
      </x:c>
      <x:c r="J30" s="7" t="n">
        <x:v>0</x:v>
      </x:c>
      <x:c r="K30" s="7"/>
      <x:c r="L30" s="7"/>
      <x:c r="M30" s="6" t="str">
        <x:f>IF(COUNT(H30,J30,K30)=3,C30-H30-J30+K30,"NYITOTT")</x:f>
        <x:v>NYITOTT</x:v>
      </x:c>
      <x:c r="N30" s="6" t="str">
        <x:f>IF(COUNT(G30,I30,L30)=3,D30-G30-I30+L30,"NYITOTT")</x:f>
        <x:v>NYITOTT</x:v>
      </x:c>
      <x:c r="O30" s="8" t="n">
        <x:f>C30*D30/1000000</x:f>
        <x:v>0.145924</x:v>
      </x:c>
      <x:c r="P30" s="5" t="str">
        <x:v>NYITOTT</x:v>
      </x:c>
      <x:c r="Q30" s="5" t="str">
        <x:v>NEM</x:v>
      </x:c>
      <x:c r="R30" s="2" t="n">
        <x:f>COUNTIF(Furatok!B6:B298,A30)</x:f>
        <x:v>8</x:v>
      </x:c>
      <x:c r="S30" s="2" t="str">
        <x:v>R13:KI12-TV02S-07</x:v>
      </x:c>
    </x:row>
    <x:row r="31" ht="32" customHeight="1">
      <x:c r="A31" s="2" t="str">
        <x:v>KI12-TV02S-08</x:v>
      </x:c>
      <x:c r="B31" s="2" t="str">
        <x:v>Alsó oldalak / jobb oldallap</x:v>
      </x:c>
      <x:c r="C31" s="6" t="n">
        <x:v>382</x:v>
      </x:c>
      <x:c r="D31" s="6" t="n">
        <x:v>382</x:v>
      </x:c>
      <x:c r="E31" s="6" t="n">
        <x:v>18</x:v>
      </x:c>
      <x:c r="F31" s="6" t="str">
        <x:v>M03</x:v>
      </x:c>
      <x:c r="G31" s="7" t="n">
        <x:v>1</x:v>
      </x:c>
      <x:c r="H31" s="7" t="n">
        <x:v>0</x:v>
      </x:c>
      <x:c r="I31" s="7" t="n">
        <x:v>0</x:v>
      </x:c>
      <x:c r="J31" s="7" t="n">
        <x:v>0</x:v>
      </x:c>
      <x:c r="K31" s="7"/>
      <x:c r="L31" s="7"/>
      <x:c r="M31" s="6" t="str">
        <x:f>IF(COUNT(H31,J31,K31)=3,C31-H31-J31+K31,"NYITOTT")</x:f>
        <x:v>NYITOTT</x:v>
      </x:c>
      <x:c r="N31" s="6" t="str">
        <x:f>IF(COUNT(G31,I31,L31)=3,D31-G31-I31+L31,"NYITOTT")</x:f>
        <x:v>NYITOTT</x:v>
      </x:c>
      <x:c r="O31" s="8" t="n">
        <x:f>C31*D31/1000000</x:f>
        <x:v>0.145924</x:v>
      </x:c>
      <x:c r="P31" s="5" t="str">
        <x:v>NYITOTT</x:v>
      </x:c>
      <x:c r="Q31" s="5" t="str">
        <x:v>NEM</x:v>
      </x:c>
      <x:c r="R31" s="2" t="n">
        <x:f>COUNTIF(Furatok!B6:B298,A31)</x:f>
        <x:v>8</x:v>
      </x:c>
      <x:c r="S31" s="2" t="str">
        <x:v>R13:KI12-TV02S-08</x:v>
      </x:c>
    </x:row>
    <x:row r="32" ht="32" customHeight="1">
      <x:c r="A32" s="2" t="str">
        <x:v>KI12-TV02S-09</x:v>
      </x:c>
      <x:c r="B32" s="2" t="str">
        <x:v>Alsó oldalak / bal oldallap</x:v>
      </x:c>
      <x:c r="C32" s="6" t="n">
        <x:v>382</x:v>
      </x:c>
      <x:c r="D32" s="6" t="n">
        <x:v>382</x:v>
      </x:c>
      <x:c r="E32" s="6" t="n">
        <x:v>18</x:v>
      </x:c>
      <x:c r="F32" s="6" t="str">
        <x:v>M03</x:v>
      </x:c>
      <x:c r="G32" s="7" t="n">
        <x:v>1</x:v>
      </x:c>
      <x:c r="H32" s="7" t="n">
        <x:v>0</x:v>
      </x:c>
      <x:c r="I32" s="7" t="n">
        <x:v>0</x:v>
      </x:c>
      <x:c r="J32" s="7" t="n">
        <x:v>0</x:v>
      </x:c>
      <x:c r="K32" s="7"/>
      <x:c r="L32" s="7"/>
      <x:c r="M32" s="6" t="str">
        <x:f>IF(COUNT(H32,J32,K32)=3,C32-H32-J32+K32,"NYITOTT")</x:f>
        <x:v>NYITOTT</x:v>
      </x:c>
      <x:c r="N32" s="6" t="str">
        <x:f>IF(COUNT(G32,I32,L32)=3,D32-G32-I32+L32,"NYITOTT")</x:f>
        <x:v>NYITOTT</x:v>
      </x:c>
      <x:c r="O32" s="8" t="n">
        <x:f>C32*D32/1000000</x:f>
        <x:v>0.145924</x:v>
      </x:c>
      <x:c r="P32" s="5" t="str">
        <x:v>NYITOTT</x:v>
      </x:c>
      <x:c r="Q32" s="5" t="str">
        <x:v>NEM</x:v>
      </x:c>
      <x:c r="R32" s="2" t="n">
        <x:f>COUNTIF(Furatok!B6:B298,A32)</x:f>
        <x:v>12</x:v>
      </x:c>
      <x:c r="S32" s="2" t="str">
        <x:v>R13:KI12-TV02S-09</x:v>
      </x:c>
    </x:row>
    <x:row r="33" ht="32" customHeight="1">
      <x:c r="A33" s="2" t="str">
        <x:v>KI12-TV02S-10</x:v>
      </x:c>
      <x:c r="B33" s="2" t="str">
        <x:v>Alsó oldalak / jobb oldallap</x:v>
      </x:c>
      <x:c r="C33" s="6" t="n">
        <x:v>382</x:v>
      </x:c>
      <x:c r="D33" s="6" t="n">
        <x:v>382</x:v>
      </x:c>
      <x:c r="E33" s="6" t="n">
        <x:v>18</x:v>
      </x:c>
      <x:c r="F33" s="6" t="str">
        <x:v>M03</x:v>
      </x:c>
      <x:c r="G33" s="7" t="n">
        <x:v>1</x:v>
      </x:c>
      <x:c r="H33" s="7" t="n">
        <x:v>0</x:v>
      </x:c>
      <x:c r="I33" s="7" t="n">
        <x:v>0</x:v>
      </x:c>
      <x:c r="J33" s="7" t="n">
        <x:v>0</x:v>
      </x:c>
      <x:c r="K33" s="7"/>
      <x:c r="L33" s="7"/>
      <x:c r="M33" s="6" t="str">
        <x:f>IF(COUNT(H33,J33,K33)=3,C33-H33-J33+K33,"NYITOTT")</x:f>
        <x:v>NYITOTT</x:v>
      </x:c>
      <x:c r="N33" s="6" t="str">
        <x:f>IF(COUNT(G33,I33,L33)=3,D33-G33-I33+L33,"NYITOTT")</x:f>
        <x:v>NYITOTT</x:v>
      </x:c>
      <x:c r="O33" s="8" t="n">
        <x:f>C33*D33/1000000</x:f>
        <x:v>0.145924</x:v>
      </x:c>
      <x:c r="P33" s="5" t="str">
        <x:v>NYITOTT</x:v>
      </x:c>
      <x:c r="Q33" s="5" t="str">
        <x:v>NEM</x:v>
      </x:c>
      <x:c r="R33" s="2" t="n">
        <x:f>COUNTIF(Furatok!B6:B298,A33)</x:f>
        <x:v>8</x:v>
      </x:c>
      <x:c r="S33" s="2" t="str">
        <x:v>R13:KI12-TV02S-10</x:v>
      </x:c>
    </x:row>
    <x:row r="34" ht="32" customHeight="1">
      <x:c r="A34" s="2" t="str">
        <x:v>KI12-TV02T1-01</x:v>
      </x:c>
      <x:c r="B34" s="2" t="str">
        <x:v>720-as modul fenék / példány 1</x:v>
      </x:c>
      <x:c r="C34" s="6" t="n">
        <x:v>684</x:v>
      </x:c>
      <x:c r="D34" s="6" t="n">
        <x:v>382</x:v>
      </x:c>
      <x:c r="E34" s="6" t="n">
        <x:v>18</x:v>
      </x:c>
      <x:c r="F34" s="6" t="str">
        <x:v>M03</x:v>
      </x:c>
      <x:c r="G34" s="7" t="n">
        <x:v>1</x:v>
      </x:c>
      <x:c r="H34" s="7" t="n">
        <x:v>0</x:v>
      </x:c>
      <x:c r="I34" s="7" t="n">
        <x:v>0</x:v>
      </x:c>
      <x:c r="J34" s="7" t="n">
        <x:v>0</x:v>
      </x:c>
      <x:c r="K34" s="7"/>
      <x:c r="L34" s="7"/>
      <x:c r="M34" s="6" t="str">
        <x:f>IF(COUNT(H34,J34,K34)=3,C34-H34-J34+K34,"NYITOTT")</x:f>
        <x:v>NYITOTT</x:v>
      </x:c>
      <x:c r="N34" s="6" t="str">
        <x:f>IF(COUNT(G34,I34,L34)=3,D34-G34-I34+L34,"NYITOTT")</x:f>
        <x:v>NYITOTT</x:v>
      </x:c>
      <x:c r="O34" s="8" t="n">
        <x:f>C34*D34/1000000</x:f>
        <x:v>0.261288</x:v>
      </x:c>
      <x:c r="P34" s="5" t="str">
        <x:v>NYITOTT</x:v>
      </x:c>
      <x:c r="Q34" s="5" t="str">
        <x:v>NEM</x:v>
      </x:c>
      <x:c r="R34" s="2" t="n">
        <x:f>COUNTIF(Furatok!B6:B298,A34)</x:f>
        <x:v>6</x:v>
      </x:c>
      <x:c r="S34" s="2" t="str">
        <x:v>R13:KI12-TV02T1-01</x:v>
      </x:c>
    </x:row>
    <x:row r="35" ht="32" customHeight="1">
      <x:c r="A35" s="2" t="str">
        <x:v>KI12-TV02T2-01</x:v>
      </x:c>
      <x:c r="B35" s="2" t="str">
        <x:v>690-es modul fenék / példány 1</x:v>
      </x:c>
      <x:c r="C35" s="6" t="n">
        <x:v>654</x:v>
      </x:c>
      <x:c r="D35" s="6" t="n">
        <x:v>382</x:v>
      </x:c>
      <x:c r="E35" s="6" t="n">
        <x:v>18</x:v>
      </x:c>
      <x:c r="F35" s="6" t="str">
        <x:v>M03</x:v>
      </x:c>
      <x:c r="G35" s="7" t="n">
        <x:v>1</x:v>
      </x:c>
      <x:c r="H35" s="7" t="n">
        <x:v>0</x:v>
      </x:c>
      <x:c r="I35" s="7" t="n">
        <x:v>0</x:v>
      </x:c>
      <x:c r="J35" s="7" t="n">
        <x:v>0</x:v>
      </x:c>
      <x:c r="K35" s="7"/>
      <x:c r="L35" s="7"/>
      <x:c r="M35" s="6" t="str">
        <x:f>IF(COUNT(H35,J35,K35)=3,C35-H35-J35+K35,"NYITOTT")</x:f>
        <x:v>NYITOTT</x:v>
      </x:c>
      <x:c r="N35" s="6" t="str">
        <x:f>IF(COUNT(G35,I35,L35)=3,D35-G35-I35+L35,"NYITOTT")</x:f>
        <x:v>NYITOTT</x:v>
      </x:c>
      <x:c r="O35" s="8" t="n">
        <x:f>C35*D35/1000000</x:f>
        <x:v>0.249828</x:v>
      </x:c>
      <x:c r="P35" s="5" t="str">
        <x:v>NYITOTT</x:v>
      </x:c>
      <x:c r="Q35" s="5" t="str">
        <x:v>NEM</x:v>
      </x:c>
      <x:c r="R35" s="2" t="n">
        <x:f>COUNTIF(Furatok!B6:B298,A35)</x:f>
        <x:v>6</x:v>
      </x:c>
      <x:c r="S35" s="2" t="str">
        <x:v>R13:KI12-TV02T2-01</x:v>
      </x:c>
    </x:row>
    <x:row r="36" ht="32" customHeight="1">
      <x:c r="A36" s="2" t="str">
        <x:v>KI12-TV02T2-02</x:v>
      </x:c>
      <x:c r="B36" s="2" t="str">
        <x:v>690-es modul fenék / példány 2</x:v>
      </x:c>
      <x:c r="C36" s="6" t="n">
        <x:v>654</x:v>
      </x:c>
      <x:c r="D36" s="6" t="n">
        <x:v>382</x:v>
      </x:c>
      <x:c r="E36" s="6" t="n">
        <x:v>18</x:v>
      </x:c>
      <x:c r="F36" s="6" t="str">
        <x:v>M03</x:v>
      </x:c>
      <x:c r="G36" s="7" t="n">
        <x:v>1</x:v>
      </x:c>
      <x:c r="H36" s="7" t="n">
        <x:v>0</x:v>
      </x:c>
      <x:c r="I36" s="7" t="n">
        <x:v>0</x:v>
      </x:c>
      <x:c r="J36" s="7" t="n">
        <x:v>0</x:v>
      </x:c>
      <x:c r="K36" s="7"/>
      <x:c r="L36" s="7"/>
      <x:c r="M36" s="6" t="str">
        <x:f>IF(COUNT(H36,J36,K36)=3,C36-H36-J36+K36,"NYITOTT")</x:f>
        <x:v>NYITOTT</x:v>
      </x:c>
      <x:c r="N36" s="6" t="str">
        <x:f>IF(COUNT(G36,I36,L36)=3,D36-G36-I36+L36,"NYITOTT")</x:f>
        <x:v>NYITOTT</x:v>
      </x:c>
      <x:c r="O36" s="8" t="n">
        <x:f>C36*D36/1000000</x:f>
        <x:v>0.249828</x:v>
      </x:c>
      <x:c r="P36" s="5" t="str">
        <x:v>NYITOTT</x:v>
      </x:c>
      <x:c r="Q36" s="5" t="str">
        <x:v>NEM</x:v>
      </x:c>
      <x:c r="R36" s="2" t="n">
        <x:f>COUNTIF(Furatok!B6:B298,A36)</x:f>
        <x:v>6</x:v>
      </x:c>
      <x:c r="S36" s="2" t="str">
        <x:v>R13:KI12-TV02T2-02</x:v>
      </x:c>
    </x:row>
    <x:row r="37" ht="32" customHeight="1">
      <x:c r="A37" s="2" t="str">
        <x:v>KI12-TV02T2-03</x:v>
      </x:c>
      <x:c r="B37" s="2" t="str">
        <x:v>690-es modul fenék / példány 3</x:v>
      </x:c>
      <x:c r="C37" s="6" t="n">
        <x:v>654</x:v>
      </x:c>
      <x:c r="D37" s="6" t="n">
        <x:v>382</x:v>
      </x:c>
      <x:c r="E37" s="6" t="n">
        <x:v>18</x:v>
      </x:c>
      <x:c r="F37" s="6" t="str">
        <x:v>M03</x:v>
      </x:c>
      <x:c r="G37" s="7" t="n">
        <x:v>1</x:v>
      </x:c>
      <x:c r="H37" s="7" t="n">
        <x:v>0</x:v>
      </x:c>
      <x:c r="I37" s="7" t="n">
        <x:v>0</x:v>
      </x:c>
      <x:c r="J37" s="7" t="n">
        <x:v>0</x:v>
      </x:c>
      <x:c r="K37" s="7"/>
      <x:c r="L37" s="7"/>
      <x:c r="M37" s="6" t="str">
        <x:f>IF(COUNT(H37,J37,K37)=3,C37-H37-J37+K37,"NYITOTT")</x:f>
        <x:v>NYITOTT</x:v>
      </x:c>
      <x:c r="N37" s="6" t="str">
        <x:f>IF(COUNT(G37,I37,L37)=3,D37-G37-I37+L37,"NYITOTT")</x:f>
        <x:v>NYITOTT</x:v>
      </x:c>
      <x:c r="O37" s="8" t="n">
        <x:f>C37*D37/1000000</x:f>
        <x:v>0.249828</x:v>
      </x:c>
      <x:c r="P37" s="5" t="str">
        <x:v>NYITOTT</x:v>
      </x:c>
      <x:c r="Q37" s="5" t="str">
        <x:v>NEM</x:v>
      </x:c>
      <x:c r="R37" s="2" t="n">
        <x:f>COUNTIF(Furatok!B6:B298,A37)</x:f>
        <x:v>6</x:v>
      </x:c>
      <x:c r="S37" s="2" t="str">
        <x:v>R13:KI12-TV02T2-03</x:v>
      </x:c>
    </x:row>
    <x:row r="38" ht="32" customHeight="1">
      <x:c r="A38" s="2" t="str">
        <x:v>KI12-TV02T2-04</x:v>
      </x:c>
      <x:c r="B38" s="2" t="str">
        <x:v>690-es modul fenék / példány 4</x:v>
      </x:c>
      <x:c r="C38" s="6" t="n">
        <x:v>654</x:v>
      </x:c>
      <x:c r="D38" s="6" t="n">
        <x:v>382</x:v>
      </x:c>
      <x:c r="E38" s="6" t="n">
        <x:v>18</x:v>
      </x:c>
      <x:c r="F38" s="6" t="str">
        <x:v>M03</x:v>
      </x:c>
      <x:c r="G38" s="7" t="n">
        <x:v>1</x:v>
      </x:c>
      <x:c r="H38" s="7" t="n">
        <x:v>0</x:v>
      </x:c>
      <x:c r="I38" s="7" t="n">
        <x:v>0</x:v>
      </x:c>
      <x:c r="J38" s="7" t="n">
        <x:v>0</x:v>
      </x:c>
      <x:c r="K38" s="7"/>
      <x:c r="L38" s="7"/>
      <x:c r="M38" s="6" t="str">
        <x:f>IF(COUNT(H38,J38,K38)=3,C38-H38-J38+K38,"NYITOTT")</x:f>
        <x:v>NYITOTT</x:v>
      </x:c>
      <x:c r="N38" s="6" t="str">
        <x:f>IF(COUNT(G38,I38,L38)=3,D38-G38-I38+L38,"NYITOTT")</x:f>
        <x:v>NYITOTT</x:v>
      </x:c>
      <x:c r="O38" s="8" t="n">
        <x:f>C38*D38/1000000</x:f>
        <x:v>0.249828</x:v>
      </x:c>
      <x:c r="P38" s="5" t="str">
        <x:v>NYITOTT</x:v>
      </x:c>
      <x:c r="Q38" s="5" t="str">
        <x:v>NEM</x:v>
      </x:c>
      <x:c r="R38" s="2" t="n">
        <x:f>COUNTIF(Furatok!B6:B298,A38)</x:f>
        <x:v>6</x:v>
      </x:c>
      <x:c r="S38" s="2" t="str">
        <x:v>R13:KI12-TV02T2-04</x:v>
      </x:c>
    </x:row>
    <x:row r="39" ht="32" customHeight="1">
      <x:c r="A39" s="2" t="str">
        <x:v>KI12-TV02P1-01</x:v>
      </x:c>
      <x:c r="B39" s="2" t="str">
        <x:v>720-as modul polc / példány 1</x:v>
      </x:c>
      <x:c r="C39" s="6" t="n">
        <x:v>682</x:v>
      </x:c>
      <x:c r="D39" s="6" t="n">
        <x:v>320</x:v>
      </x:c>
      <x:c r="E39" s="6" t="n">
        <x:v>18</x:v>
      </x:c>
      <x:c r="F39" s="6" t="str">
        <x:v>M03</x:v>
      </x:c>
      <x:c r="G39" s="7" t="n">
        <x:v>1</x:v>
      </x:c>
      <x:c r="H39" s="7" t="n">
        <x:v>0</x:v>
      </x:c>
      <x:c r="I39" s="7" t="n">
        <x:v>0</x:v>
      </x:c>
      <x:c r="J39" s="7" t="n">
        <x:v>0</x:v>
      </x:c>
      <x:c r="K39" s="7"/>
      <x:c r="L39" s="7"/>
      <x:c r="M39" s="6" t="str">
        <x:f>IF(COUNT(H39,J39,K39)=3,C39-H39-J39+K39,"NYITOTT")</x:f>
        <x:v>NYITOTT</x:v>
      </x:c>
      <x:c r="N39" s="6" t="str">
        <x:f>IF(COUNT(G39,I39,L39)=3,D39-G39-I39+L39,"NYITOTT")</x:f>
        <x:v>NYITOTT</x:v>
      </x:c>
      <x:c r="O39" s="8" t="n">
        <x:f>C39*D39/1000000</x:f>
        <x:v>0.21824</x:v>
      </x:c>
      <x:c r="P39" s="5" t="str">
        <x:v>NYITOTT</x:v>
      </x:c>
      <x:c r="Q39" s="5" t="str">
        <x:v>NEM</x:v>
      </x:c>
      <x:c r="R39" s="2" t="n">
        <x:f>COUNTIF(Furatok!B6:B298,A39)</x:f>
        <x:v>0</x:v>
      </x:c>
      <x:c r="S39" s="2" t="str">
        <x:v>R13:KI12-TV02P1-01</x:v>
      </x:c>
    </x:row>
    <x:row r="40" ht="32" customHeight="1">
      <x:c r="A40" s="2" t="str">
        <x:v>KI12-TV02P2-01</x:v>
      </x:c>
      <x:c r="B40" s="2" t="str">
        <x:v>690-es modul polc / példány 1</x:v>
      </x:c>
      <x:c r="C40" s="6" t="n">
        <x:v>652</x:v>
      </x:c>
      <x:c r="D40" s="6" t="n">
        <x:v>320</x:v>
      </x:c>
      <x:c r="E40" s="6" t="n">
        <x:v>18</x:v>
      </x:c>
      <x:c r="F40" s="6" t="str">
        <x:v>M03</x:v>
      </x:c>
      <x:c r="G40" s="7" t="n">
        <x:v>1</x:v>
      </x:c>
      <x:c r="H40" s="7" t="n">
        <x:v>0</x:v>
      </x:c>
      <x:c r="I40" s="7" t="n">
        <x:v>0</x:v>
      </x:c>
      <x:c r="J40" s="7" t="n">
        <x:v>0</x:v>
      </x:c>
      <x:c r="K40" s="7"/>
      <x:c r="L40" s="7"/>
      <x:c r="M40" s="6" t="str">
        <x:f>IF(COUNT(H40,J40,K40)=3,C40-H40-J40+K40,"NYITOTT")</x:f>
        <x:v>NYITOTT</x:v>
      </x:c>
      <x:c r="N40" s="6" t="str">
        <x:f>IF(COUNT(G40,I40,L40)=3,D40-G40-I40+L40,"NYITOTT")</x:f>
        <x:v>NYITOTT</x:v>
      </x:c>
      <x:c r="O40" s="8" t="n">
        <x:f>C40*D40/1000000</x:f>
        <x:v>0.20864</x:v>
      </x:c>
      <x:c r="P40" s="5" t="str">
        <x:v>NYITOTT</x:v>
      </x:c>
      <x:c r="Q40" s="5" t="str">
        <x:v>NEM</x:v>
      </x:c>
      <x:c r="R40" s="2" t="n">
        <x:f>COUNTIF(Furatok!B6:B298,A40)</x:f>
        <x:v>0</x:v>
      </x:c>
      <x:c r="S40" s="2" t="str">
        <x:v>R13:KI12-TV02P2-01</x:v>
      </x:c>
    </x:row>
    <x:row r="41" ht="32" customHeight="1">
      <x:c r="A41" s="2" t="str">
        <x:v>KI12-TV02P2-02</x:v>
      </x:c>
      <x:c r="B41" s="2" t="str">
        <x:v>690-es modul polc / példány 2</x:v>
      </x:c>
      <x:c r="C41" s="6" t="n">
        <x:v>652</x:v>
      </x:c>
      <x:c r="D41" s="6" t="n">
        <x:v>320</x:v>
      </x:c>
      <x:c r="E41" s="6" t="n">
        <x:v>18</x:v>
      </x:c>
      <x:c r="F41" s="6" t="str">
        <x:v>M03</x:v>
      </x:c>
      <x:c r="G41" s="7" t="n">
        <x:v>1</x:v>
      </x:c>
      <x:c r="H41" s="7" t="n">
        <x:v>0</x:v>
      </x:c>
      <x:c r="I41" s="7" t="n">
        <x:v>0</x:v>
      </x:c>
      <x:c r="J41" s="7" t="n">
        <x:v>0</x:v>
      </x:c>
      <x:c r="K41" s="7"/>
      <x:c r="L41" s="7"/>
      <x:c r="M41" s="6" t="str">
        <x:f>IF(COUNT(H41,J41,K41)=3,C41-H41-J41+K41,"NYITOTT")</x:f>
        <x:v>NYITOTT</x:v>
      </x:c>
      <x:c r="N41" s="6" t="str">
        <x:f>IF(COUNT(G41,I41,L41)=3,D41-G41-I41+L41,"NYITOTT")</x:f>
        <x:v>NYITOTT</x:v>
      </x:c>
      <x:c r="O41" s="8" t="n">
        <x:f>C41*D41/1000000</x:f>
        <x:v>0.20864</x:v>
      </x:c>
      <x:c r="P41" s="5" t="str">
        <x:v>NYITOTT</x:v>
      </x:c>
      <x:c r="Q41" s="5" t="str">
        <x:v>NEM</x:v>
      </x:c>
      <x:c r="R41" s="2" t="n">
        <x:f>COUNTIF(Furatok!B6:B298,A41)</x:f>
        <x:v>0</x:v>
      </x:c>
      <x:c r="S41" s="2" t="str">
        <x:v>R13:KI12-TV02P2-02</x:v>
      </x:c>
    </x:row>
    <x:row r="42" ht="32" customHeight="1">
      <x:c r="A42" s="2" t="str">
        <x:v>KI12-TV02P2-03</x:v>
      </x:c>
      <x:c r="B42" s="2" t="str">
        <x:v>690-es modul polc / példány 3</x:v>
      </x:c>
      <x:c r="C42" s="6" t="n">
        <x:v>652</x:v>
      </x:c>
      <x:c r="D42" s="6" t="n">
        <x:v>320</x:v>
      </x:c>
      <x:c r="E42" s="6" t="n">
        <x:v>18</x:v>
      </x:c>
      <x:c r="F42" s="6" t="str">
        <x:v>M03</x:v>
      </x:c>
      <x:c r="G42" s="7" t="n">
        <x:v>1</x:v>
      </x:c>
      <x:c r="H42" s="7" t="n">
        <x:v>0</x:v>
      </x:c>
      <x:c r="I42" s="7" t="n">
        <x:v>0</x:v>
      </x:c>
      <x:c r="J42" s="7" t="n">
        <x:v>0</x:v>
      </x:c>
      <x:c r="K42" s="7"/>
      <x:c r="L42" s="7"/>
      <x:c r="M42" s="6" t="str">
        <x:f>IF(COUNT(H42,J42,K42)=3,C42-H42-J42+K42,"NYITOTT")</x:f>
        <x:v>NYITOTT</x:v>
      </x:c>
      <x:c r="N42" s="6" t="str">
        <x:f>IF(COUNT(G42,I42,L42)=3,D42-G42-I42+L42,"NYITOTT")</x:f>
        <x:v>NYITOTT</x:v>
      </x:c>
      <x:c r="O42" s="8" t="n">
        <x:f>C42*D42/1000000</x:f>
        <x:v>0.20864</x:v>
      </x:c>
      <x:c r="P42" s="5" t="str">
        <x:v>NYITOTT</x:v>
      </x:c>
      <x:c r="Q42" s="5" t="str">
        <x:v>NEM</x:v>
      </x:c>
      <x:c r="R42" s="2" t="n">
        <x:f>COUNTIF(Furatok!B6:B298,A42)</x:f>
        <x:v>0</x:v>
      </x:c>
      <x:c r="S42" s="2" t="str">
        <x:v>R13:KI12-TV02P2-03</x:v>
      </x:c>
    </x:row>
    <x:row r="43" ht="32" customHeight="1">
      <x:c r="A43" s="2" t="str">
        <x:v>KI12-TV02F1-01</x:v>
      </x:c>
      <x:c r="B43" s="2" t="str">
        <x:v>Alsó front720 / példány 1</x:v>
      </x:c>
      <x:c r="C43" s="6" t="n">
        <x:v>717</x:v>
      </x:c>
      <x:c r="D43" s="6" t="n">
        <x:v>397</x:v>
      </x:c>
      <x:c r="E43" s="6" t="n">
        <x:v>18</x:v>
      </x:c>
      <x:c r="F43" s="6" t="str">
        <x:v>M01</x:v>
      </x:c>
      <x:c r="G43" s="7" t="n">
        <x:v>1</x:v>
      </x:c>
      <x:c r="H43" s="7" t="n">
        <x:v>1</x:v>
      </x:c>
      <x:c r="I43" s="7" t="n">
        <x:v>1</x:v>
      </x:c>
      <x:c r="J43" s="7" t="n">
        <x:v>1</x:v>
      </x:c>
      <x:c r="K43" s="7"/>
      <x:c r="L43" s="7"/>
      <x:c r="M43" s="6" t="str">
        <x:f>IF(COUNT(H43,J43,K43)=3,C43-H43-J43+K43,"NYITOTT")</x:f>
        <x:v>NYITOTT</x:v>
      </x:c>
      <x:c r="N43" s="6" t="str">
        <x:f>IF(COUNT(G43,I43,L43)=3,D43-G43-I43+L43,"NYITOTT")</x:f>
        <x:v>NYITOTT</x:v>
      </x:c>
      <x:c r="O43" s="8" t="n">
        <x:f>C43*D43/1000000</x:f>
        <x:v>0.284649</x:v>
      </x:c>
      <x:c r="P43" s="5" t="str">
        <x:v>NYITOTT</x:v>
      </x:c>
      <x:c r="Q43" s="5" t="str">
        <x:v>NEM</x:v>
      </x:c>
      <x:c r="R43" s="2" t="n">
        <x:f>COUNTIF(Furatok!B6:B298,A43)</x:f>
        <x:v>6</x:v>
      </x:c>
      <x:c r="S43" s="2" t="str">
        <x:v>R13:KI12-TV02F1-01</x:v>
      </x:c>
    </x:row>
    <x:row r="44" ht="32" customHeight="1">
      <x:c r="A44" s="2" t="str">
        <x:v>KI12-TV02F2-01</x:v>
      </x:c>
      <x:c r="B44" s="2" t="str">
        <x:v>Alsó front690 / példány 1</x:v>
      </x:c>
      <x:c r="C44" s="6" t="n">
        <x:v>687</x:v>
      </x:c>
      <x:c r="D44" s="6" t="n">
        <x:v>397</x:v>
      </x:c>
      <x:c r="E44" s="6" t="n">
        <x:v>18</x:v>
      </x:c>
      <x:c r="F44" s="6" t="str">
        <x:v>M01</x:v>
      </x:c>
      <x:c r="G44" s="7" t="n">
        <x:v>1</x:v>
      </x:c>
      <x:c r="H44" s="7" t="n">
        <x:v>1</x:v>
      </x:c>
      <x:c r="I44" s="7" t="n">
        <x:v>1</x:v>
      </x:c>
      <x:c r="J44" s="7" t="n">
        <x:v>1</x:v>
      </x:c>
      <x:c r="K44" s="7"/>
      <x:c r="L44" s="7"/>
      <x:c r="M44" s="6" t="str">
        <x:f>IF(COUNT(H44,J44,K44)=3,C44-H44-J44+K44,"NYITOTT")</x:f>
        <x:v>NYITOTT</x:v>
      </x:c>
      <x:c r="N44" s="6" t="str">
        <x:f>IF(COUNT(G44,I44,L44)=3,D44-G44-I44+L44,"NYITOTT")</x:f>
        <x:v>NYITOTT</x:v>
      </x:c>
      <x:c r="O44" s="8" t="n">
        <x:f>C44*D44/1000000</x:f>
        <x:v>0.272739</x:v>
      </x:c>
      <x:c r="P44" s="5" t="str">
        <x:v>NYITOTT</x:v>
      </x:c>
      <x:c r="Q44" s="5" t="str">
        <x:v>NEM</x:v>
      </x:c>
      <x:c r="R44" s="2" t="n">
        <x:f>COUNTIF(Furatok!B6:B298,A44)</x:f>
        <x:v>6</x:v>
      </x:c>
      <x:c r="S44" s="2" t="str">
        <x:v>R13:KI12-TV02F2-01</x:v>
      </x:c>
    </x:row>
    <x:row r="45" ht="32" customHeight="1">
      <x:c r="A45" s="2" t="str">
        <x:v>KI12-TV02F2-02</x:v>
      </x:c>
      <x:c r="B45" s="2" t="str">
        <x:v>Alsó front690 / példány 2</x:v>
      </x:c>
      <x:c r="C45" s="6" t="n">
        <x:v>687</x:v>
      </x:c>
      <x:c r="D45" s="6" t="n">
        <x:v>397</x:v>
      </x:c>
      <x:c r="E45" s="6" t="n">
        <x:v>18</x:v>
      </x:c>
      <x:c r="F45" s="6" t="str">
        <x:v>M01</x:v>
      </x:c>
      <x:c r="G45" s="7" t="n">
        <x:v>1</x:v>
      </x:c>
      <x:c r="H45" s="7" t="n">
        <x:v>1</x:v>
      </x:c>
      <x:c r="I45" s="7" t="n">
        <x:v>1</x:v>
      </x:c>
      <x:c r="J45" s="7" t="n">
        <x:v>1</x:v>
      </x:c>
      <x:c r="K45" s="7"/>
      <x:c r="L45" s="7"/>
      <x:c r="M45" s="6" t="str">
        <x:f>IF(COUNT(H45,J45,K45)=3,C45-H45-J45+K45,"NYITOTT")</x:f>
        <x:v>NYITOTT</x:v>
      </x:c>
      <x:c r="N45" s="6" t="str">
        <x:f>IF(COUNT(G45,I45,L45)=3,D45-G45-I45+L45,"NYITOTT")</x:f>
        <x:v>NYITOTT</x:v>
      </x:c>
      <x:c r="O45" s="8" t="n">
        <x:f>C45*D45/1000000</x:f>
        <x:v>0.272739</x:v>
      </x:c>
      <x:c r="P45" s="5" t="str">
        <x:v>NYITOTT</x:v>
      </x:c>
      <x:c r="Q45" s="5" t="str">
        <x:v>NEM</x:v>
      </x:c>
      <x:c r="R45" s="2" t="n">
        <x:f>COUNTIF(Furatok!B6:B298,A45)</x:f>
        <x:v>0</x:v>
      </x:c>
      <x:c r="S45" s="2" t="str">
        <x:v>R13:KI12-TV02F2-02</x:v>
      </x:c>
    </x:row>
    <x:row r="46" ht="32" customHeight="1">
      <x:c r="A46" s="2" t="str">
        <x:v>KI12-TV02F2-03</x:v>
      </x:c>
      <x:c r="B46" s="2" t="str">
        <x:v>Alsó front690 / példány 3</x:v>
      </x:c>
      <x:c r="C46" s="6" t="n">
        <x:v>687</x:v>
      </x:c>
      <x:c r="D46" s="6" t="n">
        <x:v>397</x:v>
      </x:c>
      <x:c r="E46" s="6" t="n">
        <x:v>18</x:v>
      </x:c>
      <x:c r="F46" s="6" t="str">
        <x:v>M01</x:v>
      </x:c>
      <x:c r="G46" s="7" t="n">
        <x:v>1</x:v>
      </x:c>
      <x:c r="H46" s="7" t="n">
        <x:v>1</x:v>
      </x:c>
      <x:c r="I46" s="7" t="n">
        <x:v>1</x:v>
      </x:c>
      <x:c r="J46" s="7" t="n">
        <x:v>1</x:v>
      </x:c>
      <x:c r="K46" s="7"/>
      <x:c r="L46" s="7"/>
      <x:c r="M46" s="6" t="str">
        <x:f>IF(COUNT(H46,J46,K46)=3,C46-H46-J46+K46,"NYITOTT")</x:f>
        <x:v>NYITOTT</x:v>
      </x:c>
      <x:c r="N46" s="6" t="str">
        <x:f>IF(COUNT(G46,I46,L46)=3,D46-G46-I46+L46,"NYITOTT")</x:f>
        <x:v>NYITOTT</x:v>
      </x:c>
      <x:c r="O46" s="8" t="n">
        <x:f>C46*D46/1000000</x:f>
        <x:v>0.272739</x:v>
      </x:c>
      <x:c r="P46" s="5" t="str">
        <x:v>NYITOTT</x:v>
      </x:c>
      <x:c r="Q46" s="5" t="str">
        <x:v>NEM</x:v>
      </x:c>
      <x:c r="R46" s="2" t="n">
        <x:f>COUNTIF(Furatok!B6:B298,A46)</x:f>
        <x:v>0</x:v>
      </x:c>
      <x:c r="S46" s="2" t="str">
        <x:v>R13:KI12-TV02F2-03</x:v>
      </x:c>
    </x:row>
    <x:row r="47" ht="32" customHeight="1">
      <x:c r="A47" s="2" t="str">
        <x:v>KI12-TV02F2-04</x:v>
      </x:c>
      <x:c r="B47" s="2" t="str">
        <x:v>Alsó front690 / példány 4</x:v>
      </x:c>
      <x:c r="C47" s="6" t="n">
        <x:v>687</x:v>
      </x:c>
      <x:c r="D47" s="6" t="n">
        <x:v>397</x:v>
      </x:c>
      <x:c r="E47" s="6" t="n">
        <x:v>18</x:v>
      </x:c>
      <x:c r="F47" s="6" t="str">
        <x:v>M01</x:v>
      </x:c>
      <x:c r="G47" s="7" t="n">
        <x:v>1</x:v>
      </x:c>
      <x:c r="H47" s="7" t="n">
        <x:v>1</x:v>
      </x:c>
      <x:c r="I47" s="7" t="n">
        <x:v>1</x:v>
      </x:c>
      <x:c r="J47" s="7" t="n">
        <x:v>1</x:v>
      </x:c>
      <x:c r="K47" s="7"/>
      <x:c r="L47" s="7"/>
      <x:c r="M47" s="6" t="str">
        <x:f>IF(COUNT(H47,J47,K47)=3,C47-H47-J47+K47,"NYITOTT")</x:f>
        <x:v>NYITOTT</x:v>
      </x:c>
      <x:c r="N47" s="6" t="str">
        <x:f>IF(COUNT(G47,I47,L47)=3,D47-G47-I47+L47,"NYITOTT")</x:f>
        <x:v>NYITOTT</x:v>
      </x:c>
      <x:c r="O47" s="8" t="n">
        <x:f>C47*D47/1000000</x:f>
        <x:v>0.272739</x:v>
      </x:c>
      <x:c r="P47" s="5" t="str">
        <x:v>NYITOTT</x:v>
      </x:c>
      <x:c r="Q47" s="5" t="str">
        <x:v>NEM</x:v>
      </x:c>
      <x:c r="R47" s="2" t="n">
        <x:f>COUNTIF(Furatok!B6:B298,A47)</x:f>
        <x:v>6</x:v>
      </x:c>
      <x:c r="S47" s="2" t="str">
        <x:v>R13:KI12-TV02F2-04</x:v>
      </x:c>
    </x:row>
    <x:row r="48" ht="32" customHeight="1">
      <x:c r="A48" s="2" t="str">
        <x:v>KI12-TV02H1-01</x:v>
      </x:c>
      <x:c r="B48" s="2" t="str">
        <x:v>Hátlap720 / példány 1</x:v>
      </x:c>
      <x:c r="C48" s="6" t="n">
        <x:v>684</x:v>
      </x:c>
      <x:c r="D48" s="6" t="n">
        <x:v>364</x:v>
      </x:c>
      <x:c r="E48" s="6" t="n">
        <x:v>8</x:v>
      </x:c>
      <x:c r="F48" s="6" t="str">
        <x:v>M03</x:v>
      </x:c>
      <x:c r="G48" s="7" t="n">
        <x:v>0</x:v>
      </x:c>
      <x:c r="H48" s="7" t="n">
        <x:v>0</x:v>
      </x:c>
      <x:c r="I48" s="7" t="n">
        <x:v>0</x:v>
      </x:c>
      <x:c r="J48" s="7" t="n">
        <x:v>0</x:v>
      </x:c>
      <x:c r="K48" s="7"/>
      <x:c r="L48" s="7"/>
      <x:c r="M48" s="6" t="str">
        <x:f>IF(COUNT(H48,J48,K48)=3,C48-H48-J48+K48,"NYITOTT")</x:f>
        <x:v>NYITOTT</x:v>
      </x:c>
      <x:c r="N48" s="6" t="str">
        <x:f>IF(COUNT(G48,I48,L48)=3,D48-G48-I48+L48,"NYITOTT")</x:f>
        <x:v>NYITOTT</x:v>
      </x:c>
      <x:c r="O48" s="8" t="n">
        <x:f>C48*D48/1000000</x:f>
        <x:v>0.248976</x:v>
      </x:c>
      <x:c r="P48" s="5" t="str">
        <x:v>NYITOTT</x:v>
      </x:c>
      <x:c r="Q48" s="5" t="str">
        <x:v>NEM</x:v>
      </x:c>
      <x:c r="R48" s="2" t="n">
        <x:f>COUNTIF(Furatok!B6:B298,A48)</x:f>
        <x:v>0</x:v>
      </x:c>
      <x:c r="S48" s="2" t="str">
        <x:v>R13:KI12-TV02H1-01</x:v>
      </x:c>
    </x:row>
    <x:row r="49" ht="32" customHeight="1">
      <x:c r="A49" s="2" t="str">
        <x:v>KI12-TV02H2-01</x:v>
      </x:c>
      <x:c r="B49" s="2" t="str">
        <x:v>Hátlap690 / példány 1</x:v>
      </x:c>
      <x:c r="C49" s="6" t="n">
        <x:v>654</x:v>
      </x:c>
      <x:c r="D49" s="6" t="n">
        <x:v>364</x:v>
      </x:c>
      <x:c r="E49" s="6" t="n">
        <x:v>8</x:v>
      </x:c>
      <x:c r="F49" s="6" t="str">
        <x:v>M03</x:v>
      </x:c>
      <x:c r="G49" s="7" t="n">
        <x:v>0</x:v>
      </x:c>
      <x:c r="H49" s="7" t="n">
        <x:v>0</x:v>
      </x:c>
      <x:c r="I49" s="7" t="n">
        <x:v>0</x:v>
      </x:c>
      <x:c r="J49" s="7" t="n">
        <x:v>0</x:v>
      </x:c>
      <x:c r="K49" s="7"/>
      <x:c r="L49" s="7"/>
      <x:c r="M49" s="6" t="str">
        <x:f>IF(COUNT(H49,J49,K49)=3,C49-H49-J49+K49,"NYITOTT")</x:f>
        <x:v>NYITOTT</x:v>
      </x:c>
      <x:c r="N49" s="6" t="str">
        <x:f>IF(COUNT(G49,I49,L49)=3,D49-G49-I49+L49,"NYITOTT")</x:f>
        <x:v>NYITOTT</x:v>
      </x:c>
      <x:c r="O49" s="8" t="n">
        <x:f>C49*D49/1000000</x:f>
        <x:v>0.238056</x:v>
      </x:c>
      <x:c r="P49" s="5" t="str">
        <x:v>NYITOTT</x:v>
      </x:c>
      <x:c r="Q49" s="5" t="str">
        <x:v>NEM</x:v>
      </x:c>
      <x:c r="R49" s="2" t="n">
        <x:f>COUNTIF(Furatok!B6:B298,A49)</x:f>
        <x:v>1</x:v>
      </x:c>
      <x:c r="S49" s="2" t="str">
        <x:v>R13:KI12-TV02H2-01</x:v>
      </x:c>
    </x:row>
    <x:row r="50" ht="32" customHeight="1">
      <x:c r="A50" s="2" t="str">
        <x:v>KI12-TV02H2-02</x:v>
      </x:c>
      <x:c r="B50" s="2" t="str">
        <x:v>Hátlap690 / példány 2</x:v>
      </x:c>
      <x:c r="C50" s="6" t="n">
        <x:v>654</x:v>
      </x:c>
      <x:c r="D50" s="6" t="n">
        <x:v>364</x:v>
      </x:c>
      <x:c r="E50" s="6" t="n">
        <x:v>8</x:v>
      </x:c>
      <x:c r="F50" s="6" t="str">
        <x:v>M03</x:v>
      </x:c>
      <x:c r="G50" s="7" t="n">
        <x:v>0</x:v>
      </x:c>
      <x:c r="H50" s="7" t="n">
        <x:v>0</x:v>
      </x:c>
      <x:c r="I50" s="7" t="n">
        <x:v>0</x:v>
      </x:c>
      <x:c r="J50" s="7" t="n">
        <x:v>0</x:v>
      </x:c>
      <x:c r="K50" s="7"/>
      <x:c r="L50" s="7"/>
      <x:c r="M50" s="6" t="str">
        <x:f>IF(COUNT(H50,J50,K50)=3,C50-H50-J50+K50,"NYITOTT")</x:f>
        <x:v>NYITOTT</x:v>
      </x:c>
      <x:c r="N50" s="6" t="str">
        <x:f>IF(COUNT(G50,I50,L50)=3,D50-G50-I50+L50,"NYITOTT")</x:f>
        <x:v>NYITOTT</x:v>
      </x:c>
      <x:c r="O50" s="8" t="n">
        <x:f>C50*D50/1000000</x:f>
        <x:v>0.238056</x:v>
      </x:c>
      <x:c r="P50" s="5" t="str">
        <x:v>NYITOTT</x:v>
      </x:c>
      <x:c r="Q50" s="5" t="str">
        <x:v>NEM</x:v>
      </x:c>
      <x:c r="R50" s="2" t="n">
        <x:f>COUNTIF(Furatok!B6:B298,A50)</x:f>
        <x:v>0</x:v>
      </x:c>
      <x:c r="S50" s="2" t="str">
        <x:v>R13:KI12-TV02H2-02</x:v>
      </x:c>
    </x:row>
    <x:row r="51" ht="32" customHeight="1">
      <x:c r="A51" s="2" t="str">
        <x:v>KI12-TV02H2-03</x:v>
      </x:c>
      <x:c r="B51" s="2" t="str">
        <x:v>Hátlap690 / példány 3</x:v>
      </x:c>
      <x:c r="C51" s="6" t="n">
        <x:v>654</x:v>
      </x:c>
      <x:c r="D51" s="6" t="n">
        <x:v>364</x:v>
      </x:c>
      <x:c r="E51" s="6" t="n">
        <x:v>8</x:v>
      </x:c>
      <x:c r="F51" s="6" t="str">
        <x:v>M03</x:v>
      </x:c>
      <x:c r="G51" s="7" t="n">
        <x:v>0</x:v>
      </x:c>
      <x:c r="H51" s="7" t="n">
        <x:v>0</x:v>
      </x:c>
      <x:c r="I51" s="7" t="n">
        <x:v>0</x:v>
      </x:c>
      <x:c r="J51" s="7" t="n">
        <x:v>0</x:v>
      </x:c>
      <x:c r="K51" s="7"/>
      <x:c r="L51" s="7"/>
      <x:c r="M51" s="6" t="str">
        <x:f>IF(COUNT(H51,J51,K51)=3,C51-H51-J51+K51,"NYITOTT")</x:f>
        <x:v>NYITOTT</x:v>
      </x:c>
      <x:c r="N51" s="6" t="str">
        <x:f>IF(COUNT(G51,I51,L51)=3,D51-G51-I51+L51,"NYITOTT")</x:f>
        <x:v>NYITOTT</x:v>
      </x:c>
      <x:c r="O51" s="8" t="n">
        <x:f>C51*D51/1000000</x:f>
        <x:v>0.238056</x:v>
      </x:c>
      <x:c r="P51" s="5" t="str">
        <x:v>NYITOTT</x:v>
      </x:c>
      <x:c r="Q51" s="5" t="str">
        <x:v>NEM</x:v>
      </x:c>
      <x:c r="R51" s="2" t="n">
        <x:f>COUNTIF(Furatok!B6:B298,A51)</x:f>
        <x:v>0</x:v>
      </x:c>
      <x:c r="S51" s="2" t="str">
        <x:v>R13:KI12-TV02H2-03</x:v>
      </x:c>
    </x:row>
    <x:row r="52" ht="32" customHeight="1">
      <x:c r="A52" s="2" t="str">
        <x:v>KI12-TV02H2-04</x:v>
      </x:c>
      <x:c r="B52" s="2" t="str">
        <x:v>Hátlap690 / példány 4</x:v>
      </x:c>
      <x:c r="C52" s="6" t="n">
        <x:v>654</x:v>
      </x:c>
      <x:c r="D52" s="6" t="n">
        <x:v>364</x:v>
      </x:c>
      <x:c r="E52" s="6" t="n">
        <x:v>8</x:v>
      </x:c>
      <x:c r="F52" s="6" t="str">
        <x:v>M03</x:v>
      </x:c>
      <x:c r="G52" s="7" t="n">
        <x:v>0</x:v>
      </x:c>
      <x:c r="H52" s="7" t="n">
        <x:v>0</x:v>
      </x:c>
      <x:c r="I52" s="7" t="n">
        <x:v>0</x:v>
      </x:c>
      <x:c r="J52" s="7" t="n">
        <x:v>0</x:v>
      </x:c>
      <x:c r="K52" s="7"/>
      <x:c r="L52" s="7"/>
      <x:c r="M52" s="6" t="str">
        <x:f>IF(COUNT(H52,J52,K52)=3,C52-H52-J52+K52,"NYITOTT")</x:f>
        <x:v>NYITOTT</x:v>
      </x:c>
      <x:c r="N52" s="6" t="str">
        <x:f>IF(COUNT(G52,I52,L52)=3,D52-G52-I52+L52,"NYITOTT")</x:f>
        <x:v>NYITOTT</x:v>
      </x:c>
      <x:c r="O52" s="8" t="n">
        <x:f>C52*D52/1000000</x:f>
        <x:v>0.238056</x:v>
      </x:c>
      <x:c r="P52" s="5" t="str">
        <x:v>NYITOTT</x:v>
      </x:c>
      <x:c r="Q52" s="5" t="str">
        <x:v>NEM</x:v>
      </x:c>
      <x:c r="R52" s="2" t="n">
        <x:f>COUNTIF(Furatok!B6:B298,A52)</x:f>
        <x:v>0</x:v>
      </x:c>
      <x:c r="S52" s="2" t="str">
        <x:v>R13:KI12-TV02H2-04</x:v>
      </x:c>
    </x:row>
    <x:row r="53" ht="32" customHeight="1">
      <x:c r="A53" s="2" t="str">
        <x:v>KI12-TV02CAP-01</x:v>
      </x:c>
      <x:c r="B53" s="2" t="str">
        <x:v>Összefüggő felső fedő / példány 1</x:v>
      </x:c>
      <x:c r="C53" s="6" t="n">
        <x:v>3600</x:v>
      </x:c>
      <x:c r="D53" s="6" t="n">
        <x:v>382</x:v>
      </x:c>
      <x:c r="E53" s="6" t="n">
        <x:v>18</x:v>
      </x:c>
      <x:c r="F53" s="6" t="str">
        <x:v>M01</x:v>
      </x:c>
      <x:c r="G53" s="7" t="n">
        <x:v>1</x:v>
      </x:c>
      <x:c r="H53" s="7" t="n">
        <x:v>1</x:v>
      </x:c>
      <x:c r="I53" s="7" t="n">
        <x:v>0</x:v>
      </x:c>
      <x:c r="J53" s="7" t="n">
        <x:v>1</x:v>
      </x:c>
      <x:c r="K53" s="7"/>
      <x:c r="L53" s="7"/>
      <x:c r="M53" s="6" t="str">
        <x:f>IF(COUNT(H53,J53,K53)=3,C53-H53-J53+K53,"NYITOTT")</x:f>
        <x:v>NYITOTT</x:v>
      </x:c>
      <x:c r="N53" s="6" t="str">
        <x:f>IF(COUNT(G53,I53,L53)=3,D53-G53-I53+L53,"NYITOTT")</x:f>
        <x:v>NYITOTT</x:v>
      </x:c>
      <x:c r="O53" s="8" t="n">
        <x:f>C53*D53/1000000</x:f>
        <x:v>1.3752</x:v>
      </x:c>
      <x:c r="P53" s="5" t="str">
        <x:v>NYITOTT</x:v>
      </x:c>
      <x:c r="Q53" s="5" t="str">
        <x:v>NEM</x:v>
      </x:c>
      <x:c r="R53" s="2" t="n">
        <x:f>COUNTIF(Furatok!B6:B298,A53)</x:f>
        <x:v>30</x:v>
      </x:c>
      <x:c r="S53" s="2" t="str">
        <x:v>R13:KI12-TV02CAP-01</x:v>
      </x:c>
    </x:row>
    <x:row r="54" ht="32" customHeight="1">
      <x:c r="A54" s="2" t="str">
        <x:v>KI12-TV03P-01</x:v>
      </x:c>
      <x:c r="B54" s="2" t="str">
        <x:v>Dekor hordozópanel / példány 1</x:v>
      </x:c>
      <x:c r="C54" s="6" t="n">
        <x:v>2330</x:v>
      </x:c>
      <x:c r="D54" s="6" t="n">
        <x:v>687</x:v>
      </x:c>
      <x:c r="E54" s="6" t="n">
        <x:v>18</x:v>
      </x:c>
      <x:c r="F54" s="6" t="str">
        <x:v>M02</x:v>
      </x:c>
      <x:c r="G54" s="7"/>
      <x:c r="H54" s="7"/>
      <x:c r="I54" s="7"/>
      <x:c r="J54" s="7"/>
      <x:c r="K54" s="7"/>
      <x:c r="L54" s="7"/>
      <x:c r="M54" s="6" t="str">
        <x:f>IF(COUNT(H54,J54,K54)=3,C54-H54-J54+K54,"NYITOTT")</x:f>
        <x:v>NYITOTT</x:v>
      </x:c>
      <x:c r="N54" s="6" t="str">
        <x:f>IF(COUNT(G54,I54,L54)=3,D54-G54-I54+L54,"NYITOTT")</x:f>
        <x:v>NYITOTT</x:v>
      </x:c>
      <x:c r="O54" s="8" t="n">
        <x:f>C54*D54/1000000</x:f>
        <x:v>1.60071</x:v>
      </x:c>
      <x:c r="P54" s="5" t="str">
        <x:v>NYITOTT</x:v>
      </x:c>
      <x:c r="Q54" s="5" t="str">
        <x:v>NEM</x:v>
      </x:c>
      <x:c r="R54" s="2" t="n">
        <x:f>COUNTIF(Furatok!B6:B298,A54)</x:f>
        <x:v>0</x:v>
      </x:c>
      <x:c r="S54" s="2" t="str">
        <x:v>R13:KI12-TV03P-01</x:v>
      </x:c>
    </x:row>
    <x:row r="55" ht="32" customHeight="1">
      <x:c r="A55" s="2" t="str">
        <x:v>KI12-TV03P-02</x:v>
      </x:c>
      <x:c r="B55" s="2" t="str">
        <x:v>Dekor hordozópanel / példány 2</x:v>
      </x:c>
      <x:c r="C55" s="6" t="n">
        <x:v>2330</x:v>
      </x:c>
      <x:c r="D55" s="6" t="n">
        <x:v>687</x:v>
      </x:c>
      <x:c r="E55" s="6" t="n">
        <x:v>18</x:v>
      </x:c>
      <x:c r="F55" s="6" t="str">
        <x:v>M02</x:v>
      </x:c>
      <x:c r="G55" s="7"/>
      <x:c r="H55" s="7"/>
      <x:c r="I55" s="7"/>
      <x:c r="J55" s="7"/>
      <x:c r="K55" s="7"/>
      <x:c r="L55" s="7"/>
      <x:c r="M55" s="6" t="str">
        <x:f>IF(COUNT(H55,J55,K55)=3,C55-H55-J55+K55,"NYITOTT")</x:f>
        <x:v>NYITOTT</x:v>
      </x:c>
      <x:c r="N55" s="6" t="str">
        <x:f>IF(COUNT(G55,I55,L55)=3,D55-G55-I55+L55,"NYITOTT")</x:f>
        <x:v>NYITOTT</x:v>
      </x:c>
      <x:c r="O55" s="8" t="n">
        <x:f>C55*D55/1000000</x:f>
        <x:v>1.60071</x:v>
      </x:c>
      <x:c r="P55" s="5" t="str">
        <x:v>NYITOTT</x:v>
      </x:c>
      <x:c r="Q55" s="5" t="str">
        <x:v>NEM</x:v>
      </x:c>
      <x:c r="R55" s="2" t="n">
        <x:f>COUNTIF(Furatok!B6:B298,A55)</x:f>
        <x:v>0</x:v>
      </x:c>
      <x:c r="S55" s="2" t="str">
        <x:v>R13:KI12-TV03P-02</x:v>
      </x:c>
    </x:row>
    <x:row r="56" ht="32" customHeight="1">
      <x:c r="A56" s="2" t="str">
        <x:v>KI12-TV03P-03</x:v>
      </x:c>
      <x:c r="B56" s="2" t="str">
        <x:v>Dekor hordozópanel / példány 3</x:v>
      </x:c>
      <x:c r="C56" s="6" t="n">
        <x:v>2330</x:v>
      </x:c>
      <x:c r="D56" s="6" t="n">
        <x:v>687</x:v>
      </x:c>
      <x:c r="E56" s="6" t="n">
        <x:v>18</x:v>
      </x:c>
      <x:c r="F56" s="6" t="str">
        <x:v>M02</x:v>
      </x:c>
      <x:c r="G56" s="7"/>
      <x:c r="H56" s="7"/>
      <x:c r="I56" s="7"/>
      <x:c r="J56" s="7"/>
      <x:c r="K56" s="7"/>
      <x:c r="L56" s="7"/>
      <x:c r="M56" s="6" t="str">
        <x:f>IF(COUNT(H56,J56,K56)=3,C56-H56-J56+K56,"NYITOTT")</x:f>
        <x:v>NYITOTT</x:v>
      </x:c>
      <x:c r="N56" s="6" t="str">
        <x:f>IF(COUNT(G56,I56,L56)=3,D56-G56-I56+L56,"NYITOTT")</x:f>
        <x:v>NYITOTT</x:v>
      </x:c>
      <x:c r="O56" s="8" t="n">
        <x:f>C56*D56/1000000</x:f>
        <x:v>1.60071</x:v>
      </x:c>
      <x:c r="P56" s="5" t="str">
        <x:v>NYITOTT</x:v>
      </x:c>
      <x:c r="Q56" s="5" t="str">
        <x:v>NEM</x:v>
      </x:c>
      <x:c r="R56" s="2" t="n">
        <x:f>COUNTIF(Furatok!B6:B298,A56)</x:f>
        <x:v>0</x:v>
      </x:c>
      <x:c r="S56" s="2" t="str">
        <x:v>R13:KI12-TV03P-03</x:v>
      </x:c>
    </x:row>
    <x:row r="57" ht="32" customHeight="1">
      <x:c r="A57" s="2" t="str">
        <x:v>KI12-TV03P-04</x:v>
      </x:c>
      <x:c r="B57" s="2" t="str">
        <x:v>Dekor hordozópanel / példány 4</x:v>
      </x:c>
      <x:c r="C57" s="6" t="n">
        <x:v>2330</x:v>
      </x:c>
      <x:c r="D57" s="6" t="n">
        <x:v>687</x:v>
      </x:c>
      <x:c r="E57" s="6" t="n">
        <x:v>18</x:v>
      </x:c>
      <x:c r="F57" s="6" t="str">
        <x:v>M02</x:v>
      </x:c>
      <x:c r="G57" s="7"/>
      <x:c r="H57" s="7"/>
      <x:c r="I57" s="7"/>
      <x:c r="J57" s="7"/>
      <x:c r="K57" s="7"/>
      <x:c r="L57" s="7"/>
      <x:c r="M57" s="6" t="str">
        <x:f>IF(COUNT(H57,J57,K57)=3,C57-H57-J57+K57,"NYITOTT")</x:f>
        <x:v>NYITOTT</x:v>
      </x:c>
      <x:c r="N57" s="6" t="str">
        <x:f>IF(COUNT(G57,I57,L57)=3,D57-G57-I57+L57,"NYITOTT")</x:f>
        <x:v>NYITOTT</x:v>
      </x:c>
      <x:c r="O57" s="8" t="n">
        <x:f>C57*D57/1000000</x:f>
        <x:v>1.60071</x:v>
      </x:c>
      <x:c r="P57" s="5" t="str">
        <x:v>NYITOTT</x:v>
      </x:c>
      <x:c r="Q57" s="5" t="str">
        <x:v>NEM</x:v>
      </x:c>
      <x:c r="R57" s="2" t="n">
        <x:f>COUNTIF(Furatok!B6:B298,A57)</x:f>
        <x:v>0</x:v>
      </x:c>
      <x:c r="S57" s="2" t="str">
        <x:v>R13:KI12-TV03P-04</x:v>
      </x:c>
    </x:row>
    <x:row r="58" ht="32" customHeight="1">
      <x:c r="A58" s="2" t="str">
        <x:v>KI12-GAP-01</x:v>
      </x:c>
      <x:c r="B58" s="2" t="str">
        <x:v>Köztes sáv hátbetét / példány 1</x:v>
      </x:c>
      <x:c r="C58" s="6" t="n">
        <x:v>2330</x:v>
      </x:c>
      <x:c r="D58" s="6" t="n">
        <x:v>120</x:v>
      </x:c>
      <x:c r="E58" s="6" t="n">
        <x:v>18</x:v>
      </x:c>
      <x:c r="F58" s="6" t="str">
        <x:v>M01</x:v>
      </x:c>
      <x:c r="G58" s="7" t="n">
        <x:v>1</x:v>
      </x:c>
      <x:c r="H58" s="7" t="n">
        <x:v>1</x:v>
      </x:c>
      <x:c r="I58" s="7" t="n">
        <x:v>1</x:v>
      </x:c>
      <x:c r="J58" s="7" t="n">
        <x:v>1</x:v>
      </x:c>
      <x:c r="K58" s="7"/>
      <x:c r="L58" s="7"/>
      <x:c r="M58" s="6" t="str">
        <x:f>IF(COUNT(H58,J58,K58)=3,C58-H58-J58+K58,"NYITOTT")</x:f>
        <x:v>NYITOTT</x:v>
      </x:c>
      <x:c r="N58" s="6" t="str">
        <x:f>IF(COUNT(G58,I58,L58)=3,D58-G58-I58+L58,"NYITOTT")</x:f>
        <x:v>NYITOTT</x:v>
      </x:c>
      <x:c r="O58" s="8" t="n">
        <x:f>C58*D58/1000000</x:f>
        <x:v>0.2796</x:v>
      </x:c>
      <x:c r="P58" s="5" t="str">
        <x:v>NYITOTT</x:v>
      </x:c>
      <x:c r="Q58" s="5" t="str">
        <x:v>NEM</x:v>
      </x:c>
      <x:c r="R58" s="2" t="n">
        <x:f>COUNTIF(Furatok!B6:B298,A58)</x:f>
        <x:v>0</x:v>
      </x:c>
      <x:c r="S58" s="2" t="str">
        <x:v>R13:KI12-GAP-01</x:v>
      </x:c>
    </x:row>
    <x:row r="59" ht="32" customHeight="1">
      <x:c r="A59" s="2" t="str">
        <x:v>KI13-GAP-LOW-01</x:v>
      </x:c>
      <x:c r="B59" s="2" t="str">
        <x:v>Alsó visszahúzott grafit betét</x:v>
      </x:c>
      <x:c r="C59" s="6" t="n">
        <x:v>380</x:v>
      </x:c>
      <x:c r="D59" s="6" t="n">
        <x:v>117</x:v>
      </x:c>
      <x:c r="E59" s="6" t="n">
        <x:v>18</x:v>
      </x:c>
      <x:c r="F59" s="6" t="str">
        <x:v>M01</x:v>
      </x:c>
      <x:c r="G59" s="7" t="n">
        <x:v>1</x:v>
      </x:c>
      <x:c r="H59" s="7" t="n">
        <x:v>1</x:v>
      </x:c>
      <x:c r="I59" s="7" t="n">
        <x:v>1</x:v>
      </x:c>
      <x:c r="J59" s="7" t="n">
        <x:v>1</x:v>
      </x:c>
      <x:c r="K59" s="7"/>
      <x:c r="L59" s="7"/>
      <x:c r="M59" s="6" t="str">
        <x:f>IF(COUNT(H59,J59,K59)=3,C59-H59-J59+K59,"NYITOTT")</x:f>
        <x:v>NYITOTT</x:v>
      </x:c>
      <x:c r="N59" s="6" t="str">
        <x:f>IF(COUNT(G59,I59,L59)=3,D59-G59-I59+L59,"NYITOTT")</x:f>
        <x:v>NYITOTT</x:v>
      </x:c>
      <x:c r="O59" s="8" t="n">
        <x:f>C59*D59/1000000</x:f>
        <x:v>0.04446</x:v>
      </x:c>
      <x:c r="P59" s="5" t="str">
        <x:v>NYITOTT</x:v>
      </x:c>
      <x:c r="Q59" s="5" t="str">
        <x:v>NEM</x:v>
      </x:c>
      <x:c r="R59" s="2" t="n">
        <x:f>COUNTIF(Furatok!B6:B298,A59)</x:f>
        <x:v>0</x:v>
      </x:c>
      <x:c r="S59" s="2" t="str">
        <x:v>R13:KI13-GAP-LOW-01</x:v>
      </x:c>
    </x:row>
  </x:sheetData>
  <x:pageMargins left="0.7" right="0.7" top="0.75" bottom="0.75" header="0.3" footer="0.3"/>
  <x:tableParts count="1">
    <x:tablePart xmlns:r="http://schemas.openxmlformats.org/officeDocument/2006/relationships" r:id="R1a553d11eb6a4fa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70" hidden="0" customWidth="1"/>
    <x:col min="19" max="19" width="18" hidden="0" customWidth="1"/>
  </x:cols>
  <x:sheetData>
    <x:row r="1">
      <x:c r="A1" t="str">
        <x:v>293 megtervezett furat / rajzi és összeállítási koordináták</x:v>
      </x:c>
    </x:row>
    <x:row r="2">
      <x:c r="A2" t="str">
        <x:v>Az U/V/W alkatrészrendszer nem bizonyított gépi ütköző. A furatok szerepelnek a natív CAD-testekben.</x:v>
      </x:c>
    </x:row>
    <x:row r="5" ht="35" customHeight="1">
      <x:c r="A5" s="4" t="str">
        <x:v>Furat ID</x:v>
      </x:c>
      <x:c r="B5" s="4" t="str">
        <x:v>Darab</x:v>
      </x:c>
      <x:c r="C5" s="4" t="str">
        <x:v>Funkció</x:v>
      </x:c>
      <x:c r="D5" s="4" t="str">
        <x:v>U</x:v>
      </x:c>
      <x:c r="E5" s="4" t="str">
        <x:v>V</x:v>
      </x:c>
      <x:c r="F5" s="4" t="str">
        <x:v>W</x:v>
      </x:c>
      <x:c r="G5" s="4" t="str">
        <x:v>Irány U</x:v>
      </x:c>
      <x:c r="H5" s="4" t="str">
        <x:v>Irány V</x:v>
      </x:c>
      <x:c r="I5" s="4" t="str">
        <x:v>Irány W</x:v>
      </x:c>
      <x:c r="J5" s="4" t="str">
        <x:v>Ø mm</x:v>
      </x:c>
      <x:c r="K5" s="4" t="str">
        <x:v>Mélység</x:v>
      </x:c>
      <x:c r="L5" s="4" t="str">
        <x:v>X összeáll.</x:v>
      </x:c>
      <x:c r="M5" s="4" t="str">
        <x:v>Y összeáll.</x:v>
      </x:c>
      <x:c r="N5" s="4" t="str">
        <x:v>Z összeáll.</x:v>
      </x:c>
      <x:c r="O5" s="4" t="str">
        <x:v>Irány X</x:v>
      </x:c>
      <x:c r="P5" s="4" t="str">
        <x:v>Irány Y</x:v>
      </x:c>
      <x:c r="Q5" s="4" t="str">
        <x:v>Irány Z</x:v>
      </x:c>
      <x:c r="R5" s="4" t="str">
        <x:v>Forrás / tervezői feltétel</x:v>
      </x:c>
      <x:c r="S5" s="4" t="str">
        <x:v>Státusz</x:v>
      </x:c>
    </x:row>
    <x:row r="6" ht="32" customHeight="1">
      <x:c r="A6" s="2" t="str">
        <x:v>H0001</x:v>
      </x:c>
      <x:c r="B6" s="2" t="str">
        <x:v>KI12-TV01S-01</x:v>
      </x:c>
      <x:c r="C6" s="2" t="str">
        <x:v>CSAP J01</x:v>
      </x:c>
      <x:c r="D6" s="6" t="n">
        <x:v>9</x:v>
      </x:c>
      <x:c r="E6" s="6" t="n">
        <x:v>50</x:v>
      </x:c>
      <x:c r="F6" s="6" t="n">
        <x:v>-18</x:v>
      </x:c>
      <x:c r="G6" s="6" t="n">
        <x:v>0</x:v>
      </x:c>
      <x:c r="H6" s="6" t="n">
        <x:v>0</x:v>
      </x:c>
      <x:c r="I6" s="6" t="n">
        <x:v>1</x:v>
      </x:c>
      <x:c r="J6" s="6" t="n">
        <x:v>8</x:v>
      </x:c>
      <x:c r="K6" s="6" t="n">
        <x:v>12</x:v>
      </x:c>
      <x:c r="L6" s="6" t="n">
        <x:v>18</x:v>
      </x:c>
      <x:c r="M6" s="6" t="n">
        <x:v>50</x:v>
      </x:c>
      <x:c r="N6" s="6" t="n">
        <x:v>559</x:v>
      </x:c>
      <x:c r="O6" s="6" t="n">
        <x:v>-1</x:v>
      </x:c>
      <x:c r="P6" s="6" t="n">
        <x:v>0</x:v>
      </x:c>
      <x:c r="Q6" s="6" t="n">
        <x:v>0</x:v>
      </x:c>
      <x:c r="R6" s="2" t="str">
        <x:v>R12 J01-J26 / 8x30, 12+22</x:v>
      </x:c>
      <x:c r="S6" s="2" t="str">
        <x:v>TERV</x:v>
      </x:c>
    </x:row>
    <x:row r="7" ht="32" customHeight="1">
      <x:c r="A7" s="2" t="str">
        <x:v>H0002</x:v>
      </x:c>
      <x:c r="B7" s="2" t="str">
        <x:v>KI12-TV01T-01</x:v>
      </x:c>
      <x:c r="C7" s="2" t="str">
        <x:v>CSAP J01</x:v>
      </x:c>
      <x:c r="D7" s="6" t="n">
        <x:v>0</x:v>
      </x:c>
      <x:c r="E7" s="6" t="n">
        <x:v>50</x:v>
      </x:c>
      <x:c r="F7" s="6" t="n">
        <x:v>-9</x:v>
      </x:c>
      <x:c r="G7" s="6" t="n">
        <x:v>1</x:v>
      </x:c>
      <x:c r="H7" s="6" t="n">
        <x:v>0</x:v>
      </x:c>
      <x:c r="I7" s="6" t="n">
        <x:v>0</x:v>
      </x:c>
      <x:c r="J7" s="6" t="n">
        <x:v>8</x:v>
      </x:c>
      <x:c r="K7" s="6" t="n">
        <x:v>22</x:v>
      </x:c>
      <x:c r="L7" s="6" t="n">
        <x:v>18</x:v>
      </x:c>
      <x:c r="M7" s="6" t="n">
        <x:v>50</x:v>
      </x:c>
      <x:c r="N7" s="6" t="n">
        <x:v>559</x:v>
      </x:c>
      <x:c r="O7" s="6" t="n">
        <x:v>1</x:v>
      </x:c>
      <x:c r="P7" s="6" t="n">
        <x:v>0</x:v>
      </x:c>
      <x:c r="Q7" s="6" t="n">
        <x:v>0</x:v>
      </x:c>
      <x:c r="R7" s="2" t="str">
        <x:v>R12 J01-J26 / 8x30, 12+22</x:v>
      </x:c>
      <x:c r="S7" s="2" t="str">
        <x:v>TERV</x:v>
      </x:c>
    </x:row>
    <x:row r="8" ht="32" customHeight="1">
      <x:c r="A8" s="2" t="str">
        <x:v>H0003</x:v>
      </x:c>
      <x:c r="B8" s="2" t="str">
        <x:v>KI12-TV01S-01</x:v>
      </x:c>
      <x:c r="C8" s="2" t="str">
        <x:v>CSAP J01</x:v>
      </x:c>
      <x:c r="D8" s="6" t="n">
        <x:v>9</x:v>
      </x:c>
      <x:c r="E8" s="6" t="n">
        <x:v>191</x:v>
      </x:c>
      <x:c r="F8" s="6" t="n">
        <x:v>-18</x:v>
      </x:c>
      <x:c r="G8" s="6" t="n">
        <x:v>0</x:v>
      </x:c>
      <x:c r="H8" s="6" t="n">
        <x:v>0</x:v>
      </x:c>
      <x:c r="I8" s="6" t="n">
        <x:v>1</x:v>
      </x:c>
      <x:c r="J8" s="6" t="n">
        <x:v>8</x:v>
      </x:c>
      <x:c r="K8" s="6" t="n">
        <x:v>12</x:v>
      </x:c>
      <x:c r="L8" s="6" t="n">
        <x:v>18</x:v>
      </x:c>
      <x:c r="M8" s="6" t="n">
        <x:v>191</x:v>
      </x:c>
      <x:c r="N8" s="6" t="n">
        <x:v>559</x:v>
      </x:c>
      <x:c r="O8" s="6" t="n">
        <x:v>-1</x:v>
      </x:c>
      <x:c r="P8" s="6" t="n">
        <x:v>0</x:v>
      </x:c>
      <x:c r="Q8" s="6" t="n">
        <x:v>0</x:v>
      </x:c>
      <x:c r="R8" s="2" t="str">
        <x:v>R12 J01-J26 / 8x30, 12+22</x:v>
      </x:c>
      <x:c r="S8" s="2" t="str">
        <x:v>TERV</x:v>
      </x:c>
    </x:row>
    <x:row r="9" ht="32" customHeight="1">
      <x:c r="A9" s="2" t="str">
        <x:v>H0004</x:v>
      </x:c>
      <x:c r="B9" s="2" t="str">
        <x:v>KI12-TV01T-01</x:v>
      </x:c>
      <x:c r="C9" s="2" t="str">
        <x:v>CSAP J01</x:v>
      </x:c>
      <x:c r="D9" s="6" t="n">
        <x:v>0</x:v>
      </x:c>
      <x:c r="E9" s="6" t="n">
        <x:v>191</x:v>
      </x:c>
      <x:c r="F9" s="6" t="n">
        <x:v>-9</x:v>
      </x:c>
      <x:c r="G9" s="6" t="n">
        <x:v>1</x:v>
      </x:c>
      <x:c r="H9" s="6" t="n">
        <x:v>0</x:v>
      </x:c>
      <x:c r="I9" s="6" t="n">
        <x:v>0</x:v>
      </x:c>
      <x:c r="J9" s="6" t="n">
        <x:v>8</x:v>
      </x:c>
      <x:c r="K9" s="6" t="n">
        <x:v>22</x:v>
      </x:c>
      <x:c r="L9" s="6" t="n">
        <x:v>18</x:v>
      </x:c>
      <x:c r="M9" s="6" t="n">
        <x:v>191</x:v>
      </x:c>
      <x:c r="N9" s="6" t="n">
        <x:v>559</x:v>
      </x:c>
      <x:c r="O9" s="6" t="n">
        <x:v>1</x:v>
      </x:c>
      <x:c r="P9" s="6" t="n">
        <x:v>0</x:v>
      </x:c>
      <x:c r="Q9" s="6" t="n">
        <x:v>0</x:v>
      </x:c>
      <x:c r="R9" s="2" t="str">
        <x:v>R12 J01-J26 / 8x30, 12+22</x:v>
      </x:c>
      <x:c r="S9" s="2" t="str">
        <x:v>TERV</x:v>
      </x:c>
    </x:row>
    <x:row r="10" ht="32" customHeight="1">
      <x:c r="A10" s="2" t="str">
        <x:v>H0005</x:v>
      </x:c>
      <x:c r="B10" s="2" t="str">
        <x:v>KI12-TV01S-01</x:v>
      </x:c>
      <x:c r="C10" s="2" t="str">
        <x:v>CSAP J01</x:v>
      </x:c>
      <x:c r="D10" s="6" t="n">
        <x:v>9</x:v>
      </x:c>
      <x:c r="E10" s="6" t="n">
        <x:v>332</x:v>
      </x:c>
      <x:c r="F10" s="6" t="n">
        <x:v>-18</x:v>
      </x:c>
      <x:c r="G10" s="6" t="n">
        <x:v>0</x:v>
      </x:c>
      <x:c r="H10" s="6" t="n">
        <x:v>0</x:v>
      </x:c>
      <x:c r="I10" s="6" t="n">
        <x:v>1</x:v>
      </x:c>
      <x:c r="J10" s="6" t="n">
        <x:v>8</x:v>
      </x:c>
      <x:c r="K10" s="6" t="n">
        <x:v>12</x:v>
      </x:c>
      <x:c r="L10" s="6" t="n">
        <x:v>18</x:v>
      </x:c>
      <x:c r="M10" s="6" t="n">
        <x:v>332</x:v>
      </x:c>
      <x:c r="N10" s="6" t="n">
        <x:v>559</x:v>
      </x:c>
      <x:c r="O10" s="6" t="n">
        <x:v>-1</x:v>
      </x:c>
      <x:c r="P10" s="6" t="n">
        <x:v>0</x:v>
      </x:c>
      <x:c r="Q10" s="6" t="n">
        <x:v>0</x:v>
      </x:c>
      <x:c r="R10" s="2" t="str">
        <x:v>R12 J01-J26 / 8x30, 12+22</x:v>
      </x:c>
      <x:c r="S10" s="2" t="str">
        <x:v>TERV</x:v>
      </x:c>
    </x:row>
    <x:row r="11" ht="32" customHeight="1">
      <x:c r="A11" s="2" t="str">
        <x:v>H0006</x:v>
      </x:c>
      <x:c r="B11" s="2" t="str">
        <x:v>KI12-TV01T-01</x:v>
      </x:c>
      <x:c r="C11" s="2" t="str">
        <x:v>CSAP J01</x:v>
      </x:c>
      <x:c r="D11" s="6" t="n">
        <x:v>0</x:v>
      </x:c>
      <x:c r="E11" s="6" t="n">
        <x:v>332</x:v>
      </x:c>
      <x:c r="F11" s="6" t="n">
        <x:v>-9</x:v>
      </x:c>
      <x:c r="G11" s="6" t="n">
        <x:v>1</x:v>
      </x:c>
      <x:c r="H11" s="6" t="n">
        <x:v>0</x:v>
      </x:c>
      <x:c r="I11" s="6" t="n">
        <x:v>0</x:v>
      </x:c>
      <x:c r="J11" s="6" t="n">
        <x:v>8</x:v>
      </x:c>
      <x:c r="K11" s="6" t="n">
        <x:v>22</x:v>
      </x:c>
      <x:c r="L11" s="6" t="n">
        <x:v>18</x:v>
      </x:c>
      <x:c r="M11" s="6" t="n">
        <x:v>332</x:v>
      </x:c>
      <x:c r="N11" s="6" t="n">
        <x:v>559</x:v>
      </x:c>
      <x:c r="O11" s="6" t="n">
        <x:v>1</x:v>
      </x:c>
      <x:c r="P11" s="6" t="n">
        <x:v>0</x:v>
      </x:c>
      <x:c r="Q11" s="6" t="n">
        <x:v>0</x:v>
      </x:c>
      <x:c r="R11" s="2" t="str">
        <x:v>R12 J01-J26 / 8x30, 12+22</x:v>
      </x:c>
      <x:c r="S11" s="2" t="str">
        <x:v>TERV</x:v>
      </x:c>
    </x:row>
    <x:row r="12" ht="32" customHeight="1">
      <x:c r="A12" s="2" t="str">
        <x:v>H0007</x:v>
      </x:c>
      <x:c r="B12" s="2" t="str">
        <x:v>KI12-TV01S-01</x:v>
      </x:c>
      <x:c r="C12" s="2" t="str">
        <x:v>CSAP J02</x:v>
      </x:c>
      <x:c r="D12" s="6" t="n">
        <x:v>2321</x:v>
      </x:c>
      <x:c r="E12" s="6" t="n">
        <x:v>50</x:v>
      </x:c>
      <x:c r="F12" s="6" t="n">
        <x:v>-18</x:v>
      </x:c>
      <x:c r="G12" s="6" t="n">
        <x:v>0</x:v>
      </x:c>
      <x:c r="H12" s="6" t="n">
        <x:v>0</x:v>
      </x:c>
      <x:c r="I12" s="6" t="n">
        <x:v>1</x:v>
      </x:c>
      <x:c r="J12" s="6" t="n">
        <x:v>8</x:v>
      </x:c>
      <x:c r="K12" s="6" t="n">
        <x:v>12</x:v>
      </x:c>
      <x:c r="L12" s="6" t="n">
        <x:v>18</x:v>
      </x:c>
      <x:c r="M12" s="6" t="n">
        <x:v>50</x:v>
      </x:c>
      <x:c r="N12" s="6" t="n">
        <x:v>2871</x:v>
      </x:c>
      <x:c r="O12" s="6" t="n">
        <x:v>-1</x:v>
      </x:c>
      <x:c r="P12" s="6" t="n">
        <x:v>0</x:v>
      </x:c>
      <x:c r="Q12" s="6" t="n">
        <x:v>0</x:v>
      </x:c>
      <x:c r="R12" s="2" t="str">
        <x:v>R12 J01-J26 / 8x30, 12+22</x:v>
      </x:c>
      <x:c r="S12" s="2" t="str">
        <x:v>TERV</x:v>
      </x:c>
    </x:row>
    <x:row r="13" ht="32" customHeight="1">
      <x:c r="A13" s="2" t="str">
        <x:v>H0008</x:v>
      </x:c>
      <x:c r="B13" s="2" t="str">
        <x:v>KI12-TV01T-02</x:v>
      </x:c>
      <x:c r="C13" s="2" t="str">
        <x:v>CSAP J02</x:v>
      </x:c>
      <x:c r="D13" s="6" t="n">
        <x:v>0</x:v>
      </x:c>
      <x:c r="E13" s="6" t="n">
        <x:v>50</x:v>
      </x:c>
      <x:c r="F13" s="6" t="n">
        <x:v>-9</x:v>
      </x:c>
      <x:c r="G13" s="6" t="n">
        <x:v>1</x:v>
      </x:c>
      <x:c r="H13" s="6" t="n">
        <x:v>0</x:v>
      </x:c>
      <x:c r="I13" s="6" t="n">
        <x:v>0</x:v>
      </x:c>
      <x:c r="J13" s="6" t="n">
        <x:v>8</x:v>
      </x:c>
      <x:c r="K13" s="6" t="n">
        <x:v>22</x:v>
      </x:c>
      <x:c r="L13" s="6" t="n">
        <x:v>18</x:v>
      </x:c>
      <x:c r="M13" s="6" t="n">
        <x:v>50</x:v>
      </x:c>
      <x:c r="N13" s="6" t="n">
        <x:v>2871</x:v>
      </x:c>
      <x:c r="O13" s="6" t="n">
        <x:v>1</x:v>
      </x:c>
      <x:c r="P13" s="6" t="n">
        <x:v>0</x:v>
      </x:c>
      <x:c r="Q13" s="6" t="n">
        <x:v>0</x:v>
      </x:c>
      <x:c r="R13" s="2" t="str">
        <x:v>R12 J01-J26 / 8x30, 12+22</x:v>
      </x:c>
      <x:c r="S13" s="2" t="str">
        <x:v>TERV</x:v>
      </x:c>
    </x:row>
    <x:row r="14" ht="32" customHeight="1">
      <x:c r="A14" s="2" t="str">
        <x:v>H0009</x:v>
      </x:c>
      <x:c r="B14" s="2" t="str">
        <x:v>KI12-TV01S-01</x:v>
      </x:c>
      <x:c r="C14" s="2" t="str">
        <x:v>CSAP J02</x:v>
      </x:c>
      <x:c r="D14" s="6" t="n">
        <x:v>2321</x:v>
      </x:c>
      <x:c r="E14" s="6" t="n">
        <x:v>191</x:v>
      </x:c>
      <x:c r="F14" s="6" t="n">
        <x:v>-18</x:v>
      </x:c>
      <x:c r="G14" s="6" t="n">
        <x:v>0</x:v>
      </x:c>
      <x:c r="H14" s="6" t="n">
        <x:v>0</x:v>
      </x:c>
      <x:c r="I14" s="6" t="n">
        <x:v>1</x:v>
      </x:c>
      <x:c r="J14" s="6" t="n">
        <x:v>8</x:v>
      </x:c>
      <x:c r="K14" s="6" t="n">
        <x:v>12</x:v>
      </x:c>
      <x:c r="L14" s="6" t="n">
        <x:v>18</x:v>
      </x:c>
      <x:c r="M14" s="6" t="n">
        <x:v>191</x:v>
      </x:c>
      <x:c r="N14" s="6" t="n">
        <x:v>2871</x:v>
      </x:c>
      <x:c r="O14" s="6" t="n">
        <x:v>-1</x:v>
      </x:c>
      <x:c r="P14" s="6" t="n">
        <x:v>0</x:v>
      </x:c>
      <x:c r="Q14" s="6" t="n">
        <x:v>0</x:v>
      </x:c>
      <x:c r="R14" s="2" t="str">
        <x:v>R12 J01-J26 / 8x30, 12+22</x:v>
      </x:c>
      <x:c r="S14" s="2" t="str">
        <x:v>TERV</x:v>
      </x:c>
    </x:row>
    <x:row r="15" ht="32" customHeight="1">
      <x:c r="A15" s="2" t="str">
        <x:v>H0010</x:v>
      </x:c>
      <x:c r="B15" s="2" t="str">
        <x:v>KI12-TV01T-02</x:v>
      </x:c>
      <x:c r="C15" s="2" t="str">
        <x:v>CSAP J02</x:v>
      </x:c>
      <x:c r="D15" s="6" t="n">
        <x:v>0</x:v>
      </x:c>
      <x:c r="E15" s="6" t="n">
        <x:v>191</x:v>
      </x:c>
      <x:c r="F15" s="6" t="n">
        <x:v>-9</x:v>
      </x:c>
      <x:c r="G15" s="6" t="n">
        <x:v>1</x:v>
      </x:c>
      <x:c r="H15" s="6" t="n">
        <x:v>0</x:v>
      </x:c>
      <x:c r="I15" s="6" t="n">
        <x:v>0</x:v>
      </x:c>
      <x:c r="J15" s="6" t="n">
        <x:v>8</x:v>
      </x:c>
      <x:c r="K15" s="6" t="n">
        <x:v>22</x:v>
      </x:c>
      <x:c r="L15" s="6" t="n">
        <x:v>18</x:v>
      </x:c>
      <x:c r="M15" s="6" t="n">
        <x:v>191</x:v>
      </x:c>
      <x:c r="N15" s="6" t="n">
        <x:v>2871</x:v>
      </x:c>
      <x:c r="O15" s="6" t="n">
        <x:v>1</x:v>
      </x:c>
      <x:c r="P15" s="6" t="n">
        <x:v>0</x:v>
      </x:c>
      <x:c r="Q15" s="6" t="n">
        <x:v>0</x:v>
      </x:c>
      <x:c r="R15" s="2" t="str">
        <x:v>R12 J01-J26 / 8x30, 12+22</x:v>
      </x:c>
      <x:c r="S15" s="2" t="str">
        <x:v>TERV</x:v>
      </x:c>
    </x:row>
    <x:row r="16" ht="32" customHeight="1">
      <x:c r="A16" s="2" t="str">
        <x:v>H0011</x:v>
      </x:c>
      <x:c r="B16" s="2" t="str">
        <x:v>KI12-TV01S-01</x:v>
      </x:c>
      <x:c r="C16" s="2" t="str">
        <x:v>CSAP J02</x:v>
      </x:c>
      <x:c r="D16" s="6" t="n">
        <x:v>2321</x:v>
      </x:c>
      <x:c r="E16" s="6" t="n">
        <x:v>332</x:v>
      </x:c>
      <x:c r="F16" s="6" t="n">
        <x:v>-18</x:v>
      </x:c>
      <x:c r="G16" s="6" t="n">
        <x:v>0</x:v>
      </x:c>
      <x:c r="H16" s="6" t="n">
        <x:v>0</x:v>
      </x:c>
      <x:c r="I16" s="6" t="n">
        <x:v>1</x:v>
      </x:c>
      <x:c r="J16" s="6" t="n">
        <x:v>8</x:v>
      </x:c>
      <x:c r="K16" s="6" t="n">
        <x:v>12</x:v>
      </x:c>
      <x:c r="L16" s="6" t="n">
        <x:v>18</x:v>
      </x:c>
      <x:c r="M16" s="6" t="n">
        <x:v>332</x:v>
      </x:c>
      <x:c r="N16" s="6" t="n">
        <x:v>2871</x:v>
      </x:c>
      <x:c r="O16" s="6" t="n">
        <x:v>-1</x:v>
      </x:c>
      <x:c r="P16" s="6" t="n">
        <x:v>0</x:v>
      </x:c>
      <x:c r="Q16" s="6" t="n">
        <x:v>0</x:v>
      </x:c>
      <x:c r="R16" s="2" t="str">
        <x:v>R12 J01-J26 / 8x30, 12+22</x:v>
      </x:c>
      <x:c r="S16" s="2" t="str">
        <x:v>TERV</x:v>
      </x:c>
    </x:row>
    <x:row r="17" ht="32" customHeight="1">
      <x:c r="A17" s="2" t="str">
        <x:v>H0012</x:v>
      </x:c>
      <x:c r="B17" s="2" t="str">
        <x:v>KI12-TV01T-02</x:v>
      </x:c>
      <x:c r="C17" s="2" t="str">
        <x:v>CSAP J02</x:v>
      </x:c>
      <x:c r="D17" s="6" t="n">
        <x:v>0</x:v>
      </x:c>
      <x:c r="E17" s="6" t="n">
        <x:v>332</x:v>
      </x:c>
      <x:c r="F17" s="6" t="n">
        <x:v>-9</x:v>
      </x:c>
      <x:c r="G17" s="6" t="n">
        <x:v>1</x:v>
      </x:c>
      <x:c r="H17" s="6" t="n">
        <x:v>0</x:v>
      </x:c>
      <x:c r="I17" s="6" t="n">
        <x:v>0</x:v>
      </x:c>
      <x:c r="J17" s="6" t="n">
        <x:v>8</x:v>
      </x:c>
      <x:c r="K17" s="6" t="n">
        <x:v>22</x:v>
      </x:c>
      <x:c r="L17" s="6" t="n">
        <x:v>18</x:v>
      </x:c>
      <x:c r="M17" s="6" t="n">
        <x:v>332</x:v>
      </x:c>
      <x:c r="N17" s="6" t="n">
        <x:v>2871</x:v>
      </x:c>
      <x:c r="O17" s="6" t="n">
        <x:v>1</x:v>
      </x:c>
      <x:c r="P17" s="6" t="n">
        <x:v>0</x:v>
      </x:c>
      <x:c r="Q17" s="6" t="n">
        <x:v>0</x:v>
      </x:c>
      <x:c r="R17" s="2" t="str">
        <x:v>R12 J01-J26 / 8x30, 12+22</x:v>
      </x:c>
      <x:c r="S17" s="2" t="str">
        <x:v>TERV</x:v>
      </x:c>
    </x:row>
    <x:row r="18" ht="32" customHeight="1">
      <x:c r="A18" s="2" t="str">
        <x:v>H0013</x:v>
      </x:c>
      <x:c r="B18" s="2" t="str">
        <x:v>KI12-TV01S-02</x:v>
      </x:c>
      <x:c r="C18" s="2" t="str">
        <x:v>CSAP J03</x:v>
      </x:c>
      <x:c r="D18" s="6" t="n">
        <x:v>9</x:v>
      </x:c>
      <x:c r="E18" s="6" t="n">
        <x:v>50</x:v>
      </x:c>
      <x:c r="F18" s="6" t="n">
        <x:v>0</x:v>
      </x:c>
      <x:c r="G18" s="6" t="n">
        <x:v>0</x:v>
      </x:c>
      <x:c r="H18" s="6" t="n">
        <x:v>0</x:v>
      </x:c>
      <x:c r="I18" s="6" t="n">
        <x:v>-1</x:v>
      </x:c>
      <x:c r="J18" s="6" t="n">
        <x:v>8</x:v>
      </x:c>
      <x:c r="K18" s="6" t="n">
        <x:v>12</x:v>
      </x:c>
      <x:c r="L18" s="6" t="n">
        <x:v>702</x:v>
      </x:c>
      <x:c r="M18" s="6" t="n">
        <x:v>50</x:v>
      </x:c>
      <x:c r="N18" s="6" t="n">
        <x:v>559</x:v>
      </x:c>
      <x:c r="O18" s="6" t="n">
        <x:v>1</x:v>
      </x:c>
      <x:c r="P18" s="6" t="n">
        <x:v>0</x:v>
      </x:c>
      <x:c r="Q18" s="6" t="n">
        <x:v>0</x:v>
      </x:c>
      <x:c r="R18" s="2" t="str">
        <x:v>R12 J01-J26 / 8x30, 12+22</x:v>
      </x:c>
      <x:c r="S18" s="2" t="str">
        <x:v>TERV</x:v>
      </x:c>
    </x:row>
    <x:row r="19" ht="32" customHeight="1">
      <x:c r="A19" s="2" t="str">
        <x:v>H0014</x:v>
      </x:c>
      <x:c r="B19" s="2" t="str">
        <x:v>KI12-TV01T-01</x:v>
      </x:c>
      <x:c r="C19" s="2" t="str">
        <x:v>CSAP J03</x:v>
      </x:c>
      <x:c r="D19" s="6" t="n">
        <x:v>684</x:v>
      </x:c>
      <x:c r="E19" s="6" t="n">
        <x:v>50</x:v>
      </x:c>
      <x:c r="F19" s="6" t="n">
        <x:v>-9</x:v>
      </x:c>
      <x:c r="G19" s="6" t="n">
        <x:v>-1</x:v>
      </x:c>
      <x:c r="H19" s="6" t="n">
        <x:v>0</x:v>
      </x:c>
      <x:c r="I19" s="6" t="n">
        <x:v>0</x:v>
      </x:c>
      <x:c r="J19" s="6" t="n">
        <x:v>8</x:v>
      </x:c>
      <x:c r="K19" s="6" t="n">
        <x:v>22</x:v>
      </x:c>
      <x:c r="L19" s="6" t="n">
        <x:v>702</x:v>
      </x:c>
      <x:c r="M19" s="6" t="n">
        <x:v>50</x:v>
      </x:c>
      <x:c r="N19" s="6" t="n">
        <x:v>559</x:v>
      </x:c>
      <x:c r="O19" s="6" t="n">
        <x:v>-1</x:v>
      </x:c>
      <x:c r="P19" s="6" t="n">
        <x:v>0</x:v>
      </x:c>
      <x:c r="Q19" s="6" t="n">
        <x:v>0</x:v>
      </x:c>
      <x:c r="R19" s="2" t="str">
        <x:v>R12 J01-J26 / 8x30, 12+22</x:v>
      </x:c>
      <x:c r="S19" s="2" t="str">
        <x:v>TERV</x:v>
      </x:c>
    </x:row>
    <x:row r="20" ht="32" customHeight="1">
      <x:c r="A20" s="2" t="str">
        <x:v>H0015</x:v>
      </x:c>
      <x:c r="B20" s="2" t="str">
        <x:v>KI12-TV01S-02</x:v>
      </x:c>
      <x:c r="C20" s="2" t="str">
        <x:v>CSAP J03</x:v>
      </x:c>
      <x:c r="D20" s="6" t="n">
        <x:v>9</x:v>
      </x:c>
      <x:c r="E20" s="6" t="n">
        <x:v>191</x:v>
      </x:c>
      <x:c r="F20" s="6" t="n">
        <x:v>0</x:v>
      </x:c>
      <x:c r="G20" s="6" t="n">
        <x:v>0</x:v>
      </x:c>
      <x:c r="H20" s="6" t="n">
        <x:v>0</x:v>
      </x:c>
      <x:c r="I20" s="6" t="n">
        <x:v>-1</x:v>
      </x:c>
      <x:c r="J20" s="6" t="n">
        <x:v>8</x:v>
      </x:c>
      <x:c r="K20" s="6" t="n">
        <x:v>12</x:v>
      </x:c>
      <x:c r="L20" s="6" t="n">
        <x:v>702</x:v>
      </x:c>
      <x:c r="M20" s="6" t="n">
        <x:v>191</x:v>
      </x:c>
      <x:c r="N20" s="6" t="n">
        <x:v>559</x:v>
      </x:c>
      <x:c r="O20" s="6" t="n">
        <x:v>1</x:v>
      </x:c>
      <x:c r="P20" s="6" t="n">
        <x:v>0</x:v>
      </x:c>
      <x:c r="Q20" s="6" t="n">
        <x:v>0</x:v>
      </x:c>
      <x:c r="R20" s="2" t="str">
        <x:v>R12 J01-J26 / 8x30, 12+22</x:v>
      </x:c>
      <x:c r="S20" s="2" t="str">
        <x:v>TERV</x:v>
      </x:c>
    </x:row>
    <x:row r="21" ht="32" customHeight="1">
      <x:c r="A21" s="2" t="str">
        <x:v>H0016</x:v>
      </x:c>
      <x:c r="B21" s="2" t="str">
        <x:v>KI12-TV01T-01</x:v>
      </x:c>
      <x:c r="C21" s="2" t="str">
        <x:v>CSAP J03</x:v>
      </x:c>
      <x:c r="D21" s="6" t="n">
        <x:v>684</x:v>
      </x:c>
      <x:c r="E21" s="6" t="n">
        <x:v>191</x:v>
      </x:c>
      <x:c r="F21" s="6" t="n">
        <x:v>-9</x:v>
      </x:c>
      <x:c r="G21" s="6" t="n">
        <x:v>-1</x:v>
      </x:c>
      <x:c r="H21" s="6" t="n">
        <x:v>0</x:v>
      </x:c>
      <x:c r="I21" s="6" t="n">
        <x:v>0</x:v>
      </x:c>
      <x:c r="J21" s="6" t="n">
        <x:v>8</x:v>
      </x:c>
      <x:c r="K21" s="6" t="n">
        <x:v>22</x:v>
      </x:c>
      <x:c r="L21" s="6" t="n">
        <x:v>702</x:v>
      </x:c>
      <x:c r="M21" s="6" t="n">
        <x:v>191</x:v>
      </x:c>
      <x:c r="N21" s="6" t="n">
        <x:v>559</x:v>
      </x:c>
      <x:c r="O21" s="6" t="n">
        <x:v>-1</x:v>
      </x:c>
      <x:c r="P21" s="6" t="n">
        <x:v>0</x:v>
      </x:c>
      <x:c r="Q21" s="6" t="n">
        <x:v>0</x:v>
      </x:c>
      <x:c r="R21" s="2" t="str">
        <x:v>R12 J01-J26 / 8x30, 12+22</x:v>
      </x:c>
      <x:c r="S21" s="2" t="str">
        <x:v>TERV</x:v>
      </x:c>
    </x:row>
    <x:row r="22" ht="32" customHeight="1">
      <x:c r="A22" s="2" t="str">
        <x:v>H0017</x:v>
      </x:c>
      <x:c r="B22" s="2" t="str">
        <x:v>KI12-TV01S-02</x:v>
      </x:c>
      <x:c r="C22" s="2" t="str">
        <x:v>CSAP J03</x:v>
      </x:c>
      <x:c r="D22" s="6" t="n">
        <x:v>9</x:v>
      </x:c>
      <x:c r="E22" s="6" t="n">
        <x:v>332</x:v>
      </x:c>
      <x:c r="F22" s="6" t="n">
        <x:v>0</x:v>
      </x:c>
      <x:c r="G22" s="6" t="n">
        <x:v>0</x:v>
      </x:c>
      <x:c r="H22" s="6" t="n">
        <x:v>0</x:v>
      </x:c>
      <x:c r="I22" s="6" t="n">
        <x:v>-1</x:v>
      </x:c>
      <x:c r="J22" s="6" t="n">
        <x:v>8</x:v>
      </x:c>
      <x:c r="K22" s="6" t="n">
        <x:v>12</x:v>
      </x:c>
      <x:c r="L22" s="6" t="n">
        <x:v>702</x:v>
      </x:c>
      <x:c r="M22" s="6" t="n">
        <x:v>332</x:v>
      </x:c>
      <x:c r="N22" s="6" t="n">
        <x:v>559</x:v>
      </x:c>
      <x:c r="O22" s="6" t="n">
        <x:v>1</x:v>
      </x:c>
      <x:c r="P22" s="6" t="n">
        <x:v>0</x:v>
      </x:c>
      <x:c r="Q22" s="6" t="n">
        <x:v>0</x:v>
      </x:c>
      <x:c r="R22" s="2" t="str">
        <x:v>R12 J01-J26 / 8x30, 12+22</x:v>
      </x:c>
      <x:c r="S22" s="2" t="str">
        <x:v>TERV</x:v>
      </x:c>
    </x:row>
    <x:row r="23" ht="32" customHeight="1">
      <x:c r="A23" s="2" t="str">
        <x:v>H0018</x:v>
      </x:c>
      <x:c r="B23" s="2" t="str">
        <x:v>KI12-TV01T-01</x:v>
      </x:c>
      <x:c r="C23" s="2" t="str">
        <x:v>CSAP J03</x:v>
      </x:c>
      <x:c r="D23" s="6" t="n">
        <x:v>684</x:v>
      </x:c>
      <x:c r="E23" s="6" t="n">
        <x:v>332</x:v>
      </x:c>
      <x:c r="F23" s="6" t="n">
        <x:v>-9</x:v>
      </x:c>
      <x:c r="G23" s="6" t="n">
        <x:v>-1</x:v>
      </x:c>
      <x:c r="H23" s="6" t="n">
        <x:v>0</x:v>
      </x:c>
      <x:c r="I23" s="6" t="n">
        <x:v>0</x:v>
      </x:c>
      <x:c r="J23" s="6" t="n">
        <x:v>8</x:v>
      </x:c>
      <x:c r="K23" s="6" t="n">
        <x:v>22</x:v>
      </x:c>
      <x:c r="L23" s="6" t="n">
        <x:v>702</x:v>
      </x:c>
      <x:c r="M23" s="6" t="n">
        <x:v>332</x:v>
      </x:c>
      <x:c r="N23" s="6" t="n">
        <x:v>559</x:v>
      </x:c>
      <x:c r="O23" s="6" t="n">
        <x:v>-1</x:v>
      </x:c>
      <x:c r="P23" s="6" t="n">
        <x:v>0</x:v>
      </x:c>
      <x:c r="Q23" s="6" t="n">
        <x:v>0</x:v>
      </x:c>
      <x:c r="R23" s="2" t="str">
        <x:v>R12 J01-J26 / 8x30, 12+22</x:v>
      </x:c>
      <x:c r="S23" s="2" t="str">
        <x:v>TERV</x:v>
      </x:c>
    </x:row>
    <x:row r="24" ht="32" customHeight="1">
      <x:c r="A24" s="2" t="str">
        <x:v>H0019</x:v>
      </x:c>
      <x:c r="B24" s="2" t="str">
        <x:v>KI12-TV01S-02</x:v>
      </x:c>
      <x:c r="C24" s="2" t="str">
        <x:v>CSAP J04</x:v>
      </x:c>
      <x:c r="D24" s="6" t="n">
        <x:v>2321</x:v>
      </x:c>
      <x:c r="E24" s="6" t="n">
        <x:v>50</x:v>
      </x:c>
      <x:c r="F24" s="6" t="n">
        <x:v>0</x:v>
      </x:c>
      <x:c r="G24" s="6" t="n">
        <x:v>0</x:v>
      </x:c>
      <x:c r="H24" s="6" t="n">
        <x:v>0</x:v>
      </x:c>
      <x:c r="I24" s="6" t="n">
        <x:v>-1</x:v>
      </x:c>
      <x:c r="J24" s="6" t="n">
        <x:v>8</x:v>
      </x:c>
      <x:c r="K24" s="6" t="n">
        <x:v>12</x:v>
      </x:c>
      <x:c r="L24" s="6" t="n">
        <x:v>702</x:v>
      </x:c>
      <x:c r="M24" s="6" t="n">
        <x:v>50</x:v>
      </x:c>
      <x:c r="N24" s="6" t="n">
        <x:v>2871</x:v>
      </x:c>
      <x:c r="O24" s="6" t="n">
        <x:v>1</x:v>
      </x:c>
      <x:c r="P24" s="6" t="n">
        <x:v>0</x:v>
      </x:c>
      <x:c r="Q24" s="6" t="n">
        <x:v>0</x:v>
      </x:c>
      <x:c r="R24" s="2" t="str">
        <x:v>R12 J01-J26 / 8x30, 12+22</x:v>
      </x:c>
      <x:c r="S24" s="2" t="str">
        <x:v>TERV</x:v>
      </x:c>
    </x:row>
    <x:row r="25" ht="32" customHeight="1">
      <x:c r="A25" s="2" t="str">
        <x:v>H0020</x:v>
      </x:c>
      <x:c r="B25" s="2" t="str">
        <x:v>KI12-TV01T-02</x:v>
      </x:c>
      <x:c r="C25" s="2" t="str">
        <x:v>CSAP J04</x:v>
      </x:c>
      <x:c r="D25" s="6" t="n">
        <x:v>684</x:v>
      </x:c>
      <x:c r="E25" s="6" t="n">
        <x:v>50</x:v>
      </x:c>
      <x:c r="F25" s="6" t="n">
        <x:v>-9</x:v>
      </x:c>
      <x:c r="G25" s="6" t="n">
        <x:v>-1</x:v>
      </x:c>
      <x:c r="H25" s="6" t="n">
        <x:v>0</x:v>
      </x:c>
      <x:c r="I25" s="6" t="n">
        <x:v>0</x:v>
      </x:c>
      <x:c r="J25" s="6" t="n">
        <x:v>8</x:v>
      </x:c>
      <x:c r="K25" s="6" t="n">
        <x:v>22</x:v>
      </x:c>
      <x:c r="L25" s="6" t="n">
        <x:v>702</x:v>
      </x:c>
      <x:c r="M25" s="6" t="n">
        <x:v>50</x:v>
      </x:c>
      <x:c r="N25" s="6" t="n">
        <x:v>2871</x:v>
      </x:c>
      <x:c r="O25" s="6" t="n">
        <x:v>-1</x:v>
      </x:c>
      <x:c r="P25" s="6" t="n">
        <x:v>0</x:v>
      </x:c>
      <x:c r="Q25" s="6" t="n">
        <x:v>0</x:v>
      </x:c>
      <x:c r="R25" s="2" t="str">
        <x:v>R12 J01-J26 / 8x30, 12+22</x:v>
      </x:c>
      <x:c r="S25" s="2" t="str">
        <x:v>TERV</x:v>
      </x:c>
    </x:row>
    <x:row r="26" ht="32" customHeight="1">
      <x:c r="A26" s="2" t="str">
        <x:v>H0021</x:v>
      </x:c>
      <x:c r="B26" s="2" t="str">
        <x:v>KI12-TV01S-02</x:v>
      </x:c>
      <x:c r="C26" s="2" t="str">
        <x:v>CSAP J04</x:v>
      </x:c>
      <x:c r="D26" s="6" t="n">
        <x:v>2321</x:v>
      </x:c>
      <x:c r="E26" s="6" t="n">
        <x:v>191</x:v>
      </x:c>
      <x:c r="F26" s="6" t="n">
        <x:v>0</x:v>
      </x:c>
      <x:c r="G26" s="6" t="n">
        <x:v>0</x:v>
      </x:c>
      <x:c r="H26" s="6" t="n">
        <x:v>0</x:v>
      </x:c>
      <x:c r="I26" s="6" t="n">
        <x:v>-1</x:v>
      </x:c>
      <x:c r="J26" s="6" t="n">
        <x:v>8</x:v>
      </x:c>
      <x:c r="K26" s="6" t="n">
        <x:v>12</x:v>
      </x:c>
      <x:c r="L26" s="6" t="n">
        <x:v>702</x:v>
      </x:c>
      <x:c r="M26" s="6" t="n">
        <x:v>191</x:v>
      </x:c>
      <x:c r="N26" s="6" t="n">
        <x:v>2871</x:v>
      </x:c>
      <x:c r="O26" s="6" t="n">
        <x:v>1</x:v>
      </x:c>
      <x:c r="P26" s="6" t="n">
        <x:v>0</x:v>
      </x:c>
      <x:c r="Q26" s="6" t="n">
        <x:v>0</x:v>
      </x:c>
      <x:c r="R26" s="2" t="str">
        <x:v>R12 J01-J26 / 8x30, 12+22</x:v>
      </x:c>
      <x:c r="S26" s="2" t="str">
        <x:v>TERV</x:v>
      </x:c>
    </x:row>
    <x:row r="27" ht="32" customHeight="1">
      <x:c r="A27" s="2" t="str">
        <x:v>H0022</x:v>
      </x:c>
      <x:c r="B27" s="2" t="str">
        <x:v>KI12-TV01T-02</x:v>
      </x:c>
      <x:c r="C27" s="2" t="str">
        <x:v>CSAP J04</x:v>
      </x:c>
      <x:c r="D27" s="6" t="n">
        <x:v>684</x:v>
      </x:c>
      <x:c r="E27" s="6" t="n">
        <x:v>191</x:v>
      </x:c>
      <x:c r="F27" s="6" t="n">
        <x:v>-9</x:v>
      </x:c>
      <x:c r="G27" s="6" t="n">
        <x:v>-1</x:v>
      </x:c>
      <x:c r="H27" s="6" t="n">
        <x:v>0</x:v>
      </x:c>
      <x:c r="I27" s="6" t="n">
        <x:v>0</x:v>
      </x:c>
      <x:c r="J27" s="6" t="n">
        <x:v>8</x:v>
      </x:c>
      <x:c r="K27" s="6" t="n">
        <x:v>22</x:v>
      </x:c>
      <x:c r="L27" s="6" t="n">
        <x:v>702</x:v>
      </x:c>
      <x:c r="M27" s="6" t="n">
        <x:v>191</x:v>
      </x:c>
      <x:c r="N27" s="6" t="n">
        <x:v>2871</x:v>
      </x:c>
      <x:c r="O27" s="6" t="n">
        <x:v>-1</x:v>
      </x:c>
      <x:c r="P27" s="6" t="n">
        <x:v>0</x:v>
      </x:c>
      <x:c r="Q27" s="6" t="n">
        <x:v>0</x:v>
      </x:c>
      <x:c r="R27" s="2" t="str">
        <x:v>R12 J01-J26 / 8x30, 12+22</x:v>
      </x:c>
      <x:c r="S27" s="2" t="str">
        <x:v>TERV</x:v>
      </x:c>
    </x:row>
    <x:row r="28" ht="32" customHeight="1">
      <x:c r="A28" s="2" t="str">
        <x:v>H0023</x:v>
      </x:c>
      <x:c r="B28" s="2" t="str">
        <x:v>KI12-TV01S-02</x:v>
      </x:c>
      <x:c r="C28" s="2" t="str">
        <x:v>CSAP J04</x:v>
      </x:c>
      <x:c r="D28" s="6" t="n">
        <x:v>2321</x:v>
      </x:c>
      <x:c r="E28" s="6" t="n">
        <x:v>332</x:v>
      </x:c>
      <x:c r="F28" s="6" t="n">
        <x:v>0</x:v>
      </x:c>
      <x:c r="G28" s="6" t="n">
        <x:v>0</x:v>
      </x:c>
      <x:c r="H28" s="6" t="n">
        <x:v>0</x:v>
      </x:c>
      <x:c r="I28" s="6" t="n">
        <x:v>-1</x:v>
      </x:c>
      <x:c r="J28" s="6" t="n">
        <x:v>8</x:v>
      </x:c>
      <x:c r="K28" s="6" t="n">
        <x:v>12</x:v>
      </x:c>
      <x:c r="L28" s="6" t="n">
        <x:v>702</x:v>
      </x:c>
      <x:c r="M28" s="6" t="n">
        <x:v>332</x:v>
      </x:c>
      <x:c r="N28" s="6" t="n">
        <x:v>2871</x:v>
      </x:c>
      <x:c r="O28" s="6" t="n">
        <x:v>1</x:v>
      </x:c>
      <x:c r="P28" s="6" t="n">
        <x:v>0</x:v>
      </x:c>
      <x:c r="Q28" s="6" t="n">
        <x:v>0</x:v>
      </x:c>
      <x:c r="R28" s="2" t="str">
        <x:v>R12 J01-J26 / 8x30, 12+22</x:v>
      </x:c>
      <x:c r="S28" s="2" t="str">
        <x:v>TERV</x:v>
      </x:c>
    </x:row>
    <x:row r="29" ht="32" customHeight="1">
      <x:c r="A29" s="2" t="str">
        <x:v>H0024</x:v>
      </x:c>
      <x:c r="B29" s="2" t="str">
        <x:v>KI12-TV01T-02</x:v>
      </x:c>
      <x:c r="C29" s="2" t="str">
        <x:v>CSAP J04</x:v>
      </x:c>
      <x:c r="D29" s="6" t="n">
        <x:v>684</x:v>
      </x:c>
      <x:c r="E29" s="6" t="n">
        <x:v>332</x:v>
      </x:c>
      <x:c r="F29" s="6" t="n">
        <x:v>-9</x:v>
      </x:c>
      <x:c r="G29" s="6" t="n">
        <x:v>-1</x:v>
      </x:c>
      <x:c r="H29" s="6" t="n">
        <x:v>0</x:v>
      </x:c>
      <x:c r="I29" s="6" t="n">
        <x:v>0</x:v>
      </x:c>
      <x:c r="J29" s="6" t="n">
        <x:v>8</x:v>
      </x:c>
      <x:c r="K29" s="6" t="n">
        <x:v>22</x:v>
      </x:c>
      <x:c r="L29" s="6" t="n">
        <x:v>702</x:v>
      </x:c>
      <x:c r="M29" s="6" t="n">
        <x:v>332</x:v>
      </x:c>
      <x:c r="N29" s="6" t="n">
        <x:v>2871</x:v>
      </x:c>
      <x:c r="O29" s="6" t="n">
        <x:v>-1</x:v>
      </x:c>
      <x:c r="P29" s="6" t="n">
        <x:v>0</x:v>
      </x:c>
      <x:c r="Q29" s="6" t="n">
        <x:v>0</x:v>
      </x:c>
      <x:c r="R29" s="2" t="str">
        <x:v>R12 J01-J26 / 8x30, 12+22</x:v>
      </x:c>
      <x:c r="S29" s="2" t="str">
        <x:v>TERV</x:v>
      </x:c>
    </x:row>
    <x:row r="30" ht="32" customHeight="1">
      <x:c r="A30" s="2" t="str">
        <x:v>H0025</x:v>
      </x:c>
      <x:c r="B30" s="2" t="str">
        <x:v>KI12-TV01T-01</x:v>
      </x:c>
      <x:c r="C30" s="2" t="str">
        <x:v>CSAP J05</x:v>
      </x:c>
      <x:c r="D30" s="6" t="n">
        <x:v>342</x:v>
      </x:c>
      <x:c r="E30" s="6" t="n">
        <x:v>50</x:v>
      </x:c>
      <x:c r="F30" s="6" t="n">
        <x:v>0</x:v>
      </x:c>
      <x:c r="G30" s="6" t="n">
        <x:v>0</x:v>
      </x:c>
      <x:c r="H30" s="6" t="n">
        <x:v>0</x:v>
      </x:c>
      <x:c r="I30" s="6" t="n">
        <x:v>-1</x:v>
      </x:c>
      <x:c r="J30" s="6" t="n">
        <x:v>8</x:v>
      </x:c>
      <x:c r="K30" s="6" t="n">
        <x:v>12</x:v>
      </x:c>
      <x:c r="L30" s="6" t="n">
        <x:v>360</x:v>
      </x:c>
      <x:c r="M30" s="6" t="n">
        <x:v>50</x:v>
      </x:c>
      <x:c r="N30" s="6" t="n">
        <x:v>568</x:v>
      </x:c>
      <x:c r="O30" s="6" t="n">
        <x:v>0</x:v>
      </x:c>
      <x:c r="P30" s="6" t="n">
        <x:v>0</x:v>
      </x:c>
      <x:c r="Q30" s="6" t="n">
        <x:v>-1</x:v>
      </x:c>
      <x:c r="R30" s="2" t="str">
        <x:v>R12 J01-J26 / 8x30, 12+22</x:v>
      </x:c>
      <x:c r="S30" s="2" t="str">
        <x:v>TERV</x:v>
      </x:c>
    </x:row>
    <x:row r="31" ht="32" customHeight="1">
      <x:c r="A31" s="2" t="str">
        <x:v>H0026</x:v>
      </x:c>
      <x:c r="B31" s="2" t="str">
        <x:v>KI12-TV01C-01</x:v>
      </x:c>
      <x:c r="C31" s="2" t="str">
        <x:v>CSAP J05</x:v>
      </x:c>
      <x:c r="D31" s="6" t="n">
        <x:v>0</x:v>
      </x:c>
      <x:c r="E31" s="6" t="n">
        <x:v>50</x:v>
      </x:c>
      <x:c r="F31" s="6" t="n">
        <x:v>-9</x:v>
      </x:c>
      <x:c r="G31" s="6" t="n">
        <x:v>1</x:v>
      </x:c>
      <x:c r="H31" s="6" t="n">
        <x:v>0</x:v>
      </x:c>
      <x:c r="I31" s="6" t="n">
        <x:v>0</x:v>
      </x:c>
      <x:c r="J31" s="6" t="n">
        <x:v>8</x:v>
      </x:c>
      <x:c r="K31" s="6" t="n">
        <x:v>22</x:v>
      </x:c>
      <x:c r="L31" s="6" t="n">
        <x:v>360</x:v>
      </x:c>
      <x:c r="M31" s="6" t="n">
        <x:v>50</x:v>
      </x:c>
      <x:c r="N31" s="6" t="n">
        <x:v>568</x:v>
      </x:c>
      <x:c r="O31" s="6" t="n">
        <x:v>0</x:v>
      </x:c>
      <x:c r="P31" s="6" t="n">
        <x:v>0</x:v>
      </x:c>
      <x:c r="Q31" s="6" t="n">
        <x:v>1</x:v>
      </x:c>
      <x:c r="R31" s="2" t="str">
        <x:v>R12 J01-J26 / 8x30, 12+22</x:v>
      </x:c>
      <x:c r="S31" s="2" t="str">
        <x:v>TERV</x:v>
      </x:c>
    </x:row>
    <x:row r="32" ht="32" customHeight="1">
      <x:c r="A32" s="2" t="str">
        <x:v>H0027</x:v>
      </x:c>
      <x:c r="B32" s="2" t="str">
        <x:v>KI12-TV01T-01</x:v>
      </x:c>
      <x:c r="C32" s="2" t="str">
        <x:v>CSAP J05</x:v>
      </x:c>
      <x:c r="D32" s="6" t="n">
        <x:v>342</x:v>
      </x:c>
      <x:c r="E32" s="6" t="n">
        <x:v>191</x:v>
      </x:c>
      <x:c r="F32" s="6" t="n">
        <x:v>0</x:v>
      </x:c>
      <x:c r="G32" s="6" t="n">
        <x:v>0</x:v>
      </x:c>
      <x:c r="H32" s="6" t="n">
        <x:v>0</x:v>
      </x:c>
      <x:c r="I32" s="6" t="n">
        <x:v>-1</x:v>
      </x:c>
      <x:c r="J32" s="6" t="n">
        <x:v>8</x:v>
      </x:c>
      <x:c r="K32" s="6" t="n">
        <x:v>12</x:v>
      </x:c>
      <x:c r="L32" s="6" t="n">
        <x:v>360</x:v>
      </x:c>
      <x:c r="M32" s="6" t="n">
        <x:v>191</x:v>
      </x:c>
      <x:c r="N32" s="6" t="n">
        <x:v>568</x:v>
      </x:c>
      <x:c r="O32" s="6" t="n">
        <x:v>0</x:v>
      </x:c>
      <x:c r="P32" s="6" t="n">
        <x:v>0</x:v>
      </x:c>
      <x:c r="Q32" s="6" t="n">
        <x:v>-1</x:v>
      </x:c>
      <x:c r="R32" s="2" t="str">
        <x:v>R12 J01-J26 / 8x30, 12+22</x:v>
      </x:c>
      <x:c r="S32" s="2" t="str">
        <x:v>TERV</x:v>
      </x:c>
    </x:row>
    <x:row r="33" ht="32" customHeight="1">
      <x:c r="A33" s="2" t="str">
        <x:v>H0028</x:v>
      </x:c>
      <x:c r="B33" s="2" t="str">
        <x:v>KI12-TV01C-01</x:v>
      </x:c>
      <x:c r="C33" s="2" t="str">
        <x:v>CSAP J05</x:v>
      </x:c>
      <x:c r="D33" s="6" t="n">
        <x:v>0</x:v>
      </x:c>
      <x:c r="E33" s="6" t="n">
        <x:v>191</x:v>
      </x:c>
      <x:c r="F33" s="6" t="n">
        <x:v>-9</x:v>
      </x:c>
      <x:c r="G33" s="6" t="n">
        <x:v>1</x:v>
      </x:c>
      <x:c r="H33" s="6" t="n">
        <x:v>0</x:v>
      </x:c>
      <x:c r="I33" s="6" t="n">
        <x:v>0</x:v>
      </x:c>
      <x:c r="J33" s="6" t="n">
        <x:v>8</x:v>
      </x:c>
      <x:c r="K33" s="6" t="n">
        <x:v>22</x:v>
      </x:c>
      <x:c r="L33" s="6" t="n">
        <x:v>360</x:v>
      </x:c>
      <x:c r="M33" s="6" t="n">
        <x:v>191</x:v>
      </x:c>
      <x:c r="N33" s="6" t="n">
        <x:v>568</x:v>
      </x:c>
      <x:c r="O33" s="6" t="n">
        <x:v>0</x:v>
      </x:c>
      <x:c r="P33" s="6" t="n">
        <x:v>0</x:v>
      </x:c>
      <x:c r="Q33" s="6" t="n">
        <x:v>1</x:v>
      </x:c>
      <x:c r="R33" s="2" t="str">
        <x:v>R12 J01-J26 / 8x30, 12+22</x:v>
      </x:c>
      <x:c r="S33" s="2" t="str">
        <x:v>TERV</x:v>
      </x:c>
    </x:row>
    <x:row r="34" ht="32" customHeight="1">
      <x:c r="A34" s="2" t="str">
        <x:v>H0029</x:v>
      </x:c>
      <x:c r="B34" s="2" t="str">
        <x:v>KI12-TV01T-01</x:v>
      </x:c>
      <x:c r="C34" s="2" t="str">
        <x:v>CSAP J05</x:v>
      </x:c>
      <x:c r="D34" s="6" t="n">
        <x:v>342</x:v>
      </x:c>
      <x:c r="E34" s="6" t="n">
        <x:v>332</x:v>
      </x:c>
      <x:c r="F34" s="6" t="n">
        <x:v>0</x:v>
      </x:c>
      <x:c r="G34" s="6" t="n">
        <x:v>0</x:v>
      </x:c>
      <x:c r="H34" s="6" t="n">
        <x:v>0</x:v>
      </x:c>
      <x:c r="I34" s="6" t="n">
        <x:v>-1</x:v>
      </x:c>
      <x:c r="J34" s="6" t="n">
        <x:v>8</x:v>
      </x:c>
      <x:c r="K34" s="6" t="n">
        <x:v>12</x:v>
      </x:c>
      <x:c r="L34" s="6" t="n">
        <x:v>360</x:v>
      </x:c>
      <x:c r="M34" s="6" t="n">
        <x:v>332</x:v>
      </x:c>
      <x:c r="N34" s="6" t="n">
        <x:v>568</x:v>
      </x:c>
      <x:c r="O34" s="6" t="n">
        <x:v>0</x:v>
      </x:c>
      <x:c r="P34" s="6" t="n">
        <x:v>0</x:v>
      </x:c>
      <x:c r="Q34" s="6" t="n">
        <x:v>-1</x:v>
      </x:c>
      <x:c r="R34" s="2" t="str">
        <x:v>R12 J01-J26 / 8x30, 12+22</x:v>
      </x:c>
      <x:c r="S34" s="2" t="str">
        <x:v>TERV</x:v>
      </x:c>
    </x:row>
    <x:row r="35" ht="32" customHeight="1">
      <x:c r="A35" s="2" t="str">
        <x:v>H0030</x:v>
      </x:c>
      <x:c r="B35" s="2" t="str">
        <x:v>KI12-TV01C-01</x:v>
      </x:c>
      <x:c r="C35" s="2" t="str">
        <x:v>CSAP J05</x:v>
      </x:c>
      <x:c r="D35" s="6" t="n">
        <x:v>0</x:v>
      </x:c>
      <x:c r="E35" s="6" t="n">
        <x:v>332</x:v>
      </x:c>
      <x:c r="F35" s="6" t="n">
        <x:v>-9</x:v>
      </x:c>
      <x:c r="G35" s="6" t="n">
        <x:v>1</x:v>
      </x:c>
      <x:c r="H35" s="6" t="n">
        <x:v>0</x:v>
      </x:c>
      <x:c r="I35" s="6" t="n">
        <x:v>0</x:v>
      </x:c>
      <x:c r="J35" s="6" t="n">
        <x:v>8</x:v>
      </x:c>
      <x:c r="K35" s="6" t="n">
        <x:v>22</x:v>
      </x:c>
      <x:c r="L35" s="6" t="n">
        <x:v>360</x:v>
      </x:c>
      <x:c r="M35" s="6" t="n">
        <x:v>332</x:v>
      </x:c>
      <x:c r="N35" s="6" t="n">
        <x:v>568</x:v>
      </x:c>
      <x:c r="O35" s="6" t="n">
        <x:v>0</x:v>
      </x:c>
      <x:c r="P35" s="6" t="n">
        <x:v>0</x:v>
      </x:c>
      <x:c r="Q35" s="6" t="n">
        <x:v>1</x:v>
      </x:c>
      <x:c r="R35" s="2" t="str">
        <x:v>R12 J01-J26 / 8x30, 12+22</x:v>
      </x:c>
      <x:c r="S35" s="2" t="str">
        <x:v>TERV</x:v>
      </x:c>
    </x:row>
    <x:row r="36" ht="32" customHeight="1">
      <x:c r="A36" s="2" t="str">
        <x:v>H0031</x:v>
      </x:c>
      <x:c r="B36" s="2" t="str">
        <x:v>KI12-TV01T-02</x:v>
      </x:c>
      <x:c r="C36" s="2" t="str">
        <x:v>CSAP J06</x:v>
      </x:c>
      <x:c r="D36" s="6" t="n">
        <x:v>342</x:v>
      </x:c>
      <x:c r="E36" s="6" t="n">
        <x:v>50</x:v>
      </x:c>
      <x:c r="F36" s="6" t="n">
        <x:v>-18</x:v>
      </x:c>
      <x:c r="G36" s="6" t="n">
        <x:v>0</x:v>
      </x:c>
      <x:c r="H36" s="6" t="n">
        <x:v>0</x:v>
      </x:c>
      <x:c r="I36" s="6" t="n">
        <x:v>1</x:v>
      </x:c>
      <x:c r="J36" s="6" t="n">
        <x:v>8</x:v>
      </x:c>
      <x:c r="K36" s="6" t="n">
        <x:v>12</x:v>
      </x:c>
      <x:c r="L36" s="6" t="n">
        <x:v>360</x:v>
      </x:c>
      <x:c r="M36" s="6" t="n">
        <x:v>50</x:v>
      </x:c>
      <x:c r="N36" s="6" t="n">
        <x:v>2862</x:v>
      </x:c>
      <x:c r="O36" s="6" t="n">
        <x:v>0</x:v>
      </x:c>
      <x:c r="P36" s="6" t="n">
        <x:v>0</x:v>
      </x:c>
      <x:c r="Q36" s="6" t="n">
        <x:v>1</x:v>
      </x:c>
      <x:c r="R36" s="2" t="str">
        <x:v>R12 J01-J26 / 8x30, 12+22</x:v>
      </x:c>
      <x:c r="S36" s="2" t="str">
        <x:v>TERV</x:v>
      </x:c>
    </x:row>
    <x:row r="37" ht="32" customHeight="1">
      <x:c r="A37" s="2" t="str">
        <x:v>H0032</x:v>
      </x:c>
      <x:c r="B37" s="2" t="str">
        <x:v>KI12-TV01C-01</x:v>
      </x:c>
      <x:c r="C37" s="2" t="str">
        <x:v>CSAP J06</x:v>
      </x:c>
      <x:c r="D37" s="6" t="n">
        <x:v>2294</x:v>
      </x:c>
      <x:c r="E37" s="6" t="n">
        <x:v>50</x:v>
      </x:c>
      <x:c r="F37" s="6" t="n">
        <x:v>-9</x:v>
      </x:c>
      <x:c r="G37" s="6" t="n">
        <x:v>-1</x:v>
      </x:c>
      <x:c r="H37" s="6" t="n">
        <x:v>0</x:v>
      </x:c>
      <x:c r="I37" s="6" t="n">
        <x:v>0</x:v>
      </x:c>
      <x:c r="J37" s="6" t="n">
        <x:v>8</x:v>
      </x:c>
      <x:c r="K37" s="6" t="n">
        <x:v>22</x:v>
      </x:c>
      <x:c r="L37" s="6" t="n">
        <x:v>360</x:v>
      </x:c>
      <x:c r="M37" s="6" t="n">
        <x:v>50</x:v>
      </x:c>
      <x:c r="N37" s="6" t="n">
        <x:v>2862</x:v>
      </x:c>
      <x:c r="O37" s="6" t="n">
        <x:v>0</x:v>
      </x:c>
      <x:c r="P37" s="6" t="n">
        <x:v>0</x:v>
      </x:c>
      <x:c r="Q37" s="6" t="n">
        <x:v>-1</x:v>
      </x:c>
      <x:c r="R37" s="2" t="str">
        <x:v>R12 J01-J26 / 8x30, 12+22</x:v>
      </x:c>
      <x:c r="S37" s="2" t="str">
        <x:v>TERV</x:v>
      </x:c>
    </x:row>
    <x:row r="38" ht="32" customHeight="1">
      <x:c r="A38" s="2" t="str">
        <x:v>H0033</x:v>
      </x:c>
      <x:c r="B38" s="2" t="str">
        <x:v>KI12-TV01T-02</x:v>
      </x:c>
      <x:c r="C38" s="2" t="str">
        <x:v>CSAP J06</x:v>
      </x:c>
      <x:c r="D38" s="6" t="n">
        <x:v>342</x:v>
      </x:c>
      <x:c r="E38" s="6" t="n">
        <x:v>191</x:v>
      </x:c>
      <x:c r="F38" s="6" t="n">
        <x:v>-18</x:v>
      </x:c>
      <x:c r="G38" s="6" t="n">
        <x:v>0</x:v>
      </x:c>
      <x:c r="H38" s="6" t="n">
        <x:v>0</x:v>
      </x:c>
      <x:c r="I38" s="6" t="n">
        <x:v>1</x:v>
      </x:c>
      <x:c r="J38" s="6" t="n">
        <x:v>8</x:v>
      </x:c>
      <x:c r="K38" s="6" t="n">
        <x:v>12</x:v>
      </x:c>
      <x:c r="L38" s="6" t="n">
        <x:v>360</x:v>
      </x:c>
      <x:c r="M38" s="6" t="n">
        <x:v>191</x:v>
      </x:c>
      <x:c r="N38" s="6" t="n">
        <x:v>2862</x:v>
      </x:c>
      <x:c r="O38" s="6" t="n">
        <x:v>0</x:v>
      </x:c>
      <x:c r="P38" s="6" t="n">
        <x:v>0</x:v>
      </x:c>
      <x:c r="Q38" s="6" t="n">
        <x:v>1</x:v>
      </x:c>
      <x:c r="R38" s="2" t="str">
        <x:v>R12 J01-J26 / 8x30, 12+22</x:v>
      </x:c>
      <x:c r="S38" s="2" t="str">
        <x:v>TERV</x:v>
      </x:c>
    </x:row>
    <x:row r="39" ht="32" customHeight="1">
      <x:c r="A39" s="2" t="str">
        <x:v>H0034</x:v>
      </x:c>
      <x:c r="B39" s="2" t="str">
        <x:v>KI12-TV01C-01</x:v>
      </x:c>
      <x:c r="C39" s="2" t="str">
        <x:v>CSAP J06</x:v>
      </x:c>
      <x:c r="D39" s="6" t="n">
        <x:v>2294</x:v>
      </x:c>
      <x:c r="E39" s="6" t="n">
        <x:v>191</x:v>
      </x:c>
      <x:c r="F39" s="6" t="n">
        <x:v>-9</x:v>
      </x:c>
      <x:c r="G39" s="6" t="n">
        <x:v>-1</x:v>
      </x:c>
      <x:c r="H39" s="6" t="n">
        <x:v>0</x:v>
      </x:c>
      <x:c r="I39" s="6" t="n">
        <x:v>0</x:v>
      </x:c>
      <x:c r="J39" s="6" t="n">
        <x:v>8</x:v>
      </x:c>
      <x:c r="K39" s="6" t="n">
        <x:v>22</x:v>
      </x:c>
      <x:c r="L39" s="6" t="n">
        <x:v>360</x:v>
      </x:c>
      <x:c r="M39" s="6" t="n">
        <x:v>191</x:v>
      </x:c>
      <x:c r="N39" s="6" t="n">
        <x:v>2862</x:v>
      </x:c>
      <x:c r="O39" s="6" t="n">
        <x:v>0</x:v>
      </x:c>
      <x:c r="P39" s="6" t="n">
        <x:v>0</x:v>
      </x:c>
      <x:c r="Q39" s="6" t="n">
        <x:v>-1</x:v>
      </x:c>
      <x:c r="R39" s="2" t="str">
        <x:v>R12 J01-J26 / 8x30, 12+22</x:v>
      </x:c>
      <x:c r="S39" s="2" t="str">
        <x:v>TERV</x:v>
      </x:c>
    </x:row>
    <x:row r="40" ht="32" customHeight="1">
      <x:c r="A40" s="2" t="str">
        <x:v>H0035</x:v>
      </x:c>
      <x:c r="B40" s="2" t="str">
        <x:v>KI12-TV01T-02</x:v>
      </x:c>
      <x:c r="C40" s="2" t="str">
        <x:v>CSAP J06</x:v>
      </x:c>
      <x:c r="D40" s="6" t="n">
        <x:v>342</x:v>
      </x:c>
      <x:c r="E40" s="6" t="n">
        <x:v>332</x:v>
      </x:c>
      <x:c r="F40" s="6" t="n">
        <x:v>-18</x:v>
      </x:c>
      <x:c r="G40" s="6" t="n">
        <x:v>0</x:v>
      </x:c>
      <x:c r="H40" s="6" t="n">
        <x:v>0</x:v>
      </x:c>
      <x:c r="I40" s="6" t="n">
        <x:v>1</x:v>
      </x:c>
      <x:c r="J40" s="6" t="n">
        <x:v>8</x:v>
      </x:c>
      <x:c r="K40" s="6" t="n">
        <x:v>12</x:v>
      </x:c>
      <x:c r="L40" s="6" t="n">
        <x:v>360</x:v>
      </x:c>
      <x:c r="M40" s="6" t="n">
        <x:v>332</x:v>
      </x:c>
      <x:c r="N40" s="6" t="n">
        <x:v>2862</x:v>
      </x:c>
      <x:c r="O40" s="6" t="n">
        <x:v>0</x:v>
      </x:c>
      <x:c r="P40" s="6" t="n">
        <x:v>0</x:v>
      </x:c>
      <x:c r="Q40" s="6" t="n">
        <x:v>1</x:v>
      </x:c>
      <x:c r="R40" s="2" t="str">
        <x:v>R12 J01-J26 / 8x30, 12+22</x:v>
      </x:c>
      <x:c r="S40" s="2" t="str">
        <x:v>TERV</x:v>
      </x:c>
    </x:row>
    <x:row r="41" ht="32" customHeight="1">
      <x:c r="A41" s="2" t="str">
        <x:v>H0036</x:v>
      </x:c>
      <x:c r="B41" s="2" t="str">
        <x:v>KI12-TV01C-01</x:v>
      </x:c>
      <x:c r="C41" s="2" t="str">
        <x:v>CSAP J06</x:v>
      </x:c>
      <x:c r="D41" s="6" t="n">
        <x:v>2294</x:v>
      </x:c>
      <x:c r="E41" s="6" t="n">
        <x:v>332</x:v>
      </x:c>
      <x:c r="F41" s="6" t="n">
        <x:v>-9</x:v>
      </x:c>
      <x:c r="G41" s="6" t="n">
        <x:v>-1</x:v>
      </x:c>
      <x:c r="H41" s="6" t="n">
        <x:v>0</x:v>
      </x:c>
      <x:c r="I41" s="6" t="n">
        <x:v>0</x:v>
      </x:c>
      <x:c r="J41" s="6" t="n">
        <x:v>8</x:v>
      </x:c>
      <x:c r="K41" s="6" t="n">
        <x:v>22</x:v>
      </x:c>
      <x:c r="L41" s="6" t="n">
        <x:v>360</x:v>
      </x:c>
      <x:c r="M41" s="6" t="n">
        <x:v>332</x:v>
      </x:c>
      <x:c r="N41" s="6" t="n">
        <x:v>2862</x:v>
      </x:c>
      <x:c r="O41" s="6" t="n">
        <x:v>0</x:v>
      </x:c>
      <x:c r="P41" s="6" t="n">
        <x:v>0</x:v>
      </x:c>
      <x:c r="Q41" s="6" t="n">
        <x:v>-1</x:v>
      </x:c>
      <x:c r="R41" s="2" t="str">
        <x:v>R12 J01-J26 / 8x30, 12+22</x:v>
      </x:c>
      <x:c r="S41" s="2" t="str">
        <x:v>TERV</x:v>
      </x:c>
    </x:row>
    <x:row r="42" ht="32" customHeight="1">
      <x:c r="A42" s="2" t="str">
        <x:v>H0037</x:v>
      </x:c>
      <x:c r="B42" s="2" t="str">
        <x:v>KI12-TV02S-01</x:v>
      </x:c>
      <x:c r="C42" s="2" t="str">
        <x:v>CSAP J07</x:v>
      </x:c>
      <x:c r="D42" s="6" t="n">
        <x:v>9</x:v>
      </x:c>
      <x:c r="E42" s="6" t="n">
        <x:v>50</x:v>
      </x:c>
      <x:c r="F42" s="6" t="n">
        <x:v>-18</x:v>
      </x:c>
      <x:c r="G42" s="6" t="n">
        <x:v>0</x:v>
      </x:c>
      <x:c r="H42" s="6" t="n">
        <x:v>0</x:v>
      </x:c>
      <x:c r="I42" s="6" t="n">
        <x:v>1</x:v>
      </x:c>
      <x:c r="J42" s="6" t="n">
        <x:v>8</x:v>
      </x:c>
      <x:c r="K42" s="6" t="n">
        <x:v>12</x:v>
      </x:c>
      <x:c r="L42" s="6" t="n">
        <x:v>18</x:v>
      </x:c>
      <x:c r="M42" s="6" t="n">
        <x:v>50</x:v>
      </x:c>
      <x:c r="N42" s="6" t="n">
        <x:v>159</x:v>
      </x:c>
      <x:c r="O42" s="6" t="n">
        <x:v>-1</x:v>
      </x:c>
      <x:c r="P42" s="6" t="n">
        <x:v>0</x:v>
      </x:c>
      <x:c r="Q42" s="6" t="n">
        <x:v>0</x:v>
      </x:c>
      <x:c r="R42" s="2" t="str">
        <x:v>R12 J01-J26 / 8x30, 12+22</x:v>
      </x:c>
      <x:c r="S42" s="2" t="str">
        <x:v>TERV</x:v>
      </x:c>
    </x:row>
    <x:row r="43" ht="32" customHeight="1">
      <x:c r="A43" s="2" t="str">
        <x:v>H0038</x:v>
      </x:c>
      <x:c r="B43" s="2" t="str">
        <x:v>KI12-TV02T1-01</x:v>
      </x:c>
      <x:c r="C43" s="2" t="str">
        <x:v>CSAP J07</x:v>
      </x:c>
      <x:c r="D43" s="6" t="n">
        <x:v>0</x:v>
      </x:c>
      <x:c r="E43" s="6" t="n">
        <x:v>50</x:v>
      </x:c>
      <x:c r="F43" s="6" t="n">
        <x:v>-9</x:v>
      </x:c>
      <x:c r="G43" s="6" t="n">
        <x:v>1</x:v>
      </x:c>
      <x:c r="H43" s="6" t="n">
        <x:v>0</x:v>
      </x:c>
      <x:c r="I43" s="6" t="n">
        <x:v>0</x:v>
      </x:c>
      <x:c r="J43" s="6" t="n">
        <x:v>8</x:v>
      </x:c>
      <x:c r="K43" s="6" t="n">
        <x:v>22</x:v>
      </x:c>
      <x:c r="L43" s="6" t="n">
        <x:v>18</x:v>
      </x:c>
      <x:c r="M43" s="6" t="n">
        <x:v>50</x:v>
      </x:c>
      <x:c r="N43" s="6" t="n">
        <x:v>159</x:v>
      </x:c>
      <x:c r="O43" s="6" t="n">
        <x:v>1</x:v>
      </x:c>
      <x:c r="P43" s="6" t="n">
        <x:v>0</x:v>
      </x:c>
      <x:c r="Q43" s="6" t="n">
        <x:v>0</x:v>
      </x:c>
      <x:c r="R43" s="2" t="str">
        <x:v>R12 J01-J26 / 8x30, 12+22</x:v>
      </x:c>
      <x:c r="S43" s="2" t="str">
        <x:v>TERV</x:v>
      </x:c>
    </x:row>
    <x:row r="44" ht="32" customHeight="1">
      <x:c r="A44" s="2" t="str">
        <x:v>H0039</x:v>
      </x:c>
      <x:c r="B44" s="2" t="str">
        <x:v>KI12-TV02S-01</x:v>
      </x:c>
      <x:c r="C44" s="2" t="str">
        <x:v>CSAP J07</x:v>
      </x:c>
      <x:c r="D44" s="6" t="n">
        <x:v>9</x:v>
      </x:c>
      <x:c r="E44" s="6" t="n">
        <x:v>191</x:v>
      </x:c>
      <x:c r="F44" s="6" t="n">
        <x:v>-18</x:v>
      </x:c>
      <x:c r="G44" s="6" t="n">
        <x:v>0</x:v>
      </x:c>
      <x:c r="H44" s="6" t="n">
        <x:v>0</x:v>
      </x:c>
      <x:c r="I44" s="6" t="n">
        <x:v>1</x:v>
      </x:c>
      <x:c r="J44" s="6" t="n">
        <x:v>8</x:v>
      </x:c>
      <x:c r="K44" s="6" t="n">
        <x:v>12</x:v>
      </x:c>
      <x:c r="L44" s="6" t="n">
        <x:v>18</x:v>
      </x:c>
      <x:c r="M44" s="6" t="n">
        <x:v>191</x:v>
      </x:c>
      <x:c r="N44" s="6" t="n">
        <x:v>159</x:v>
      </x:c>
      <x:c r="O44" s="6" t="n">
        <x:v>-1</x:v>
      </x:c>
      <x:c r="P44" s="6" t="n">
        <x:v>0</x:v>
      </x:c>
      <x:c r="Q44" s="6" t="n">
        <x:v>0</x:v>
      </x:c>
      <x:c r="R44" s="2" t="str">
        <x:v>R12 J01-J26 / 8x30, 12+22</x:v>
      </x:c>
      <x:c r="S44" s="2" t="str">
        <x:v>TERV</x:v>
      </x:c>
    </x:row>
    <x:row r="45" ht="32" customHeight="1">
      <x:c r="A45" s="2" t="str">
        <x:v>H0040</x:v>
      </x:c>
      <x:c r="B45" s="2" t="str">
        <x:v>KI12-TV02T1-01</x:v>
      </x:c>
      <x:c r="C45" s="2" t="str">
        <x:v>CSAP J07</x:v>
      </x:c>
      <x:c r="D45" s="6" t="n">
        <x:v>0</x:v>
      </x:c>
      <x:c r="E45" s="6" t="n">
        <x:v>191</x:v>
      </x:c>
      <x:c r="F45" s="6" t="n">
        <x:v>-9</x:v>
      </x:c>
      <x:c r="G45" s="6" t="n">
        <x:v>1</x:v>
      </x:c>
      <x:c r="H45" s="6" t="n">
        <x:v>0</x:v>
      </x:c>
      <x:c r="I45" s="6" t="n">
        <x:v>0</x:v>
      </x:c>
      <x:c r="J45" s="6" t="n">
        <x:v>8</x:v>
      </x:c>
      <x:c r="K45" s="6" t="n">
        <x:v>22</x:v>
      </x:c>
      <x:c r="L45" s="6" t="n">
        <x:v>18</x:v>
      </x:c>
      <x:c r="M45" s="6" t="n">
        <x:v>191</x:v>
      </x:c>
      <x:c r="N45" s="6" t="n">
        <x:v>159</x:v>
      </x:c>
      <x:c r="O45" s="6" t="n">
        <x:v>1</x:v>
      </x:c>
      <x:c r="P45" s="6" t="n">
        <x:v>0</x:v>
      </x:c>
      <x:c r="Q45" s="6" t="n">
        <x:v>0</x:v>
      </x:c>
      <x:c r="R45" s="2" t="str">
        <x:v>R12 J01-J26 / 8x30, 12+22</x:v>
      </x:c>
      <x:c r="S45" s="2" t="str">
        <x:v>TERV</x:v>
      </x:c>
    </x:row>
    <x:row r="46" ht="32" customHeight="1">
      <x:c r="A46" s="2" t="str">
        <x:v>H0041</x:v>
      </x:c>
      <x:c r="B46" s="2" t="str">
        <x:v>KI12-TV02S-01</x:v>
      </x:c>
      <x:c r="C46" s="2" t="str">
        <x:v>CSAP J07</x:v>
      </x:c>
      <x:c r="D46" s="6" t="n">
        <x:v>9</x:v>
      </x:c>
      <x:c r="E46" s="6" t="n">
        <x:v>332</x:v>
      </x:c>
      <x:c r="F46" s="6" t="n">
        <x:v>-18</x:v>
      </x:c>
      <x:c r="G46" s="6" t="n">
        <x:v>0</x:v>
      </x:c>
      <x:c r="H46" s="6" t="n">
        <x:v>0</x:v>
      </x:c>
      <x:c r="I46" s="6" t="n">
        <x:v>1</x:v>
      </x:c>
      <x:c r="J46" s="6" t="n">
        <x:v>8</x:v>
      </x:c>
      <x:c r="K46" s="6" t="n">
        <x:v>12</x:v>
      </x:c>
      <x:c r="L46" s="6" t="n">
        <x:v>18</x:v>
      </x:c>
      <x:c r="M46" s="6" t="n">
        <x:v>332</x:v>
      </x:c>
      <x:c r="N46" s="6" t="n">
        <x:v>159</x:v>
      </x:c>
      <x:c r="O46" s="6" t="n">
        <x:v>-1</x:v>
      </x:c>
      <x:c r="P46" s="6" t="n">
        <x:v>0</x:v>
      </x:c>
      <x:c r="Q46" s="6" t="n">
        <x:v>0</x:v>
      </x:c>
      <x:c r="R46" s="2" t="str">
        <x:v>R12 J01-J26 / 8x30, 12+22</x:v>
      </x:c>
      <x:c r="S46" s="2" t="str">
        <x:v>TERV</x:v>
      </x:c>
    </x:row>
    <x:row r="47" ht="32" customHeight="1">
      <x:c r="A47" s="2" t="str">
        <x:v>H0042</x:v>
      </x:c>
      <x:c r="B47" s="2" t="str">
        <x:v>KI12-TV02T1-01</x:v>
      </x:c>
      <x:c r="C47" s="2" t="str">
        <x:v>CSAP J07</x:v>
      </x:c>
      <x:c r="D47" s="6" t="n">
        <x:v>0</x:v>
      </x:c>
      <x:c r="E47" s="6" t="n">
        <x:v>332</x:v>
      </x:c>
      <x:c r="F47" s="6" t="n">
        <x:v>-9</x:v>
      </x:c>
      <x:c r="G47" s="6" t="n">
        <x:v>1</x:v>
      </x:c>
      <x:c r="H47" s="6" t="n">
        <x:v>0</x:v>
      </x:c>
      <x:c r="I47" s="6" t="n">
        <x:v>0</x:v>
      </x:c>
      <x:c r="J47" s="6" t="n">
        <x:v>8</x:v>
      </x:c>
      <x:c r="K47" s="6" t="n">
        <x:v>22</x:v>
      </x:c>
      <x:c r="L47" s="6" t="n">
        <x:v>18</x:v>
      </x:c>
      <x:c r="M47" s="6" t="n">
        <x:v>332</x:v>
      </x:c>
      <x:c r="N47" s="6" t="n">
        <x:v>159</x:v>
      </x:c>
      <x:c r="O47" s="6" t="n">
        <x:v>1</x:v>
      </x:c>
      <x:c r="P47" s="6" t="n">
        <x:v>0</x:v>
      </x:c>
      <x:c r="Q47" s="6" t="n">
        <x:v>0</x:v>
      </x:c>
      <x:c r="R47" s="2" t="str">
        <x:v>R12 J01-J26 / 8x30, 12+22</x:v>
      </x:c>
      <x:c r="S47" s="2" t="str">
        <x:v>TERV</x:v>
      </x:c>
    </x:row>
    <x:row r="48" ht="32" customHeight="1">
      <x:c r="A48" s="2" t="str">
        <x:v>H0043</x:v>
      </x:c>
      <x:c r="B48" s="2" t="str">
        <x:v>KI12-TV02CAP-01</x:v>
      </x:c>
      <x:c r="C48" s="2" t="str">
        <x:v>CSAP J08</x:v>
      </x:c>
      <x:c r="D48" s="6" t="n">
        <x:v>9</x:v>
      </x:c>
      <x:c r="E48" s="6" t="n">
        <x:v>50</x:v>
      </x:c>
      <x:c r="F48" s="6" t="n">
        <x:v>-18</x:v>
      </x:c>
      <x:c r="G48" s="6" t="n">
        <x:v>0</x:v>
      </x:c>
      <x:c r="H48" s="6" t="n">
        <x:v>0</x:v>
      </x:c>
      <x:c r="I48" s="6" t="n">
        <x:v>1</x:v>
      </x:c>
      <x:c r="J48" s="6" t="n">
        <x:v>8</x:v>
      </x:c>
      <x:c r="K48" s="6" t="n">
        <x:v>12</x:v>
      </x:c>
      <x:c r="L48" s="6" t="n">
        <x:v>9</x:v>
      </x:c>
      <x:c r="M48" s="6" t="n">
        <x:v>50</x:v>
      </x:c>
      <x:c r="N48" s="6" t="n">
        <x:v>532</x:v>
      </x:c>
      <x:c r="O48" s="6" t="n">
        <x:v>0</x:v>
      </x:c>
      <x:c r="P48" s="6" t="n">
        <x:v>0</x:v>
      </x:c>
      <x:c r="Q48" s="6" t="n">
        <x:v>1</x:v>
      </x:c>
      <x:c r="R48" s="2" t="str">
        <x:v>R12 J01-J26 / 8x30, 12+22</x:v>
      </x:c>
      <x:c r="S48" s="2" t="str">
        <x:v>TERV</x:v>
      </x:c>
    </x:row>
    <x:row r="49" ht="32" customHeight="1">
      <x:c r="A49" s="2" t="str">
        <x:v>H0044</x:v>
      </x:c>
      <x:c r="B49" s="2" t="str">
        <x:v>KI12-TV02S-01</x:v>
      </x:c>
      <x:c r="C49" s="2" t="str">
        <x:v>CSAP J08</x:v>
      </x:c>
      <x:c r="D49" s="6" t="n">
        <x:v>382</x:v>
      </x:c>
      <x:c r="E49" s="6" t="n">
        <x:v>50</x:v>
      </x:c>
      <x:c r="F49" s="6" t="n">
        <x:v>-9</x:v>
      </x:c>
      <x:c r="G49" s="6" t="n">
        <x:v>-1</x:v>
      </x:c>
      <x:c r="H49" s="6" t="n">
        <x:v>0</x:v>
      </x:c>
      <x:c r="I49" s="6" t="n">
        <x:v>0</x:v>
      </x:c>
      <x:c r="J49" s="6" t="n">
        <x:v>8</x:v>
      </x:c>
      <x:c r="K49" s="6" t="n">
        <x:v>22</x:v>
      </x:c>
      <x:c r="L49" s="6" t="n">
        <x:v>9</x:v>
      </x:c>
      <x:c r="M49" s="6" t="n">
        <x:v>50</x:v>
      </x:c>
      <x:c r="N49" s="6" t="n">
        <x:v>532</x:v>
      </x:c>
      <x:c r="O49" s="6" t="n">
        <x:v>0</x:v>
      </x:c>
      <x:c r="P49" s="6" t="n">
        <x:v>0</x:v>
      </x:c>
      <x:c r="Q49" s="6" t="n">
        <x:v>-1</x:v>
      </x:c>
      <x:c r="R49" s="2" t="str">
        <x:v>R12 J01-J26 / 8x30, 12+22</x:v>
      </x:c>
      <x:c r="S49" s="2" t="str">
        <x:v>TERV</x:v>
      </x:c>
    </x:row>
    <x:row r="50" ht="32" customHeight="1">
      <x:c r="A50" s="2" t="str">
        <x:v>H0045</x:v>
      </x:c>
      <x:c r="B50" s="2" t="str">
        <x:v>KI12-TV02CAP-01</x:v>
      </x:c>
      <x:c r="C50" s="2" t="str">
        <x:v>CSAP J08</x:v>
      </x:c>
      <x:c r="D50" s="6" t="n">
        <x:v>9</x:v>
      </x:c>
      <x:c r="E50" s="6" t="n">
        <x:v>191</x:v>
      </x:c>
      <x:c r="F50" s="6" t="n">
        <x:v>-18</x:v>
      </x:c>
      <x:c r="G50" s="6" t="n">
        <x:v>0</x:v>
      </x:c>
      <x:c r="H50" s="6" t="n">
        <x:v>0</x:v>
      </x:c>
      <x:c r="I50" s="6" t="n">
        <x:v>1</x:v>
      </x:c>
      <x:c r="J50" s="6" t="n">
        <x:v>8</x:v>
      </x:c>
      <x:c r="K50" s="6" t="n">
        <x:v>12</x:v>
      </x:c>
      <x:c r="L50" s="6" t="n">
        <x:v>9</x:v>
      </x:c>
      <x:c r="M50" s="6" t="n">
        <x:v>191</x:v>
      </x:c>
      <x:c r="N50" s="6" t="n">
        <x:v>532</x:v>
      </x:c>
      <x:c r="O50" s="6" t="n">
        <x:v>0</x:v>
      </x:c>
      <x:c r="P50" s="6" t="n">
        <x:v>0</x:v>
      </x:c>
      <x:c r="Q50" s="6" t="n">
        <x:v>1</x:v>
      </x:c>
      <x:c r="R50" s="2" t="str">
        <x:v>R12 J01-J26 / 8x30, 12+22</x:v>
      </x:c>
      <x:c r="S50" s="2" t="str">
        <x:v>TERV</x:v>
      </x:c>
    </x:row>
    <x:row r="51" ht="32" customHeight="1">
      <x:c r="A51" s="2" t="str">
        <x:v>H0046</x:v>
      </x:c>
      <x:c r="B51" s="2" t="str">
        <x:v>KI12-TV02S-01</x:v>
      </x:c>
      <x:c r="C51" s="2" t="str">
        <x:v>CSAP J08</x:v>
      </x:c>
      <x:c r="D51" s="6" t="n">
        <x:v>382</x:v>
      </x:c>
      <x:c r="E51" s="6" t="n">
        <x:v>191</x:v>
      </x:c>
      <x:c r="F51" s="6" t="n">
        <x:v>-9</x:v>
      </x:c>
      <x:c r="G51" s="6" t="n">
        <x:v>-1</x:v>
      </x:c>
      <x:c r="H51" s="6" t="n">
        <x:v>0</x:v>
      </x:c>
      <x:c r="I51" s="6" t="n">
        <x:v>0</x:v>
      </x:c>
      <x:c r="J51" s="6" t="n">
        <x:v>8</x:v>
      </x:c>
      <x:c r="K51" s="6" t="n">
        <x:v>22</x:v>
      </x:c>
      <x:c r="L51" s="6" t="n">
        <x:v>9</x:v>
      </x:c>
      <x:c r="M51" s="6" t="n">
        <x:v>191</x:v>
      </x:c>
      <x:c r="N51" s="6" t="n">
        <x:v>532</x:v>
      </x:c>
      <x:c r="O51" s="6" t="n">
        <x:v>0</x:v>
      </x:c>
      <x:c r="P51" s="6" t="n">
        <x:v>0</x:v>
      </x:c>
      <x:c r="Q51" s="6" t="n">
        <x:v>-1</x:v>
      </x:c>
      <x:c r="R51" s="2" t="str">
        <x:v>R12 J01-J26 / 8x30, 12+22</x:v>
      </x:c>
      <x:c r="S51" s="2" t="str">
        <x:v>TERV</x:v>
      </x:c>
    </x:row>
    <x:row r="52" ht="32" customHeight="1">
      <x:c r="A52" s="2" t="str">
        <x:v>H0047</x:v>
      </x:c>
      <x:c r="B52" s="2" t="str">
        <x:v>KI12-TV02CAP-01</x:v>
      </x:c>
      <x:c r="C52" s="2" t="str">
        <x:v>CSAP J08</x:v>
      </x:c>
      <x:c r="D52" s="6" t="n">
        <x:v>9</x:v>
      </x:c>
      <x:c r="E52" s="6" t="n">
        <x:v>332</x:v>
      </x:c>
      <x:c r="F52" s="6" t="n">
        <x:v>-18</x:v>
      </x:c>
      <x:c r="G52" s="6" t="n">
        <x:v>0</x:v>
      </x:c>
      <x:c r="H52" s="6" t="n">
        <x:v>0</x:v>
      </x:c>
      <x:c r="I52" s="6" t="n">
        <x:v>1</x:v>
      </x:c>
      <x:c r="J52" s="6" t="n">
        <x:v>8</x:v>
      </x:c>
      <x:c r="K52" s="6" t="n">
        <x:v>12</x:v>
      </x:c>
      <x:c r="L52" s="6" t="n">
        <x:v>9</x:v>
      </x:c>
      <x:c r="M52" s="6" t="n">
        <x:v>332</x:v>
      </x:c>
      <x:c r="N52" s="6" t="n">
        <x:v>532</x:v>
      </x:c>
      <x:c r="O52" s="6" t="n">
        <x:v>0</x:v>
      </x:c>
      <x:c r="P52" s="6" t="n">
        <x:v>0</x:v>
      </x:c>
      <x:c r="Q52" s="6" t="n">
        <x:v>1</x:v>
      </x:c>
      <x:c r="R52" s="2" t="str">
        <x:v>R12 J01-J26 / 8x30, 12+22</x:v>
      </x:c>
      <x:c r="S52" s="2" t="str">
        <x:v>TERV</x:v>
      </x:c>
    </x:row>
    <x:row r="53" ht="32" customHeight="1">
      <x:c r="A53" s="2" t="str">
        <x:v>H0048</x:v>
      </x:c>
      <x:c r="B53" s="2" t="str">
        <x:v>KI12-TV02S-01</x:v>
      </x:c>
      <x:c r="C53" s="2" t="str">
        <x:v>CSAP J08</x:v>
      </x:c>
      <x:c r="D53" s="6" t="n">
        <x:v>382</x:v>
      </x:c>
      <x:c r="E53" s="6" t="n">
        <x:v>332</x:v>
      </x:c>
      <x:c r="F53" s="6" t="n">
        <x:v>-9</x:v>
      </x:c>
      <x:c r="G53" s="6" t="n">
        <x:v>-1</x:v>
      </x:c>
      <x:c r="H53" s="6" t="n">
        <x:v>0</x:v>
      </x:c>
      <x:c r="I53" s="6" t="n">
        <x:v>0</x:v>
      </x:c>
      <x:c r="J53" s="6" t="n">
        <x:v>8</x:v>
      </x:c>
      <x:c r="K53" s="6" t="n">
        <x:v>22</x:v>
      </x:c>
      <x:c r="L53" s="6" t="n">
        <x:v>9</x:v>
      </x:c>
      <x:c r="M53" s="6" t="n">
        <x:v>332</x:v>
      </x:c>
      <x:c r="N53" s="6" t="n">
        <x:v>532</x:v>
      </x:c>
      <x:c r="O53" s="6" t="n">
        <x:v>0</x:v>
      </x:c>
      <x:c r="P53" s="6" t="n">
        <x:v>0</x:v>
      </x:c>
      <x:c r="Q53" s="6" t="n">
        <x:v>-1</x:v>
      </x:c>
      <x:c r="R53" s="2" t="str">
        <x:v>R12 J01-J26 / 8x30, 12+22</x:v>
      </x:c>
      <x:c r="S53" s="2" t="str">
        <x:v>TERV</x:v>
      </x:c>
    </x:row>
    <x:row r="54" ht="32" customHeight="1">
      <x:c r="A54" s="2" t="str">
        <x:v>H0049</x:v>
      </x:c>
      <x:c r="B54" s="2" t="str">
        <x:v>KI12-TV02S-02</x:v>
      </x:c>
      <x:c r="C54" s="2" t="str">
        <x:v>CSAP J09</x:v>
      </x:c>
      <x:c r="D54" s="6" t="n">
        <x:v>9</x:v>
      </x:c>
      <x:c r="E54" s="6" t="n">
        <x:v>50</x:v>
      </x:c>
      <x:c r="F54" s="6" t="n">
        <x:v>0</x:v>
      </x:c>
      <x:c r="G54" s="6" t="n">
        <x:v>0</x:v>
      </x:c>
      <x:c r="H54" s="6" t="n">
        <x:v>0</x:v>
      </x:c>
      <x:c r="I54" s="6" t="n">
        <x:v>-1</x:v>
      </x:c>
      <x:c r="J54" s="6" t="n">
        <x:v>8</x:v>
      </x:c>
      <x:c r="K54" s="6" t="n">
        <x:v>12</x:v>
      </x:c>
      <x:c r="L54" s="6" t="n">
        <x:v>702</x:v>
      </x:c>
      <x:c r="M54" s="6" t="n">
        <x:v>50</x:v>
      </x:c>
      <x:c r="N54" s="6" t="n">
        <x:v>159</x:v>
      </x:c>
      <x:c r="O54" s="6" t="n">
        <x:v>1</x:v>
      </x:c>
      <x:c r="P54" s="6" t="n">
        <x:v>0</x:v>
      </x:c>
      <x:c r="Q54" s="6" t="n">
        <x:v>0</x:v>
      </x:c>
      <x:c r="R54" s="2" t="str">
        <x:v>R12 J01-J26 / 8x30, 12+22</x:v>
      </x:c>
      <x:c r="S54" s="2" t="str">
        <x:v>TERV</x:v>
      </x:c>
    </x:row>
    <x:row r="55" ht="32" customHeight="1">
      <x:c r="A55" s="2" t="str">
        <x:v>H0050</x:v>
      </x:c>
      <x:c r="B55" s="2" t="str">
        <x:v>KI12-TV02T1-01</x:v>
      </x:c>
      <x:c r="C55" s="2" t="str">
        <x:v>CSAP J09</x:v>
      </x:c>
      <x:c r="D55" s="6" t="n">
        <x:v>684</x:v>
      </x:c>
      <x:c r="E55" s="6" t="n">
        <x:v>50</x:v>
      </x:c>
      <x:c r="F55" s="6" t="n">
        <x:v>-9</x:v>
      </x:c>
      <x:c r="G55" s="6" t="n">
        <x:v>-1</x:v>
      </x:c>
      <x:c r="H55" s="6" t="n">
        <x:v>0</x:v>
      </x:c>
      <x:c r="I55" s="6" t="n">
        <x:v>0</x:v>
      </x:c>
      <x:c r="J55" s="6" t="n">
        <x:v>8</x:v>
      </x:c>
      <x:c r="K55" s="6" t="n">
        <x:v>22</x:v>
      </x:c>
      <x:c r="L55" s="6" t="n">
        <x:v>702</x:v>
      </x:c>
      <x:c r="M55" s="6" t="n">
        <x:v>50</x:v>
      </x:c>
      <x:c r="N55" s="6" t="n">
        <x:v>159</x:v>
      </x:c>
      <x:c r="O55" s="6" t="n">
        <x:v>-1</x:v>
      </x:c>
      <x:c r="P55" s="6" t="n">
        <x:v>0</x:v>
      </x:c>
      <x:c r="Q55" s="6" t="n">
        <x:v>0</x:v>
      </x:c>
      <x:c r="R55" s="2" t="str">
        <x:v>R12 J01-J26 / 8x30, 12+22</x:v>
      </x:c>
      <x:c r="S55" s="2" t="str">
        <x:v>TERV</x:v>
      </x:c>
    </x:row>
    <x:row r="56" ht="32" customHeight="1">
      <x:c r="A56" s="2" t="str">
        <x:v>H0051</x:v>
      </x:c>
      <x:c r="B56" s="2" t="str">
        <x:v>KI12-TV02S-02</x:v>
      </x:c>
      <x:c r="C56" s="2" t="str">
        <x:v>CSAP J09</x:v>
      </x:c>
      <x:c r="D56" s="6" t="n">
        <x:v>9</x:v>
      </x:c>
      <x:c r="E56" s="6" t="n">
        <x:v>191</x:v>
      </x:c>
      <x:c r="F56" s="6" t="n">
        <x:v>0</x:v>
      </x:c>
      <x:c r="G56" s="6" t="n">
        <x:v>0</x:v>
      </x:c>
      <x:c r="H56" s="6" t="n">
        <x:v>0</x:v>
      </x:c>
      <x:c r="I56" s="6" t="n">
        <x:v>-1</x:v>
      </x:c>
      <x:c r="J56" s="6" t="n">
        <x:v>8</x:v>
      </x:c>
      <x:c r="K56" s="6" t="n">
        <x:v>12</x:v>
      </x:c>
      <x:c r="L56" s="6" t="n">
        <x:v>702</x:v>
      </x:c>
      <x:c r="M56" s="6" t="n">
        <x:v>191</x:v>
      </x:c>
      <x:c r="N56" s="6" t="n">
        <x:v>159</x:v>
      </x:c>
      <x:c r="O56" s="6" t="n">
        <x:v>1</x:v>
      </x:c>
      <x:c r="P56" s="6" t="n">
        <x:v>0</x:v>
      </x:c>
      <x:c r="Q56" s="6" t="n">
        <x:v>0</x:v>
      </x:c>
      <x:c r="R56" s="2" t="str">
        <x:v>R12 J01-J26 / 8x30, 12+22</x:v>
      </x:c>
      <x:c r="S56" s="2" t="str">
        <x:v>TERV</x:v>
      </x:c>
    </x:row>
    <x:row r="57" ht="32" customHeight="1">
      <x:c r="A57" s="2" t="str">
        <x:v>H0052</x:v>
      </x:c>
      <x:c r="B57" s="2" t="str">
        <x:v>KI12-TV02T1-01</x:v>
      </x:c>
      <x:c r="C57" s="2" t="str">
        <x:v>CSAP J09</x:v>
      </x:c>
      <x:c r="D57" s="6" t="n">
        <x:v>684</x:v>
      </x:c>
      <x:c r="E57" s="6" t="n">
        <x:v>191</x:v>
      </x:c>
      <x:c r="F57" s="6" t="n">
        <x:v>-9</x:v>
      </x:c>
      <x:c r="G57" s="6" t="n">
        <x:v>-1</x:v>
      </x:c>
      <x:c r="H57" s="6" t="n">
        <x:v>0</x:v>
      </x:c>
      <x:c r="I57" s="6" t="n">
        <x:v>0</x:v>
      </x:c>
      <x:c r="J57" s="6" t="n">
        <x:v>8</x:v>
      </x:c>
      <x:c r="K57" s="6" t="n">
        <x:v>22</x:v>
      </x:c>
      <x:c r="L57" s="6" t="n">
        <x:v>702</x:v>
      </x:c>
      <x:c r="M57" s="6" t="n">
        <x:v>191</x:v>
      </x:c>
      <x:c r="N57" s="6" t="n">
        <x:v>159</x:v>
      </x:c>
      <x:c r="O57" s="6" t="n">
        <x:v>-1</x:v>
      </x:c>
      <x:c r="P57" s="6" t="n">
        <x:v>0</x:v>
      </x:c>
      <x:c r="Q57" s="6" t="n">
        <x:v>0</x:v>
      </x:c>
      <x:c r="R57" s="2" t="str">
        <x:v>R12 J01-J26 / 8x30, 12+22</x:v>
      </x:c>
      <x:c r="S57" s="2" t="str">
        <x:v>TERV</x:v>
      </x:c>
    </x:row>
    <x:row r="58" ht="32" customHeight="1">
      <x:c r="A58" s="2" t="str">
        <x:v>H0053</x:v>
      </x:c>
      <x:c r="B58" s="2" t="str">
        <x:v>KI12-TV02S-02</x:v>
      </x:c>
      <x:c r="C58" s="2" t="str">
        <x:v>CSAP J09</x:v>
      </x:c>
      <x:c r="D58" s="6" t="n">
        <x:v>9</x:v>
      </x:c>
      <x:c r="E58" s="6" t="n">
        <x:v>332</x:v>
      </x:c>
      <x:c r="F58" s="6" t="n">
        <x:v>0</x:v>
      </x:c>
      <x:c r="G58" s="6" t="n">
        <x:v>0</x:v>
      </x:c>
      <x:c r="H58" s="6" t="n">
        <x:v>0</x:v>
      </x:c>
      <x:c r="I58" s="6" t="n">
        <x:v>-1</x:v>
      </x:c>
      <x:c r="J58" s="6" t="n">
        <x:v>8</x:v>
      </x:c>
      <x:c r="K58" s="6" t="n">
        <x:v>12</x:v>
      </x:c>
      <x:c r="L58" s="6" t="n">
        <x:v>702</x:v>
      </x:c>
      <x:c r="M58" s="6" t="n">
        <x:v>332</x:v>
      </x:c>
      <x:c r="N58" s="6" t="n">
        <x:v>159</x:v>
      </x:c>
      <x:c r="O58" s="6" t="n">
        <x:v>1</x:v>
      </x:c>
      <x:c r="P58" s="6" t="n">
        <x:v>0</x:v>
      </x:c>
      <x:c r="Q58" s="6" t="n">
        <x:v>0</x:v>
      </x:c>
      <x:c r="R58" s="2" t="str">
        <x:v>R12 J01-J26 / 8x30, 12+22</x:v>
      </x:c>
      <x:c r="S58" s="2" t="str">
        <x:v>TERV</x:v>
      </x:c>
    </x:row>
    <x:row r="59" ht="32" customHeight="1">
      <x:c r="A59" s="2" t="str">
        <x:v>H0054</x:v>
      </x:c>
      <x:c r="B59" s="2" t="str">
        <x:v>KI12-TV02T1-01</x:v>
      </x:c>
      <x:c r="C59" s="2" t="str">
        <x:v>CSAP J09</x:v>
      </x:c>
      <x:c r="D59" s="6" t="n">
        <x:v>684</x:v>
      </x:c>
      <x:c r="E59" s="6" t="n">
        <x:v>332</x:v>
      </x:c>
      <x:c r="F59" s="6" t="n">
        <x:v>-9</x:v>
      </x:c>
      <x:c r="G59" s="6" t="n">
        <x:v>-1</x:v>
      </x:c>
      <x:c r="H59" s="6" t="n">
        <x:v>0</x:v>
      </x:c>
      <x:c r="I59" s="6" t="n">
        <x:v>0</x:v>
      </x:c>
      <x:c r="J59" s="6" t="n">
        <x:v>8</x:v>
      </x:c>
      <x:c r="K59" s="6" t="n">
        <x:v>22</x:v>
      </x:c>
      <x:c r="L59" s="6" t="n">
        <x:v>702</x:v>
      </x:c>
      <x:c r="M59" s="6" t="n">
        <x:v>332</x:v>
      </x:c>
      <x:c r="N59" s="6" t="n">
        <x:v>159</x:v>
      </x:c>
      <x:c r="O59" s="6" t="n">
        <x:v>-1</x:v>
      </x:c>
      <x:c r="P59" s="6" t="n">
        <x:v>0</x:v>
      </x:c>
      <x:c r="Q59" s="6" t="n">
        <x:v>0</x:v>
      </x:c>
      <x:c r="R59" s="2" t="str">
        <x:v>R12 J01-J26 / 8x30, 12+22</x:v>
      </x:c>
      <x:c r="S59" s="2" t="str">
        <x:v>TERV</x:v>
      </x:c>
    </x:row>
    <x:row r="60" ht="32" customHeight="1">
      <x:c r="A60" s="2" t="str">
        <x:v>H0055</x:v>
      </x:c>
      <x:c r="B60" s="2" t="str">
        <x:v>KI12-TV02CAP-01</x:v>
      </x:c>
      <x:c r="C60" s="2" t="str">
        <x:v>CSAP J10</x:v>
      </x:c>
      <x:c r="D60" s="6" t="n">
        <x:v>711</x:v>
      </x:c>
      <x:c r="E60" s="6" t="n">
        <x:v>50</x:v>
      </x:c>
      <x:c r="F60" s="6" t="n">
        <x:v>-18</x:v>
      </x:c>
      <x:c r="G60" s="6" t="n">
        <x:v>0</x:v>
      </x:c>
      <x:c r="H60" s="6" t="n">
        <x:v>0</x:v>
      </x:c>
      <x:c r="I60" s="6" t="n">
        <x:v>1</x:v>
      </x:c>
      <x:c r="J60" s="6" t="n">
        <x:v>8</x:v>
      </x:c>
      <x:c r="K60" s="6" t="n">
        <x:v>12</x:v>
      </x:c>
      <x:c r="L60" s="6" t="n">
        <x:v>711</x:v>
      </x:c>
      <x:c r="M60" s="6" t="n">
        <x:v>50</x:v>
      </x:c>
      <x:c r="N60" s="6" t="n">
        <x:v>532</x:v>
      </x:c>
      <x:c r="O60" s="6" t="n">
        <x:v>0</x:v>
      </x:c>
      <x:c r="P60" s="6" t="n">
        <x:v>0</x:v>
      </x:c>
      <x:c r="Q60" s="6" t="n">
        <x:v>1</x:v>
      </x:c>
      <x:c r="R60" s="2" t="str">
        <x:v>R12 J01-J26 / 8x30, 12+22</x:v>
      </x:c>
      <x:c r="S60" s="2" t="str">
        <x:v>TERV</x:v>
      </x:c>
    </x:row>
    <x:row r="61" ht="32" customHeight="1">
      <x:c r="A61" s="2" t="str">
        <x:v>H0056</x:v>
      </x:c>
      <x:c r="B61" s="2" t="str">
        <x:v>KI12-TV02S-02</x:v>
      </x:c>
      <x:c r="C61" s="2" t="str">
        <x:v>CSAP J10</x:v>
      </x:c>
      <x:c r="D61" s="6" t="n">
        <x:v>382</x:v>
      </x:c>
      <x:c r="E61" s="6" t="n">
        <x:v>50</x:v>
      </x:c>
      <x:c r="F61" s="6" t="n">
        <x:v>-9</x:v>
      </x:c>
      <x:c r="G61" s="6" t="n">
        <x:v>-1</x:v>
      </x:c>
      <x:c r="H61" s="6" t="n">
        <x:v>0</x:v>
      </x:c>
      <x:c r="I61" s="6" t="n">
        <x:v>0</x:v>
      </x:c>
      <x:c r="J61" s="6" t="n">
        <x:v>8</x:v>
      </x:c>
      <x:c r="K61" s="6" t="n">
        <x:v>22</x:v>
      </x:c>
      <x:c r="L61" s="6" t="n">
        <x:v>711</x:v>
      </x:c>
      <x:c r="M61" s="6" t="n">
        <x:v>50</x:v>
      </x:c>
      <x:c r="N61" s="6" t="n">
        <x:v>532</x:v>
      </x:c>
      <x:c r="O61" s="6" t="n">
        <x:v>0</x:v>
      </x:c>
      <x:c r="P61" s="6" t="n">
        <x:v>0</x:v>
      </x:c>
      <x:c r="Q61" s="6" t="n">
        <x:v>-1</x:v>
      </x:c>
      <x:c r="R61" s="2" t="str">
        <x:v>R12 J01-J26 / 8x30, 12+22</x:v>
      </x:c>
      <x:c r="S61" s="2" t="str">
        <x:v>TERV</x:v>
      </x:c>
    </x:row>
    <x:row r="62" ht="32" customHeight="1">
      <x:c r="A62" s="2" t="str">
        <x:v>H0057</x:v>
      </x:c>
      <x:c r="B62" s="2" t="str">
        <x:v>KI12-TV02CAP-01</x:v>
      </x:c>
      <x:c r="C62" s="2" t="str">
        <x:v>CSAP J10</x:v>
      </x:c>
      <x:c r="D62" s="6" t="n">
        <x:v>711</x:v>
      </x:c>
      <x:c r="E62" s="6" t="n">
        <x:v>191</x:v>
      </x:c>
      <x:c r="F62" s="6" t="n">
        <x:v>-18</x:v>
      </x:c>
      <x:c r="G62" s="6" t="n">
        <x:v>0</x:v>
      </x:c>
      <x:c r="H62" s="6" t="n">
        <x:v>0</x:v>
      </x:c>
      <x:c r="I62" s="6" t="n">
        <x:v>1</x:v>
      </x:c>
      <x:c r="J62" s="6" t="n">
        <x:v>8</x:v>
      </x:c>
      <x:c r="K62" s="6" t="n">
        <x:v>12</x:v>
      </x:c>
      <x:c r="L62" s="6" t="n">
        <x:v>711</x:v>
      </x:c>
      <x:c r="M62" s="6" t="n">
        <x:v>191</x:v>
      </x:c>
      <x:c r="N62" s="6" t="n">
        <x:v>532</x:v>
      </x:c>
      <x:c r="O62" s="6" t="n">
        <x:v>0</x:v>
      </x:c>
      <x:c r="P62" s="6" t="n">
        <x:v>0</x:v>
      </x:c>
      <x:c r="Q62" s="6" t="n">
        <x:v>1</x:v>
      </x:c>
      <x:c r="R62" s="2" t="str">
        <x:v>R12 J01-J26 / 8x30, 12+22</x:v>
      </x:c>
      <x:c r="S62" s="2" t="str">
        <x:v>TERV</x:v>
      </x:c>
    </x:row>
    <x:row r="63" ht="32" customHeight="1">
      <x:c r="A63" s="2" t="str">
        <x:v>H0058</x:v>
      </x:c>
      <x:c r="B63" s="2" t="str">
        <x:v>KI12-TV02S-02</x:v>
      </x:c>
      <x:c r="C63" s="2" t="str">
        <x:v>CSAP J10</x:v>
      </x:c>
      <x:c r="D63" s="6" t="n">
        <x:v>382</x:v>
      </x:c>
      <x:c r="E63" s="6" t="n">
        <x:v>191</x:v>
      </x:c>
      <x:c r="F63" s="6" t="n">
        <x:v>-9</x:v>
      </x:c>
      <x:c r="G63" s="6" t="n">
        <x:v>-1</x:v>
      </x:c>
      <x:c r="H63" s="6" t="n">
        <x:v>0</x:v>
      </x:c>
      <x:c r="I63" s="6" t="n">
        <x:v>0</x:v>
      </x:c>
      <x:c r="J63" s="6" t="n">
        <x:v>8</x:v>
      </x:c>
      <x:c r="K63" s="6" t="n">
        <x:v>22</x:v>
      </x:c>
      <x:c r="L63" s="6" t="n">
        <x:v>711</x:v>
      </x:c>
      <x:c r="M63" s="6" t="n">
        <x:v>191</x:v>
      </x:c>
      <x:c r="N63" s="6" t="n">
        <x:v>532</x:v>
      </x:c>
      <x:c r="O63" s="6" t="n">
        <x:v>0</x:v>
      </x:c>
      <x:c r="P63" s="6" t="n">
        <x:v>0</x:v>
      </x:c>
      <x:c r="Q63" s="6" t="n">
        <x:v>-1</x:v>
      </x:c>
      <x:c r="R63" s="2" t="str">
        <x:v>R12 J01-J26 / 8x30, 12+22</x:v>
      </x:c>
      <x:c r="S63" s="2" t="str">
        <x:v>TERV</x:v>
      </x:c>
    </x:row>
    <x:row r="64" ht="32" customHeight="1">
      <x:c r="A64" s="2" t="str">
        <x:v>H0059</x:v>
      </x:c>
      <x:c r="B64" s="2" t="str">
        <x:v>KI12-TV02CAP-01</x:v>
      </x:c>
      <x:c r="C64" s="2" t="str">
        <x:v>CSAP J10</x:v>
      </x:c>
      <x:c r="D64" s="6" t="n">
        <x:v>711</x:v>
      </x:c>
      <x:c r="E64" s="6" t="n">
        <x:v>332</x:v>
      </x:c>
      <x:c r="F64" s="6" t="n">
        <x:v>-18</x:v>
      </x:c>
      <x:c r="G64" s="6" t="n">
        <x:v>0</x:v>
      </x:c>
      <x:c r="H64" s="6" t="n">
        <x:v>0</x:v>
      </x:c>
      <x:c r="I64" s="6" t="n">
        <x:v>1</x:v>
      </x:c>
      <x:c r="J64" s="6" t="n">
        <x:v>8</x:v>
      </x:c>
      <x:c r="K64" s="6" t="n">
        <x:v>12</x:v>
      </x:c>
      <x:c r="L64" s="6" t="n">
        <x:v>711</x:v>
      </x:c>
      <x:c r="M64" s="6" t="n">
        <x:v>332</x:v>
      </x:c>
      <x:c r="N64" s="6" t="n">
        <x:v>532</x:v>
      </x:c>
      <x:c r="O64" s="6" t="n">
        <x:v>0</x:v>
      </x:c>
      <x:c r="P64" s="6" t="n">
        <x:v>0</x:v>
      </x:c>
      <x:c r="Q64" s="6" t="n">
        <x:v>1</x:v>
      </x:c>
      <x:c r="R64" s="2" t="str">
        <x:v>R12 J01-J26 / 8x30, 12+22</x:v>
      </x:c>
      <x:c r="S64" s="2" t="str">
        <x:v>TERV</x:v>
      </x:c>
    </x:row>
    <x:row r="65" ht="32" customHeight="1">
      <x:c r="A65" s="2" t="str">
        <x:v>H0060</x:v>
      </x:c>
      <x:c r="B65" s="2" t="str">
        <x:v>KI12-TV02S-02</x:v>
      </x:c>
      <x:c r="C65" s="2" t="str">
        <x:v>CSAP J10</x:v>
      </x:c>
      <x:c r="D65" s="6" t="n">
        <x:v>382</x:v>
      </x:c>
      <x:c r="E65" s="6" t="n">
        <x:v>332</x:v>
      </x:c>
      <x:c r="F65" s="6" t="n">
        <x:v>-9</x:v>
      </x:c>
      <x:c r="G65" s="6" t="n">
        <x:v>-1</x:v>
      </x:c>
      <x:c r="H65" s="6" t="n">
        <x:v>0</x:v>
      </x:c>
      <x:c r="I65" s="6" t="n">
        <x:v>0</x:v>
      </x:c>
      <x:c r="J65" s="6" t="n">
        <x:v>8</x:v>
      </x:c>
      <x:c r="K65" s="6" t="n">
        <x:v>22</x:v>
      </x:c>
      <x:c r="L65" s="6" t="n">
        <x:v>711</x:v>
      </x:c>
      <x:c r="M65" s="6" t="n">
        <x:v>332</x:v>
      </x:c>
      <x:c r="N65" s="6" t="n">
        <x:v>532</x:v>
      </x:c>
      <x:c r="O65" s="6" t="n">
        <x:v>0</x:v>
      </x:c>
      <x:c r="P65" s="6" t="n">
        <x:v>0</x:v>
      </x:c>
      <x:c r="Q65" s="6" t="n">
        <x:v>-1</x:v>
      </x:c>
      <x:c r="R65" s="2" t="str">
        <x:v>R12 J01-J26 / 8x30, 12+22</x:v>
      </x:c>
      <x:c r="S65" s="2" t="str">
        <x:v>TERV</x:v>
      </x:c>
    </x:row>
    <x:row r="66" ht="32" customHeight="1">
      <x:c r="A66" s="2" t="str">
        <x:v>H0061</x:v>
      </x:c>
      <x:c r="B66" s="2" t="str">
        <x:v>KI12-TV02S-03</x:v>
      </x:c>
      <x:c r="C66" s="2" t="str">
        <x:v>CSAP J11</x:v>
      </x:c>
      <x:c r="D66" s="6" t="n">
        <x:v>9</x:v>
      </x:c>
      <x:c r="E66" s="6" t="n">
        <x:v>50</x:v>
      </x:c>
      <x:c r="F66" s="6" t="n">
        <x:v>-18</x:v>
      </x:c>
      <x:c r="G66" s="6" t="n">
        <x:v>0</x:v>
      </x:c>
      <x:c r="H66" s="6" t="n">
        <x:v>0</x:v>
      </x:c>
      <x:c r="I66" s="6" t="n">
        <x:v>1</x:v>
      </x:c>
      <x:c r="J66" s="6" t="n">
        <x:v>8</x:v>
      </x:c>
      <x:c r="K66" s="6" t="n">
        <x:v>12</x:v>
      </x:c>
      <x:c r="L66" s="6" t="n">
        <x:v>858</x:v>
      </x:c>
      <x:c r="M66" s="6" t="n">
        <x:v>50</x:v>
      </x:c>
      <x:c r="N66" s="6" t="n">
        <x:v>159</x:v>
      </x:c>
      <x:c r="O66" s="6" t="n">
        <x:v>-1</x:v>
      </x:c>
      <x:c r="P66" s="6" t="n">
        <x:v>0</x:v>
      </x:c>
      <x:c r="Q66" s="6" t="n">
        <x:v>0</x:v>
      </x:c>
      <x:c r="R66" s="2" t="str">
        <x:v>R12 J01-J26 / 8x30, 12+22</x:v>
      </x:c>
      <x:c r="S66" s="2" t="str">
        <x:v>TERV</x:v>
      </x:c>
    </x:row>
    <x:row r="67" ht="32" customHeight="1">
      <x:c r="A67" s="2" t="str">
        <x:v>H0062</x:v>
      </x:c>
      <x:c r="B67" s="2" t="str">
        <x:v>KI12-TV02T2-01</x:v>
      </x:c>
      <x:c r="C67" s="2" t="str">
        <x:v>CSAP J11</x:v>
      </x:c>
      <x:c r="D67" s="6" t="n">
        <x:v>0</x:v>
      </x:c>
      <x:c r="E67" s="6" t="n">
        <x:v>50</x:v>
      </x:c>
      <x:c r="F67" s="6" t="n">
        <x:v>-9</x:v>
      </x:c>
      <x:c r="G67" s="6" t="n">
        <x:v>1</x:v>
      </x:c>
      <x:c r="H67" s="6" t="n">
        <x:v>0</x:v>
      </x:c>
      <x:c r="I67" s="6" t="n">
        <x:v>0</x:v>
      </x:c>
      <x:c r="J67" s="6" t="n">
        <x:v>8</x:v>
      </x:c>
      <x:c r="K67" s="6" t="n">
        <x:v>22</x:v>
      </x:c>
      <x:c r="L67" s="6" t="n">
        <x:v>858</x:v>
      </x:c>
      <x:c r="M67" s="6" t="n">
        <x:v>50</x:v>
      </x:c>
      <x:c r="N67" s="6" t="n">
        <x:v>159</x:v>
      </x:c>
      <x:c r="O67" s="6" t="n">
        <x:v>1</x:v>
      </x:c>
      <x:c r="P67" s="6" t="n">
        <x:v>0</x:v>
      </x:c>
      <x:c r="Q67" s="6" t="n">
        <x:v>0</x:v>
      </x:c>
      <x:c r="R67" s="2" t="str">
        <x:v>R12 J01-J26 / 8x30, 12+22</x:v>
      </x:c>
      <x:c r="S67" s="2" t="str">
        <x:v>TERV</x:v>
      </x:c>
    </x:row>
    <x:row r="68" ht="32" customHeight="1">
      <x:c r="A68" s="2" t="str">
        <x:v>H0063</x:v>
      </x:c>
      <x:c r="B68" s="2" t="str">
        <x:v>KI12-TV02S-03</x:v>
      </x:c>
      <x:c r="C68" s="2" t="str">
        <x:v>CSAP J11</x:v>
      </x:c>
      <x:c r="D68" s="6" t="n">
        <x:v>9</x:v>
      </x:c>
      <x:c r="E68" s="6" t="n">
        <x:v>191</x:v>
      </x:c>
      <x:c r="F68" s="6" t="n">
        <x:v>-18</x:v>
      </x:c>
      <x:c r="G68" s="6" t="n">
        <x:v>0</x:v>
      </x:c>
      <x:c r="H68" s="6" t="n">
        <x:v>0</x:v>
      </x:c>
      <x:c r="I68" s="6" t="n">
        <x:v>1</x:v>
      </x:c>
      <x:c r="J68" s="6" t="n">
        <x:v>8</x:v>
      </x:c>
      <x:c r="K68" s="6" t="n">
        <x:v>12</x:v>
      </x:c>
      <x:c r="L68" s="6" t="n">
        <x:v>858</x:v>
      </x:c>
      <x:c r="M68" s="6" t="n">
        <x:v>191</x:v>
      </x:c>
      <x:c r="N68" s="6" t="n">
        <x:v>159</x:v>
      </x:c>
      <x:c r="O68" s="6" t="n">
        <x:v>-1</x:v>
      </x:c>
      <x:c r="P68" s="6" t="n">
        <x:v>0</x:v>
      </x:c>
      <x:c r="Q68" s="6" t="n">
        <x:v>0</x:v>
      </x:c>
      <x:c r="R68" s="2" t="str">
        <x:v>R12 J01-J26 / 8x30, 12+22</x:v>
      </x:c>
      <x:c r="S68" s="2" t="str">
        <x:v>TERV</x:v>
      </x:c>
    </x:row>
    <x:row r="69" ht="32" customHeight="1">
      <x:c r="A69" s="2" t="str">
        <x:v>H0064</x:v>
      </x:c>
      <x:c r="B69" s="2" t="str">
        <x:v>KI12-TV02T2-01</x:v>
      </x:c>
      <x:c r="C69" s="2" t="str">
        <x:v>CSAP J11</x:v>
      </x:c>
      <x:c r="D69" s="6" t="n">
        <x:v>0</x:v>
      </x:c>
      <x:c r="E69" s="6" t="n">
        <x:v>191</x:v>
      </x:c>
      <x:c r="F69" s="6" t="n">
        <x:v>-9</x:v>
      </x:c>
      <x:c r="G69" s="6" t="n">
        <x:v>1</x:v>
      </x:c>
      <x:c r="H69" s="6" t="n">
        <x:v>0</x:v>
      </x:c>
      <x:c r="I69" s="6" t="n">
        <x:v>0</x:v>
      </x:c>
      <x:c r="J69" s="6" t="n">
        <x:v>8</x:v>
      </x:c>
      <x:c r="K69" s="6" t="n">
        <x:v>22</x:v>
      </x:c>
      <x:c r="L69" s="6" t="n">
        <x:v>858</x:v>
      </x:c>
      <x:c r="M69" s="6" t="n">
        <x:v>191</x:v>
      </x:c>
      <x:c r="N69" s="6" t="n">
        <x:v>159</x:v>
      </x:c>
      <x:c r="O69" s="6" t="n">
        <x:v>1</x:v>
      </x:c>
      <x:c r="P69" s="6" t="n">
        <x:v>0</x:v>
      </x:c>
      <x:c r="Q69" s="6" t="n">
        <x:v>0</x:v>
      </x:c>
      <x:c r="R69" s="2" t="str">
        <x:v>R12 J01-J26 / 8x30, 12+22</x:v>
      </x:c>
      <x:c r="S69" s="2" t="str">
        <x:v>TERV</x:v>
      </x:c>
    </x:row>
    <x:row r="70" ht="32" customHeight="1">
      <x:c r="A70" s="2" t="str">
        <x:v>H0065</x:v>
      </x:c>
      <x:c r="B70" s="2" t="str">
        <x:v>KI12-TV02S-03</x:v>
      </x:c>
      <x:c r="C70" s="2" t="str">
        <x:v>CSAP J11</x:v>
      </x:c>
      <x:c r="D70" s="6" t="n">
        <x:v>9</x:v>
      </x:c>
      <x:c r="E70" s="6" t="n">
        <x:v>332</x:v>
      </x:c>
      <x:c r="F70" s="6" t="n">
        <x:v>-18</x:v>
      </x:c>
      <x:c r="G70" s="6" t="n">
        <x:v>0</x:v>
      </x:c>
      <x:c r="H70" s="6" t="n">
        <x:v>0</x:v>
      </x:c>
      <x:c r="I70" s="6" t="n">
        <x:v>1</x:v>
      </x:c>
      <x:c r="J70" s="6" t="n">
        <x:v>8</x:v>
      </x:c>
      <x:c r="K70" s="6" t="n">
        <x:v>12</x:v>
      </x:c>
      <x:c r="L70" s="6" t="n">
        <x:v>858</x:v>
      </x:c>
      <x:c r="M70" s="6" t="n">
        <x:v>332</x:v>
      </x:c>
      <x:c r="N70" s="6" t="n">
        <x:v>159</x:v>
      </x:c>
      <x:c r="O70" s="6" t="n">
        <x:v>-1</x:v>
      </x:c>
      <x:c r="P70" s="6" t="n">
        <x:v>0</x:v>
      </x:c>
      <x:c r="Q70" s="6" t="n">
        <x:v>0</x:v>
      </x:c>
      <x:c r="R70" s="2" t="str">
        <x:v>R12 J01-J26 / 8x30, 12+22</x:v>
      </x:c>
      <x:c r="S70" s="2" t="str">
        <x:v>TERV</x:v>
      </x:c>
    </x:row>
    <x:row r="71" ht="32" customHeight="1">
      <x:c r="A71" s="2" t="str">
        <x:v>H0066</x:v>
      </x:c>
      <x:c r="B71" s="2" t="str">
        <x:v>KI12-TV02T2-01</x:v>
      </x:c>
      <x:c r="C71" s="2" t="str">
        <x:v>CSAP J11</x:v>
      </x:c>
      <x:c r="D71" s="6" t="n">
        <x:v>0</x:v>
      </x:c>
      <x:c r="E71" s="6" t="n">
        <x:v>332</x:v>
      </x:c>
      <x:c r="F71" s="6" t="n">
        <x:v>-9</x:v>
      </x:c>
      <x:c r="G71" s="6" t="n">
        <x:v>1</x:v>
      </x:c>
      <x:c r="H71" s="6" t="n">
        <x:v>0</x:v>
      </x:c>
      <x:c r="I71" s="6" t="n">
        <x:v>0</x:v>
      </x:c>
      <x:c r="J71" s="6" t="n">
        <x:v>8</x:v>
      </x:c>
      <x:c r="K71" s="6" t="n">
        <x:v>22</x:v>
      </x:c>
      <x:c r="L71" s="6" t="n">
        <x:v>858</x:v>
      </x:c>
      <x:c r="M71" s="6" t="n">
        <x:v>332</x:v>
      </x:c>
      <x:c r="N71" s="6" t="n">
        <x:v>159</x:v>
      </x:c>
      <x:c r="O71" s="6" t="n">
        <x:v>1</x:v>
      </x:c>
      <x:c r="P71" s="6" t="n">
        <x:v>0</x:v>
      </x:c>
      <x:c r="Q71" s="6" t="n">
        <x:v>0</x:v>
      </x:c>
      <x:c r="R71" s="2" t="str">
        <x:v>R12 J01-J26 / 8x30, 12+22</x:v>
      </x:c>
      <x:c r="S71" s="2" t="str">
        <x:v>TERV</x:v>
      </x:c>
    </x:row>
    <x:row r="72" ht="32" customHeight="1">
      <x:c r="A72" s="2" t="str">
        <x:v>H0067</x:v>
      </x:c>
      <x:c r="B72" s="2" t="str">
        <x:v>KI12-TV02CAP-01</x:v>
      </x:c>
      <x:c r="C72" s="2" t="str">
        <x:v>CSAP J12</x:v>
      </x:c>
      <x:c r="D72" s="6" t="n">
        <x:v>849</x:v>
      </x:c>
      <x:c r="E72" s="6" t="n">
        <x:v>50</x:v>
      </x:c>
      <x:c r="F72" s="6" t="n">
        <x:v>-18</x:v>
      </x:c>
      <x:c r="G72" s="6" t="n">
        <x:v>0</x:v>
      </x:c>
      <x:c r="H72" s="6" t="n">
        <x:v>0</x:v>
      </x:c>
      <x:c r="I72" s="6" t="n">
        <x:v>1</x:v>
      </x:c>
      <x:c r="J72" s="6" t="n">
        <x:v>8</x:v>
      </x:c>
      <x:c r="K72" s="6" t="n">
        <x:v>12</x:v>
      </x:c>
      <x:c r="L72" s="6" t="n">
        <x:v>849</x:v>
      </x:c>
      <x:c r="M72" s="6" t="n">
        <x:v>50</x:v>
      </x:c>
      <x:c r="N72" s="6" t="n">
        <x:v>532</x:v>
      </x:c>
      <x:c r="O72" s="6" t="n">
        <x:v>0</x:v>
      </x:c>
      <x:c r="P72" s="6" t="n">
        <x:v>0</x:v>
      </x:c>
      <x:c r="Q72" s="6" t="n">
        <x:v>1</x:v>
      </x:c>
      <x:c r="R72" s="2" t="str">
        <x:v>R12 J01-J26 / 8x30, 12+22</x:v>
      </x:c>
      <x:c r="S72" s="2" t="str">
        <x:v>TERV</x:v>
      </x:c>
    </x:row>
    <x:row r="73" ht="32" customHeight="1">
      <x:c r="A73" s="2" t="str">
        <x:v>H0068</x:v>
      </x:c>
      <x:c r="B73" s="2" t="str">
        <x:v>KI12-TV02S-03</x:v>
      </x:c>
      <x:c r="C73" s="2" t="str">
        <x:v>CSAP J12</x:v>
      </x:c>
      <x:c r="D73" s="6" t="n">
        <x:v>382</x:v>
      </x:c>
      <x:c r="E73" s="6" t="n">
        <x:v>50</x:v>
      </x:c>
      <x:c r="F73" s="6" t="n">
        <x:v>-9</x:v>
      </x:c>
      <x:c r="G73" s="6" t="n">
        <x:v>-1</x:v>
      </x:c>
      <x:c r="H73" s="6" t="n">
        <x:v>0</x:v>
      </x:c>
      <x:c r="I73" s="6" t="n">
        <x:v>0</x:v>
      </x:c>
      <x:c r="J73" s="6" t="n">
        <x:v>8</x:v>
      </x:c>
      <x:c r="K73" s="6" t="n">
        <x:v>22</x:v>
      </x:c>
      <x:c r="L73" s="6" t="n">
        <x:v>849</x:v>
      </x:c>
      <x:c r="M73" s="6" t="n">
        <x:v>50</x:v>
      </x:c>
      <x:c r="N73" s="6" t="n">
        <x:v>532</x:v>
      </x:c>
      <x:c r="O73" s="6" t="n">
        <x:v>0</x:v>
      </x:c>
      <x:c r="P73" s="6" t="n">
        <x:v>0</x:v>
      </x:c>
      <x:c r="Q73" s="6" t="n">
        <x:v>-1</x:v>
      </x:c>
      <x:c r="R73" s="2" t="str">
        <x:v>R12 J01-J26 / 8x30, 12+22</x:v>
      </x:c>
      <x:c r="S73" s="2" t="str">
        <x:v>TERV</x:v>
      </x:c>
    </x:row>
    <x:row r="74" ht="32" customHeight="1">
      <x:c r="A74" s="2" t="str">
        <x:v>H0069</x:v>
      </x:c>
      <x:c r="B74" s="2" t="str">
        <x:v>KI12-TV02CAP-01</x:v>
      </x:c>
      <x:c r="C74" s="2" t="str">
        <x:v>CSAP J12</x:v>
      </x:c>
      <x:c r="D74" s="6" t="n">
        <x:v>849</x:v>
      </x:c>
      <x:c r="E74" s="6" t="n">
        <x:v>191</x:v>
      </x:c>
      <x:c r="F74" s="6" t="n">
        <x:v>-18</x:v>
      </x:c>
      <x:c r="G74" s="6" t="n">
        <x:v>0</x:v>
      </x:c>
      <x:c r="H74" s="6" t="n">
        <x:v>0</x:v>
      </x:c>
      <x:c r="I74" s="6" t="n">
        <x:v>1</x:v>
      </x:c>
      <x:c r="J74" s="6" t="n">
        <x:v>8</x:v>
      </x:c>
      <x:c r="K74" s="6" t="n">
        <x:v>12</x:v>
      </x:c>
      <x:c r="L74" s="6" t="n">
        <x:v>849</x:v>
      </x:c>
      <x:c r="M74" s="6" t="n">
        <x:v>191</x:v>
      </x:c>
      <x:c r="N74" s="6" t="n">
        <x:v>532</x:v>
      </x:c>
      <x:c r="O74" s="6" t="n">
        <x:v>0</x:v>
      </x:c>
      <x:c r="P74" s="6" t="n">
        <x:v>0</x:v>
      </x:c>
      <x:c r="Q74" s="6" t="n">
        <x:v>1</x:v>
      </x:c>
      <x:c r="R74" s="2" t="str">
        <x:v>R12 J01-J26 / 8x30, 12+22</x:v>
      </x:c>
      <x:c r="S74" s="2" t="str">
        <x:v>TERV</x:v>
      </x:c>
    </x:row>
    <x:row r="75" ht="32" customHeight="1">
      <x:c r="A75" s="2" t="str">
        <x:v>H0070</x:v>
      </x:c>
      <x:c r="B75" s="2" t="str">
        <x:v>KI12-TV02S-03</x:v>
      </x:c>
      <x:c r="C75" s="2" t="str">
        <x:v>CSAP J12</x:v>
      </x:c>
      <x:c r="D75" s="6" t="n">
        <x:v>382</x:v>
      </x:c>
      <x:c r="E75" s="6" t="n">
        <x:v>191</x:v>
      </x:c>
      <x:c r="F75" s="6" t="n">
        <x:v>-9</x:v>
      </x:c>
      <x:c r="G75" s="6" t="n">
        <x:v>-1</x:v>
      </x:c>
      <x:c r="H75" s="6" t="n">
        <x:v>0</x:v>
      </x:c>
      <x:c r="I75" s="6" t="n">
        <x:v>0</x:v>
      </x:c>
      <x:c r="J75" s="6" t="n">
        <x:v>8</x:v>
      </x:c>
      <x:c r="K75" s="6" t="n">
        <x:v>22</x:v>
      </x:c>
      <x:c r="L75" s="6" t="n">
        <x:v>849</x:v>
      </x:c>
      <x:c r="M75" s="6" t="n">
        <x:v>191</x:v>
      </x:c>
      <x:c r="N75" s="6" t="n">
        <x:v>532</x:v>
      </x:c>
      <x:c r="O75" s="6" t="n">
        <x:v>0</x:v>
      </x:c>
      <x:c r="P75" s="6" t="n">
        <x:v>0</x:v>
      </x:c>
      <x:c r="Q75" s="6" t="n">
        <x:v>-1</x:v>
      </x:c>
      <x:c r="R75" s="2" t="str">
        <x:v>R12 J01-J26 / 8x30, 12+22</x:v>
      </x:c>
      <x:c r="S75" s="2" t="str">
        <x:v>TERV</x:v>
      </x:c>
    </x:row>
    <x:row r="76" ht="32" customHeight="1">
      <x:c r="A76" s="2" t="str">
        <x:v>H0071</x:v>
      </x:c>
      <x:c r="B76" s="2" t="str">
        <x:v>KI12-TV02CAP-01</x:v>
      </x:c>
      <x:c r="C76" s="2" t="str">
        <x:v>CSAP J12</x:v>
      </x:c>
      <x:c r="D76" s="6" t="n">
        <x:v>849</x:v>
      </x:c>
      <x:c r="E76" s="6" t="n">
        <x:v>332</x:v>
      </x:c>
      <x:c r="F76" s="6" t="n">
        <x:v>-18</x:v>
      </x:c>
      <x:c r="G76" s="6" t="n">
        <x:v>0</x:v>
      </x:c>
      <x:c r="H76" s="6" t="n">
        <x:v>0</x:v>
      </x:c>
      <x:c r="I76" s="6" t="n">
        <x:v>1</x:v>
      </x:c>
      <x:c r="J76" s="6" t="n">
        <x:v>8</x:v>
      </x:c>
      <x:c r="K76" s="6" t="n">
        <x:v>12</x:v>
      </x:c>
      <x:c r="L76" s="6" t="n">
        <x:v>849</x:v>
      </x:c>
      <x:c r="M76" s="6" t="n">
        <x:v>332</x:v>
      </x:c>
      <x:c r="N76" s="6" t="n">
        <x:v>532</x:v>
      </x:c>
      <x:c r="O76" s="6" t="n">
        <x:v>0</x:v>
      </x:c>
      <x:c r="P76" s="6" t="n">
        <x:v>0</x:v>
      </x:c>
      <x:c r="Q76" s="6" t="n">
        <x:v>1</x:v>
      </x:c>
      <x:c r="R76" s="2" t="str">
        <x:v>R12 J01-J26 / 8x30, 12+22</x:v>
      </x:c>
      <x:c r="S76" s="2" t="str">
        <x:v>TERV</x:v>
      </x:c>
    </x:row>
    <x:row r="77" ht="32" customHeight="1">
      <x:c r="A77" s="2" t="str">
        <x:v>H0072</x:v>
      </x:c>
      <x:c r="B77" s="2" t="str">
        <x:v>KI12-TV02S-03</x:v>
      </x:c>
      <x:c r="C77" s="2" t="str">
        <x:v>CSAP J12</x:v>
      </x:c>
      <x:c r="D77" s="6" t="n">
        <x:v>382</x:v>
      </x:c>
      <x:c r="E77" s="6" t="n">
        <x:v>332</x:v>
      </x:c>
      <x:c r="F77" s="6" t="n">
        <x:v>-9</x:v>
      </x:c>
      <x:c r="G77" s="6" t="n">
        <x:v>-1</x:v>
      </x:c>
      <x:c r="H77" s="6" t="n">
        <x:v>0</x:v>
      </x:c>
      <x:c r="I77" s="6" t="n">
        <x:v>0</x:v>
      </x:c>
      <x:c r="J77" s="6" t="n">
        <x:v>8</x:v>
      </x:c>
      <x:c r="K77" s="6" t="n">
        <x:v>22</x:v>
      </x:c>
      <x:c r="L77" s="6" t="n">
        <x:v>849</x:v>
      </x:c>
      <x:c r="M77" s="6" t="n">
        <x:v>332</x:v>
      </x:c>
      <x:c r="N77" s="6" t="n">
        <x:v>532</x:v>
      </x:c>
      <x:c r="O77" s="6" t="n">
        <x:v>0</x:v>
      </x:c>
      <x:c r="P77" s="6" t="n">
        <x:v>0</x:v>
      </x:c>
      <x:c r="Q77" s="6" t="n">
        <x:v>-1</x:v>
      </x:c>
      <x:c r="R77" s="2" t="str">
        <x:v>R12 J01-J26 / 8x30, 12+22</x:v>
      </x:c>
      <x:c r="S77" s="2" t="str">
        <x:v>TERV</x:v>
      </x:c>
    </x:row>
    <x:row r="78" ht="32" customHeight="1">
      <x:c r="A78" s="2" t="str">
        <x:v>H0073</x:v>
      </x:c>
      <x:c r="B78" s="2" t="str">
        <x:v>KI12-TV02S-04</x:v>
      </x:c>
      <x:c r="C78" s="2" t="str">
        <x:v>CSAP J13</x:v>
      </x:c>
      <x:c r="D78" s="6" t="n">
        <x:v>9</x:v>
      </x:c>
      <x:c r="E78" s="6" t="n">
        <x:v>50</x:v>
      </x:c>
      <x:c r="F78" s="6" t="n">
        <x:v>0</x:v>
      </x:c>
      <x:c r="G78" s="6" t="n">
        <x:v>0</x:v>
      </x:c>
      <x:c r="H78" s="6" t="n">
        <x:v>0</x:v>
      </x:c>
      <x:c r="I78" s="6" t="n">
        <x:v>-1</x:v>
      </x:c>
      <x:c r="J78" s="6" t="n">
        <x:v>8</x:v>
      </x:c>
      <x:c r="K78" s="6" t="n">
        <x:v>12</x:v>
      </x:c>
      <x:c r="L78" s="6" t="n">
        <x:v>1512</x:v>
      </x:c>
      <x:c r="M78" s="6" t="n">
        <x:v>50</x:v>
      </x:c>
      <x:c r="N78" s="6" t="n">
        <x:v>159</x:v>
      </x:c>
      <x:c r="O78" s="6" t="n">
        <x:v>1</x:v>
      </x:c>
      <x:c r="P78" s="6" t="n">
        <x:v>0</x:v>
      </x:c>
      <x:c r="Q78" s="6" t="n">
        <x:v>0</x:v>
      </x:c>
      <x:c r="R78" s="2" t="str">
        <x:v>R12 J01-J26 / 8x30, 12+22</x:v>
      </x:c>
      <x:c r="S78" s="2" t="str">
        <x:v>TERV</x:v>
      </x:c>
    </x:row>
    <x:row r="79" ht="32" customHeight="1">
      <x:c r="A79" s="2" t="str">
        <x:v>H0074</x:v>
      </x:c>
      <x:c r="B79" s="2" t="str">
        <x:v>KI12-TV02T2-01</x:v>
      </x:c>
      <x:c r="C79" s="2" t="str">
        <x:v>CSAP J13</x:v>
      </x:c>
      <x:c r="D79" s="6" t="n">
        <x:v>654</x:v>
      </x:c>
      <x:c r="E79" s="6" t="n">
        <x:v>50</x:v>
      </x:c>
      <x:c r="F79" s="6" t="n">
        <x:v>-9</x:v>
      </x:c>
      <x:c r="G79" s="6" t="n">
        <x:v>-1</x:v>
      </x:c>
      <x:c r="H79" s="6" t="n">
        <x:v>0</x:v>
      </x:c>
      <x:c r="I79" s="6" t="n">
        <x:v>0</x:v>
      </x:c>
      <x:c r="J79" s="6" t="n">
        <x:v>8</x:v>
      </x:c>
      <x:c r="K79" s="6" t="n">
        <x:v>22</x:v>
      </x:c>
      <x:c r="L79" s="6" t="n">
        <x:v>1512</x:v>
      </x:c>
      <x:c r="M79" s="6" t="n">
        <x:v>50</x:v>
      </x:c>
      <x:c r="N79" s="6" t="n">
        <x:v>159</x:v>
      </x:c>
      <x:c r="O79" s="6" t="n">
        <x:v>-1</x:v>
      </x:c>
      <x:c r="P79" s="6" t="n">
        <x:v>0</x:v>
      </x:c>
      <x:c r="Q79" s="6" t="n">
        <x:v>0</x:v>
      </x:c>
      <x:c r="R79" s="2" t="str">
        <x:v>R12 J01-J26 / 8x30, 12+22</x:v>
      </x:c>
      <x:c r="S79" s="2" t="str">
        <x:v>TERV</x:v>
      </x:c>
    </x:row>
    <x:row r="80" ht="32" customHeight="1">
      <x:c r="A80" s="2" t="str">
        <x:v>H0075</x:v>
      </x:c>
      <x:c r="B80" s="2" t="str">
        <x:v>KI12-TV02S-04</x:v>
      </x:c>
      <x:c r="C80" s="2" t="str">
        <x:v>CSAP J13</x:v>
      </x:c>
      <x:c r="D80" s="6" t="n">
        <x:v>9</x:v>
      </x:c>
      <x:c r="E80" s="6" t="n">
        <x:v>191</x:v>
      </x:c>
      <x:c r="F80" s="6" t="n">
        <x:v>0</x:v>
      </x:c>
      <x:c r="G80" s="6" t="n">
        <x:v>0</x:v>
      </x:c>
      <x:c r="H80" s="6" t="n">
        <x:v>0</x:v>
      </x:c>
      <x:c r="I80" s="6" t="n">
        <x:v>-1</x:v>
      </x:c>
      <x:c r="J80" s="6" t="n">
        <x:v>8</x:v>
      </x:c>
      <x:c r="K80" s="6" t="n">
        <x:v>12</x:v>
      </x:c>
      <x:c r="L80" s="6" t="n">
        <x:v>1512</x:v>
      </x:c>
      <x:c r="M80" s="6" t="n">
        <x:v>191</x:v>
      </x:c>
      <x:c r="N80" s="6" t="n">
        <x:v>159</x:v>
      </x:c>
      <x:c r="O80" s="6" t="n">
        <x:v>1</x:v>
      </x:c>
      <x:c r="P80" s="6" t="n">
        <x:v>0</x:v>
      </x:c>
      <x:c r="Q80" s="6" t="n">
        <x:v>0</x:v>
      </x:c>
      <x:c r="R80" s="2" t="str">
        <x:v>R12 J01-J26 / 8x30, 12+22</x:v>
      </x:c>
      <x:c r="S80" s="2" t="str">
        <x:v>TERV</x:v>
      </x:c>
    </x:row>
    <x:row r="81" ht="32" customHeight="1">
      <x:c r="A81" s="2" t="str">
        <x:v>H0076</x:v>
      </x:c>
      <x:c r="B81" s="2" t="str">
        <x:v>KI12-TV02T2-01</x:v>
      </x:c>
      <x:c r="C81" s="2" t="str">
        <x:v>CSAP J13</x:v>
      </x:c>
      <x:c r="D81" s="6" t="n">
        <x:v>654</x:v>
      </x:c>
      <x:c r="E81" s="6" t="n">
        <x:v>191</x:v>
      </x:c>
      <x:c r="F81" s="6" t="n">
        <x:v>-9</x:v>
      </x:c>
      <x:c r="G81" s="6" t="n">
        <x:v>-1</x:v>
      </x:c>
      <x:c r="H81" s="6" t="n">
        <x:v>0</x:v>
      </x:c>
      <x:c r="I81" s="6" t="n">
        <x:v>0</x:v>
      </x:c>
      <x:c r="J81" s="6" t="n">
        <x:v>8</x:v>
      </x:c>
      <x:c r="K81" s="6" t="n">
        <x:v>22</x:v>
      </x:c>
      <x:c r="L81" s="6" t="n">
        <x:v>1512</x:v>
      </x:c>
      <x:c r="M81" s="6" t="n">
        <x:v>191</x:v>
      </x:c>
      <x:c r="N81" s="6" t="n">
        <x:v>159</x:v>
      </x:c>
      <x:c r="O81" s="6" t="n">
        <x:v>-1</x:v>
      </x:c>
      <x:c r="P81" s="6" t="n">
        <x:v>0</x:v>
      </x:c>
      <x:c r="Q81" s="6" t="n">
        <x:v>0</x:v>
      </x:c>
      <x:c r="R81" s="2" t="str">
        <x:v>R12 J01-J26 / 8x30, 12+22</x:v>
      </x:c>
      <x:c r="S81" s="2" t="str">
        <x:v>TERV</x:v>
      </x:c>
    </x:row>
    <x:row r="82" ht="32" customHeight="1">
      <x:c r="A82" s="2" t="str">
        <x:v>H0077</x:v>
      </x:c>
      <x:c r="B82" s="2" t="str">
        <x:v>KI12-TV02S-04</x:v>
      </x:c>
      <x:c r="C82" s="2" t="str">
        <x:v>CSAP J13</x:v>
      </x:c>
      <x:c r="D82" s="6" t="n">
        <x:v>9</x:v>
      </x:c>
      <x:c r="E82" s="6" t="n">
        <x:v>332</x:v>
      </x:c>
      <x:c r="F82" s="6" t="n">
        <x:v>0</x:v>
      </x:c>
      <x:c r="G82" s="6" t="n">
        <x:v>0</x:v>
      </x:c>
      <x:c r="H82" s="6" t="n">
        <x:v>0</x:v>
      </x:c>
      <x:c r="I82" s="6" t="n">
        <x:v>-1</x:v>
      </x:c>
      <x:c r="J82" s="6" t="n">
        <x:v>8</x:v>
      </x:c>
      <x:c r="K82" s="6" t="n">
        <x:v>12</x:v>
      </x:c>
      <x:c r="L82" s="6" t="n">
        <x:v>1512</x:v>
      </x:c>
      <x:c r="M82" s="6" t="n">
        <x:v>332</x:v>
      </x:c>
      <x:c r="N82" s="6" t="n">
        <x:v>159</x:v>
      </x:c>
      <x:c r="O82" s="6" t="n">
        <x:v>1</x:v>
      </x:c>
      <x:c r="P82" s="6" t="n">
        <x:v>0</x:v>
      </x:c>
      <x:c r="Q82" s="6" t="n">
        <x:v>0</x:v>
      </x:c>
      <x:c r="R82" s="2" t="str">
        <x:v>R12 J01-J26 / 8x30, 12+22</x:v>
      </x:c>
      <x:c r="S82" s="2" t="str">
        <x:v>TERV</x:v>
      </x:c>
    </x:row>
    <x:row r="83" ht="32" customHeight="1">
      <x:c r="A83" s="2" t="str">
        <x:v>H0078</x:v>
      </x:c>
      <x:c r="B83" s="2" t="str">
        <x:v>KI12-TV02T2-01</x:v>
      </x:c>
      <x:c r="C83" s="2" t="str">
        <x:v>CSAP J13</x:v>
      </x:c>
      <x:c r="D83" s="6" t="n">
        <x:v>654</x:v>
      </x:c>
      <x:c r="E83" s="6" t="n">
        <x:v>332</x:v>
      </x:c>
      <x:c r="F83" s="6" t="n">
        <x:v>-9</x:v>
      </x:c>
      <x:c r="G83" s="6" t="n">
        <x:v>-1</x:v>
      </x:c>
      <x:c r="H83" s="6" t="n">
        <x:v>0</x:v>
      </x:c>
      <x:c r="I83" s="6" t="n">
        <x:v>0</x:v>
      </x:c>
      <x:c r="J83" s="6" t="n">
        <x:v>8</x:v>
      </x:c>
      <x:c r="K83" s="6" t="n">
        <x:v>22</x:v>
      </x:c>
      <x:c r="L83" s="6" t="n">
        <x:v>1512</x:v>
      </x:c>
      <x:c r="M83" s="6" t="n">
        <x:v>332</x:v>
      </x:c>
      <x:c r="N83" s="6" t="n">
        <x:v>159</x:v>
      </x:c>
      <x:c r="O83" s="6" t="n">
        <x:v>-1</x:v>
      </x:c>
      <x:c r="P83" s="6" t="n">
        <x:v>0</x:v>
      </x:c>
      <x:c r="Q83" s="6" t="n">
        <x:v>0</x:v>
      </x:c>
      <x:c r="R83" s="2" t="str">
        <x:v>R12 J01-J26 / 8x30, 12+22</x:v>
      </x:c>
      <x:c r="S83" s="2" t="str">
        <x:v>TERV</x:v>
      </x:c>
    </x:row>
    <x:row r="84" ht="32" customHeight="1">
      <x:c r="A84" s="2" t="str">
        <x:v>H0079</x:v>
      </x:c>
      <x:c r="B84" s="2" t="str">
        <x:v>KI12-TV02CAP-01</x:v>
      </x:c>
      <x:c r="C84" s="2" t="str">
        <x:v>CSAP J14</x:v>
      </x:c>
      <x:c r="D84" s="6" t="n">
        <x:v>1521</x:v>
      </x:c>
      <x:c r="E84" s="6" t="n">
        <x:v>50</x:v>
      </x:c>
      <x:c r="F84" s="6" t="n">
        <x:v>-18</x:v>
      </x:c>
      <x:c r="G84" s="6" t="n">
        <x:v>0</x:v>
      </x:c>
      <x:c r="H84" s="6" t="n">
        <x:v>0</x:v>
      </x:c>
      <x:c r="I84" s="6" t="n">
        <x:v>1</x:v>
      </x:c>
      <x:c r="J84" s="6" t="n">
        <x:v>8</x:v>
      </x:c>
      <x:c r="K84" s="6" t="n">
        <x:v>12</x:v>
      </x:c>
      <x:c r="L84" s="6" t="n">
        <x:v>1521</x:v>
      </x:c>
      <x:c r="M84" s="6" t="n">
        <x:v>50</x:v>
      </x:c>
      <x:c r="N84" s="6" t="n">
        <x:v>532</x:v>
      </x:c>
      <x:c r="O84" s="6" t="n">
        <x:v>0</x:v>
      </x:c>
      <x:c r="P84" s="6" t="n">
        <x:v>0</x:v>
      </x:c>
      <x:c r="Q84" s="6" t="n">
        <x:v>1</x:v>
      </x:c>
      <x:c r="R84" s="2" t="str">
        <x:v>R12 J01-J26 / 8x30, 12+22</x:v>
      </x:c>
      <x:c r="S84" s="2" t="str">
        <x:v>TERV</x:v>
      </x:c>
    </x:row>
    <x:row r="85" ht="32" customHeight="1">
      <x:c r="A85" s="2" t="str">
        <x:v>H0080</x:v>
      </x:c>
      <x:c r="B85" s="2" t="str">
        <x:v>KI12-TV02S-04</x:v>
      </x:c>
      <x:c r="C85" s="2" t="str">
        <x:v>CSAP J14</x:v>
      </x:c>
      <x:c r="D85" s="6" t="n">
        <x:v>382</x:v>
      </x:c>
      <x:c r="E85" s="6" t="n">
        <x:v>50</x:v>
      </x:c>
      <x:c r="F85" s="6" t="n">
        <x:v>-9</x:v>
      </x:c>
      <x:c r="G85" s="6" t="n">
        <x:v>-1</x:v>
      </x:c>
      <x:c r="H85" s="6" t="n">
        <x:v>0</x:v>
      </x:c>
      <x:c r="I85" s="6" t="n">
        <x:v>0</x:v>
      </x:c>
      <x:c r="J85" s="6" t="n">
        <x:v>8</x:v>
      </x:c>
      <x:c r="K85" s="6" t="n">
        <x:v>22</x:v>
      </x:c>
      <x:c r="L85" s="6" t="n">
        <x:v>1521</x:v>
      </x:c>
      <x:c r="M85" s="6" t="n">
        <x:v>50</x:v>
      </x:c>
      <x:c r="N85" s="6" t="n">
        <x:v>532</x:v>
      </x:c>
      <x:c r="O85" s="6" t="n">
        <x:v>0</x:v>
      </x:c>
      <x:c r="P85" s="6" t="n">
        <x:v>0</x:v>
      </x:c>
      <x:c r="Q85" s="6" t="n">
        <x:v>-1</x:v>
      </x:c>
      <x:c r="R85" s="2" t="str">
        <x:v>R12 J01-J26 / 8x30, 12+22</x:v>
      </x:c>
      <x:c r="S85" s="2" t="str">
        <x:v>TERV</x:v>
      </x:c>
    </x:row>
    <x:row r="86" ht="32" customHeight="1">
      <x:c r="A86" s="2" t="str">
        <x:v>H0081</x:v>
      </x:c>
      <x:c r="B86" s="2" t="str">
        <x:v>KI12-TV02CAP-01</x:v>
      </x:c>
      <x:c r="C86" s="2" t="str">
        <x:v>CSAP J14</x:v>
      </x:c>
      <x:c r="D86" s="6" t="n">
        <x:v>1521</x:v>
      </x:c>
      <x:c r="E86" s="6" t="n">
        <x:v>191</x:v>
      </x:c>
      <x:c r="F86" s="6" t="n">
        <x:v>-18</x:v>
      </x:c>
      <x:c r="G86" s="6" t="n">
        <x:v>0</x:v>
      </x:c>
      <x:c r="H86" s="6" t="n">
        <x:v>0</x:v>
      </x:c>
      <x:c r="I86" s="6" t="n">
        <x:v>1</x:v>
      </x:c>
      <x:c r="J86" s="6" t="n">
        <x:v>8</x:v>
      </x:c>
      <x:c r="K86" s="6" t="n">
        <x:v>12</x:v>
      </x:c>
      <x:c r="L86" s="6" t="n">
        <x:v>1521</x:v>
      </x:c>
      <x:c r="M86" s="6" t="n">
        <x:v>191</x:v>
      </x:c>
      <x:c r="N86" s="6" t="n">
        <x:v>532</x:v>
      </x:c>
      <x:c r="O86" s="6" t="n">
        <x:v>0</x:v>
      </x:c>
      <x:c r="P86" s="6" t="n">
        <x:v>0</x:v>
      </x:c>
      <x:c r="Q86" s="6" t="n">
        <x:v>1</x:v>
      </x:c>
      <x:c r="R86" s="2" t="str">
        <x:v>R12 J01-J26 / 8x30, 12+22</x:v>
      </x:c>
      <x:c r="S86" s="2" t="str">
        <x:v>TERV</x:v>
      </x:c>
    </x:row>
    <x:row r="87" ht="32" customHeight="1">
      <x:c r="A87" s="2" t="str">
        <x:v>H0082</x:v>
      </x:c>
      <x:c r="B87" s="2" t="str">
        <x:v>KI12-TV02S-04</x:v>
      </x:c>
      <x:c r="C87" s="2" t="str">
        <x:v>CSAP J14</x:v>
      </x:c>
      <x:c r="D87" s="6" t="n">
        <x:v>382</x:v>
      </x:c>
      <x:c r="E87" s="6" t="n">
        <x:v>191</x:v>
      </x:c>
      <x:c r="F87" s="6" t="n">
        <x:v>-9</x:v>
      </x:c>
      <x:c r="G87" s="6" t="n">
        <x:v>-1</x:v>
      </x:c>
      <x:c r="H87" s="6" t="n">
        <x:v>0</x:v>
      </x:c>
      <x:c r="I87" s="6" t="n">
        <x:v>0</x:v>
      </x:c>
      <x:c r="J87" s="6" t="n">
        <x:v>8</x:v>
      </x:c>
      <x:c r="K87" s="6" t="n">
        <x:v>22</x:v>
      </x:c>
      <x:c r="L87" s="6" t="n">
        <x:v>1521</x:v>
      </x:c>
      <x:c r="M87" s="6" t="n">
        <x:v>191</x:v>
      </x:c>
      <x:c r="N87" s="6" t="n">
        <x:v>532</x:v>
      </x:c>
      <x:c r="O87" s="6" t="n">
        <x:v>0</x:v>
      </x:c>
      <x:c r="P87" s="6" t="n">
        <x:v>0</x:v>
      </x:c>
      <x:c r="Q87" s="6" t="n">
        <x:v>-1</x:v>
      </x:c>
      <x:c r="R87" s="2" t="str">
        <x:v>R12 J01-J26 / 8x30, 12+22</x:v>
      </x:c>
      <x:c r="S87" s="2" t="str">
        <x:v>TERV</x:v>
      </x:c>
    </x:row>
    <x:row r="88" ht="32" customHeight="1">
      <x:c r="A88" s="2" t="str">
        <x:v>H0083</x:v>
      </x:c>
      <x:c r="B88" s="2" t="str">
        <x:v>KI12-TV02CAP-01</x:v>
      </x:c>
      <x:c r="C88" s="2" t="str">
        <x:v>CSAP J14</x:v>
      </x:c>
      <x:c r="D88" s="6" t="n">
        <x:v>1521</x:v>
      </x:c>
      <x:c r="E88" s="6" t="n">
        <x:v>332</x:v>
      </x:c>
      <x:c r="F88" s="6" t="n">
        <x:v>-18</x:v>
      </x:c>
      <x:c r="G88" s="6" t="n">
        <x:v>0</x:v>
      </x:c>
      <x:c r="H88" s="6" t="n">
        <x:v>0</x:v>
      </x:c>
      <x:c r="I88" s="6" t="n">
        <x:v>1</x:v>
      </x:c>
      <x:c r="J88" s="6" t="n">
        <x:v>8</x:v>
      </x:c>
      <x:c r="K88" s="6" t="n">
        <x:v>12</x:v>
      </x:c>
      <x:c r="L88" s="6" t="n">
        <x:v>1521</x:v>
      </x:c>
      <x:c r="M88" s="6" t="n">
        <x:v>332</x:v>
      </x:c>
      <x:c r="N88" s="6" t="n">
        <x:v>532</x:v>
      </x:c>
      <x:c r="O88" s="6" t="n">
        <x:v>0</x:v>
      </x:c>
      <x:c r="P88" s="6" t="n">
        <x:v>0</x:v>
      </x:c>
      <x:c r="Q88" s="6" t="n">
        <x:v>1</x:v>
      </x:c>
      <x:c r="R88" s="2" t="str">
        <x:v>R12 J01-J26 / 8x30, 12+22</x:v>
      </x:c>
      <x:c r="S88" s="2" t="str">
        <x:v>TERV</x:v>
      </x:c>
    </x:row>
    <x:row r="89" ht="32" customHeight="1">
      <x:c r="A89" s="2" t="str">
        <x:v>H0084</x:v>
      </x:c>
      <x:c r="B89" s="2" t="str">
        <x:v>KI12-TV02S-04</x:v>
      </x:c>
      <x:c r="C89" s="2" t="str">
        <x:v>CSAP J14</x:v>
      </x:c>
      <x:c r="D89" s="6" t="n">
        <x:v>382</x:v>
      </x:c>
      <x:c r="E89" s="6" t="n">
        <x:v>332</x:v>
      </x:c>
      <x:c r="F89" s="6" t="n">
        <x:v>-9</x:v>
      </x:c>
      <x:c r="G89" s="6" t="n">
        <x:v>-1</x:v>
      </x:c>
      <x:c r="H89" s="6" t="n">
        <x:v>0</x:v>
      </x:c>
      <x:c r="I89" s="6" t="n">
        <x:v>0</x:v>
      </x:c>
      <x:c r="J89" s="6" t="n">
        <x:v>8</x:v>
      </x:c>
      <x:c r="K89" s="6" t="n">
        <x:v>22</x:v>
      </x:c>
      <x:c r="L89" s="6" t="n">
        <x:v>1521</x:v>
      </x:c>
      <x:c r="M89" s="6" t="n">
        <x:v>332</x:v>
      </x:c>
      <x:c r="N89" s="6" t="n">
        <x:v>532</x:v>
      </x:c>
      <x:c r="O89" s="6" t="n">
        <x:v>0</x:v>
      </x:c>
      <x:c r="P89" s="6" t="n">
        <x:v>0</x:v>
      </x:c>
      <x:c r="Q89" s="6" t="n">
        <x:v>-1</x:v>
      </x:c>
      <x:c r="R89" s="2" t="str">
        <x:v>R12 J01-J26 / 8x30, 12+22</x:v>
      </x:c>
      <x:c r="S89" s="2" t="str">
        <x:v>TERV</x:v>
      </x:c>
    </x:row>
    <x:row r="90" ht="32" customHeight="1">
      <x:c r="A90" s="2" t="str">
        <x:v>H0085</x:v>
      </x:c>
      <x:c r="B90" s="2" t="str">
        <x:v>KI12-TV02S-05</x:v>
      </x:c>
      <x:c r="C90" s="2" t="str">
        <x:v>CSAP J15</x:v>
      </x:c>
      <x:c r="D90" s="6" t="n">
        <x:v>9</x:v>
      </x:c>
      <x:c r="E90" s="6" t="n">
        <x:v>50</x:v>
      </x:c>
      <x:c r="F90" s="6" t="n">
        <x:v>-18</x:v>
      </x:c>
      <x:c r="G90" s="6" t="n">
        <x:v>0</x:v>
      </x:c>
      <x:c r="H90" s="6" t="n">
        <x:v>0</x:v>
      </x:c>
      <x:c r="I90" s="6" t="n">
        <x:v>1</x:v>
      </x:c>
      <x:c r="J90" s="6" t="n">
        <x:v>8</x:v>
      </x:c>
      <x:c r="K90" s="6" t="n">
        <x:v>12</x:v>
      </x:c>
      <x:c r="L90" s="6" t="n">
        <x:v>1548</x:v>
      </x:c>
      <x:c r="M90" s="6" t="n">
        <x:v>50</x:v>
      </x:c>
      <x:c r="N90" s="6" t="n">
        <x:v>159</x:v>
      </x:c>
      <x:c r="O90" s="6" t="n">
        <x:v>-1</x:v>
      </x:c>
      <x:c r="P90" s="6" t="n">
        <x:v>0</x:v>
      </x:c>
      <x:c r="Q90" s="6" t="n">
        <x:v>0</x:v>
      </x:c>
      <x:c r="R90" s="2" t="str">
        <x:v>R12 J01-J26 / 8x30, 12+22</x:v>
      </x:c>
      <x:c r="S90" s="2" t="str">
        <x:v>TERV</x:v>
      </x:c>
    </x:row>
    <x:row r="91" ht="32" customHeight="1">
      <x:c r="A91" s="2" t="str">
        <x:v>H0086</x:v>
      </x:c>
      <x:c r="B91" s="2" t="str">
        <x:v>KI12-TV02T2-02</x:v>
      </x:c>
      <x:c r="C91" s="2" t="str">
        <x:v>CSAP J15</x:v>
      </x:c>
      <x:c r="D91" s="6" t="n">
        <x:v>0</x:v>
      </x:c>
      <x:c r="E91" s="6" t="n">
        <x:v>50</x:v>
      </x:c>
      <x:c r="F91" s="6" t="n">
        <x:v>-9</x:v>
      </x:c>
      <x:c r="G91" s="6" t="n">
        <x:v>1</x:v>
      </x:c>
      <x:c r="H91" s="6" t="n">
        <x:v>0</x:v>
      </x:c>
      <x:c r="I91" s="6" t="n">
        <x:v>0</x:v>
      </x:c>
      <x:c r="J91" s="6" t="n">
        <x:v>8</x:v>
      </x:c>
      <x:c r="K91" s="6" t="n">
        <x:v>22</x:v>
      </x:c>
      <x:c r="L91" s="6" t="n">
        <x:v>1548</x:v>
      </x:c>
      <x:c r="M91" s="6" t="n">
        <x:v>50</x:v>
      </x:c>
      <x:c r="N91" s="6" t="n">
        <x:v>159</x:v>
      </x:c>
      <x:c r="O91" s="6" t="n">
        <x:v>1</x:v>
      </x:c>
      <x:c r="P91" s="6" t="n">
        <x:v>0</x:v>
      </x:c>
      <x:c r="Q91" s="6" t="n">
        <x:v>0</x:v>
      </x:c>
      <x:c r="R91" s="2" t="str">
        <x:v>R12 J01-J26 / 8x30, 12+22</x:v>
      </x:c>
      <x:c r="S91" s="2" t="str">
        <x:v>TERV</x:v>
      </x:c>
    </x:row>
    <x:row r="92" ht="32" customHeight="1">
      <x:c r="A92" s="2" t="str">
        <x:v>H0087</x:v>
      </x:c>
      <x:c r="B92" s="2" t="str">
        <x:v>KI12-TV02S-05</x:v>
      </x:c>
      <x:c r="C92" s="2" t="str">
        <x:v>CSAP J15</x:v>
      </x:c>
      <x:c r="D92" s="6" t="n">
        <x:v>9</x:v>
      </x:c>
      <x:c r="E92" s="6" t="n">
        <x:v>191</x:v>
      </x:c>
      <x:c r="F92" s="6" t="n">
        <x:v>-18</x:v>
      </x:c>
      <x:c r="G92" s="6" t="n">
        <x:v>0</x:v>
      </x:c>
      <x:c r="H92" s="6" t="n">
        <x:v>0</x:v>
      </x:c>
      <x:c r="I92" s="6" t="n">
        <x:v>1</x:v>
      </x:c>
      <x:c r="J92" s="6" t="n">
        <x:v>8</x:v>
      </x:c>
      <x:c r="K92" s="6" t="n">
        <x:v>12</x:v>
      </x:c>
      <x:c r="L92" s="6" t="n">
        <x:v>1548</x:v>
      </x:c>
      <x:c r="M92" s="6" t="n">
        <x:v>191</x:v>
      </x:c>
      <x:c r="N92" s="6" t="n">
        <x:v>159</x:v>
      </x:c>
      <x:c r="O92" s="6" t="n">
        <x:v>-1</x:v>
      </x:c>
      <x:c r="P92" s="6" t="n">
        <x:v>0</x:v>
      </x:c>
      <x:c r="Q92" s="6" t="n">
        <x:v>0</x:v>
      </x:c>
      <x:c r="R92" s="2" t="str">
        <x:v>R12 J01-J26 / 8x30, 12+22</x:v>
      </x:c>
      <x:c r="S92" s="2" t="str">
        <x:v>TERV</x:v>
      </x:c>
    </x:row>
    <x:row r="93" ht="32" customHeight="1">
      <x:c r="A93" s="2" t="str">
        <x:v>H0088</x:v>
      </x:c>
      <x:c r="B93" s="2" t="str">
        <x:v>KI12-TV02T2-02</x:v>
      </x:c>
      <x:c r="C93" s="2" t="str">
        <x:v>CSAP J15</x:v>
      </x:c>
      <x:c r="D93" s="6" t="n">
        <x:v>0</x:v>
      </x:c>
      <x:c r="E93" s="6" t="n">
        <x:v>191</x:v>
      </x:c>
      <x:c r="F93" s="6" t="n">
        <x:v>-9</x:v>
      </x:c>
      <x:c r="G93" s="6" t="n">
        <x:v>1</x:v>
      </x:c>
      <x:c r="H93" s="6" t="n">
        <x:v>0</x:v>
      </x:c>
      <x:c r="I93" s="6" t="n">
        <x:v>0</x:v>
      </x:c>
      <x:c r="J93" s="6" t="n">
        <x:v>8</x:v>
      </x:c>
      <x:c r="K93" s="6" t="n">
        <x:v>22</x:v>
      </x:c>
      <x:c r="L93" s="6" t="n">
        <x:v>1548</x:v>
      </x:c>
      <x:c r="M93" s="6" t="n">
        <x:v>191</x:v>
      </x:c>
      <x:c r="N93" s="6" t="n">
        <x:v>159</x:v>
      </x:c>
      <x:c r="O93" s="6" t="n">
        <x:v>1</x:v>
      </x:c>
      <x:c r="P93" s="6" t="n">
        <x:v>0</x:v>
      </x:c>
      <x:c r="Q93" s="6" t="n">
        <x:v>0</x:v>
      </x:c>
      <x:c r="R93" s="2" t="str">
        <x:v>R12 J01-J26 / 8x30, 12+22</x:v>
      </x:c>
      <x:c r="S93" s="2" t="str">
        <x:v>TERV</x:v>
      </x:c>
    </x:row>
    <x:row r="94" ht="32" customHeight="1">
      <x:c r="A94" s="2" t="str">
        <x:v>H0089</x:v>
      </x:c>
      <x:c r="B94" s="2" t="str">
        <x:v>KI12-TV02S-05</x:v>
      </x:c>
      <x:c r="C94" s="2" t="str">
        <x:v>CSAP J15</x:v>
      </x:c>
      <x:c r="D94" s="6" t="n">
        <x:v>9</x:v>
      </x:c>
      <x:c r="E94" s="6" t="n">
        <x:v>332</x:v>
      </x:c>
      <x:c r="F94" s="6" t="n">
        <x:v>-18</x:v>
      </x:c>
      <x:c r="G94" s="6" t="n">
        <x:v>0</x:v>
      </x:c>
      <x:c r="H94" s="6" t="n">
        <x:v>0</x:v>
      </x:c>
      <x:c r="I94" s="6" t="n">
        <x:v>1</x:v>
      </x:c>
      <x:c r="J94" s="6" t="n">
        <x:v>8</x:v>
      </x:c>
      <x:c r="K94" s="6" t="n">
        <x:v>12</x:v>
      </x:c>
      <x:c r="L94" s="6" t="n">
        <x:v>1548</x:v>
      </x:c>
      <x:c r="M94" s="6" t="n">
        <x:v>332</x:v>
      </x:c>
      <x:c r="N94" s="6" t="n">
        <x:v>159</x:v>
      </x:c>
      <x:c r="O94" s="6" t="n">
        <x:v>-1</x:v>
      </x:c>
      <x:c r="P94" s="6" t="n">
        <x:v>0</x:v>
      </x:c>
      <x:c r="Q94" s="6" t="n">
        <x:v>0</x:v>
      </x:c>
      <x:c r="R94" s="2" t="str">
        <x:v>R12 J01-J26 / 8x30, 12+22</x:v>
      </x:c>
      <x:c r="S94" s="2" t="str">
        <x:v>TERV</x:v>
      </x:c>
    </x:row>
    <x:row r="95" ht="32" customHeight="1">
      <x:c r="A95" s="2" t="str">
        <x:v>H0090</x:v>
      </x:c>
      <x:c r="B95" s="2" t="str">
        <x:v>KI12-TV02T2-02</x:v>
      </x:c>
      <x:c r="C95" s="2" t="str">
        <x:v>CSAP J15</x:v>
      </x:c>
      <x:c r="D95" s="6" t="n">
        <x:v>0</x:v>
      </x:c>
      <x:c r="E95" s="6" t="n">
        <x:v>332</x:v>
      </x:c>
      <x:c r="F95" s="6" t="n">
        <x:v>-9</x:v>
      </x:c>
      <x:c r="G95" s="6" t="n">
        <x:v>1</x:v>
      </x:c>
      <x:c r="H95" s="6" t="n">
        <x:v>0</x:v>
      </x:c>
      <x:c r="I95" s="6" t="n">
        <x:v>0</x:v>
      </x:c>
      <x:c r="J95" s="6" t="n">
        <x:v>8</x:v>
      </x:c>
      <x:c r="K95" s="6" t="n">
        <x:v>22</x:v>
      </x:c>
      <x:c r="L95" s="6" t="n">
        <x:v>1548</x:v>
      </x:c>
      <x:c r="M95" s="6" t="n">
        <x:v>332</x:v>
      </x:c>
      <x:c r="N95" s="6" t="n">
        <x:v>159</x:v>
      </x:c>
      <x:c r="O95" s="6" t="n">
        <x:v>1</x:v>
      </x:c>
      <x:c r="P95" s="6" t="n">
        <x:v>0</x:v>
      </x:c>
      <x:c r="Q95" s="6" t="n">
        <x:v>0</x:v>
      </x:c>
      <x:c r="R95" s="2" t="str">
        <x:v>R12 J01-J26 / 8x30, 12+22</x:v>
      </x:c>
      <x:c r="S95" s="2" t="str">
        <x:v>TERV</x:v>
      </x:c>
    </x:row>
    <x:row r="96" ht="32" customHeight="1">
      <x:c r="A96" s="2" t="str">
        <x:v>H0091</x:v>
      </x:c>
      <x:c r="B96" s="2" t="str">
        <x:v>KI12-TV02CAP-01</x:v>
      </x:c>
      <x:c r="C96" s="2" t="str">
        <x:v>CSAP J16</x:v>
      </x:c>
      <x:c r="D96" s="6" t="n">
        <x:v>1539</x:v>
      </x:c>
      <x:c r="E96" s="6" t="n">
        <x:v>50</x:v>
      </x:c>
      <x:c r="F96" s="6" t="n">
        <x:v>-18</x:v>
      </x:c>
      <x:c r="G96" s="6" t="n">
        <x:v>0</x:v>
      </x:c>
      <x:c r="H96" s="6" t="n">
        <x:v>0</x:v>
      </x:c>
      <x:c r="I96" s="6" t="n">
        <x:v>1</x:v>
      </x:c>
      <x:c r="J96" s="6" t="n">
        <x:v>8</x:v>
      </x:c>
      <x:c r="K96" s="6" t="n">
        <x:v>12</x:v>
      </x:c>
      <x:c r="L96" s="6" t="n">
        <x:v>1539</x:v>
      </x:c>
      <x:c r="M96" s="6" t="n">
        <x:v>50</x:v>
      </x:c>
      <x:c r="N96" s="6" t="n">
        <x:v>532</x:v>
      </x:c>
      <x:c r="O96" s="6" t="n">
        <x:v>0</x:v>
      </x:c>
      <x:c r="P96" s="6" t="n">
        <x:v>0</x:v>
      </x:c>
      <x:c r="Q96" s="6" t="n">
        <x:v>1</x:v>
      </x:c>
      <x:c r="R96" s="2" t="str">
        <x:v>R12 J01-J26 / 8x30, 12+22</x:v>
      </x:c>
      <x:c r="S96" s="2" t="str">
        <x:v>TERV</x:v>
      </x:c>
    </x:row>
    <x:row r="97" ht="32" customHeight="1">
      <x:c r="A97" s="2" t="str">
        <x:v>H0092</x:v>
      </x:c>
      <x:c r="B97" s="2" t="str">
        <x:v>KI12-TV02S-05</x:v>
      </x:c>
      <x:c r="C97" s="2" t="str">
        <x:v>CSAP J16</x:v>
      </x:c>
      <x:c r="D97" s="6" t="n">
        <x:v>382</x:v>
      </x:c>
      <x:c r="E97" s="6" t="n">
        <x:v>50</x:v>
      </x:c>
      <x:c r="F97" s="6" t="n">
        <x:v>-9</x:v>
      </x:c>
      <x:c r="G97" s="6" t="n">
        <x:v>-1</x:v>
      </x:c>
      <x:c r="H97" s="6" t="n">
        <x:v>0</x:v>
      </x:c>
      <x:c r="I97" s="6" t="n">
        <x:v>0</x:v>
      </x:c>
      <x:c r="J97" s="6" t="n">
        <x:v>8</x:v>
      </x:c>
      <x:c r="K97" s="6" t="n">
        <x:v>22</x:v>
      </x:c>
      <x:c r="L97" s="6" t="n">
        <x:v>1539</x:v>
      </x:c>
      <x:c r="M97" s="6" t="n">
        <x:v>50</x:v>
      </x:c>
      <x:c r="N97" s="6" t="n">
        <x:v>532</x:v>
      </x:c>
      <x:c r="O97" s="6" t="n">
        <x:v>0</x:v>
      </x:c>
      <x:c r="P97" s="6" t="n">
        <x:v>0</x:v>
      </x:c>
      <x:c r="Q97" s="6" t="n">
        <x:v>-1</x:v>
      </x:c>
      <x:c r="R97" s="2" t="str">
        <x:v>R12 J01-J26 / 8x30, 12+22</x:v>
      </x:c>
      <x:c r="S97" s="2" t="str">
        <x:v>TERV</x:v>
      </x:c>
    </x:row>
    <x:row r="98" ht="32" customHeight="1">
      <x:c r="A98" s="2" t="str">
        <x:v>H0093</x:v>
      </x:c>
      <x:c r="B98" s="2" t="str">
        <x:v>KI12-TV02CAP-01</x:v>
      </x:c>
      <x:c r="C98" s="2" t="str">
        <x:v>CSAP J16</x:v>
      </x:c>
      <x:c r="D98" s="6" t="n">
        <x:v>1539</x:v>
      </x:c>
      <x:c r="E98" s="6" t="n">
        <x:v>191</x:v>
      </x:c>
      <x:c r="F98" s="6" t="n">
        <x:v>-18</x:v>
      </x:c>
      <x:c r="G98" s="6" t="n">
        <x:v>0</x:v>
      </x:c>
      <x:c r="H98" s="6" t="n">
        <x:v>0</x:v>
      </x:c>
      <x:c r="I98" s="6" t="n">
        <x:v>1</x:v>
      </x:c>
      <x:c r="J98" s="6" t="n">
        <x:v>8</x:v>
      </x:c>
      <x:c r="K98" s="6" t="n">
        <x:v>12</x:v>
      </x:c>
      <x:c r="L98" s="6" t="n">
        <x:v>1539</x:v>
      </x:c>
      <x:c r="M98" s="6" t="n">
        <x:v>191</x:v>
      </x:c>
      <x:c r="N98" s="6" t="n">
        <x:v>532</x:v>
      </x:c>
      <x:c r="O98" s="6" t="n">
        <x:v>0</x:v>
      </x:c>
      <x:c r="P98" s="6" t="n">
        <x:v>0</x:v>
      </x:c>
      <x:c r="Q98" s="6" t="n">
        <x:v>1</x:v>
      </x:c>
      <x:c r="R98" s="2" t="str">
        <x:v>R12 J01-J26 / 8x30, 12+22</x:v>
      </x:c>
      <x:c r="S98" s="2" t="str">
        <x:v>TERV</x:v>
      </x:c>
    </x:row>
    <x:row r="99" ht="32" customHeight="1">
      <x:c r="A99" s="2" t="str">
        <x:v>H0094</x:v>
      </x:c>
      <x:c r="B99" s="2" t="str">
        <x:v>KI12-TV02S-05</x:v>
      </x:c>
      <x:c r="C99" s="2" t="str">
        <x:v>CSAP J16</x:v>
      </x:c>
      <x:c r="D99" s="6" t="n">
        <x:v>382</x:v>
      </x:c>
      <x:c r="E99" s="6" t="n">
        <x:v>191</x:v>
      </x:c>
      <x:c r="F99" s="6" t="n">
        <x:v>-9</x:v>
      </x:c>
      <x:c r="G99" s="6" t="n">
        <x:v>-1</x:v>
      </x:c>
      <x:c r="H99" s="6" t="n">
        <x:v>0</x:v>
      </x:c>
      <x:c r="I99" s="6" t="n">
        <x:v>0</x:v>
      </x:c>
      <x:c r="J99" s="6" t="n">
        <x:v>8</x:v>
      </x:c>
      <x:c r="K99" s="6" t="n">
        <x:v>22</x:v>
      </x:c>
      <x:c r="L99" s="6" t="n">
        <x:v>1539</x:v>
      </x:c>
      <x:c r="M99" s="6" t="n">
        <x:v>191</x:v>
      </x:c>
      <x:c r="N99" s="6" t="n">
        <x:v>532</x:v>
      </x:c>
      <x:c r="O99" s="6" t="n">
        <x:v>0</x:v>
      </x:c>
      <x:c r="P99" s="6" t="n">
        <x:v>0</x:v>
      </x:c>
      <x:c r="Q99" s="6" t="n">
        <x:v>-1</x:v>
      </x:c>
      <x:c r="R99" s="2" t="str">
        <x:v>R12 J01-J26 / 8x30, 12+22</x:v>
      </x:c>
      <x:c r="S99" s="2" t="str">
        <x:v>TERV</x:v>
      </x:c>
    </x:row>
    <x:row r="100" ht="32" customHeight="1">
      <x:c r="A100" s="2" t="str">
        <x:v>H0095</x:v>
      </x:c>
      <x:c r="B100" s="2" t="str">
        <x:v>KI12-TV02CAP-01</x:v>
      </x:c>
      <x:c r="C100" s="2" t="str">
        <x:v>CSAP J16</x:v>
      </x:c>
      <x:c r="D100" s="6" t="n">
        <x:v>1539</x:v>
      </x:c>
      <x:c r="E100" s="6" t="n">
        <x:v>332</x:v>
      </x:c>
      <x:c r="F100" s="6" t="n">
        <x:v>-18</x:v>
      </x:c>
      <x:c r="G100" s="6" t="n">
        <x:v>0</x:v>
      </x:c>
      <x:c r="H100" s="6" t="n">
        <x:v>0</x:v>
      </x:c>
      <x:c r="I100" s="6" t="n">
        <x:v>1</x:v>
      </x:c>
      <x:c r="J100" s="6" t="n">
        <x:v>8</x:v>
      </x:c>
      <x:c r="K100" s="6" t="n">
        <x:v>12</x:v>
      </x:c>
      <x:c r="L100" s="6" t="n">
        <x:v>1539</x:v>
      </x:c>
      <x:c r="M100" s="6" t="n">
        <x:v>332</x:v>
      </x:c>
      <x:c r="N100" s="6" t="n">
        <x:v>532</x:v>
      </x:c>
      <x:c r="O100" s="6" t="n">
        <x:v>0</x:v>
      </x:c>
      <x:c r="P100" s="6" t="n">
        <x:v>0</x:v>
      </x:c>
      <x:c r="Q100" s="6" t="n">
        <x:v>1</x:v>
      </x:c>
      <x:c r="R100" s="2" t="str">
        <x:v>R12 J01-J26 / 8x30, 12+22</x:v>
      </x:c>
      <x:c r="S100" s="2" t="str">
        <x:v>TERV</x:v>
      </x:c>
    </x:row>
    <x:row r="101" ht="32" customHeight="1">
      <x:c r="A101" s="2" t="str">
        <x:v>H0096</x:v>
      </x:c>
      <x:c r="B101" s="2" t="str">
        <x:v>KI12-TV02S-05</x:v>
      </x:c>
      <x:c r="C101" s="2" t="str">
        <x:v>CSAP J16</x:v>
      </x:c>
      <x:c r="D101" s="6" t="n">
        <x:v>382</x:v>
      </x:c>
      <x:c r="E101" s="6" t="n">
        <x:v>332</x:v>
      </x:c>
      <x:c r="F101" s="6" t="n">
        <x:v>-9</x:v>
      </x:c>
      <x:c r="G101" s="6" t="n">
        <x:v>-1</x:v>
      </x:c>
      <x:c r="H101" s="6" t="n">
        <x:v>0</x:v>
      </x:c>
      <x:c r="I101" s="6" t="n">
        <x:v>0</x:v>
      </x:c>
      <x:c r="J101" s="6" t="n">
        <x:v>8</x:v>
      </x:c>
      <x:c r="K101" s="6" t="n">
        <x:v>22</x:v>
      </x:c>
      <x:c r="L101" s="6" t="n">
        <x:v>1539</x:v>
      </x:c>
      <x:c r="M101" s="6" t="n">
        <x:v>332</x:v>
      </x:c>
      <x:c r="N101" s="6" t="n">
        <x:v>532</x:v>
      </x:c>
      <x:c r="O101" s="6" t="n">
        <x:v>0</x:v>
      </x:c>
      <x:c r="P101" s="6" t="n">
        <x:v>0</x:v>
      </x:c>
      <x:c r="Q101" s="6" t="n">
        <x:v>-1</x:v>
      </x:c>
      <x:c r="R101" s="2" t="str">
        <x:v>R12 J01-J26 / 8x30, 12+22</x:v>
      </x:c>
      <x:c r="S101" s="2" t="str">
        <x:v>TERV</x:v>
      </x:c>
    </x:row>
    <x:row r="102" ht="32" customHeight="1">
      <x:c r="A102" s="2" t="str">
        <x:v>H0097</x:v>
      </x:c>
      <x:c r="B102" s="2" t="str">
        <x:v>KI12-TV02S-06</x:v>
      </x:c>
      <x:c r="C102" s="2" t="str">
        <x:v>CSAP J17</x:v>
      </x:c>
      <x:c r="D102" s="6" t="n">
        <x:v>9</x:v>
      </x:c>
      <x:c r="E102" s="6" t="n">
        <x:v>50</x:v>
      </x:c>
      <x:c r="F102" s="6" t="n">
        <x:v>0</x:v>
      </x:c>
      <x:c r="G102" s="6" t="n">
        <x:v>0</x:v>
      </x:c>
      <x:c r="H102" s="6" t="n">
        <x:v>0</x:v>
      </x:c>
      <x:c r="I102" s="6" t="n">
        <x:v>-1</x:v>
      </x:c>
      <x:c r="J102" s="6" t="n">
        <x:v>8</x:v>
      </x:c>
      <x:c r="K102" s="6" t="n">
        <x:v>12</x:v>
      </x:c>
      <x:c r="L102" s="6" t="n">
        <x:v>2202</x:v>
      </x:c>
      <x:c r="M102" s="6" t="n">
        <x:v>50</x:v>
      </x:c>
      <x:c r="N102" s="6" t="n">
        <x:v>159</x:v>
      </x:c>
      <x:c r="O102" s="6" t="n">
        <x:v>1</x:v>
      </x:c>
      <x:c r="P102" s="6" t="n">
        <x:v>0</x:v>
      </x:c>
      <x:c r="Q102" s="6" t="n">
        <x:v>0</x:v>
      </x:c>
      <x:c r="R102" s="2" t="str">
        <x:v>R12 J01-J26 / 8x30, 12+22</x:v>
      </x:c>
      <x:c r="S102" s="2" t="str">
        <x:v>TERV</x:v>
      </x:c>
    </x:row>
    <x:row r="103" ht="32" customHeight="1">
      <x:c r="A103" s="2" t="str">
        <x:v>H0098</x:v>
      </x:c>
      <x:c r="B103" s="2" t="str">
        <x:v>KI12-TV02T2-02</x:v>
      </x:c>
      <x:c r="C103" s="2" t="str">
        <x:v>CSAP J17</x:v>
      </x:c>
      <x:c r="D103" s="6" t="n">
        <x:v>654</x:v>
      </x:c>
      <x:c r="E103" s="6" t="n">
        <x:v>50</x:v>
      </x:c>
      <x:c r="F103" s="6" t="n">
        <x:v>-9</x:v>
      </x:c>
      <x:c r="G103" s="6" t="n">
        <x:v>-1</x:v>
      </x:c>
      <x:c r="H103" s="6" t="n">
        <x:v>0</x:v>
      </x:c>
      <x:c r="I103" s="6" t="n">
        <x:v>0</x:v>
      </x:c>
      <x:c r="J103" s="6" t="n">
        <x:v>8</x:v>
      </x:c>
      <x:c r="K103" s="6" t="n">
        <x:v>22</x:v>
      </x:c>
      <x:c r="L103" s="6" t="n">
        <x:v>2202</x:v>
      </x:c>
      <x:c r="M103" s="6" t="n">
        <x:v>50</x:v>
      </x:c>
      <x:c r="N103" s="6" t="n">
        <x:v>159</x:v>
      </x:c>
      <x:c r="O103" s="6" t="n">
        <x:v>-1</x:v>
      </x:c>
      <x:c r="P103" s="6" t="n">
        <x:v>0</x:v>
      </x:c>
      <x:c r="Q103" s="6" t="n">
        <x:v>0</x:v>
      </x:c>
      <x:c r="R103" s="2" t="str">
        <x:v>R12 J01-J26 / 8x30, 12+22</x:v>
      </x:c>
      <x:c r="S103" s="2" t="str">
        <x:v>TERV</x:v>
      </x:c>
    </x:row>
    <x:row r="104" ht="32" customHeight="1">
      <x:c r="A104" s="2" t="str">
        <x:v>H0099</x:v>
      </x:c>
      <x:c r="B104" s="2" t="str">
        <x:v>KI12-TV02S-06</x:v>
      </x:c>
      <x:c r="C104" s="2" t="str">
        <x:v>CSAP J17</x:v>
      </x:c>
      <x:c r="D104" s="6" t="n">
        <x:v>9</x:v>
      </x:c>
      <x:c r="E104" s="6" t="n">
        <x:v>191</x:v>
      </x:c>
      <x:c r="F104" s="6" t="n">
        <x:v>0</x:v>
      </x:c>
      <x:c r="G104" s="6" t="n">
        <x:v>0</x:v>
      </x:c>
      <x:c r="H104" s="6" t="n">
        <x:v>0</x:v>
      </x:c>
      <x:c r="I104" s="6" t="n">
        <x:v>-1</x:v>
      </x:c>
      <x:c r="J104" s="6" t="n">
        <x:v>8</x:v>
      </x:c>
      <x:c r="K104" s="6" t="n">
        <x:v>12</x:v>
      </x:c>
      <x:c r="L104" s="6" t="n">
        <x:v>2202</x:v>
      </x:c>
      <x:c r="M104" s="6" t="n">
        <x:v>191</x:v>
      </x:c>
      <x:c r="N104" s="6" t="n">
        <x:v>159</x:v>
      </x:c>
      <x:c r="O104" s="6" t="n">
        <x:v>1</x:v>
      </x:c>
      <x:c r="P104" s="6" t="n">
        <x:v>0</x:v>
      </x:c>
      <x:c r="Q104" s="6" t="n">
        <x:v>0</x:v>
      </x:c>
      <x:c r="R104" s="2" t="str">
        <x:v>R12 J01-J26 / 8x30, 12+22</x:v>
      </x:c>
      <x:c r="S104" s="2" t="str">
        <x:v>TERV</x:v>
      </x:c>
    </x:row>
    <x:row r="105" ht="32" customHeight="1">
      <x:c r="A105" s="2" t="str">
        <x:v>H0100</x:v>
      </x:c>
      <x:c r="B105" s="2" t="str">
        <x:v>KI12-TV02T2-02</x:v>
      </x:c>
      <x:c r="C105" s="2" t="str">
        <x:v>CSAP J17</x:v>
      </x:c>
      <x:c r="D105" s="6" t="n">
        <x:v>654</x:v>
      </x:c>
      <x:c r="E105" s="6" t="n">
        <x:v>191</x:v>
      </x:c>
      <x:c r="F105" s="6" t="n">
        <x:v>-9</x:v>
      </x:c>
      <x:c r="G105" s="6" t="n">
        <x:v>-1</x:v>
      </x:c>
      <x:c r="H105" s="6" t="n">
        <x:v>0</x:v>
      </x:c>
      <x:c r="I105" s="6" t="n">
        <x:v>0</x:v>
      </x:c>
      <x:c r="J105" s="6" t="n">
        <x:v>8</x:v>
      </x:c>
      <x:c r="K105" s="6" t="n">
        <x:v>22</x:v>
      </x:c>
      <x:c r="L105" s="6" t="n">
        <x:v>2202</x:v>
      </x:c>
      <x:c r="M105" s="6" t="n">
        <x:v>191</x:v>
      </x:c>
      <x:c r="N105" s="6" t="n">
        <x:v>159</x:v>
      </x:c>
      <x:c r="O105" s="6" t="n">
        <x:v>-1</x:v>
      </x:c>
      <x:c r="P105" s="6" t="n">
        <x:v>0</x:v>
      </x:c>
      <x:c r="Q105" s="6" t="n">
        <x:v>0</x:v>
      </x:c>
      <x:c r="R105" s="2" t="str">
        <x:v>R12 J01-J26 / 8x30, 12+22</x:v>
      </x:c>
      <x:c r="S105" s="2" t="str">
        <x:v>TERV</x:v>
      </x:c>
    </x:row>
    <x:row r="106" ht="32" customHeight="1">
      <x:c r="A106" s="2" t="str">
        <x:v>H0101</x:v>
      </x:c>
      <x:c r="B106" s="2" t="str">
        <x:v>KI12-TV02S-06</x:v>
      </x:c>
      <x:c r="C106" s="2" t="str">
        <x:v>CSAP J17</x:v>
      </x:c>
      <x:c r="D106" s="6" t="n">
        <x:v>9</x:v>
      </x:c>
      <x:c r="E106" s="6" t="n">
        <x:v>332</x:v>
      </x:c>
      <x:c r="F106" s="6" t="n">
        <x:v>0</x:v>
      </x:c>
      <x:c r="G106" s="6" t="n">
        <x:v>0</x:v>
      </x:c>
      <x:c r="H106" s="6" t="n">
        <x:v>0</x:v>
      </x:c>
      <x:c r="I106" s="6" t="n">
        <x:v>-1</x:v>
      </x:c>
      <x:c r="J106" s="6" t="n">
        <x:v>8</x:v>
      </x:c>
      <x:c r="K106" s="6" t="n">
        <x:v>12</x:v>
      </x:c>
      <x:c r="L106" s="6" t="n">
        <x:v>2202</x:v>
      </x:c>
      <x:c r="M106" s="6" t="n">
        <x:v>332</x:v>
      </x:c>
      <x:c r="N106" s="6" t="n">
        <x:v>159</x:v>
      </x:c>
      <x:c r="O106" s="6" t="n">
        <x:v>1</x:v>
      </x:c>
      <x:c r="P106" s="6" t="n">
        <x:v>0</x:v>
      </x:c>
      <x:c r="Q106" s="6" t="n">
        <x:v>0</x:v>
      </x:c>
      <x:c r="R106" s="2" t="str">
        <x:v>R12 J01-J26 / 8x30, 12+22</x:v>
      </x:c>
      <x:c r="S106" s="2" t="str">
        <x:v>TERV</x:v>
      </x:c>
    </x:row>
    <x:row r="107" ht="32" customHeight="1">
      <x:c r="A107" s="2" t="str">
        <x:v>H0102</x:v>
      </x:c>
      <x:c r="B107" s="2" t="str">
        <x:v>KI12-TV02T2-02</x:v>
      </x:c>
      <x:c r="C107" s="2" t="str">
        <x:v>CSAP J17</x:v>
      </x:c>
      <x:c r="D107" s="6" t="n">
        <x:v>654</x:v>
      </x:c>
      <x:c r="E107" s="6" t="n">
        <x:v>332</x:v>
      </x:c>
      <x:c r="F107" s="6" t="n">
        <x:v>-9</x:v>
      </x:c>
      <x:c r="G107" s="6" t="n">
        <x:v>-1</x:v>
      </x:c>
      <x:c r="H107" s="6" t="n">
        <x:v>0</x:v>
      </x:c>
      <x:c r="I107" s="6" t="n">
        <x:v>0</x:v>
      </x:c>
      <x:c r="J107" s="6" t="n">
        <x:v>8</x:v>
      </x:c>
      <x:c r="K107" s="6" t="n">
        <x:v>22</x:v>
      </x:c>
      <x:c r="L107" s="6" t="n">
        <x:v>2202</x:v>
      </x:c>
      <x:c r="M107" s="6" t="n">
        <x:v>332</x:v>
      </x:c>
      <x:c r="N107" s="6" t="n">
        <x:v>159</x:v>
      </x:c>
      <x:c r="O107" s="6" t="n">
        <x:v>-1</x:v>
      </x:c>
      <x:c r="P107" s="6" t="n">
        <x:v>0</x:v>
      </x:c>
      <x:c r="Q107" s="6" t="n">
        <x:v>0</x:v>
      </x:c>
      <x:c r="R107" s="2" t="str">
        <x:v>R12 J01-J26 / 8x30, 12+22</x:v>
      </x:c>
      <x:c r="S107" s="2" t="str">
        <x:v>TERV</x:v>
      </x:c>
    </x:row>
    <x:row r="108" ht="32" customHeight="1">
      <x:c r="A108" s="2" t="str">
        <x:v>H0103</x:v>
      </x:c>
      <x:c r="B108" s="2" t="str">
        <x:v>KI12-TV02CAP-01</x:v>
      </x:c>
      <x:c r="C108" s="2" t="str">
        <x:v>CSAP J18</x:v>
      </x:c>
      <x:c r="D108" s="6" t="n">
        <x:v>2211</x:v>
      </x:c>
      <x:c r="E108" s="6" t="n">
        <x:v>50</x:v>
      </x:c>
      <x:c r="F108" s="6" t="n">
        <x:v>-18</x:v>
      </x:c>
      <x:c r="G108" s="6" t="n">
        <x:v>0</x:v>
      </x:c>
      <x:c r="H108" s="6" t="n">
        <x:v>0</x:v>
      </x:c>
      <x:c r="I108" s="6" t="n">
        <x:v>1</x:v>
      </x:c>
      <x:c r="J108" s="6" t="n">
        <x:v>8</x:v>
      </x:c>
      <x:c r="K108" s="6" t="n">
        <x:v>12</x:v>
      </x:c>
      <x:c r="L108" s="6" t="n">
        <x:v>2211</x:v>
      </x:c>
      <x:c r="M108" s="6" t="n">
        <x:v>50</x:v>
      </x:c>
      <x:c r="N108" s="6" t="n">
        <x:v>532</x:v>
      </x:c>
      <x:c r="O108" s="6" t="n">
        <x:v>0</x:v>
      </x:c>
      <x:c r="P108" s="6" t="n">
        <x:v>0</x:v>
      </x:c>
      <x:c r="Q108" s="6" t="n">
        <x:v>1</x:v>
      </x:c>
      <x:c r="R108" s="2" t="str">
        <x:v>R12 J01-J26 / 8x30, 12+22</x:v>
      </x:c>
      <x:c r="S108" s="2" t="str">
        <x:v>TERV</x:v>
      </x:c>
    </x:row>
    <x:row r="109" ht="32" customHeight="1">
      <x:c r="A109" s="2" t="str">
        <x:v>H0104</x:v>
      </x:c>
      <x:c r="B109" s="2" t="str">
        <x:v>KI12-TV02S-06</x:v>
      </x:c>
      <x:c r="C109" s="2" t="str">
        <x:v>CSAP J18</x:v>
      </x:c>
      <x:c r="D109" s="6" t="n">
        <x:v>382</x:v>
      </x:c>
      <x:c r="E109" s="6" t="n">
        <x:v>50</x:v>
      </x:c>
      <x:c r="F109" s="6" t="n">
        <x:v>-9</x:v>
      </x:c>
      <x:c r="G109" s="6" t="n">
        <x:v>-1</x:v>
      </x:c>
      <x:c r="H109" s="6" t="n">
        <x:v>0</x:v>
      </x:c>
      <x:c r="I109" s="6" t="n">
        <x:v>0</x:v>
      </x:c>
      <x:c r="J109" s="6" t="n">
        <x:v>8</x:v>
      </x:c>
      <x:c r="K109" s="6" t="n">
        <x:v>22</x:v>
      </x:c>
      <x:c r="L109" s="6" t="n">
        <x:v>2211</x:v>
      </x:c>
      <x:c r="M109" s="6" t="n">
        <x:v>50</x:v>
      </x:c>
      <x:c r="N109" s="6" t="n">
        <x:v>532</x:v>
      </x:c>
      <x:c r="O109" s="6" t="n">
        <x:v>0</x:v>
      </x:c>
      <x:c r="P109" s="6" t="n">
        <x:v>0</x:v>
      </x:c>
      <x:c r="Q109" s="6" t="n">
        <x:v>-1</x:v>
      </x:c>
      <x:c r="R109" s="2" t="str">
        <x:v>R12 J01-J26 / 8x30, 12+22</x:v>
      </x:c>
      <x:c r="S109" s="2" t="str">
        <x:v>TERV</x:v>
      </x:c>
    </x:row>
    <x:row r="110" ht="32" customHeight="1">
      <x:c r="A110" s="2" t="str">
        <x:v>H0105</x:v>
      </x:c>
      <x:c r="B110" s="2" t="str">
        <x:v>KI12-TV02CAP-01</x:v>
      </x:c>
      <x:c r="C110" s="2" t="str">
        <x:v>CSAP J18</x:v>
      </x:c>
      <x:c r="D110" s="6" t="n">
        <x:v>2211</x:v>
      </x:c>
      <x:c r="E110" s="6" t="n">
        <x:v>191</x:v>
      </x:c>
      <x:c r="F110" s="6" t="n">
        <x:v>-18</x:v>
      </x:c>
      <x:c r="G110" s="6" t="n">
        <x:v>0</x:v>
      </x:c>
      <x:c r="H110" s="6" t="n">
        <x:v>0</x:v>
      </x:c>
      <x:c r="I110" s="6" t="n">
        <x:v>1</x:v>
      </x:c>
      <x:c r="J110" s="6" t="n">
        <x:v>8</x:v>
      </x:c>
      <x:c r="K110" s="6" t="n">
        <x:v>12</x:v>
      </x:c>
      <x:c r="L110" s="6" t="n">
        <x:v>2211</x:v>
      </x:c>
      <x:c r="M110" s="6" t="n">
        <x:v>191</x:v>
      </x:c>
      <x:c r="N110" s="6" t="n">
        <x:v>532</x:v>
      </x:c>
      <x:c r="O110" s="6" t="n">
        <x:v>0</x:v>
      </x:c>
      <x:c r="P110" s="6" t="n">
        <x:v>0</x:v>
      </x:c>
      <x:c r="Q110" s="6" t="n">
        <x:v>1</x:v>
      </x:c>
      <x:c r="R110" s="2" t="str">
        <x:v>R12 J01-J26 / 8x30, 12+22</x:v>
      </x:c>
      <x:c r="S110" s="2" t="str">
        <x:v>TERV</x:v>
      </x:c>
    </x:row>
    <x:row r="111" ht="32" customHeight="1">
      <x:c r="A111" s="2" t="str">
        <x:v>H0106</x:v>
      </x:c>
      <x:c r="B111" s="2" t="str">
        <x:v>KI12-TV02S-06</x:v>
      </x:c>
      <x:c r="C111" s="2" t="str">
        <x:v>CSAP J18</x:v>
      </x:c>
      <x:c r="D111" s="6" t="n">
        <x:v>382</x:v>
      </x:c>
      <x:c r="E111" s="6" t="n">
        <x:v>191</x:v>
      </x:c>
      <x:c r="F111" s="6" t="n">
        <x:v>-9</x:v>
      </x:c>
      <x:c r="G111" s="6" t="n">
        <x:v>-1</x:v>
      </x:c>
      <x:c r="H111" s="6" t="n">
        <x:v>0</x:v>
      </x:c>
      <x:c r="I111" s="6" t="n">
        <x:v>0</x:v>
      </x:c>
      <x:c r="J111" s="6" t="n">
        <x:v>8</x:v>
      </x:c>
      <x:c r="K111" s="6" t="n">
        <x:v>22</x:v>
      </x:c>
      <x:c r="L111" s="6" t="n">
        <x:v>2211</x:v>
      </x:c>
      <x:c r="M111" s="6" t="n">
        <x:v>191</x:v>
      </x:c>
      <x:c r="N111" s="6" t="n">
        <x:v>532</x:v>
      </x:c>
      <x:c r="O111" s="6" t="n">
        <x:v>0</x:v>
      </x:c>
      <x:c r="P111" s="6" t="n">
        <x:v>0</x:v>
      </x:c>
      <x:c r="Q111" s="6" t="n">
        <x:v>-1</x:v>
      </x:c>
      <x:c r="R111" s="2" t="str">
        <x:v>R12 J01-J26 / 8x30, 12+22</x:v>
      </x:c>
      <x:c r="S111" s="2" t="str">
        <x:v>TERV</x:v>
      </x:c>
    </x:row>
    <x:row r="112" ht="32" customHeight="1">
      <x:c r="A112" s="2" t="str">
        <x:v>H0107</x:v>
      </x:c>
      <x:c r="B112" s="2" t="str">
        <x:v>KI12-TV02CAP-01</x:v>
      </x:c>
      <x:c r="C112" s="2" t="str">
        <x:v>CSAP J18</x:v>
      </x:c>
      <x:c r="D112" s="6" t="n">
        <x:v>2211</x:v>
      </x:c>
      <x:c r="E112" s="6" t="n">
        <x:v>332</x:v>
      </x:c>
      <x:c r="F112" s="6" t="n">
        <x:v>-18</x:v>
      </x:c>
      <x:c r="G112" s="6" t="n">
        <x:v>0</x:v>
      </x:c>
      <x:c r="H112" s="6" t="n">
        <x:v>0</x:v>
      </x:c>
      <x:c r="I112" s="6" t="n">
        <x:v>1</x:v>
      </x:c>
      <x:c r="J112" s="6" t="n">
        <x:v>8</x:v>
      </x:c>
      <x:c r="K112" s="6" t="n">
        <x:v>12</x:v>
      </x:c>
      <x:c r="L112" s="6" t="n">
        <x:v>2211</x:v>
      </x:c>
      <x:c r="M112" s="6" t="n">
        <x:v>332</x:v>
      </x:c>
      <x:c r="N112" s="6" t="n">
        <x:v>532</x:v>
      </x:c>
      <x:c r="O112" s="6" t="n">
        <x:v>0</x:v>
      </x:c>
      <x:c r="P112" s="6" t="n">
        <x:v>0</x:v>
      </x:c>
      <x:c r="Q112" s="6" t="n">
        <x:v>1</x:v>
      </x:c>
      <x:c r="R112" s="2" t="str">
        <x:v>R12 J01-J26 / 8x30, 12+22</x:v>
      </x:c>
      <x:c r="S112" s="2" t="str">
        <x:v>TERV</x:v>
      </x:c>
    </x:row>
    <x:row r="113" ht="32" customHeight="1">
      <x:c r="A113" s="2" t="str">
        <x:v>H0108</x:v>
      </x:c>
      <x:c r="B113" s="2" t="str">
        <x:v>KI12-TV02S-06</x:v>
      </x:c>
      <x:c r="C113" s="2" t="str">
        <x:v>CSAP J18</x:v>
      </x:c>
      <x:c r="D113" s="6" t="n">
        <x:v>382</x:v>
      </x:c>
      <x:c r="E113" s="6" t="n">
        <x:v>332</x:v>
      </x:c>
      <x:c r="F113" s="6" t="n">
        <x:v>-9</x:v>
      </x:c>
      <x:c r="G113" s="6" t="n">
        <x:v>-1</x:v>
      </x:c>
      <x:c r="H113" s="6" t="n">
        <x:v>0</x:v>
      </x:c>
      <x:c r="I113" s="6" t="n">
        <x:v>0</x:v>
      </x:c>
      <x:c r="J113" s="6" t="n">
        <x:v>8</x:v>
      </x:c>
      <x:c r="K113" s="6" t="n">
        <x:v>22</x:v>
      </x:c>
      <x:c r="L113" s="6" t="n">
        <x:v>2211</x:v>
      </x:c>
      <x:c r="M113" s="6" t="n">
        <x:v>332</x:v>
      </x:c>
      <x:c r="N113" s="6" t="n">
        <x:v>532</x:v>
      </x:c>
      <x:c r="O113" s="6" t="n">
        <x:v>0</x:v>
      </x:c>
      <x:c r="P113" s="6" t="n">
        <x:v>0</x:v>
      </x:c>
      <x:c r="Q113" s="6" t="n">
        <x:v>-1</x:v>
      </x:c>
      <x:c r="R113" s="2" t="str">
        <x:v>R12 J01-J26 / 8x30, 12+22</x:v>
      </x:c>
      <x:c r="S113" s="2" t="str">
        <x:v>TERV</x:v>
      </x:c>
    </x:row>
    <x:row r="114" ht="32" customHeight="1">
      <x:c r="A114" s="2" t="str">
        <x:v>H0109</x:v>
      </x:c>
      <x:c r="B114" s="2" t="str">
        <x:v>KI12-TV02S-07</x:v>
      </x:c>
      <x:c r="C114" s="2" t="str">
        <x:v>CSAP J19</x:v>
      </x:c>
      <x:c r="D114" s="6" t="n">
        <x:v>9</x:v>
      </x:c>
      <x:c r="E114" s="6" t="n">
        <x:v>50</x:v>
      </x:c>
      <x:c r="F114" s="6" t="n">
        <x:v>-18</x:v>
      </x:c>
      <x:c r="G114" s="6" t="n">
        <x:v>0</x:v>
      </x:c>
      <x:c r="H114" s="6" t="n">
        <x:v>0</x:v>
      </x:c>
      <x:c r="I114" s="6" t="n">
        <x:v>1</x:v>
      </x:c>
      <x:c r="J114" s="6" t="n">
        <x:v>8</x:v>
      </x:c>
      <x:c r="K114" s="6" t="n">
        <x:v>12</x:v>
      </x:c>
      <x:c r="L114" s="6" t="n">
        <x:v>2238</x:v>
      </x:c>
      <x:c r="M114" s="6" t="n">
        <x:v>50</x:v>
      </x:c>
      <x:c r="N114" s="6" t="n">
        <x:v>159</x:v>
      </x:c>
      <x:c r="O114" s="6" t="n">
        <x:v>-1</x:v>
      </x:c>
      <x:c r="P114" s="6" t="n">
        <x:v>0</x:v>
      </x:c>
      <x:c r="Q114" s="6" t="n">
        <x:v>0</x:v>
      </x:c>
      <x:c r="R114" s="2" t="str">
        <x:v>R12 J01-J26 / 8x30, 12+22</x:v>
      </x:c>
      <x:c r="S114" s="2" t="str">
        <x:v>TERV</x:v>
      </x:c>
    </x:row>
    <x:row r="115" ht="32" customHeight="1">
      <x:c r="A115" s="2" t="str">
        <x:v>H0110</x:v>
      </x:c>
      <x:c r="B115" s="2" t="str">
        <x:v>KI12-TV02T2-03</x:v>
      </x:c>
      <x:c r="C115" s="2" t="str">
        <x:v>CSAP J19</x:v>
      </x:c>
      <x:c r="D115" s="6" t="n">
        <x:v>0</x:v>
      </x:c>
      <x:c r="E115" s="6" t="n">
        <x:v>50</x:v>
      </x:c>
      <x:c r="F115" s="6" t="n">
        <x:v>-9</x:v>
      </x:c>
      <x:c r="G115" s="6" t="n">
        <x:v>1</x:v>
      </x:c>
      <x:c r="H115" s="6" t="n">
        <x:v>0</x:v>
      </x:c>
      <x:c r="I115" s="6" t="n">
        <x:v>0</x:v>
      </x:c>
      <x:c r="J115" s="6" t="n">
        <x:v>8</x:v>
      </x:c>
      <x:c r="K115" s="6" t="n">
        <x:v>22</x:v>
      </x:c>
      <x:c r="L115" s="6" t="n">
        <x:v>2238</x:v>
      </x:c>
      <x:c r="M115" s="6" t="n">
        <x:v>50</x:v>
      </x:c>
      <x:c r="N115" s="6" t="n">
        <x:v>159</x:v>
      </x:c>
      <x:c r="O115" s="6" t="n">
        <x:v>1</x:v>
      </x:c>
      <x:c r="P115" s="6" t="n">
        <x:v>0</x:v>
      </x:c>
      <x:c r="Q115" s="6" t="n">
        <x:v>0</x:v>
      </x:c>
      <x:c r="R115" s="2" t="str">
        <x:v>R12 J01-J26 / 8x30, 12+22</x:v>
      </x:c>
      <x:c r="S115" s="2" t="str">
        <x:v>TERV</x:v>
      </x:c>
    </x:row>
    <x:row r="116" ht="32" customHeight="1">
      <x:c r="A116" s="2" t="str">
        <x:v>H0111</x:v>
      </x:c>
      <x:c r="B116" s="2" t="str">
        <x:v>KI12-TV02S-07</x:v>
      </x:c>
      <x:c r="C116" s="2" t="str">
        <x:v>CSAP J19</x:v>
      </x:c>
      <x:c r="D116" s="6" t="n">
        <x:v>9</x:v>
      </x:c>
      <x:c r="E116" s="6" t="n">
        <x:v>191</x:v>
      </x:c>
      <x:c r="F116" s="6" t="n">
        <x:v>-18</x:v>
      </x:c>
      <x:c r="G116" s="6" t="n">
        <x:v>0</x:v>
      </x:c>
      <x:c r="H116" s="6" t="n">
        <x:v>0</x:v>
      </x:c>
      <x:c r="I116" s="6" t="n">
        <x:v>1</x:v>
      </x:c>
      <x:c r="J116" s="6" t="n">
        <x:v>8</x:v>
      </x:c>
      <x:c r="K116" s="6" t="n">
        <x:v>12</x:v>
      </x:c>
      <x:c r="L116" s="6" t="n">
        <x:v>2238</x:v>
      </x:c>
      <x:c r="M116" s="6" t="n">
        <x:v>191</x:v>
      </x:c>
      <x:c r="N116" s="6" t="n">
        <x:v>159</x:v>
      </x:c>
      <x:c r="O116" s="6" t="n">
        <x:v>-1</x:v>
      </x:c>
      <x:c r="P116" s="6" t="n">
        <x:v>0</x:v>
      </x:c>
      <x:c r="Q116" s="6" t="n">
        <x:v>0</x:v>
      </x:c>
      <x:c r="R116" s="2" t="str">
        <x:v>R12 J01-J26 / 8x30, 12+22</x:v>
      </x:c>
      <x:c r="S116" s="2" t="str">
        <x:v>TERV</x:v>
      </x:c>
    </x:row>
    <x:row r="117" ht="32" customHeight="1">
      <x:c r="A117" s="2" t="str">
        <x:v>H0112</x:v>
      </x:c>
      <x:c r="B117" s="2" t="str">
        <x:v>KI12-TV02T2-03</x:v>
      </x:c>
      <x:c r="C117" s="2" t="str">
        <x:v>CSAP J19</x:v>
      </x:c>
      <x:c r="D117" s="6" t="n">
        <x:v>0</x:v>
      </x:c>
      <x:c r="E117" s="6" t="n">
        <x:v>191</x:v>
      </x:c>
      <x:c r="F117" s="6" t="n">
        <x:v>-9</x:v>
      </x:c>
      <x:c r="G117" s="6" t="n">
        <x:v>1</x:v>
      </x:c>
      <x:c r="H117" s="6" t="n">
        <x:v>0</x:v>
      </x:c>
      <x:c r="I117" s="6" t="n">
        <x:v>0</x:v>
      </x:c>
      <x:c r="J117" s="6" t="n">
        <x:v>8</x:v>
      </x:c>
      <x:c r="K117" s="6" t="n">
        <x:v>22</x:v>
      </x:c>
      <x:c r="L117" s="6" t="n">
        <x:v>2238</x:v>
      </x:c>
      <x:c r="M117" s="6" t="n">
        <x:v>191</x:v>
      </x:c>
      <x:c r="N117" s="6" t="n">
        <x:v>159</x:v>
      </x:c>
      <x:c r="O117" s="6" t="n">
        <x:v>1</x:v>
      </x:c>
      <x:c r="P117" s="6" t="n">
        <x:v>0</x:v>
      </x:c>
      <x:c r="Q117" s="6" t="n">
        <x:v>0</x:v>
      </x:c>
      <x:c r="R117" s="2" t="str">
        <x:v>R12 J01-J26 / 8x30, 12+22</x:v>
      </x:c>
      <x:c r="S117" s="2" t="str">
        <x:v>TERV</x:v>
      </x:c>
    </x:row>
    <x:row r="118" ht="32" customHeight="1">
      <x:c r="A118" s="2" t="str">
        <x:v>H0113</x:v>
      </x:c>
      <x:c r="B118" s="2" t="str">
        <x:v>KI12-TV02S-07</x:v>
      </x:c>
      <x:c r="C118" s="2" t="str">
        <x:v>CSAP J19</x:v>
      </x:c>
      <x:c r="D118" s="6" t="n">
        <x:v>9</x:v>
      </x:c>
      <x:c r="E118" s="6" t="n">
        <x:v>332</x:v>
      </x:c>
      <x:c r="F118" s="6" t="n">
        <x:v>-18</x:v>
      </x:c>
      <x:c r="G118" s="6" t="n">
        <x:v>0</x:v>
      </x:c>
      <x:c r="H118" s="6" t="n">
        <x:v>0</x:v>
      </x:c>
      <x:c r="I118" s="6" t="n">
        <x:v>1</x:v>
      </x:c>
      <x:c r="J118" s="6" t="n">
        <x:v>8</x:v>
      </x:c>
      <x:c r="K118" s="6" t="n">
        <x:v>12</x:v>
      </x:c>
      <x:c r="L118" s="6" t="n">
        <x:v>2238</x:v>
      </x:c>
      <x:c r="M118" s="6" t="n">
        <x:v>332</x:v>
      </x:c>
      <x:c r="N118" s="6" t="n">
        <x:v>159</x:v>
      </x:c>
      <x:c r="O118" s="6" t="n">
        <x:v>-1</x:v>
      </x:c>
      <x:c r="P118" s="6" t="n">
        <x:v>0</x:v>
      </x:c>
      <x:c r="Q118" s="6" t="n">
        <x:v>0</x:v>
      </x:c>
      <x:c r="R118" s="2" t="str">
        <x:v>R12 J01-J26 / 8x30, 12+22</x:v>
      </x:c>
      <x:c r="S118" s="2" t="str">
        <x:v>TERV</x:v>
      </x:c>
    </x:row>
    <x:row r="119" ht="32" customHeight="1">
      <x:c r="A119" s="2" t="str">
        <x:v>H0114</x:v>
      </x:c>
      <x:c r="B119" s="2" t="str">
        <x:v>KI12-TV02T2-03</x:v>
      </x:c>
      <x:c r="C119" s="2" t="str">
        <x:v>CSAP J19</x:v>
      </x:c>
      <x:c r="D119" s="6" t="n">
        <x:v>0</x:v>
      </x:c>
      <x:c r="E119" s="6" t="n">
        <x:v>332</x:v>
      </x:c>
      <x:c r="F119" s="6" t="n">
        <x:v>-9</x:v>
      </x:c>
      <x:c r="G119" s="6" t="n">
        <x:v>1</x:v>
      </x:c>
      <x:c r="H119" s="6" t="n">
        <x:v>0</x:v>
      </x:c>
      <x:c r="I119" s="6" t="n">
        <x:v>0</x:v>
      </x:c>
      <x:c r="J119" s="6" t="n">
        <x:v>8</x:v>
      </x:c>
      <x:c r="K119" s="6" t="n">
        <x:v>22</x:v>
      </x:c>
      <x:c r="L119" s="6" t="n">
        <x:v>2238</x:v>
      </x:c>
      <x:c r="M119" s="6" t="n">
        <x:v>332</x:v>
      </x:c>
      <x:c r="N119" s="6" t="n">
        <x:v>159</x:v>
      </x:c>
      <x:c r="O119" s="6" t="n">
        <x:v>1</x:v>
      </x:c>
      <x:c r="P119" s="6" t="n">
        <x:v>0</x:v>
      </x:c>
      <x:c r="Q119" s="6" t="n">
        <x:v>0</x:v>
      </x:c>
      <x:c r="R119" s="2" t="str">
        <x:v>R12 J01-J26 / 8x30, 12+22</x:v>
      </x:c>
      <x:c r="S119" s="2" t="str">
        <x:v>TERV</x:v>
      </x:c>
    </x:row>
    <x:row r="120" ht="32" customHeight="1">
      <x:c r="A120" s="2" t="str">
        <x:v>H0115</x:v>
      </x:c>
      <x:c r="B120" s="2" t="str">
        <x:v>KI12-TV02CAP-01</x:v>
      </x:c>
      <x:c r="C120" s="2" t="str">
        <x:v>CSAP J20</x:v>
      </x:c>
      <x:c r="D120" s="6" t="n">
        <x:v>2229</x:v>
      </x:c>
      <x:c r="E120" s="6" t="n">
        <x:v>50</x:v>
      </x:c>
      <x:c r="F120" s="6" t="n">
        <x:v>-18</x:v>
      </x:c>
      <x:c r="G120" s="6" t="n">
        <x:v>0</x:v>
      </x:c>
      <x:c r="H120" s="6" t="n">
        <x:v>0</x:v>
      </x:c>
      <x:c r="I120" s="6" t="n">
        <x:v>1</x:v>
      </x:c>
      <x:c r="J120" s="6" t="n">
        <x:v>8</x:v>
      </x:c>
      <x:c r="K120" s="6" t="n">
        <x:v>12</x:v>
      </x:c>
      <x:c r="L120" s="6" t="n">
        <x:v>2229</x:v>
      </x:c>
      <x:c r="M120" s="6" t="n">
        <x:v>50</x:v>
      </x:c>
      <x:c r="N120" s="6" t="n">
        <x:v>532</x:v>
      </x:c>
      <x:c r="O120" s="6" t="n">
        <x:v>0</x:v>
      </x:c>
      <x:c r="P120" s="6" t="n">
        <x:v>0</x:v>
      </x:c>
      <x:c r="Q120" s="6" t="n">
        <x:v>1</x:v>
      </x:c>
      <x:c r="R120" s="2" t="str">
        <x:v>R12 J01-J26 / 8x30, 12+22</x:v>
      </x:c>
      <x:c r="S120" s="2" t="str">
        <x:v>TERV</x:v>
      </x:c>
    </x:row>
    <x:row r="121" ht="32" customHeight="1">
      <x:c r="A121" s="2" t="str">
        <x:v>H0116</x:v>
      </x:c>
      <x:c r="B121" s="2" t="str">
        <x:v>KI12-TV02S-07</x:v>
      </x:c>
      <x:c r="C121" s="2" t="str">
        <x:v>CSAP J20</x:v>
      </x:c>
      <x:c r="D121" s="6" t="n">
        <x:v>382</x:v>
      </x:c>
      <x:c r="E121" s="6" t="n">
        <x:v>50</x:v>
      </x:c>
      <x:c r="F121" s="6" t="n">
        <x:v>-9</x:v>
      </x:c>
      <x:c r="G121" s="6" t="n">
        <x:v>-1</x:v>
      </x:c>
      <x:c r="H121" s="6" t="n">
        <x:v>0</x:v>
      </x:c>
      <x:c r="I121" s="6" t="n">
        <x:v>0</x:v>
      </x:c>
      <x:c r="J121" s="6" t="n">
        <x:v>8</x:v>
      </x:c>
      <x:c r="K121" s="6" t="n">
        <x:v>22</x:v>
      </x:c>
      <x:c r="L121" s="6" t="n">
        <x:v>2229</x:v>
      </x:c>
      <x:c r="M121" s="6" t="n">
        <x:v>50</x:v>
      </x:c>
      <x:c r="N121" s="6" t="n">
        <x:v>532</x:v>
      </x:c>
      <x:c r="O121" s="6" t="n">
        <x:v>0</x:v>
      </x:c>
      <x:c r="P121" s="6" t="n">
        <x:v>0</x:v>
      </x:c>
      <x:c r="Q121" s="6" t="n">
        <x:v>-1</x:v>
      </x:c>
      <x:c r="R121" s="2" t="str">
        <x:v>R12 J01-J26 / 8x30, 12+22</x:v>
      </x:c>
      <x:c r="S121" s="2" t="str">
        <x:v>TERV</x:v>
      </x:c>
    </x:row>
    <x:row r="122" ht="32" customHeight="1">
      <x:c r="A122" s="2" t="str">
        <x:v>H0117</x:v>
      </x:c>
      <x:c r="B122" s="2" t="str">
        <x:v>KI12-TV02CAP-01</x:v>
      </x:c>
      <x:c r="C122" s="2" t="str">
        <x:v>CSAP J20</x:v>
      </x:c>
      <x:c r="D122" s="6" t="n">
        <x:v>2229</x:v>
      </x:c>
      <x:c r="E122" s="6" t="n">
        <x:v>191</x:v>
      </x:c>
      <x:c r="F122" s="6" t="n">
        <x:v>-18</x:v>
      </x:c>
      <x:c r="G122" s="6" t="n">
        <x:v>0</x:v>
      </x:c>
      <x:c r="H122" s="6" t="n">
        <x:v>0</x:v>
      </x:c>
      <x:c r="I122" s="6" t="n">
        <x:v>1</x:v>
      </x:c>
      <x:c r="J122" s="6" t="n">
        <x:v>8</x:v>
      </x:c>
      <x:c r="K122" s="6" t="n">
        <x:v>12</x:v>
      </x:c>
      <x:c r="L122" s="6" t="n">
        <x:v>2229</x:v>
      </x:c>
      <x:c r="M122" s="6" t="n">
        <x:v>191</x:v>
      </x:c>
      <x:c r="N122" s="6" t="n">
        <x:v>532</x:v>
      </x:c>
      <x:c r="O122" s="6" t="n">
        <x:v>0</x:v>
      </x:c>
      <x:c r="P122" s="6" t="n">
        <x:v>0</x:v>
      </x:c>
      <x:c r="Q122" s="6" t="n">
        <x:v>1</x:v>
      </x:c>
      <x:c r="R122" s="2" t="str">
        <x:v>R12 J01-J26 / 8x30, 12+22</x:v>
      </x:c>
      <x:c r="S122" s="2" t="str">
        <x:v>TERV</x:v>
      </x:c>
    </x:row>
    <x:row r="123" ht="32" customHeight="1">
      <x:c r="A123" s="2" t="str">
        <x:v>H0118</x:v>
      </x:c>
      <x:c r="B123" s="2" t="str">
        <x:v>KI12-TV02S-07</x:v>
      </x:c>
      <x:c r="C123" s="2" t="str">
        <x:v>CSAP J20</x:v>
      </x:c>
      <x:c r="D123" s="6" t="n">
        <x:v>382</x:v>
      </x:c>
      <x:c r="E123" s="6" t="n">
        <x:v>191</x:v>
      </x:c>
      <x:c r="F123" s="6" t="n">
        <x:v>-9</x:v>
      </x:c>
      <x:c r="G123" s="6" t="n">
        <x:v>-1</x:v>
      </x:c>
      <x:c r="H123" s="6" t="n">
        <x:v>0</x:v>
      </x:c>
      <x:c r="I123" s="6" t="n">
        <x:v>0</x:v>
      </x:c>
      <x:c r="J123" s="6" t="n">
        <x:v>8</x:v>
      </x:c>
      <x:c r="K123" s="6" t="n">
        <x:v>22</x:v>
      </x:c>
      <x:c r="L123" s="6" t="n">
        <x:v>2229</x:v>
      </x:c>
      <x:c r="M123" s="6" t="n">
        <x:v>191</x:v>
      </x:c>
      <x:c r="N123" s="6" t="n">
        <x:v>532</x:v>
      </x:c>
      <x:c r="O123" s="6" t="n">
        <x:v>0</x:v>
      </x:c>
      <x:c r="P123" s="6" t="n">
        <x:v>0</x:v>
      </x:c>
      <x:c r="Q123" s="6" t="n">
        <x:v>-1</x:v>
      </x:c>
      <x:c r="R123" s="2" t="str">
        <x:v>R12 J01-J26 / 8x30, 12+22</x:v>
      </x:c>
      <x:c r="S123" s="2" t="str">
        <x:v>TERV</x:v>
      </x:c>
    </x:row>
    <x:row r="124" ht="32" customHeight="1">
      <x:c r="A124" s="2" t="str">
        <x:v>H0119</x:v>
      </x:c>
      <x:c r="B124" s="2" t="str">
        <x:v>KI12-TV02CAP-01</x:v>
      </x:c>
      <x:c r="C124" s="2" t="str">
        <x:v>CSAP J20</x:v>
      </x:c>
      <x:c r="D124" s="6" t="n">
        <x:v>2229</x:v>
      </x:c>
      <x:c r="E124" s="6" t="n">
        <x:v>332</x:v>
      </x:c>
      <x:c r="F124" s="6" t="n">
        <x:v>-18</x:v>
      </x:c>
      <x:c r="G124" s="6" t="n">
        <x:v>0</x:v>
      </x:c>
      <x:c r="H124" s="6" t="n">
        <x:v>0</x:v>
      </x:c>
      <x:c r="I124" s="6" t="n">
        <x:v>1</x:v>
      </x:c>
      <x:c r="J124" s="6" t="n">
        <x:v>8</x:v>
      </x:c>
      <x:c r="K124" s="6" t="n">
        <x:v>12</x:v>
      </x:c>
      <x:c r="L124" s="6" t="n">
        <x:v>2229</x:v>
      </x:c>
      <x:c r="M124" s="6" t="n">
        <x:v>332</x:v>
      </x:c>
      <x:c r="N124" s="6" t="n">
        <x:v>532</x:v>
      </x:c>
      <x:c r="O124" s="6" t="n">
        <x:v>0</x:v>
      </x:c>
      <x:c r="P124" s="6" t="n">
        <x:v>0</x:v>
      </x:c>
      <x:c r="Q124" s="6" t="n">
        <x:v>1</x:v>
      </x:c>
      <x:c r="R124" s="2" t="str">
        <x:v>R12 J01-J26 / 8x30, 12+22</x:v>
      </x:c>
      <x:c r="S124" s="2" t="str">
        <x:v>TERV</x:v>
      </x:c>
    </x:row>
    <x:row r="125" ht="32" customHeight="1">
      <x:c r="A125" s="2" t="str">
        <x:v>H0120</x:v>
      </x:c>
      <x:c r="B125" s="2" t="str">
        <x:v>KI12-TV02S-07</x:v>
      </x:c>
      <x:c r="C125" s="2" t="str">
        <x:v>CSAP J20</x:v>
      </x:c>
      <x:c r="D125" s="6" t="n">
        <x:v>382</x:v>
      </x:c>
      <x:c r="E125" s="6" t="n">
        <x:v>332</x:v>
      </x:c>
      <x:c r="F125" s="6" t="n">
        <x:v>-9</x:v>
      </x:c>
      <x:c r="G125" s="6" t="n">
        <x:v>-1</x:v>
      </x:c>
      <x:c r="H125" s="6" t="n">
        <x:v>0</x:v>
      </x:c>
      <x:c r="I125" s="6" t="n">
        <x:v>0</x:v>
      </x:c>
      <x:c r="J125" s="6" t="n">
        <x:v>8</x:v>
      </x:c>
      <x:c r="K125" s="6" t="n">
        <x:v>22</x:v>
      </x:c>
      <x:c r="L125" s="6" t="n">
        <x:v>2229</x:v>
      </x:c>
      <x:c r="M125" s="6" t="n">
        <x:v>332</x:v>
      </x:c>
      <x:c r="N125" s="6" t="n">
        <x:v>532</x:v>
      </x:c>
      <x:c r="O125" s="6" t="n">
        <x:v>0</x:v>
      </x:c>
      <x:c r="P125" s="6" t="n">
        <x:v>0</x:v>
      </x:c>
      <x:c r="Q125" s="6" t="n">
        <x:v>-1</x:v>
      </x:c>
      <x:c r="R125" s="2" t="str">
        <x:v>R12 J01-J26 / 8x30, 12+22</x:v>
      </x:c>
      <x:c r="S125" s="2" t="str">
        <x:v>TERV</x:v>
      </x:c>
    </x:row>
    <x:row r="126" ht="32" customHeight="1">
      <x:c r="A126" s="2" t="str">
        <x:v>H0121</x:v>
      </x:c>
      <x:c r="B126" s="2" t="str">
        <x:v>KI12-TV02S-08</x:v>
      </x:c>
      <x:c r="C126" s="2" t="str">
        <x:v>CSAP J21</x:v>
      </x:c>
      <x:c r="D126" s="6" t="n">
        <x:v>9</x:v>
      </x:c>
      <x:c r="E126" s="6" t="n">
        <x:v>50</x:v>
      </x:c>
      <x:c r="F126" s="6" t="n">
        <x:v>0</x:v>
      </x:c>
      <x:c r="G126" s="6" t="n">
        <x:v>0</x:v>
      </x:c>
      <x:c r="H126" s="6" t="n">
        <x:v>0</x:v>
      </x:c>
      <x:c r="I126" s="6" t="n">
        <x:v>-1</x:v>
      </x:c>
      <x:c r="J126" s="6" t="n">
        <x:v>8</x:v>
      </x:c>
      <x:c r="K126" s="6" t="n">
        <x:v>12</x:v>
      </x:c>
      <x:c r="L126" s="6" t="n">
        <x:v>2892</x:v>
      </x:c>
      <x:c r="M126" s="6" t="n">
        <x:v>50</x:v>
      </x:c>
      <x:c r="N126" s="6" t="n">
        <x:v>159</x:v>
      </x:c>
      <x:c r="O126" s="6" t="n">
        <x:v>1</x:v>
      </x:c>
      <x:c r="P126" s="6" t="n">
        <x:v>0</x:v>
      </x:c>
      <x:c r="Q126" s="6" t="n">
        <x:v>0</x:v>
      </x:c>
      <x:c r="R126" s="2" t="str">
        <x:v>R12 J01-J26 / 8x30, 12+22</x:v>
      </x:c>
      <x:c r="S126" s="2" t="str">
        <x:v>TERV</x:v>
      </x:c>
    </x:row>
    <x:row r="127" ht="32" customHeight="1">
      <x:c r="A127" s="2" t="str">
        <x:v>H0122</x:v>
      </x:c>
      <x:c r="B127" s="2" t="str">
        <x:v>KI12-TV02T2-03</x:v>
      </x:c>
      <x:c r="C127" s="2" t="str">
        <x:v>CSAP J21</x:v>
      </x:c>
      <x:c r="D127" s="6" t="n">
        <x:v>654</x:v>
      </x:c>
      <x:c r="E127" s="6" t="n">
        <x:v>50</x:v>
      </x:c>
      <x:c r="F127" s="6" t="n">
        <x:v>-9</x:v>
      </x:c>
      <x:c r="G127" s="6" t="n">
        <x:v>-1</x:v>
      </x:c>
      <x:c r="H127" s="6" t="n">
        <x:v>0</x:v>
      </x:c>
      <x:c r="I127" s="6" t="n">
        <x:v>0</x:v>
      </x:c>
      <x:c r="J127" s="6" t="n">
        <x:v>8</x:v>
      </x:c>
      <x:c r="K127" s="6" t="n">
        <x:v>22</x:v>
      </x:c>
      <x:c r="L127" s="6" t="n">
        <x:v>2892</x:v>
      </x:c>
      <x:c r="M127" s="6" t="n">
        <x:v>50</x:v>
      </x:c>
      <x:c r="N127" s="6" t="n">
        <x:v>159</x:v>
      </x:c>
      <x:c r="O127" s="6" t="n">
        <x:v>-1</x:v>
      </x:c>
      <x:c r="P127" s="6" t="n">
        <x:v>0</x:v>
      </x:c>
      <x:c r="Q127" s="6" t="n">
        <x:v>0</x:v>
      </x:c>
      <x:c r="R127" s="2" t="str">
        <x:v>R12 J01-J26 / 8x30, 12+22</x:v>
      </x:c>
      <x:c r="S127" s="2" t="str">
        <x:v>TERV</x:v>
      </x:c>
    </x:row>
    <x:row r="128" ht="32" customHeight="1">
      <x:c r="A128" s="2" t="str">
        <x:v>H0123</x:v>
      </x:c>
      <x:c r="B128" s="2" t="str">
        <x:v>KI12-TV02S-08</x:v>
      </x:c>
      <x:c r="C128" s="2" t="str">
        <x:v>CSAP J21</x:v>
      </x:c>
      <x:c r="D128" s="6" t="n">
        <x:v>9</x:v>
      </x:c>
      <x:c r="E128" s="6" t="n">
        <x:v>191</x:v>
      </x:c>
      <x:c r="F128" s="6" t="n">
        <x:v>0</x:v>
      </x:c>
      <x:c r="G128" s="6" t="n">
        <x:v>0</x:v>
      </x:c>
      <x:c r="H128" s="6" t="n">
        <x:v>0</x:v>
      </x:c>
      <x:c r="I128" s="6" t="n">
        <x:v>-1</x:v>
      </x:c>
      <x:c r="J128" s="6" t="n">
        <x:v>8</x:v>
      </x:c>
      <x:c r="K128" s="6" t="n">
        <x:v>12</x:v>
      </x:c>
      <x:c r="L128" s="6" t="n">
        <x:v>2892</x:v>
      </x:c>
      <x:c r="M128" s="6" t="n">
        <x:v>191</x:v>
      </x:c>
      <x:c r="N128" s="6" t="n">
        <x:v>159</x:v>
      </x:c>
      <x:c r="O128" s="6" t="n">
        <x:v>1</x:v>
      </x:c>
      <x:c r="P128" s="6" t="n">
        <x:v>0</x:v>
      </x:c>
      <x:c r="Q128" s="6" t="n">
        <x:v>0</x:v>
      </x:c>
      <x:c r="R128" s="2" t="str">
        <x:v>R12 J01-J26 / 8x30, 12+22</x:v>
      </x:c>
      <x:c r="S128" s="2" t="str">
        <x:v>TERV</x:v>
      </x:c>
    </x:row>
    <x:row r="129" ht="32" customHeight="1">
      <x:c r="A129" s="2" t="str">
        <x:v>H0124</x:v>
      </x:c>
      <x:c r="B129" s="2" t="str">
        <x:v>KI12-TV02T2-03</x:v>
      </x:c>
      <x:c r="C129" s="2" t="str">
        <x:v>CSAP J21</x:v>
      </x:c>
      <x:c r="D129" s="6" t="n">
        <x:v>654</x:v>
      </x:c>
      <x:c r="E129" s="6" t="n">
        <x:v>191</x:v>
      </x:c>
      <x:c r="F129" s="6" t="n">
        <x:v>-9</x:v>
      </x:c>
      <x:c r="G129" s="6" t="n">
        <x:v>-1</x:v>
      </x:c>
      <x:c r="H129" s="6" t="n">
        <x:v>0</x:v>
      </x:c>
      <x:c r="I129" s="6" t="n">
        <x:v>0</x:v>
      </x:c>
      <x:c r="J129" s="6" t="n">
        <x:v>8</x:v>
      </x:c>
      <x:c r="K129" s="6" t="n">
        <x:v>22</x:v>
      </x:c>
      <x:c r="L129" s="6" t="n">
        <x:v>2892</x:v>
      </x:c>
      <x:c r="M129" s="6" t="n">
        <x:v>191</x:v>
      </x:c>
      <x:c r="N129" s="6" t="n">
        <x:v>159</x:v>
      </x:c>
      <x:c r="O129" s="6" t="n">
        <x:v>-1</x:v>
      </x:c>
      <x:c r="P129" s="6" t="n">
        <x:v>0</x:v>
      </x:c>
      <x:c r="Q129" s="6" t="n">
        <x:v>0</x:v>
      </x:c>
      <x:c r="R129" s="2" t="str">
        <x:v>R12 J01-J26 / 8x30, 12+22</x:v>
      </x:c>
      <x:c r="S129" s="2" t="str">
        <x:v>TERV</x:v>
      </x:c>
    </x:row>
    <x:row r="130" ht="32" customHeight="1">
      <x:c r="A130" s="2" t="str">
        <x:v>H0125</x:v>
      </x:c>
      <x:c r="B130" s="2" t="str">
        <x:v>KI12-TV02S-08</x:v>
      </x:c>
      <x:c r="C130" s="2" t="str">
        <x:v>CSAP J21</x:v>
      </x:c>
      <x:c r="D130" s="6" t="n">
        <x:v>9</x:v>
      </x:c>
      <x:c r="E130" s="6" t="n">
        <x:v>332</x:v>
      </x:c>
      <x:c r="F130" s="6" t="n">
        <x:v>0</x:v>
      </x:c>
      <x:c r="G130" s="6" t="n">
        <x:v>0</x:v>
      </x:c>
      <x:c r="H130" s="6" t="n">
        <x:v>0</x:v>
      </x:c>
      <x:c r="I130" s="6" t="n">
        <x:v>-1</x:v>
      </x:c>
      <x:c r="J130" s="6" t="n">
        <x:v>8</x:v>
      </x:c>
      <x:c r="K130" s="6" t="n">
        <x:v>12</x:v>
      </x:c>
      <x:c r="L130" s="6" t="n">
        <x:v>2892</x:v>
      </x:c>
      <x:c r="M130" s="6" t="n">
        <x:v>332</x:v>
      </x:c>
      <x:c r="N130" s="6" t="n">
        <x:v>159</x:v>
      </x:c>
      <x:c r="O130" s="6" t="n">
        <x:v>1</x:v>
      </x:c>
      <x:c r="P130" s="6" t="n">
        <x:v>0</x:v>
      </x:c>
      <x:c r="Q130" s="6" t="n">
        <x:v>0</x:v>
      </x:c>
      <x:c r="R130" s="2" t="str">
        <x:v>R12 J01-J26 / 8x30, 12+22</x:v>
      </x:c>
      <x:c r="S130" s="2" t="str">
        <x:v>TERV</x:v>
      </x:c>
    </x:row>
    <x:row r="131" ht="32" customHeight="1">
      <x:c r="A131" s="2" t="str">
        <x:v>H0126</x:v>
      </x:c>
      <x:c r="B131" s="2" t="str">
        <x:v>KI12-TV02T2-03</x:v>
      </x:c>
      <x:c r="C131" s="2" t="str">
        <x:v>CSAP J21</x:v>
      </x:c>
      <x:c r="D131" s="6" t="n">
        <x:v>654</x:v>
      </x:c>
      <x:c r="E131" s="6" t="n">
        <x:v>332</x:v>
      </x:c>
      <x:c r="F131" s="6" t="n">
        <x:v>-9</x:v>
      </x:c>
      <x:c r="G131" s="6" t="n">
        <x:v>-1</x:v>
      </x:c>
      <x:c r="H131" s="6" t="n">
        <x:v>0</x:v>
      </x:c>
      <x:c r="I131" s="6" t="n">
        <x:v>0</x:v>
      </x:c>
      <x:c r="J131" s="6" t="n">
        <x:v>8</x:v>
      </x:c>
      <x:c r="K131" s="6" t="n">
        <x:v>22</x:v>
      </x:c>
      <x:c r="L131" s="6" t="n">
        <x:v>2892</x:v>
      </x:c>
      <x:c r="M131" s="6" t="n">
        <x:v>332</x:v>
      </x:c>
      <x:c r="N131" s="6" t="n">
        <x:v>159</x:v>
      </x:c>
      <x:c r="O131" s="6" t="n">
        <x:v>-1</x:v>
      </x:c>
      <x:c r="P131" s="6" t="n">
        <x:v>0</x:v>
      </x:c>
      <x:c r="Q131" s="6" t="n">
        <x:v>0</x:v>
      </x:c>
      <x:c r="R131" s="2" t="str">
        <x:v>R12 J01-J26 / 8x30, 12+22</x:v>
      </x:c>
      <x:c r="S131" s="2" t="str">
        <x:v>TERV</x:v>
      </x:c>
    </x:row>
    <x:row r="132" ht="32" customHeight="1">
      <x:c r="A132" s="2" t="str">
        <x:v>H0127</x:v>
      </x:c>
      <x:c r="B132" s="2" t="str">
        <x:v>KI12-TV02CAP-01</x:v>
      </x:c>
      <x:c r="C132" s="2" t="str">
        <x:v>CSAP J22</x:v>
      </x:c>
      <x:c r="D132" s="6" t="n">
        <x:v>2901</x:v>
      </x:c>
      <x:c r="E132" s="6" t="n">
        <x:v>50</x:v>
      </x:c>
      <x:c r="F132" s="6" t="n">
        <x:v>-18</x:v>
      </x:c>
      <x:c r="G132" s="6" t="n">
        <x:v>0</x:v>
      </x:c>
      <x:c r="H132" s="6" t="n">
        <x:v>0</x:v>
      </x:c>
      <x:c r="I132" s="6" t="n">
        <x:v>1</x:v>
      </x:c>
      <x:c r="J132" s="6" t="n">
        <x:v>8</x:v>
      </x:c>
      <x:c r="K132" s="6" t="n">
        <x:v>12</x:v>
      </x:c>
      <x:c r="L132" s="6" t="n">
        <x:v>2901</x:v>
      </x:c>
      <x:c r="M132" s="6" t="n">
        <x:v>50</x:v>
      </x:c>
      <x:c r="N132" s="6" t="n">
        <x:v>532</x:v>
      </x:c>
      <x:c r="O132" s="6" t="n">
        <x:v>0</x:v>
      </x:c>
      <x:c r="P132" s="6" t="n">
        <x:v>0</x:v>
      </x:c>
      <x:c r="Q132" s="6" t="n">
        <x:v>1</x:v>
      </x:c>
      <x:c r="R132" s="2" t="str">
        <x:v>R12 J01-J26 / 8x30, 12+22</x:v>
      </x:c>
      <x:c r="S132" s="2" t="str">
        <x:v>TERV</x:v>
      </x:c>
    </x:row>
    <x:row r="133" ht="32" customHeight="1">
      <x:c r="A133" s="2" t="str">
        <x:v>H0128</x:v>
      </x:c>
      <x:c r="B133" s="2" t="str">
        <x:v>KI12-TV02S-08</x:v>
      </x:c>
      <x:c r="C133" s="2" t="str">
        <x:v>CSAP J22</x:v>
      </x:c>
      <x:c r="D133" s="6" t="n">
        <x:v>382</x:v>
      </x:c>
      <x:c r="E133" s="6" t="n">
        <x:v>50</x:v>
      </x:c>
      <x:c r="F133" s="6" t="n">
        <x:v>-9</x:v>
      </x:c>
      <x:c r="G133" s="6" t="n">
        <x:v>-1</x:v>
      </x:c>
      <x:c r="H133" s="6" t="n">
        <x:v>0</x:v>
      </x:c>
      <x:c r="I133" s="6" t="n">
        <x:v>0</x:v>
      </x:c>
      <x:c r="J133" s="6" t="n">
        <x:v>8</x:v>
      </x:c>
      <x:c r="K133" s="6" t="n">
        <x:v>22</x:v>
      </x:c>
      <x:c r="L133" s="6" t="n">
        <x:v>2901</x:v>
      </x:c>
      <x:c r="M133" s="6" t="n">
        <x:v>50</x:v>
      </x:c>
      <x:c r="N133" s="6" t="n">
        <x:v>532</x:v>
      </x:c>
      <x:c r="O133" s="6" t="n">
        <x:v>0</x:v>
      </x:c>
      <x:c r="P133" s="6" t="n">
        <x:v>0</x:v>
      </x:c>
      <x:c r="Q133" s="6" t="n">
        <x:v>-1</x:v>
      </x:c>
      <x:c r="R133" s="2" t="str">
        <x:v>R12 J01-J26 / 8x30, 12+22</x:v>
      </x:c>
      <x:c r="S133" s="2" t="str">
        <x:v>TERV</x:v>
      </x:c>
    </x:row>
    <x:row r="134" ht="32" customHeight="1">
      <x:c r="A134" s="2" t="str">
        <x:v>H0129</x:v>
      </x:c>
      <x:c r="B134" s="2" t="str">
        <x:v>KI12-TV02CAP-01</x:v>
      </x:c>
      <x:c r="C134" s="2" t="str">
        <x:v>CSAP J22</x:v>
      </x:c>
      <x:c r="D134" s="6" t="n">
        <x:v>2901</x:v>
      </x:c>
      <x:c r="E134" s="6" t="n">
        <x:v>191</x:v>
      </x:c>
      <x:c r="F134" s="6" t="n">
        <x:v>-18</x:v>
      </x:c>
      <x:c r="G134" s="6" t="n">
        <x:v>0</x:v>
      </x:c>
      <x:c r="H134" s="6" t="n">
        <x:v>0</x:v>
      </x:c>
      <x:c r="I134" s="6" t="n">
        <x:v>1</x:v>
      </x:c>
      <x:c r="J134" s="6" t="n">
        <x:v>8</x:v>
      </x:c>
      <x:c r="K134" s="6" t="n">
        <x:v>12</x:v>
      </x:c>
      <x:c r="L134" s="6" t="n">
        <x:v>2901</x:v>
      </x:c>
      <x:c r="M134" s="6" t="n">
        <x:v>191</x:v>
      </x:c>
      <x:c r="N134" s="6" t="n">
        <x:v>532</x:v>
      </x:c>
      <x:c r="O134" s="6" t="n">
        <x:v>0</x:v>
      </x:c>
      <x:c r="P134" s="6" t="n">
        <x:v>0</x:v>
      </x:c>
      <x:c r="Q134" s="6" t="n">
        <x:v>1</x:v>
      </x:c>
      <x:c r="R134" s="2" t="str">
        <x:v>R12 J01-J26 / 8x30, 12+22</x:v>
      </x:c>
      <x:c r="S134" s="2" t="str">
        <x:v>TERV</x:v>
      </x:c>
    </x:row>
    <x:row r="135" ht="32" customHeight="1">
      <x:c r="A135" s="2" t="str">
        <x:v>H0130</x:v>
      </x:c>
      <x:c r="B135" s="2" t="str">
        <x:v>KI12-TV02S-08</x:v>
      </x:c>
      <x:c r="C135" s="2" t="str">
        <x:v>CSAP J22</x:v>
      </x:c>
      <x:c r="D135" s="6" t="n">
        <x:v>382</x:v>
      </x:c>
      <x:c r="E135" s="6" t="n">
        <x:v>191</x:v>
      </x:c>
      <x:c r="F135" s="6" t="n">
        <x:v>-9</x:v>
      </x:c>
      <x:c r="G135" s="6" t="n">
        <x:v>-1</x:v>
      </x:c>
      <x:c r="H135" s="6" t="n">
        <x:v>0</x:v>
      </x:c>
      <x:c r="I135" s="6" t="n">
        <x:v>0</x:v>
      </x:c>
      <x:c r="J135" s="6" t="n">
        <x:v>8</x:v>
      </x:c>
      <x:c r="K135" s="6" t="n">
        <x:v>22</x:v>
      </x:c>
      <x:c r="L135" s="6" t="n">
        <x:v>2901</x:v>
      </x:c>
      <x:c r="M135" s="6" t="n">
        <x:v>191</x:v>
      </x:c>
      <x:c r="N135" s="6" t="n">
        <x:v>532</x:v>
      </x:c>
      <x:c r="O135" s="6" t="n">
        <x:v>0</x:v>
      </x:c>
      <x:c r="P135" s="6" t="n">
        <x:v>0</x:v>
      </x:c>
      <x:c r="Q135" s="6" t="n">
        <x:v>-1</x:v>
      </x:c>
      <x:c r="R135" s="2" t="str">
        <x:v>R12 J01-J26 / 8x30, 12+22</x:v>
      </x:c>
      <x:c r="S135" s="2" t="str">
        <x:v>TERV</x:v>
      </x:c>
    </x:row>
    <x:row r="136" ht="32" customHeight="1">
      <x:c r="A136" s="2" t="str">
        <x:v>H0131</x:v>
      </x:c>
      <x:c r="B136" s="2" t="str">
        <x:v>KI12-TV02CAP-01</x:v>
      </x:c>
      <x:c r="C136" s="2" t="str">
        <x:v>CSAP J22</x:v>
      </x:c>
      <x:c r="D136" s="6" t="n">
        <x:v>2901</x:v>
      </x:c>
      <x:c r="E136" s="6" t="n">
        <x:v>332</x:v>
      </x:c>
      <x:c r="F136" s="6" t="n">
        <x:v>-18</x:v>
      </x:c>
      <x:c r="G136" s="6" t="n">
        <x:v>0</x:v>
      </x:c>
      <x:c r="H136" s="6" t="n">
        <x:v>0</x:v>
      </x:c>
      <x:c r="I136" s="6" t="n">
        <x:v>1</x:v>
      </x:c>
      <x:c r="J136" s="6" t="n">
        <x:v>8</x:v>
      </x:c>
      <x:c r="K136" s="6" t="n">
        <x:v>12</x:v>
      </x:c>
      <x:c r="L136" s="6" t="n">
        <x:v>2901</x:v>
      </x:c>
      <x:c r="M136" s="6" t="n">
        <x:v>332</x:v>
      </x:c>
      <x:c r="N136" s="6" t="n">
        <x:v>532</x:v>
      </x:c>
      <x:c r="O136" s="6" t="n">
        <x:v>0</x:v>
      </x:c>
      <x:c r="P136" s="6" t="n">
        <x:v>0</x:v>
      </x:c>
      <x:c r="Q136" s="6" t="n">
        <x:v>1</x:v>
      </x:c>
      <x:c r="R136" s="2" t="str">
        <x:v>R12 J01-J26 / 8x30, 12+22</x:v>
      </x:c>
      <x:c r="S136" s="2" t="str">
        <x:v>TERV</x:v>
      </x:c>
    </x:row>
    <x:row r="137" ht="32" customHeight="1">
      <x:c r="A137" s="2" t="str">
        <x:v>H0132</x:v>
      </x:c>
      <x:c r="B137" s="2" t="str">
        <x:v>KI12-TV02S-08</x:v>
      </x:c>
      <x:c r="C137" s="2" t="str">
        <x:v>CSAP J22</x:v>
      </x:c>
      <x:c r="D137" s="6" t="n">
        <x:v>382</x:v>
      </x:c>
      <x:c r="E137" s="6" t="n">
        <x:v>332</x:v>
      </x:c>
      <x:c r="F137" s="6" t="n">
        <x:v>-9</x:v>
      </x:c>
      <x:c r="G137" s="6" t="n">
        <x:v>-1</x:v>
      </x:c>
      <x:c r="H137" s="6" t="n">
        <x:v>0</x:v>
      </x:c>
      <x:c r="I137" s="6" t="n">
        <x:v>0</x:v>
      </x:c>
      <x:c r="J137" s="6" t="n">
        <x:v>8</x:v>
      </x:c>
      <x:c r="K137" s="6" t="n">
        <x:v>22</x:v>
      </x:c>
      <x:c r="L137" s="6" t="n">
        <x:v>2901</x:v>
      </x:c>
      <x:c r="M137" s="6" t="n">
        <x:v>332</x:v>
      </x:c>
      <x:c r="N137" s="6" t="n">
        <x:v>532</x:v>
      </x:c>
      <x:c r="O137" s="6" t="n">
        <x:v>0</x:v>
      </x:c>
      <x:c r="P137" s="6" t="n">
        <x:v>0</x:v>
      </x:c>
      <x:c r="Q137" s="6" t="n">
        <x:v>-1</x:v>
      </x:c>
      <x:c r="R137" s="2" t="str">
        <x:v>R12 J01-J26 / 8x30, 12+22</x:v>
      </x:c>
      <x:c r="S137" s="2" t="str">
        <x:v>TERV</x:v>
      </x:c>
    </x:row>
    <x:row r="138" ht="32" customHeight="1">
      <x:c r="A138" s="2" t="str">
        <x:v>H0133</x:v>
      </x:c>
      <x:c r="B138" s="2" t="str">
        <x:v>KI12-TV02S-09</x:v>
      </x:c>
      <x:c r="C138" s="2" t="str">
        <x:v>CSAP J23</x:v>
      </x:c>
      <x:c r="D138" s="6" t="n">
        <x:v>9</x:v>
      </x:c>
      <x:c r="E138" s="6" t="n">
        <x:v>50</x:v>
      </x:c>
      <x:c r="F138" s="6" t="n">
        <x:v>-18</x:v>
      </x:c>
      <x:c r="G138" s="6" t="n">
        <x:v>0</x:v>
      </x:c>
      <x:c r="H138" s="6" t="n">
        <x:v>0</x:v>
      </x:c>
      <x:c r="I138" s="6" t="n">
        <x:v>1</x:v>
      </x:c>
      <x:c r="J138" s="6" t="n">
        <x:v>8</x:v>
      </x:c>
      <x:c r="K138" s="6" t="n">
        <x:v>12</x:v>
      </x:c>
      <x:c r="L138" s="6" t="n">
        <x:v>2928</x:v>
      </x:c>
      <x:c r="M138" s="6" t="n">
        <x:v>50</x:v>
      </x:c>
      <x:c r="N138" s="6" t="n">
        <x:v>159</x:v>
      </x:c>
      <x:c r="O138" s="6" t="n">
        <x:v>-1</x:v>
      </x:c>
      <x:c r="P138" s="6" t="n">
        <x:v>0</x:v>
      </x:c>
      <x:c r="Q138" s="6" t="n">
        <x:v>0</x:v>
      </x:c>
      <x:c r="R138" s="2" t="str">
        <x:v>R12 J01-J26 / 8x30, 12+22</x:v>
      </x:c>
      <x:c r="S138" s="2" t="str">
        <x:v>TERV</x:v>
      </x:c>
    </x:row>
    <x:row r="139" ht="32" customHeight="1">
      <x:c r="A139" s="2" t="str">
        <x:v>H0134</x:v>
      </x:c>
      <x:c r="B139" s="2" t="str">
        <x:v>KI12-TV02T2-04</x:v>
      </x:c>
      <x:c r="C139" s="2" t="str">
        <x:v>CSAP J23</x:v>
      </x:c>
      <x:c r="D139" s="6" t="n">
        <x:v>0</x:v>
      </x:c>
      <x:c r="E139" s="6" t="n">
        <x:v>50</x:v>
      </x:c>
      <x:c r="F139" s="6" t="n">
        <x:v>-9</x:v>
      </x:c>
      <x:c r="G139" s="6" t="n">
        <x:v>1</x:v>
      </x:c>
      <x:c r="H139" s="6" t="n">
        <x:v>0</x:v>
      </x:c>
      <x:c r="I139" s="6" t="n">
        <x:v>0</x:v>
      </x:c>
      <x:c r="J139" s="6" t="n">
        <x:v>8</x:v>
      </x:c>
      <x:c r="K139" s="6" t="n">
        <x:v>22</x:v>
      </x:c>
      <x:c r="L139" s="6" t="n">
        <x:v>2928</x:v>
      </x:c>
      <x:c r="M139" s="6" t="n">
        <x:v>50</x:v>
      </x:c>
      <x:c r="N139" s="6" t="n">
        <x:v>159</x:v>
      </x:c>
      <x:c r="O139" s="6" t="n">
        <x:v>1</x:v>
      </x:c>
      <x:c r="P139" s="6" t="n">
        <x:v>0</x:v>
      </x:c>
      <x:c r="Q139" s="6" t="n">
        <x:v>0</x:v>
      </x:c>
      <x:c r="R139" s="2" t="str">
        <x:v>R12 J01-J26 / 8x30, 12+22</x:v>
      </x:c>
      <x:c r="S139" s="2" t="str">
        <x:v>TERV</x:v>
      </x:c>
    </x:row>
    <x:row r="140" ht="32" customHeight="1">
      <x:c r="A140" s="2" t="str">
        <x:v>H0135</x:v>
      </x:c>
      <x:c r="B140" s="2" t="str">
        <x:v>KI12-TV02S-09</x:v>
      </x:c>
      <x:c r="C140" s="2" t="str">
        <x:v>CSAP J23</x:v>
      </x:c>
      <x:c r="D140" s="6" t="n">
        <x:v>9</x:v>
      </x:c>
      <x:c r="E140" s="6" t="n">
        <x:v>191</x:v>
      </x:c>
      <x:c r="F140" s="6" t="n">
        <x:v>-18</x:v>
      </x:c>
      <x:c r="G140" s="6" t="n">
        <x:v>0</x:v>
      </x:c>
      <x:c r="H140" s="6" t="n">
        <x:v>0</x:v>
      </x:c>
      <x:c r="I140" s="6" t="n">
        <x:v>1</x:v>
      </x:c>
      <x:c r="J140" s="6" t="n">
        <x:v>8</x:v>
      </x:c>
      <x:c r="K140" s="6" t="n">
        <x:v>12</x:v>
      </x:c>
      <x:c r="L140" s="6" t="n">
        <x:v>2928</x:v>
      </x:c>
      <x:c r="M140" s="6" t="n">
        <x:v>191</x:v>
      </x:c>
      <x:c r="N140" s="6" t="n">
        <x:v>159</x:v>
      </x:c>
      <x:c r="O140" s="6" t="n">
        <x:v>-1</x:v>
      </x:c>
      <x:c r="P140" s="6" t="n">
        <x:v>0</x:v>
      </x:c>
      <x:c r="Q140" s="6" t="n">
        <x:v>0</x:v>
      </x:c>
      <x:c r="R140" s="2" t="str">
        <x:v>R12 J01-J26 / 8x30, 12+22</x:v>
      </x:c>
      <x:c r="S140" s="2" t="str">
        <x:v>TERV</x:v>
      </x:c>
    </x:row>
    <x:row r="141" ht="32" customHeight="1">
      <x:c r="A141" s="2" t="str">
        <x:v>H0136</x:v>
      </x:c>
      <x:c r="B141" s="2" t="str">
        <x:v>KI12-TV02T2-04</x:v>
      </x:c>
      <x:c r="C141" s="2" t="str">
        <x:v>CSAP J23</x:v>
      </x:c>
      <x:c r="D141" s="6" t="n">
        <x:v>0</x:v>
      </x:c>
      <x:c r="E141" s="6" t="n">
        <x:v>191</x:v>
      </x:c>
      <x:c r="F141" s="6" t="n">
        <x:v>-9</x:v>
      </x:c>
      <x:c r="G141" s="6" t="n">
        <x:v>1</x:v>
      </x:c>
      <x:c r="H141" s="6" t="n">
        <x:v>0</x:v>
      </x:c>
      <x:c r="I141" s="6" t="n">
        <x:v>0</x:v>
      </x:c>
      <x:c r="J141" s="6" t="n">
        <x:v>8</x:v>
      </x:c>
      <x:c r="K141" s="6" t="n">
        <x:v>22</x:v>
      </x:c>
      <x:c r="L141" s="6" t="n">
        <x:v>2928</x:v>
      </x:c>
      <x:c r="M141" s="6" t="n">
        <x:v>191</x:v>
      </x:c>
      <x:c r="N141" s="6" t="n">
        <x:v>159</x:v>
      </x:c>
      <x:c r="O141" s="6" t="n">
        <x:v>1</x:v>
      </x:c>
      <x:c r="P141" s="6" t="n">
        <x:v>0</x:v>
      </x:c>
      <x:c r="Q141" s="6" t="n">
        <x:v>0</x:v>
      </x:c>
      <x:c r="R141" s="2" t="str">
        <x:v>R12 J01-J26 / 8x30, 12+22</x:v>
      </x:c>
      <x:c r="S141" s="2" t="str">
        <x:v>TERV</x:v>
      </x:c>
    </x:row>
    <x:row r="142" ht="32" customHeight="1">
      <x:c r="A142" s="2" t="str">
        <x:v>H0137</x:v>
      </x:c>
      <x:c r="B142" s="2" t="str">
        <x:v>KI12-TV02S-09</x:v>
      </x:c>
      <x:c r="C142" s="2" t="str">
        <x:v>CSAP J23</x:v>
      </x:c>
      <x:c r="D142" s="6" t="n">
        <x:v>9</x:v>
      </x:c>
      <x:c r="E142" s="6" t="n">
        <x:v>332</x:v>
      </x:c>
      <x:c r="F142" s="6" t="n">
        <x:v>-18</x:v>
      </x:c>
      <x:c r="G142" s="6" t="n">
        <x:v>0</x:v>
      </x:c>
      <x:c r="H142" s="6" t="n">
        <x:v>0</x:v>
      </x:c>
      <x:c r="I142" s="6" t="n">
        <x:v>1</x:v>
      </x:c>
      <x:c r="J142" s="6" t="n">
        <x:v>8</x:v>
      </x:c>
      <x:c r="K142" s="6" t="n">
        <x:v>12</x:v>
      </x:c>
      <x:c r="L142" s="6" t="n">
        <x:v>2928</x:v>
      </x:c>
      <x:c r="M142" s="6" t="n">
        <x:v>332</x:v>
      </x:c>
      <x:c r="N142" s="6" t="n">
        <x:v>159</x:v>
      </x:c>
      <x:c r="O142" s="6" t="n">
        <x:v>-1</x:v>
      </x:c>
      <x:c r="P142" s="6" t="n">
        <x:v>0</x:v>
      </x:c>
      <x:c r="Q142" s="6" t="n">
        <x:v>0</x:v>
      </x:c>
      <x:c r="R142" s="2" t="str">
        <x:v>R12 J01-J26 / 8x30, 12+22</x:v>
      </x:c>
      <x:c r="S142" s="2" t="str">
        <x:v>TERV</x:v>
      </x:c>
    </x:row>
    <x:row r="143" ht="32" customHeight="1">
      <x:c r="A143" s="2" t="str">
        <x:v>H0138</x:v>
      </x:c>
      <x:c r="B143" s="2" t="str">
        <x:v>KI12-TV02T2-04</x:v>
      </x:c>
      <x:c r="C143" s="2" t="str">
        <x:v>CSAP J23</x:v>
      </x:c>
      <x:c r="D143" s="6" t="n">
        <x:v>0</x:v>
      </x:c>
      <x:c r="E143" s="6" t="n">
        <x:v>332</x:v>
      </x:c>
      <x:c r="F143" s="6" t="n">
        <x:v>-9</x:v>
      </x:c>
      <x:c r="G143" s="6" t="n">
        <x:v>1</x:v>
      </x:c>
      <x:c r="H143" s="6" t="n">
        <x:v>0</x:v>
      </x:c>
      <x:c r="I143" s="6" t="n">
        <x:v>0</x:v>
      </x:c>
      <x:c r="J143" s="6" t="n">
        <x:v>8</x:v>
      </x:c>
      <x:c r="K143" s="6" t="n">
        <x:v>22</x:v>
      </x:c>
      <x:c r="L143" s="6" t="n">
        <x:v>2928</x:v>
      </x:c>
      <x:c r="M143" s="6" t="n">
        <x:v>332</x:v>
      </x:c>
      <x:c r="N143" s="6" t="n">
        <x:v>159</x:v>
      </x:c>
      <x:c r="O143" s="6" t="n">
        <x:v>1</x:v>
      </x:c>
      <x:c r="P143" s="6" t="n">
        <x:v>0</x:v>
      </x:c>
      <x:c r="Q143" s="6" t="n">
        <x:v>0</x:v>
      </x:c>
      <x:c r="R143" s="2" t="str">
        <x:v>R12 J01-J26 / 8x30, 12+22</x:v>
      </x:c>
      <x:c r="S143" s="2" t="str">
        <x:v>TERV</x:v>
      </x:c>
    </x:row>
    <x:row r="144" ht="32" customHeight="1">
      <x:c r="A144" s="2" t="str">
        <x:v>H0139</x:v>
      </x:c>
      <x:c r="B144" s="2" t="str">
        <x:v>KI12-TV02CAP-01</x:v>
      </x:c>
      <x:c r="C144" s="2" t="str">
        <x:v>CSAP J24</x:v>
      </x:c>
      <x:c r="D144" s="6" t="n">
        <x:v>2919</x:v>
      </x:c>
      <x:c r="E144" s="6" t="n">
        <x:v>50</x:v>
      </x:c>
      <x:c r="F144" s="6" t="n">
        <x:v>-18</x:v>
      </x:c>
      <x:c r="G144" s="6" t="n">
        <x:v>0</x:v>
      </x:c>
      <x:c r="H144" s="6" t="n">
        <x:v>0</x:v>
      </x:c>
      <x:c r="I144" s="6" t="n">
        <x:v>1</x:v>
      </x:c>
      <x:c r="J144" s="6" t="n">
        <x:v>8</x:v>
      </x:c>
      <x:c r="K144" s="6" t="n">
        <x:v>12</x:v>
      </x:c>
      <x:c r="L144" s="6" t="n">
        <x:v>2919</x:v>
      </x:c>
      <x:c r="M144" s="6" t="n">
        <x:v>50</x:v>
      </x:c>
      <x:c r="N144" s="6" t="n">
        <x:v>532</x:v>
      </x:c>
      <x:c r="O144" s="6" t="n">
        <x:v>0</x:v>
      </x:c>
      <x:c r="P144" s="6" t="n">
        <x:v>0</x:v>
      </x:c>
      <x:c r="Q144" s="6" t="n">
        <x:v>1</x:v>
      </x:c>
      <x:c r="R144" s="2" t="str">
        <x:v>R12 J01-J26 / 8x30, 12+22</x:v>
      </x:c>
      <x:c r="S144" s="2" t="str">
        <x:v>TERV</x:v>
      </x:c>
    </x:row>
    <x:row r="145" ht="32" customHeight="1">
      <x:c r="A145" s="2" t="str">
        <x:v>H0140</x:v>
      </x:c>
      <x:c r="B145" s="2" t="str">
        <x:v>KI12-TV02S-09</x:v>
      </x:c>
      <x:c r="C145" s="2" t="str">
        <x:v>CSAP J24</x:v>
      </x:c>
      <x:c r="D145" s="6" t="n">
        <x:v>382</x:v>
      </x:c>
      <x:c r="E145" s="6" t="n">
        <x:v>50</x:v>
      </x:c>
      <x:c r="F145" s="6" t="n">
        <x:v>-9</x:v>
      </x:c>
      <x:c r="G145" s="6" t="n">
        <x:v>-1</x:v>
      </x:c>
      <x:c r="H145" s="6" t="n">
        <x:v>0</x:v>
      </x:c>
      <x:c r="I145" s="6" t="n">
        <x:v>0</x:v>
      </x:c>
      <x:c r="J145" s="6" t="n">
        <x:v>8</x:v>
      </x:c>
      <x:c r="K145" s="6" t="n">
        <x:v>22</x:v>
      </x:c>
      <x:c r="L145" s="6" t="n">
        <x:v>2919</x:v>
      </x:c>
      <x:c r="M145" s="6" t="n">
        <x:v>50</x:v>
      </x:c>
      <x:c r="N145" s="6" t="n">
        <x:v>532</x:v>
      </x:c>
      <x:c r="O145" s="6" t="n">
        <x:v>0</x:v>
      </x:c>
      <x:c r="P145" s="6" t="n">
        <x:v>0</x:v>
      </x:c>
      <x:c r="Q145" s="6" t="n">
        <x:v>-1</x:v>
      </x:c>
      <x:c r="R145" s="2" t="str">
        <x:v>R12 J01-J26 / 8x30, 12+22</x:v>
      </x:c>
      <x:c r="S145" s="2" t="str">
        <x:v>TERV</x:v>
      </x:c>
    </x:row>
    <x:row r="146" ht="32" customHeight="1">
      <x:c r="A146" s="2" t="str">
        <x:v>H0141</x:v>
      </x:c>
      <x:c r="B146" s="2" t="str">
        <x:v>KI12-TV02CAP-01</x:v>
      </x:c>
      <x:c r="C146" s="2" t="str">
        <x:v>CSAP J24</x:v>
      </x:c>
      <x:c r="D146" s="6" t="n">
        <x:v>2919</x:v>
      </x:c>
      <x:c r="E146" s="6" t="n">
        <x:v>191</x:v>
      </x:c>
      <x:c r="F146" s="6" t="n">
        <x:v>-18</x:v>
      </x:c>
      <x:c r="G146" s="6" t="n">
        <x:v>0</x:v>
      </x:c>
      <x:c r="H146" s="6" t="n">
        <x:v>0</x:v>
      </x:c>
      <x:c r="I146" s="6" t="n">
        <x:v>1</x:v>
      </x:c>
      <x:c r="J146" s="6" t="n">
        <x:v>8</x:v>
      </x:c>
      <x:c r="K146" s="6" t="n">
        <x:v>12</x:v>
      </x:c>
      <x:c r="L146" s="6" t="n">
        <x:v>2919</x:v>
      </x:c>
      <x:c r="M146" s="6" t="n">
        <x:v>191</x:v>
      </x:c>
      <x:c r="N146" s="6" t="n">
        <x:v>532</x:v>
      </x:c>
      <x:c r="O146" s="6" t="n">
        <x:v>0</x:v>
      </x:c>
      <x:c r="P146" s="6" t="n">
        <x:v>0</x:v>
      </x:c>
      <x:c r="Q146" s="6" t="n">
        <x:v>1</x:v>
      </x:c>
      <x:c r="R146" s="2" t="str">
        <x:v>R12 J01-J26 / 8x30, 12+22</x:v>
      </x:c>
      <x:c r="S146" s="2" t="str">
        <x:v>TERV</x:v>
      </x:c>
    </x:row>
    <x:row r="147" ht="32" customHeight="1">
      <x:c r="A147" s="2" t="str">
        <x:v>H0142</x:v>
      </x:c>
      <x:c r="B147" s="2" t="str">
        <x:v>KI12-TV02S-09</x:v>
      </x:c>
      <x:c r="C147" s="2" t="str">
        <x:v>CSAP J24</x:v>
      </x:c>
      <x:c r="D147" s="6" t="n">
        <x:v>382</x:v>
      </x:c>
      <x:c r="E147" s="6" t="n">
        <x:v>191</x:v>
      </x:c>
      <x:c r="F147" s="6" t="n">
        <x:v>-9</x:v>
      </x:c>
      <x:c r="G147" s="6" t="n">
        <x:v>-1</x:v>
      </x:c>
      <x:c r="H147" s="6" t="n">
        <x:v>0</x:v>
      </x:c>
      <x:c r="I147" s="6" t="n">
        <x:v>0</x:v>
      </x:c>
      <x:c r="J147" s="6" t="n">
        <x:v>8</x:v>
      </x:c>
      <x:c r="K147" s="6" t="n">
        <x:v>22</x:v>
      </x:c>
      <x:c r="L147" s="6" t="n">
        <x:v>2919</x:v>
      </x:c>
      <x:c r="M147" s="6" t="n">
        <x:v>191</x:v>
      </x:c>
      <x:c r="N147" s="6" t="n">
        <x:v>532</x:v>
      </x:c>
      <x:c r="O147" s="6" t="n">
        <x:v>0</x:v>
      </x:c>
      <x:c r="P147" s="6" t="n">
        <x:v>0</x:v>
      </x:c>
      <x:c r="Q147" s="6" t="n">
        <x:v>-1</x:v>
      </x:c>
      <x:c r="R147" s="2" t="str">
        <x:v>R12 J01-J26 / 8x30, 12+22</x:v>
      </x:c>
      <x:c r="S147" s="2" t="str">
        <x:v>TERV</x:v>
      </x:c>
    </x:row>
    <x:row r="148" ht="32" customHeight="1">
      <x:c r="A148" s="2" t="str">
        <x:v>H0143</x:v>
      </x:c>
      <x:c r="B148" s="2" t="str">
        <x:v>KI12-TV02CAP-01</x:v>
      </x:c>
      <x:c r="C148" s="2" t="str">
        <x:v>CSAP J24</x:v>
      </x:c>
      <x:c r="D148" s="6" t="n">
        <x:v>2919</x:v>
      </x:c>
      <x:c r="E148" s="6" t="n">
        <x:v>332</x:v>
      </x:c>
      <x:c r="F148" s="6" t="n">
        <x:v>-18</x:v>
      </x:c>
      <x:c r="G148" s="6" t="n">
        <x:v>0</x:v>
      </x:c>
      <x:c r="H148" s="6" t="n">
        <x:v>0</x:v>
      </x:c>
      <x:c r="I148" s="6" t="n">
        <x:v>1</x:v>
      </x:c>
      <x:c r="J148" s="6" t="n">
        <x:v>8</x:v>
      </x:c>
      <x:c r="K148" s="6" t="n">
        <x:v>12</x:v>
      </x:c>
      <x:c r="L148" s="6" t="n">
        <x:v>2919</x:v>
      </x:c>
      <x:c r="M148" s="6" t="n">
        <x:v>332</x:v>
      </x:c>
      <x:c r="N148" s="6" t="n">
        <x:v>532</x:v>
      </x:c>
      <x:c r="O148" s="6" t="n">
        <x:v>0</x:v>
      </x:c>
      <x:c r="P148" s="6" t="n">
        <x:v>0</x:v>
      </x:c>
      <x:c r="Q148" s="6" t="n">
        <x:v>1</x:v>
      </x:c>
      <x:c r="R148" s="2" t="str">
        <x:v>R12 J01-J26 / 8x30, 12+22</x:v>
      </x:c>
      <x:c r="S148" s="2" t="str">
        <x:v>TERV</x:v>
      </x:c>
    </x:row>
    <x:row r="149" ht="32" customHeight="1">
      <x:c r="A149" s="2" t="str">
        <x:v>H0144</x:v>
      </x:c>
      <x:c r="B149" s="2" t="str">
        <x:v>KI12-TV02S-09</x:v>
      </x:c>
      <x:c r="C149" s="2" t="str">
        <x:v>CSAP J24</x:v>
      </x:c>
      <x:c r="D149" s="6" t="n">
        <x:v>382</x:v>
      </x:c>
      <x:c r="E149" s="6" t="n">
        <x:v>332</x:v>
      </x:c>
      <x:c r="F149" s="6" t="n">
        <x:v>-9</x:v>
      </x:c>
      <x:c r="G149" s="6" t="n">
        <x:v>-1</x:v>
      </x:c>
      <x:c r="H149" s="6" t="n">
        <x:v>0</x:v>
      </x:c>
      <x:c r="I149" s="6" t="n">
        <x:v>0</x:v>
      </x:c>
      <x:c r="J149" s="6" t="n">
        <x:v>8</x:v>
      </x:c>
      <x:c r="K149" s="6" t="n">
        <x:v>22</x:v>
      </x:c>
      <x:c r="L149" s="6" t="n">
        <x:v>2919</x:v>
      </x:c>
      <x:c r="M149" s="6" t="n">
        <x:v>332</x:v>
      </x:c>
      <x:c r="N149" s="6" t="n">
        <x:v>532</x:v>
      </x:c>
      <x:c r="O149" s="6" t="n">
        <x:v>0</x:v>
      </x:c>
      <x:c r="P149" s="6" t="n">
        <x:v>0</x:v>
      </x:c>
      <x:c r="Q149" s="6" t="n">
        <x:v>-1</x:v>
      </x:c>
      <x:c r="R149" s="2" t="str">
        <x:v>R12 J01-J26 / 8x30, 12+22</x:v>
      </x:c>
      <x:c r="S149" s="2" t="str">
        <x:v>TERV</x:v>
      </x:c>
    </x:row>
    <x:row r="150" ht="32" customHeight="1">
      <x:c r="A150" s="2" t="str">
        <x:v>H0145</x:v>
      </x:c>
      <x:c r="B150" s="2" t="str">
        <x:v>KI12-TV02S-10</x:v>
      </x:c>
      <x:c r="C150" s="2" t="str">
        <x:v>CSAP J25</x:v>
      </x:c>
      <x:c r="D150" s="6" t="n">
        <x:v>9</x:v>
      </x:c>
      <x:c r="E150" s="6" t="n">
        <x:v>50</x:v>
      </x:c>
      <x:c r="F150" s="6" t="n">
        <x:v>0</x:v>
      </x:c>
      <x:c r="G150" s="6" t="n">
        <x:v>0</x:v>
      </x:c>
      <x:c r="H150" s="6" t="n">
        <x:v>0</x:v>
      </x:c>
      <x:c r="I150" s="6" t="n">
        <x:v>-1</x:v>
      </x:c>
      <x:c r="J150" s="6" t="n">
        <x:v>8</x:v>
      </x:c>
      <x:c r="K150" s="6" t="n">
        <x:v>12</x:v>
      </x:c>
      <x:c r="L150" s="6" t="n">
        <x:v>3582</x:v>
      </x:c>
      <x:c r="M150" s="6" t="n">
        <x:v>50</x:v>
      </x:c>
      <x:c r="N150" s="6" t="n">
        <x:v>159</x:v>
      </x:c>
      <x:c r="O150" s="6" t="n">
        <x:v>1</x:v>
      </x:c>
      <x:c r="P150" s="6" t="n">
        <x:v>0</x:v>
      </x:c>
      <x:c r="Q150" s="6" t="n">
        <x:v>0</x:v>
      </x:c>
      <x:c r="R150" s="2" t="str">
        <x:v>R12 J01-J26 / 8x30, 12+22</x:v>
      </x:c>
      <x:c r="S150" s="2" t="str">
        <x:v>TERV</x:v>
      </x:c>
    </x:row>
    <x:row r="151" ht="32" customHeight="1">
      <x:c r="A151" s="2" t="str">
        <x:v>H0146</x:v>
      </x:c>
      <x:c r="B151" s="2" t="str">
        <x:v>KI12-TV02T2-04</x:v>
      </x:c>
      <x:c r="C151" s="2" t="str">
        <x:v>CSAP J25</x:v>
      </x:c>
      <x:c r="D151" s="6" t="n">
        <x:v>654</x:v>
      </x:c>
      <x:c r="E151" s="6" t="n">
        <x:v>50</x:v>
      </x:c>
      <x:c r="F151" s="6" t="n">
        <x:v>-9</x:v>
      </x:c>
      <x:c r="G151" s="6" t="n">
        <x:v>-1</x:v>
      </x:c>
      <x:c r="H151" s="6" t="n">
        <x:v>0</x:v>
      </x:c>
      <x:c r="I151" s="6" t="n">
        <x:v>0</x:v>
      </x:c>
      <x:c r="J151" s="6" t="n">
        <x:v>8</x:v>
      </x:c>
      <x:c r="K151" s="6" t="n">
        <x:v>22</x:v>
      </x:c>
      <x:c r="L151" s="6" t="n">
        <x:v>3582</x:v>
      </x:c>
      <x:c r="M151" s="6" t="n">
        <x:v>50</x:v>
      </x:c>
      <x:c r="N151" s="6" t="n">
        <x:v>159</x:v>
      </x:c>
      <x:c r="O151" s="6" t="n">
        <x:v>-1</x:v>
      </x:c>
      <x:c r="P151" s="6" t="n">
        <x:v>0</x:v>
      </x:c>
      <x:c r="Q151" s="6" t="n">
        <x:v>0</x:v>
      </x:c>
      <x:c r="R151" s="2" t="str">
        <x:v>R12 J01-J26 / 8x30, 12+22</x:v>
      </x:c>
      <x:c r="S151" s="2" t="str">
        <x:v>TERV</x:v>
      </x:c>
    </x:row>
    <x:row r="152" ht="32" customHeight="1">
      <x:c r="A152" s="2" t="str">
        <x:v>H0147</x:v>
      </x:c>
      <x:c r="B152" s="2" t="str">
        <x:v>KI12-TV02S-10</x:v>
      </x:c>
      <x:c r="C152" s="2" t="str">
        <x:v>CSAP J25</x:v>
      </x:c>
      <x:c r="D152" s="6" t="n">
        <x:v>9</x:v>
      </x:c>
      <x:c r="E152" s="6" t="n">
        <x:v>191</x:v>
      </x:c>
      <x:c r="F152" s="6" t="n">
        <x:v>0</x:v>
      </x:c>
      <x:c r="G152" s="6" t="n">
        <x:v>0</x:v>
      </x:c>
      <x:c r="H152" s="6" t="n">
        <x:v>0</x:v>
      </x:c>
      <x:c r="I152" s="6" t="n">
        <x:v>-1</x:v>
      </x:c>
      <x:c r="J152" s="6" t="n">
        <x:v>8</x:v>
      </x:c>
      <x:c r="K152" s="6" t="n">
        <x:v>12</x:v>
      </x:c>
      <x:c r="L152" s="6" t="n">
        <x:v>3582</x:v>
      </x:c>
      <x:c r="M152" s="6" t="n">
        <x:v>191</x:v>
      </x:c>
      <x:c r="N152" s="6" t="n">
        <x:v>159</x:v>
      </x:c>
      <x:c r="O152" s="6" t="n">
        <x:v>1</x:v>
      </x:c>
      <x:c r="P152" s="6" t="n">
        <x:v>0</x:v>
      </x:c>
      <x:c r="Q152" s="6" t="n">
        <x:v>0</x:v>
      </x:c>
      <x:c r="R152" s="2" t="str">
        <x:v>R12 J01-J26 / 8x30, 12+22</x:v>
      </x:c>
      <x:c r="S152" s="2" t="str">
        <x:v>TERV</x:v>
      </x:c>
    </x:row>
    <x:row r="153" ht="32" customHeight="1">
      <x:c r="A153" s="2" t="str">
        <x:v>H0148</x:v>
      </x:c>
      <x:c r="B153" s="2" t="str">
        <x:v>KI12-TV02T2-04</x:v>
      </x:c>
      <x:c r="C153" s="2" t="str">
        <x:v>CSAP J25</x:v>
      </x:c>
      <x:c r="D153" s="6" t="n">
        <x:v>654</x:v>
      </x:c>
      <x:c r="E153" s="6" t="n">
        <x:v>191</x:v>
      </x:c>
      <x:c r="F153" s="6" t="n">
        <x:v>-9</x:v>
      </x:c>
      <x:c r="G153" s="6" t="n">
        <x:v>-1</x:v>
      </x:c>
      <x:c r="H153" s="6" t="n">
        <x:v>0</x:v>
      </x:c>
      <x:c r="I153" s="6" t="n">
        <x:v>0</x:v>
      </x:c>
      <x:c r="J153" s="6" t="n">
        <x:v>8</x:v>
      </x:c>
      <x:c r="K153" s="6" t="n">
        <x:v>22</x:v>
      </x:c>
      <x:c r="L153" s="6" t="n">
        <x:v>3582</x:v>
      </x:c>
      <x:c r="M153" s="6" t="n">
        <x:v>191</x:v>
      </x:c>
      <x:c r="N153" s="6" t="n">
        <x:v>159</x:v>
      </x:c>
      <x:c r="O153" s="6" t="n">
        <x:v>-1</x:v>
      </x:c>
      <x:c r="P153" s="6" t="n">
        <x:v>0</x:v>
      </x:c>
      <x:c r="Q153" s="6" t="n">
        <x:v>0</x:v>
      </x:c>
      <x:c r="R153" s="2" t="str">
        <x:v>R12 J01-J26 / 8x30, 12+22</x:v>
      </x:c>
      <x:c r="S153" s="2" t="str">
        <x:v>TERV</x:v>
      </x:c>
    </x:row>
    <x:row r="154" ht="32" customHeight="1">
      <x:c r="A154" s="2" t="str">
        <x:v>H0149</x:v>
      </x:c>
      <x:c r="B154" s="2" t="str">
        <x:v>KI12-TV02S-10</x:v>
      </x:c>
      <x:c r="C154" s="2" t="str">
        <x:v>CSAP J25</x:v>
      </x:c>
      <x:c r="D154" s="6" t="n">
        <x:v>9</x:v>
      </x:c>
      <x:c r="E154" s="6" t="n">
        <x:v>332</x:v>
      </x:c>
      <x:c r="F154" s="6" t="n">
        <x:v>0</x:v>
      </x:c>
      <x:c r="G154" s="6" t="n">
        <x:v>0</x:v>
      </x:c>
      <x:c r="H154" s="6" t="n">
        <x:v>0</x:v>
      </x:c>
      <x:c r="I154" s="6" t="n">
        <x:v>-1</x:v>
      </x:c>
      <x:c r="J154" s="6" t="n">
        <x:v>8</x:v>
      </x:c>
      <x:c r="K154" s="6" t="n">
        <x:v>12</x:v>
      </x:c>
      <x:c r="L154" s="6" t="n">
        <x:v>3582</x:v>
      </x:c>
      <x:c r="M154" s="6" t="n">
        <x:v>332</x:v>
      </x:c>
      <x:c r="N154" s="6" t="n">
        <x:v>159</x:v>
      </x:c>
      <x:c r="O154" s="6" t="n">
        <x:v>1</x:v>
      </x:c>
      <x:c r="P154" s="6" t="n">
        <x:v>0</x:v>
      </x:c>
      <x:c r="Q154" s="6" t="n">
        <x:v>0</x:v>
      </x:c>
      <x:c r="R154" s="2" t="str">
        <x:v>R12 J01-J26 / 8x30, 12+22</x:v>
      </x:c>
      <x:c r="S154" s="2" t="str">
        <x:v>TERV</x:v>
      </x:c>
    </x:row>
    <x:row r="155" ht="32" customHeight="1">
      <x:c r="A155" s="2" t="str">
        <x:v>H0150</x:v>
      </x:c>
      <x:c r="B155" s="2" t="str">
        <x:v>KI12-TV02T2-04</x:v>
      </x:c>
      <x:c r="C155" s="2" t="str">
        <x:v>CSAP J25</x:v>
      </x:c>
      <x:c r="D155" s="6" t="n">
        <x:v>654</x:v>
      </x:c>
      <x:c r="E155" s="6" t="n">
        <x:v>332</x:v>
      </x:c>
      <x:c r="F155" s="6" t="n">
        <x:v>-9</x:v>
      </x:c>
      <x:c r="G155" s="6" t="n">
        <x:v>-1</x:v>
      </x:c>
      <x:c r="H155" s="6" t="n">
        <x:v>0</x:v>
      </x:c>
      <x:c r="I155" s="6" t="n">
        <x:v>0</x:v>
      </x:c>
      <x:c r="J155" s="6" t="n">
        <x:v>8</x:v>
      </x:c>
      <x:c r="K155" s="6" t="n">
        <x:v>22</x:v>
      </x:c>
      <x:c r="L155" s="6" t="n">
        <x:v>3582</x:v>
      </x:c>
      <x:c r="M155" s="6" t="n">
        <x:v>332</x:v>
      </x:c>
      <x:c r="N155" s="6" t="n">
        <x:v>159</x:v>
      </x:c>
      <x:c r="O155" s="6" t="n">
        <x:v>-1</x:v>
      </x:c>
      <x:c r="P155" s="6" t="n">
        <x:v>0</x:v>
      </x:c>
      <x:c r="Q155" s="6" t="n">
        <x:v>0</x:v>
      </x:c>
      <x:c r="R155" s="2" t="str">
        <x:v>R12 J01-J26 / 8x30, 12+22</x:v>
      </x:c>
      <x:c r="S155" s="2" t="str">
        <x:v>TERV</x:v>
      </x:c>
    </x:row>
    <x:row r="156" ht="32" customHeight="1">
      <x:c r="A156" s="2" t="str">
        <x:v>H0151</x:v>
      </x:c>
      <x:c r="B156" s="2" t="str">
        <x:v>KI12-TV02CAP-01</x:v>
      </x:c>
      <x:c r="C156" s="2" t="str">
        <x:v>CSAP J26</x:v>
      </x:c>
      <x:c r="D156" s="6" t="n">
        <x:v>3591</x:v>
      </x:c>
      <x:c r="E156" s="6" t="n">
        <x:v>50</x:v>
      </x:c>
      <x:c r="F156" s="6" t="n">
        <x:v>-18</x:v>
      </x:c>
      <x:c r="G156" s="6" t="n">
        <x:v>0</x:v>
      </x:c>
      <x:c r="H156" s="6" t="n">
        <x:v>0</x:v>
      </x:c>
      <x:c r="I156" s="6" t="n">
        <x:v>1</x:v>
      </x:c>
      <x:c r="J156" s="6" t="n">
        <x:v>8</x:v>
      </x:c>
      <x:c r="K156" s="6" t="n">
        <x:v>12</x:v>
      </x:c>
      <x:c r="L156" s="6" t="n">
        <x:v>3591</x:v>
      </x:c>
      <x:c r="M156" s="6" t="n">
        <x:v>50</x:v>
      </x:c>
      <x:c r="N156" s="6" t="n">
        <x:v>532</x:v>
      </x:c>
      <x:c r="O156" s="6" t="n">
        <x:v>0</x:v>
      </x:c>
      <x:c r="P156" s="6" t="n">
        <x:v>0</x:v>
      </x:c>
      <x:c r="Q156" s="6" t="n">
        <x:v>1</x:v>
      </x:c>
      <x:c r="R156" s="2" t="str">
        <x:v>R12 J01-J26 / 8x30, 12+22</x:v>
      </x:c>
      <x:c r="S156" s="2" t="str">
        <x:v>TERV</x:v>
      </x:c>
    </x:row>
    <x:row r="157" ht="32" customHeight="1">
      <x:c r="A157" s="2" t="str">
        <x:v>H0152</x:v>
      </x:c>
      <x:c r="B157" s="2" t="str">
        <x:v>KI12-TV02S-10</x:v>
      </x:c>
      <x:c r="C157" s="2" t="str">
        <x:v>CSAP J26</x:v>
      </x:c>
      <x:c r="D157" s="6" t="n">
        <x:v>382</x:v>
      </x:c>
      <x:c r="E157" s="6" t="n">
        <x:v>50</x:v>
      </x:c>
      <x:c r="F157" s="6" t="n">
        <x:v>-9</x:v>
      </x:c>
      <x:c r="G157" s="6" t="n">
        <x:v>-1</x:v>
      </x:c>
      <x:c r="H157" s="6" t="n">
        <x:v>0</x:v>
      </x:c>
      <x:c r="I157" s="6" t="n">
        <x:v>0</x:v>
      </x:c>
      <x:c r="J157" s="6" t="n">
        <x:v>8</x:v>
      </x:c>
      <x:c r="K157" s="6" t="n">
        <x:v>22</x:v>
      </x:c>
      <x:c r="L157" s="6" t="n">
        <x:v>3591</x:v>
      </x:c>
      <x:c r="M157" s="6" t="n">
        <x:v>50</x:v>
      </x:c>
      <x:c r="N157" s="6" t="n">
        <x:v>532</x:v>
      </x:c>
      <x:c r="O157" s="6" t="n">
        <x:v>0</x:v>
      </x:c>
      <x:c r="P157" s="6" t="n">
        <x:v>0</x:v>
      </x:c>
      <x:c r="Q157" s="6" t="n">
        <x:v>-1</x:v>
      </x:c>
      <x:c r="R157" s="2" t="str">
        <x:v>R12 J01-J26 / 8x30, 12+22</x:v>
      </x:c>
      <x:c r="S157" s="2" t="str">
        <x:v>TERV</x:v>
      </x:c>
    </x:row>
    <x:row r="158" ht="32" customHeight="1">
      <x:c r="A158" s="2" t="str">
        <x:v>H0153</x:v>
      </x:c>
      <x:c r="B158" s="2" t="str">
        <x:v>KI12-TV02CAP-01</x:v>
      </x:c>
      <x:c r="C158" s="2" t="str">
        <x:v>CSAP J26</x:v>
      </x:c>
      <x:c r="D158" s="6" t="n">
        <x:v>3591</x:v>
      </x:c>
      <x:c r="E158" s="6" t="n">
        <x:v>191</x:v>
      </x:c>
      <x:c r="F158" s="6" t="n">
        <x:v>-18</x:v>
      </x:c>
      <x:c r="G158" s="6" t="n">
        <x:v>0</x:v>
      </x:c>
      <x:c r="H158" s="6" t="n">
        <x:v>0</x:v>
      </x:c>
      <x:c r="I158" s="6" t="n">
        <x:v>1</x:v>
      </x:c>
      <x:c r="J158" s="6" t="n">
        <x:v>8</x:v>
      </x:c>
      <x:c r="K158" s="6" t="n">
        <x:v>12</x:v>
      </x:c>
      <x:c r="L158" s="6" t="n">
        <x:v>3591</x:v>
      </x:c>
      <x:c r="M158" s="6" t="n">
        <x:v>191</x:v>
      </x:c>
      <x:c r="N158" s="6" t="n">
        <x:v>532</x:v>
      </x:c>
      <x:c r="O158" s="6" t="n">
        <x:v>0</x:v>
      </x:c>
      <x:c r="P158" s="6" t="n">
        <x:v>0</x:v>
      </x:c>
      <x:c r="Q158" s="6" t="n">
        <x:v>1</x:v>
      </x:c>
      <x:c r="R158" s="2" t="str">
        <x:v>R12 J01-J26 / 8x30, 12+22</x:v>
      </x:c>
      <x:c r="S158" s="2" t="str">
        <x:v>TERV</x:v>
      </x:c>
    </x:row>
    <x:row r="159" ht="32" customHeight="1">
      <x:c r="A159" s="2" t="str">
        <x:v>H0154</x:v>
      </x:c>
      <x:c r="B159" s="2" t="str">
        <x:v>KI12-TV02S-10</x:v>
      </x:c>
      <x:c r="C159" s="2" t="str">
        <x:v>CSAP J26</x:v>
      </x:c>
      <x:c r="D159" s="6" t="n">
        <x:v>382</x:v>
      </x:c>
      <x:c r="E159" s="6" t="n">
        <x:v>191</x:v>
      </x:c>
      <x:c r="F159" s="6" t="n">
        <x:v>-9</x:v>
      </x:c>
      <x:c r="G159" s="6" t="n">
        <x:v>-1</x:v>
      </x:c>
      <x:c r="H159" s="6" t="n">
        <x:v>0</x:v>
      </x:c>
      <x:c r="I159" s="6" t="n">
        <x:v>0</x:v>
      </x:c>
      <x:c r="J159" s="6" t="n">
        <x:v>8</x:v>
      </x:c>
      <x:c r="K159" s="6" t="n">
        <x:v>22</x:v>
      </x:c>
      <x:c r="L159" s="6" t="n">
        <x:v>3591</x:v>
      </x:c>
      <x:c r="M159" s="6" t="n">
        <x:v>191</x:v>
      </x:c>
      <x:c r="N159" s="6" t="n">
        <x:v>532</x:v>
      </x:c>
      <x:c r="O159" s="6" t="n">
        <x:v>0</x:v>
      </x:c>
      <x:c r="P159" s="6" t="n">
        <x:v>0</x:v>
      </x:c>
      <x:c r="Q159" s="6" t="n">
        <x:v>-1</x:v>
      </x:c>
      <x:c r="R159" s="2" t="str">
        <x:v>R12 J01-J26 / 8x30, 12+22</x:v>
      </x:c>
      <x:c r="S159" s="2" t="str">
        <x:v>TERV</x:v>
      </x:c>
    </x:row>
    <x:row r="160" ht="32" customHeight="1">
      <x:c r="A160" s="2" t="str">
        <x:v>H0155</x:v>
      </x:c>
      <x:c r="B160" s="2" t="str">
        <x:v>KI12-TV02CAP-01</x:v>
      </x:c>
      <x:c r="C160" s="2" t="str">
        <x:v>CSAP J26</x:v>
      </x:c>
      <x:c r="D160" s="6" t="n">
        <x:v>3591</x:v>
      </x:c>
      <x:c r="E160" s="6" t="n">
        <x:v>332</x:v>
      </x:c>
      <x:c r="F160" s="6" t="n">
        <x:v>-18</x:v>
      </x:c>
      <x:c r="G160" s="6" t="n">
        <x:v>0</x:v>
      </x:c>
      <x:c r="H160" s="6" t="n">
        <x:v>0</x:v>
      </x:c>
      <x:c r="I160" s="6" t="n">
        <x:v>1</x:v>
      </x:c>
      <x:c r="J160" s="6" t="n">
        <x:v>8</x:v>
      </x:c>
      <x:c r="K160" s="6" t="n">
        <x:v>12</x:v>
      </x:c>
      <x:c r="L160" s="6" t="n">
        <x:v>3591</x:v>
      </x:c>
      <x:c r="M160" s="6" t="n">
        <x:v>332</x:v>
      </x:c>
      <x:c r="N160" s="6" t="n">
        <x:v>532</x:v>
      </x:c>
      <x:c r="O160" s="6" t="n">
        <x:v>0</x:v>
      </x:c>
      <x:c r="P160" s="6" t="n">
        <x:v>0</x:v>
      </x:c>
      <x:c r="Q160" s="6" t="n">
        <x:v>1</x:v>
      </x:c>
      <x:c r="R160" s="2" t="str">
        <x:v>R12 J01-J26 / 8x30, 12+22</x:v>
      </x:c>
      <x:c r="S160" s="2" t="str">
        <x:v>TERV</x:v>
      </x:c>
    </x:row>
    <x:row r="161" ht="32" customHeight="1">
      <x:c r="A161" s="2" t="str">
        <x:v>H0156</x:v>
      </x:c>
      <x:c r="B161" s="2" t="str">
        <x:v>KI12-TV02S-10</x:v>
      </x:c>
      <x:c r="C161" s="2" t="str">
        <x:v>CSAP J26</x:v>
      </x:c>
      <x:c r="D161" s="6" t="n">
        <x:v>382</x:v>
      </x:c>
      <x:c r="E161" s="6" t="n">
        <x:v>332</x:v>
      </x:c>
      <x:c r="F161" s="6" t="n">
        <x:v>-9</x:v>
      </x:c>
      <x:c r="G161" s="6" t="n">
        <x:v>-1</x:v>
      </x:c>
      <x:c r="H161" s="6" t="n">
        <x:v>0</x:v>
      </x:c>
      <x:c r="I161" s="6" t="n">
        <x:v>0</x:v>
      </x:c>
      <x:c r="J161" s="6" t="n">
        <x:v>8</x:v>
      </x:c>
      <x:c r="K161" s="6" t="n">
        <x:v>22</x:v>
      </x:c>
      <x:c r="L161" s="6" t="n">
        <x:v>3591</x:v>
      </x:c>
      <x:c r="M161" s="6" t="n">
        <x:v>332</x:v>
      </x:c>
      <x:c r="N161" s="6" t="n">
        <x:v>532</x:v>
      </x:c>
      <x:c r="O161" s="6" t="n">
        <x:v>0</x:v>
      </x:c>
      <x:c r="P161" s="6" t="n">
        <x:v>0</x:v>
      </x:c>
      <x:c r="Q161" s="6" t="n">
        <x:v>-1</x:v>
      </x:c>
      <x:c r="R161" s="2" t="str">
        <x:v>R12 J01-J26 / 8x30, 12+22</x:v>
      </x:c>
      <x:c r="S161" s="2" t="str">
        <x:v>TERV</x:v>
      </x:c>
    </x:row>
    <x:row r="162" ht="32" customHeight="1">
      <x:c r="A162" s="2" t="str">
        <x:v>H0157</x:v>
      </x:c>
      <x:c r="B162" s="2" t="str">
        <x:v>KI12-TV01F-01</x:v>
      </x:c>
      <x:c r="C162" s="2" t="str">
        <x:v>PANT_CSÉSZE</x:v>
      </x:c>
      <x:c r="D162" s="6" t="n">
        <x:v>100</x:v>
      </x:c>
      <x:c r="E162" s="6" t="n">
        <x:v>23</x:v>
      </x:c>
      <x:c r="F162" s="6" t="n">
        <x:v>0</x:v>
      </x:c>
      <x:c r="G162" s="6" t="n">
        <x:v>0</x:v>
      </x:c>
      <x:c r="H162" s="6" t="n">
        <x:v>0</x:v>
      </x:c>
      <x:c r="I162" s="6" t="n">
        <x:v>-1</x:v>
      </x:c>
      <x:c r="J162" s="6" t="n">
        <x:v>35</x:v>
      </x:c>
      <x:c r="K162" s="6" t="n">
        <x:v>13</x:v>
      </x:c>
      <x:c r="L162" s="6" t="n">
        <x:v>24.5</x:v>
      </x:c>
      <x:c r="M162" s="6" t="n">
        <x:v>-3</x:v>
      </x:c>
      <x:c r="N162" s="6" t="n">
        <x:v>651.5</x:v>
      </x:c>
      <x:c r="O162" s="6" t="n">
        <x:v>0</x:v>
      </x:c>
      <x:c r="P162" s="6" t="n">
        <x:v>-1</x:v>
      </x:c>
      <x:c r="Q162" s="6" t="n">
        <x:v>0</x:v>
      </x:c>
      <x:c r="R162" s="2" t="str">
        <x:v>Blum 70T3550.TL datasheet:35/13; TB5.5, MD0 -&gt; FA16.5</x:v>
      </x:c>
      <x:c r="S162" s="2" t="str">
        <x:v>TERV</x:v>
      </x:c>
    </x:row>
    <x:row r="163" ht="32" customHeight="1">
      <x:c r="A163" s="2" t="str">
        <x:v>H0158</x:v>
      </x:c>
      <x:c r="B163" s="2" t="str">
        <x:v>KI12-TV01F-01</x:v>
      </x:c>
      <x:c r="C163" s="2" t="str">
        <x:v>PANT_CSAVAR_ELOFURAT</x:v>
      </x:c>
      <x:c r="D163" s="6" t="n">
        <x:v>77.5</x:v>
      </x:c>
      <x:c r="E163" s="6" t="n">
        <x:v>13.5</x:v>
      </x:c>
      <x:c r="F163" s="6" t="n">
        <x:v>0</x:v>
      </x:c>
      <x:c r="G163" s="6" t="n">
        <x:v>0</x:v>
      </x:c>
      <x:c r="H163" s="6" t="n">
        <x:v>0</x:v>
      </x:c>
      <x:c r="I163" s="6" t="n">
        <x:v>-1</x:v>
      </x:c>
      <x:c r="J163" s="6" t="n">
        <x:v>2.5</x:v>
      </x:c>
      <x:c r="K163" s="6" t="n">
        <x:v>10</x:v>
      </x:c>
      <x:c r="L163" s="6" t="n">
        <x:v>15</x:v>
      </x:c>
      <x:c r="M163" s="6" t="n">
        <x:v>-3</x:v>
      </x:c>
      <x:c r="N163" s="6" t="n">
        <x:v>629</x:v>
      </x:c>
      <x:c r="O163" s="6" t="n">
        <x:v>0</x:v>
      </x:c>
      <x:c r="P163" s="6" t="n">
        <x:v>-1</x:v>
      </x:c>
      <x:c r="Q163" s="6" t="n">
        <x:v>0</x:v>
      </x:c>
      <x:c r="R163" s="2" t="str">
        <x:v>45/9.5 gyári kiosztás; Ø2.5x10 próbadarabon igazolandó 3.5x15 csavarhoz</x:v>
      </x:c>
      <x:c r="S163" s="2" t="str">
        <x:v>TERV</x:v>
      </x:c>
    </x:row>
    <x:row r="164" ht="32" customHeight="1">
      <x:c r="A164" s="2" t="str">
        <x:v>H0159</x:v>
      </x:c>
      <x:c r="B164" s="2" t="str">
        <x:v>KI12-TV01F-01</x:v>
      </x:c>
      <x:c r="C164" s="2" t="str">
        <x:v>PANT_CSAVAR_ELOFURAT</x:v>
      </x:c>
      <x:c r="D164" s="6" t="n">
        <x:v>122.5</x:v>
      </x:c>
      <x:c r="E164" s="6" t="n">
        <x:v>13.5</x:v>
      </x:c>
      <x:c r="F164" s="6" t="n">
        <x:v>0</x:v>
      </x:c>
      <x:c r="G164" s="6" t="n">
        <x:v>0</x:v>
      </x:c>
      <x:c r="H164" s="6" t="n">
        <x:v>0</x:v>
      </x:c>
      <x:c r="I164" s="6" t="n">
        <x:v>-1</x:v>
      </x:c>
      <x:c r="J164" s="6" t="n">
        <x:v>2.5</x:v>
      </x:c>
      <x:c r="K164" s="6" t="n">
        <x:v>10</x:v>
      </x:c>
      <x:c r="L164" s="6" t="n">
        <x:v>15</x:v>
      </x:c>
      <x:c r="M164" s="6" t="n">
        <x:v>-3</x:v>
      </x:c>
      <x:c r="N164" s="6" t="n">
        <x:v>674</x:v>
      </x:c>
      <x:c r="O164" s="6" t="n">
        <x:v>0</x:v>
      </x:c>
      <x:c r="P164" s="6" t="n">
        <x:v>-1</x:v>
      </x:c>
      <x:c r="Q164" s="6" t="n">
        <x:v>0</x:v>
      </x:c>
      <x:c r="R164" s="2" t="str">
        <x:v>45/9.5 gyári kiosztás; Ø2.5x10 próbadarabon igazolandó 3.5x15 csavarhoz</x:v>
      </x:c>
      <x:c r="S164" s="2" t="str">
        <x:v>TERV</x:v>
      </x:c>
    </x:row>
    <x:row r="165" ht="32" customHeight="1">
      <x:c r="A165" s="2" t="str">
        <x:v>H0160</x:v>
      </x:c>
      <x:c r="B165" s="2" t="str">
        <x:v>KI12-TV01S-01</x:v>
      </x:c>
      <x:c r="C165" s="2" t="str">
        <x:v>TALP_CSAVAR_ELOFURAT</x:v>
      </x:c>
      <x:c r="D165" s="6" t="n">
        <x:v>85.5</x:v>
      </x:c>
      <x:c r="E165" s="6" t="n">
        <x:v>37</x:v>
      </x:c>
      <x:c r="F165" s="6" t="n">
        <x:v>-18</x:v>
      </x:c>
      <x:c r="G165" s="6" t="n">
        <x:v>0</x:v>
      </x:c>
      <x:c r="H165" s="6" t="n">
        <x:v>0</x:v>
      </x:c>
      <x:c r="I165" s="6" t="n">
        <x:v>1</x:v>
      </x:c>
      <x:c r="J165" s="6" t="n">
        <x:v>2.5</x:v>
      </x:c>
      <x:c r="K165" s="6" t="n">
        <x:v>10</x:v>
      </x:c>
      <x:c r="L165" s="6" t="n">
        <x:v>18</x:v>
      </x:c>
      <x:c r="M165" s="6" t="n">
        <x:v>37</x:v>
      </x:c>
      <x:c r="N165" s="6" t="n">
        <x:v>635.5</x:v>
      </x:c>
      <x:c r="O165" s="6" t="n">
        <x:v>-1</x:v>
      </x:c>
      <x:c r="P165" s="6" t="n">
        <x:v>0</x:v>
      </x:c>
      <x:c r="Q165" s="6" t="n">
        <x:v>0</x:v>
      </x:c>
      <x:c r="R165" s="2" t="str">
        <x:v>Blum173H7100 37/32; Ø2.5x10 tervezői próbaérték</x:v>
      </x:c>
      <x:c r="S165" s="2" t="str">
        <x:v>TERV</x:v>
      </x:c>
    </x:row>
    <x:row r="166" ht="32" customHeight="1">
      <x:c r="A166" s="2" t="str">
        <x:v>H0161</x:v>
      </x:c>
      <x:c r="B166" s="2" t="str">
        <x:v>KI12-TV01S-01</x:v>
      </x:c>
      <x:c r="C166" s="2" t="str">
        <x:v>TALP_CSAVAR_ELOFURAT</x:v>
      </x:c>
      <x:c r="D166" s="6" t="n">
        <x:v>117.5</x:v>
      </x:c>
      <x:c r="E166" s="6" t="n">
        <x:v>37</x:v>
      </x:c>
      <x:c r="F166" s="6" t="n">
        <x:v>-18</x:v>
      </x:c>
      <x:c r="G166" s="6" t="n">
        <x:v>0</x:v>
      </x:c>
      <x:c r="H166" s="6" t="n">
        <x:v>0</x:v>
      </x:c>
      <x:c r="I166" s="6" t="n">
        <x:v>1</x:v>
      </x:c>
      <x:c r="J166" s="6" t="n">
        <x:v>2.5</x:v>
      </x:c>
      <x:c r="K166" s="6" t="n">
        <x:v>10</x:v>
      </x:c>
      <x:c r="L166" s="6" t="n">
        <x:v>18</x:v>
      </x:c>
      <x:c r="M166" s="6" t="n">
        <x:v>37</x:v>
      </x:c>
      <x:c r="N166" s="6" t="n">
        <x:v>667.5</x:v>
      </x:c>
      <x:c r="O166" s="6" t="n">
        <x:v>-1</x:v>
      </x:c>
      <x:c r="P166" s="6" t="n">
        <x:v>0</x:v>
      </x:c>
      <x:c r="Q166" s="6" t="n">
        <x:v>0</x:v>
      </x:c>
      <x:c r="R166" s="2" t="str">
        <x:v>Blum173H7100 37/32; Ø2.5x10 tervezői próbaérték</x:v>
      </x:c>
      <x:c r="S166" s="2" t="str">
        <x:v>TERV</x:v>
      </x:c>
    </x:row>
    <x:row r="167" ht="32" customHeight="1">
      <x:c r="A167" s="2" t="str">
        <x:v>H0162</x:v>
      </x:c>
      <x:c r="B167" s="2" t="str">
        <x:v>KI12-TV01F-01</x:v>
      </x:c>
      <x:c r="C167" s="2" t="str">
        <x:v>PANT_CSÉSZE</x:v>
      </x:c>
      <x:c r="D167" s="6" t="n">
        <x:v>631.75</x:v>
      </x:c>
      <x:c r="E167" s="6" t="n">
        <x:v>23</x:v>
      </x:c>
      <x:c r="F167" s="6" t="n">
        <x:v>0</x:v>
      </x:c>
      <x:c r="G167" s="6" t="n">
        <x:v>0</x:v>
      </x:c>
      <x:c r="H167" s="6" t="n">
        <x:v>0</x:v>
      </x:c>
      <x:c r="I167" s="6" t="n">
        <x:v>-1</x:v>
      </x:c>
      <x:c r="J167" s="6" t="n">
        <x:v>35</x:v>
      </x:c>
      <x:c r="K167" s="6" t="n">
        <x:v>13</x:v>
      </x:c>
      <x:c r="L167" s="6" t="n">
        <x:v>24.5</x:v>
      </x:c>
      <x:c r="M167" s="6" t="n">
        <x:v>-3</x:v>
      </x:c>
      <x:c r="N167" s="6" t="n">
        <x:v>1183.25</x:v>
      </x:c>
      <x:c r="O167" s="6" t="n">
        <x:v>0</x:v>
      </x:c>
      <x:c r="P167" s="6" t="n">
        <x:v>-1</x:v>
      </x:c>
      <x:c r="Q167" s="6" t="n">
        <x:v>0</x:v>
      </x:c>
      <x:c r="R167" s="2" t="str">
        <x:v>Blum 70T3550.TL datasheet:35/13; TB5.5, MD0 -&gt; FA16.5</x:v>
      </x:c>
      <x:c r="S167" s="2" t="str">
        <x:v>TERV</x:v>
      </x:c>
    </x:row>
    <x:row r="168" ht="32" customHeight="1">
      <x:c r="A168" s="2" t="str">
        <x:v>H0163</x:v>
      </x:c>
      <x:c r="B168" s="2" t="str">
        <x:v>KI12-TV01F-01</x:v>
      </x:c>
      <x:c r="C168" s="2" t="str">
        <x:v>PANT_CSAVAR_ELOFURAT</x:v>
      </x:c>
      <x:c r="D168" s="6" t="n">
        <x:v>609.25</x:v>
      </x:c>
      <x:c r="E168" s="6" t="n">
        <x:v>13.5</x:v>
      </x:c>
      <x:c r="F168" s="6" t="n">
        <x:v>0</x:v>
      </x:c>
      <x:c r="G168" s="6" t="n">
        <x:v>0</x:v>
      </x:c>
      <x:c r="H168" s="6" t="n">
        <x:v>0</x:v>
      </x:c>
      <x:c r="I168" s="6" t="n">
        <x:v>-1</x:v>
      </x:c>
      <x:c r="J168" s="6" t="n">
        <x:v>2.5</x:v>
      </x:c>
      <x:c r="K168" s="6" t="n">
        <x:v>10</x:v>
      </x:c>
      <x:c r="L168" s="6" t="n">
        <x:v>15</x:v>
      </x:c>
      <x:c r="M168" s="6" t="n">
        <x:v>-3</x:v>
      </x:c>
      <x:c r="N168" s="6" t="n">
        <x:v>1160.75</x:v>
      </x:c>
      <x:c r="O168" s="6" t="n">
        <x:v>0</x:v>
      </x:c>
      <x:c r="P168" s="6" t="n">
        <x:v>-1</x:v>
      </x:c>
      <x:c r="Q168" s="6" t="n">
        <x:v>0</x:v>
      </x:c>
      <x:c r="R168" s="2" t="str">
        <x:v>45/9.5 gyári kiosztás; Ø2.5x10 próbadarabon igazolandó 3.5x15 csavarhoz</x:v>
      </x:c>
      <x:c r="S168" s="2" t="str">
        <x:v>TERV</x:v>
      </x:c>
    </x:row>
    <x:row r="169" ht="32" customHeight="1">
      <x:c r="A169" s="2" t="str">
        <x:v>H0164</x:v>
      </x:c>
      <x:c r="B169" s="2" t="str">
        <x:v>KI12-TV01F-01</x:v>
      </x:c>
      <x:c r="C169" s="2" t="str">
        <x:v>PANT_CSAVAR_ELOFURAT</x:v>
      </x:c>
      <x:c r="D169" s="6" t="n">
        <x:v>654.25</x:v>
      </x:c>
      <x:c r="E169" s="6" t="n">
        <x:v>13.5</x:v>
      </x:c>
      <x:c r="F169" s="6" t="n">
        <x:v>0</x:v>
      </x:c>
      <x:c r="G169" s="6" t="n">
        <x:v>0</x:v>
      </x:c>
      <x:c r="H169" s="6" t="n">
        <x:v>0</x:v>
      </x:c>
      <x:c r="I169" s="6" t="n">
        <x:v>-1</x:v>
      </x:c>
      <x:c r="J169" s="6" t="n">
        <x:v>2.5</x:v>
      </x:c>
      <x:c r="K169" s="6" t="n">
        <x:v>10</x:v>
      </x:c>
      <x:c r="L169" s="6" t="n">
        <x:v>15</x:v>
      </x:c>
      <x:c r="M169" s="6" t="n">
        <x:v>-3</x:v>
      </x:c>
      <x:c r="N169" s="6" t="n">
        <x:v>1205.75</x:v>
      </x:c>
      <x:c r="O169" s="6" t="n">
        <x:v>0</x:v>
      </x:c>
      <x:c r="P169" s="6" t="n">
        <x:v>-1</x:v>
      </x:c>
      <x:c r="Q169" s="6" t="n">
        <x:v>0</x:v>
      </x:c>
      <x:c r="R169" s="2" t="str">
        <x:v>45/9.5 gyári kiosztás; Ø2.5x10 próbadarabon igazolandó 3.5x15 csavarhoz</x:v>
      </x:c>
      <x:c r="S169" s="2" t="str">
        <x:v>TERV</x:v>
      </x:c>
    </x:row>
    <x:row r="170" ht="32" customHeight="1">
      <x:c r="A170" s="2" t="str">
        <x:v>H0165</x:v>
      </x:c>
      <x:c r="B170" s="2" t="str">
        <x:v>KI12-TV01S-01</x:v>
      </x:c>
      <x:c r="C170" s="2" t="str">
        <x:v>TALP_CSAVAR_ELOFURAT</x:v>
      </x:c>
      <x:c r="D170" s="6" t="n">
        <x:v>617.25</x:v>
      </x:c>
      <x:c r="E170" s="6" t="n">
        <x:v>37</x:v>
      </x:c>
      <x:c r="F170" s="6" t="n">
        <x:v>-18</x:v>
      </x:c>
      <x:c r="G170" s="6" t="n">
        <x:v>0</x:v>
      </x:c>
      <x:c r="H170" s="6" t="n">
        <x:v>0</x:v>
      </x:c>
      <x:c r="I170" s="6" t="n">
        <x:v>1</x:v>
      </x:c>
      <x:c r="J170" s="6" t="n">
        <x:v>2.5</x:v>
      </x:c>
      <x:c r="K170" s="6" t="n">
        <x:v>10</x:v>
      </x:c>
      <x:c r="L170" s="6" t="n">
        <x:v>18</x:v>
      </x:c>
      <x:c r="M170" s="6" t="n">
        <x:v>37</x:v>
      </x:c>
      <x:c r="N170" s="6" t="n">
        <x:v>1167.25</x:v>
      </x:c>
      <x:c r="O170" s="6" t="n">
        <x:v>-1</x:v>
      </x:c>
      <x:c r="P170" s="6" t="n">
        <x:v>0</x:v>
      </x:c>
      <x:c r="Q170" s="6" t="n">
        <x:v>0</x:v>
      </x:c>
      <x:c r="R170" s="2" t="str">
        <x:v>Blum173H7100 37/32; Ø2.5x10 tervezői próbaérték</x:v>
      </x:c>
      <x:c r="S170" s="2" t="str">
        <x:v>TERV</x:v>
      </x:c>
    </x:row>
    <x:row r="171" ht="32" customHeight="1">
      <x:c r="A171" s="2" t="str">
        <x:v>H0166</x:v>
      </x:c>
      <x:c r="B171" s="2" t="str">
        <x:v>KI12-TV01S-01</x:v>
      </x:c>
      <x:c r="C171" s="2" t="str">
        <x:v>TALP_CSAVAR_ELOFURAT</x:v>
      </x:c>
      <x:c r="D171" s="6" t="n">
        <x:v>649.25</x:v>
      </x:c>
      <x:c r="E171" s="6" t="n">
        <x:v>37</x:v>
      </x:c>
      <x:c r="F171" s="6" t="n">
        <x:v>-18</x:v>
      </x:c>
      <x:c r="G171" s="6" t="n">
        <x:v>0</x:v>
      </x:c>
      <x:c r="H171" s="6" t="n">
        <x:v>0</x:v>
      </x:c>
      <x:c r="I171" s="6" t="n">
        <x:v>1</x:v>
      </x:c>
      <x:c r="J171" s="6" t="n">
        <x:v>2.5</x:v>
      </x:c>
      <x:c r="K171" s="6" t="n">
        <x:v>10</x:v>
      </x:c>
      <x:c r="L171" s="6" t="n">
        <x:v>18</x:v>
      </x:c>
      <x:c r="M171" s="6" t="n">
        <x:v>37</x:v>
      </x:c>
      <x:c r="N171" s="6" t="n">
        <x:v>1199.25</x:v>
      </x:c>
      <x:c r="O171" s="6" t="n">
        <x:v>-1</x:v>
      </x:c>
      <x:c r="P171" s="6" t="n">
        <x:v>0</x:v>
      </x:c>
      <x:c r="Q171" s="6" t="n">
        <x:v>0</x:v>
      </x:c>
      <x:c r="R171" s="2" t="str">
        <x:v>Blum173H7100 37/32; Ø2.5x10 tervezői próbaérték</x:v>
      </x:c>
      <x:c r="S171" s="2" t="str">
        <x:v>TERV</x:v>
      </x:c>
    </x:row>
    <x:row r="172" ht="32" customHeight="1">
      <x:c r="A172" s="2" t="str">
        <x:v>H0167</x:v>
      </x:c>
      <x:c r="B172" s="2" t="str">
        <x:v>KI12-TV01F-01</x:v>
      </x:c>
      <x:c r="C172" s="2" t="str">
        <x:v>PANT_CSÉSZE</x:v>
      </x:c>
      <x:c r="D172" s="6" t="n">
        <x:v>1163.5</x:v>
      </x:c>
      <x:c r="E172" s="6" t="n">
        <x:v>23</x:v>
      </x:c>
      <x:c r="F172" s="6" t="n">
        <x:v>0</x:v>
      </x:c>
      <x:c r="G172" s="6" t="n">
        <x:v>0</x:v>
      </x:c>
      <x:c r="H172" s="6" t="n">
        <x:v>0</x:v>
      </x:c>
      <x:c r="I172" s="6" t="n">
        <x:v>-1</x:v>
      </x:c>
      <x:c r="J172" s="6" t="n">
        <x:v>35</x:v>
      </x:c>
      <x:c r="K172" s="6" t="n">
        <x:v>13</x:v>
      </x:c>
      <x:c r="L172" s="6" t="n">
        <x:v>24.5</x:v>
      </x:c>
      <x:c r="M172" s="6" t="n">
        <x:v>-3</x:v>
      </x:c>
      <x:c r="N172" s="6" t="n">
        <x:v>1715</x:v>
      </x:c>
      <x:c r="O172" s="6" t="n">
        <x:v>0</x:v>
      </x:c>
      <x:c r="P172" s="6" t="n">
        <x:v>-1</x:v>
      </x:c>
      <x:c r="Q172" s="6" t="n">
        <x:v>0</x:v>
      </x:c>
      <x:c r="R172" s="2" t="str">
        <x:v>Blum 70T3550.TL datasheet:35/13; TB5.5, MD0 -&gt; FA16.5</x:v>
      </x:c>
      <x:c r="S172" s="2" t="str">
        <x:v>TERV</x:v>
      </x:c>
    </x:row>
    <x:row r="173" ht="32" customHeight="1">
      <x:c r="A173" s="2" t="str">
        <x:v>H0168</x:v>
      </x:c>
      <x:c r="B173" s="2" t="str">
        <x:v>KI12-TV01F-01</x:v>
      </x:c>
      <x:c r="C173" s="2" t="str">
        <x:v>PANT_CSAVAR_ELOFURAT</x:v>
      </x:c>
      <x:c r="D173" s="6" t="n">
        <x:v>1141</x:v>
      </x:c>
      <x:c r="E173" s="6" t="n">
        <x:v>13.5</x:v>
      </x:c>
      <x:c r="F173" s="6" t="n">
        <x:v>0</x:v>
      </x:c>
      <x:c r="G173" s="6" t="n">
        <x:v>0</x:v>
      </x:c>
      <x:c r="H173" s="6" t="n">
        <x:v>0</x:v>
      </x:c>
      <x:c r="I173" s="6" t="n">
        <x:v>-1</x:v>
      </x:c>
      <x:c r="J173" s="6" t="n">
        <x:v>2.5</x:v>
      </x:c>
      <x:c r="K173" s="6" t="n">
        <x:v>10</x:v>
      </x:c>
      <x:c r="L173" s="6" t="n">
        <x:v>15</x:v>
      </x:c>
      <x:c r="M173" s="6" t="n">
        <x:v>-3</x:v>
      </x:c>
      <x:c r="N173" s="6" t="n">
        <x:v>1692.5</x:v>
      </x:c>
      <x:c r="O173" s="6" t="n">
        <x:v>0</x:v>
      </x:c>
      <x:c r="P173" s="6" t="n">
        <x:v>-1</x:v>
      </x:c>
      <x:c r="Q173" s="6" t="n">
        <x:v>0</x:v>
      </x:c>
      <x:c r="R173" s="2" t="str">
        <x:v>45/9.5 gyári kiosztás; Ø2.5x10 próbadarabon igazolandó 3.5x15 csavarhoz</x:v>
      </x:c>
      <x:c r="S173" s="2" t="str">
        <x:v>TERV</x:v>
      </x:c>
    </x:row>
    <x:row r="174" ht="32" customHeight="1">
      <x:c r="A174" s="2" t="str">
        <x:v>H0169</x:v>
      </x:c>
      <x:c r="B174" s="2" t="str">
        <x:v>KI12-TV01F-01</x:v>
      </x:c>
      <x:c r="C174" s="2" t="str">
        <x:v>PANT_CSAVAR_ELOFURAT</x:v>
      </x:c>
      <x:c r="D174" s="6" t="n">
        <x:v>1186</x:v>
      </x:c>
      <x:c r="E174" s="6" t="n">
        <x:v>13.5</x:v>
      </x:c>
      <x:c r="F174" s="6" t="n">
        <x:v>0</x:v>
      </x:c>
      <x:c r="G174" s="6" t="n">
        <x:v>0</x:v>
      </x:c>
      <x:c r="H174" s="6" t="n">
        <x:v>0</x:v>
      </x:c>
      <x:c r="I174" s="6" t="n">
        <x:v>-1</x:v>
      </x:c>
      <x:c r="J174" s="6" t="n">
        <x:v>2.5</x:v>
      </x:c>
      <x:c r="K174" s="6" t="n">
        <x:v>10</x:v>
      </x:c>
      <x:c r="L174" s="6" t="n">
        <x:v>15</x:v>
      </x:c>
      <x:c r="M174" s="6" t="n">
        <x:v>-3</x:v>
      </x:c>
      <x:c r="N174" s="6" t="n">
        <x:v>1737.5</x:v>
      </x:c>
      <x:c r="O174" s="6" t="n">
        <x:v>0</x:v>
      </x:c>
      <x:c r="P174" s="6" t="n">
        <x:v>-1</x:v>
      </x:c>
      <x:c r="Q174" s="6" t="n">
        <x:v>0</x:v>
      </x:c>
      <x:c r="R174" s="2" t="str">
        <x:v>45/9.5 gyári kiosztás; Ø2.5x10 próbadarabon igazolandó 3.5x15 csavarhoz</x:v>
      </x:c>
      <x:c r="S174" s="2" t="str">
        <x:v>TERV</x:v>
      </x:c>
    </x:row>
    <x:row r="175" ht="32" customHeight="1">
      <x:c r="A175" s="2" t="str">
        <x:v>H0170</x:v>
      </x:c>
      <x:c r="B175" s="2" t="str">
        <x:v>KI12-TV01S-01</x:v>
      </x:c>
      <x:c r="C175" s="2" t="str">
        <x:v>TALP_CSAVAR_ELOFURAT</x:v>
      </x:c>
      <x:c r="D175" s="6" t="n">
        <x:v>1149</x:v>
      </x:c>
      <x:c r="E175" s="6" t="n">
        <x:v>37</x:v>
      </x:c>
      <x:c r="F175" s="6" t="n">
        <x:v>-18</x:v>
      </x:c>
      <x:c r="G175" s="6" t="n">
        <x:v>0</x:v>
      </x:c>
      <x:c r="H175" s="6" t="n">
        <x:v>0</x:v>
      </x:c>
      <x:c r="I175" s="6" t="n">
        <x:v>1</x:v>
      </x:c>
      <x:c r="J175" s="6" t="n">
        <x:v>2.5</x:v>
      </x:c>
      <x:c r="K175" s="6" t="n">
        <x:v>10</x:v>
      </x:c>
      <x:c r="L175" s="6" t="n">
        <x:v>18</x:v>
      </x:c>
      <x:c r="M175" s="6" t="n">
        <x:v>37</x:v>
      </x:c>
      <x:c r="N175" s="6" t="n">
        <x:v>1699</x:v>
      </x:c>
      <x:c r="O175" s="6" t="n">
        <x:v>-1</x:v>
      </x:c>
      <x:c r="P175" s="6" t="n">
        <x:v>0</x:v>
      </x:c>
      <x:c r="Q175" s="6" t="n">
        <x:v>0</x:v>
      </x:c>
      <x:c r="R175" s="2" t="str">
        <x:v>Blum173H7100 37/32; Ø2.5x10 tervezői próbaérték</x:v>
      </x:c>
      <x:c r="S175" s="2" t="str">
        <x:v>TERV</x:v>
      </x:c>
    </x:row>
    <x:row r="176" ht="32" customHeight="1">
      <x:c r="A176" s="2" t="str">
        <x:v>H0171</x:v>
      </x:c>
      <x:c r="B176" s="2" t="str">
        <x:v>KI12-TV01S-01</x:v>
      </x:c>
      <x:c r="C176" s="2" t="str">
        <x:v>TALP_CSAVAR_ELOFURAT</x:v>
      </x:c>
      <x:c r="D176" s="6" t="n">
        <x:v>1181</x:v>
      </x:c>
      <x:c r="E176" s="6" t="n">
        <x:v>37</x:v>
      </x:c>
      <x:c r="F176" s="6" t="n">
        <x:v>-18</x:v>
      </x:c>
      <x:c r="G176" s="6" t="n">
        <x:v>0</x:v>
      </x:c>
      <x:c r="H176" s="6" t="n">
        <x:v>0</x:v>
      </x:c>
      <x:c r="I176" s="6" t="n">
        <x:v>1</x:v>
      </x:c>
      <x:c r="J176" s="6" t="n">
        <x:v>2.5</x:v>
      </x:c>
      <x:c r="K176" s="6" t="n">
        <x:v>10</x:v>
      </x:c>
      <x:c r="L176" s="6" t="n">
        <x:v>18</x:v>
      </x:c>
      <x:c r="M176" s="6" t="n">
        <x:v>37</x:v>
      </x:c>
      <x:c r="N176" s="6" t="n">
        <x:v>1731</x:v>
      </x:c>
      <x:c r="O176" s="6" t="n">
        <x:v>-1</x:v>
      </x:c>
      <x:c r="P176" s="6" t="n">
        <x:v>0</x:v>
      </x:c>
      <x:c r="Q176" s="6" t="n">
        <x:v>0</x:v>
      </x:c>
      <x:c r="R176" s="2" t="str">
        <x:v>Blum173H7100 37/32; Ø2.5x10 tervezői próbaérték</x:v>
      </x:c>
      <x:c r="S176" s="2" t="str">
        <x:v>TERV</x:v>
      </x:c>
    </x:row>
    <x:row r="177" ht="32" customHeight="1">
      <x:c r="A177" s="2" t="str">
        <x:v>H0172</x:v>
      </x:c>
      <x:c r="B177" s="2" t="str">
        <x:v>KI12-TV01F-01</x:v>
      </x:c>
      <x:c r="C177" s="2" t="str">
        <x:v>PANT_CSÉSZE</x:v>
      </x:c>
      <x:c r="D177" s="6" t="n">
        <x:v>1695.25</x:v>
      </x:c>
      <x:c r="E177" s="6" t="n">
        <x:v>23</x:v>
      </x:c>
      <x:c r="F177" s="6" t="n">
        <x:v>0</x:v>
      </x:c>
      <x:c r="G177" s="6" t="n">
        <x:v>0</x:v>
      </x:c>
      <x:c r="H177" s="6" t="n">
        <x:v>0</x:v>
      </x:c>
      <x:c r="I177" s="6" t="n">
        <x:v>-1</x:v>
      </x:c>
      <x:c r="J177" s="6" t="n">
        <x:v>35</x:v>
      </x:c>
      <x:c r="K177" s="6" t="n">
        <x:v>13</x:v>
      </x:c>
      <x:c r="L177" s="6" t="n">
        <x:v>24.5</x:v>
      </x:c>
      <x:c r="M177" s="6" t="n">
        <x:v>-3</x:v>
      </x:c>
      <x:c r="N177" s="6" t="n">
        <x:v>2246.75</x:v>
      </x:c>
      <x:c r="O177" s="6" t="n">
        <x:v>0</x:v>
      </x:c>
      <x:c r="P177" s="6" t="n">
        <x:v>-1</x:v>
      </x:c>
      <x:c r="Q177" s="6" t="n">
        <x:v>0</x:v>
      </x:c>
      <x:c r="R177" s="2" t="str">
        <x:v>Blum 70T3550.TL datasheet:35/13; TB5.5, MD0 -&gt; FA16.5</x:v>
      </x:c>
      <x:c r="S177" s="2" t="str">
        <x:v>TERV</x:v>
      </x:c>
    </x:row>
    <x:row r="178" ht="32" customHeight="1">
      <x:c r="A178" s="2" t="str">
        <x:v>H0173</x:v>
      </x:c>
      <x:c r="B178" s="2" t="str">
        <x:v>KI12-TV01F-01</x:v>
      </x:c>
      <x:c r="C178" s="2" t="str">
        <x:v>PANT_CSAVAR_ELOFURAT</x:v>
      </x:c>
      <x:c r="D178" s="6" t="n">
        <x:v>1672.75</x:v>
      </x:c>
      <x:c r="E178" s="6" t="n">
        <x:v>13.5</x:v>
      </x:c>
      <x:c r="F178" s="6" t="n">
        <x:v>0</x:v>
      </x:c>
      <x:c r="G178" s="6" t="n">
        <x:v>0</x:v>
      </x:c>
      <x:c r="H178" s="6" t="n">
        <x:v>0</x:v>
      </x:c>
      <x:c r="I178" s="6" t="n">
        <x:v>-1</x:v>
      </x:c>
      <x:c r="J178" s="6" t="n">
        <x:v>2.5</x:v>
      </x:c>
      <x:c r="K178" s="6" t="n">
        <x:v>10</x:v>
      </x:c>
      <x:c r="L178" s="6" t="n">
        <x:v>15</x:v>
      </x:c>
      <x:c r="M178" s="6" t="n">
        <x:v>-3</x:v>
      </x:c>
      <x:c r="N178" s="6" t="n">
        <x:v>2224.25</x:v>
      </x:c>
      <x:c r="O178" s="6" t="n">
        <x:v>0</x:v>
      </x:c>
      <x:c r="P178" s="6" t="n">
        <x:v>-1</x:v>
      </x:c>
      <x:c r="Q178" s="6" t="n">
        <x:v>0</x:v>
      </x:c>
      <x:c r="R178" s="2" t="str">
        <x:v>45/9.5 gyári kiosztás; Ø2.5x10 próbadarabon igazolandó 3.5x15 csavarhoz</x:v>
      </x:c>
      <x:c r="S178" s="2" t="str">
        <x:v>TERV</x:v>
      </x:c>
    </x:row>
    <x:row r="179" ht="32" customHeight="1">
      <x:c r="A179" s="2" t="str">
        <x:v>H0174</x:v>
      </x:c>
      <x:c r="B179" s="2" t="str">
        <x:v>KI12-TV01F-01</x:v>
      </x:c>
      <x:c r="C179" s="2" t="str">
        <x:v>PANT_CSAVAR_ELOFURAT</x:v>
      </x:c>
      <x:c r="D179" s="6" t="n">
        <x:v>1717.75</x:v>
      </x:c>
      <x:c r="E179" s="6" t="n">
        <x:v>13.5</x:v>
      </x:c>
      <x:c r="F179" s="6" t="n">
        <x:v>0</x:v>
      </x:c>
      <x:c r="G179" s="6" t="n">
        <x:v>0</x:v>
      </x:c>
      <x:c r="H179" s="6" t="n">
        <x:v>0</x:v>
      </x:c>
      <x:c r="I179" s="6" t="n">
        <x:v>-1</x:v>
      </x:c>
      <x:c r="J179" s="6" t="n">
        <x:v>2.5</x:v>
      </x:c>
      <x:c r="K179" s="6" t="n">
        <x:v>10</x:v>
      </x:c>
      <x:c r="L179" s="6" t="n">
        <x:v>15</x:v>
      </x:c>
      <x:c r="M179" s="6" t="n">
        <x:v>-3</x:v>
      </x:c>
      <x:c r="N179" s="6" t="n">
        <x:v>2269.25</x:v>
      </x:c>
      <x:c r="O179" s="6" t="n">
        <x:v>0</x:v>
      </x:c>
      <x:c r="P179" s="6" t="n">
        <x:v>-1</x:v>
      </x:c>
      <x:c r="Q179" s="6" t="n">
        <x:v>0</x:v>
      </x:c>
      <x:c r="R179" s="2" t="str">
        <x:v>45/9.5 gyári kiosztás; Ø2.5x10 próbadarabon igazolandó 3.5x15 csavarhoz</x:v>
      </x:c>
      <x:c r="S179" s="2" t="str">
        <x:v>TERV</x:v>
      </x:c>
    </x:row>
    <x:row r="180" ht="32" customHeight="1">
      <x:c r="A180" s="2" t="str">
        <x:v>H0175</x:v>
      </x:c>
      <x:c r="B180" s="2" t="str">
        <x:v>KI12-TV01S-01</x:v>
      </x:c>
      <x:c r="C180" s="2" t="str">
        <x:v>TALP_CSAVAR_ELOFURAT</x:v>
      </x:c>
      <x:c r="D180" s="6" t="n">
        <x:v>1680.75</x:v>
      </x:c>
      <x:c r="E180" s="6" t="n">
        <x:v>37</x:v>
      </x:c>
      <x:c r="F180" s="6" t="n">
        <x:v>-18</x:v>
      </x:c>
      <x:c r="G180" s="6" t="n">
        <x:v>0</x:v>
      </x:c>
      <x:c r="H180" s="6" t="n">
        <x:v>0</x:v>
      </x:c>
      <x:c r="I180" s="6" t="n">
        <x:v>1</x:v>
      </x:c>
      <x:c r="J180" s="6" t="n">
        <x:v>2.5</x:v>
      </x:c>
      <x:c r="K180" s="6" t="n">
        <x:v>10</x:v>
      </x:c>
      <x:c r="L180" s="6" t="n">
        <x:v>18</x:v>
      </x:c>
      <x:c r="M180" s="6" t="n">
        <x:v>37</x:v>
      </x:c>
      <x:c r="N180" s="6" t="n">
        <x:v>2230.75</x:v>
      </x:c>
      <x:c r="O180" s="6" t="n">
        <x:v>-1</x:v>
      </x:c>
      <x:c r="P180" s="6" t="n">
        <x:v>0</x:v>
      </x:c>
      <x:c r="Q180" s="6" t="n">
        <x:v>0</x:v>
      </x:c>
      <x:c r="R180" s="2" t="str">
        <x:v>Blum173H7100 37/32; Ø2.5x10 tervezői próbaérték</x:v>
      </x:c>
      <x:c r="S180" s="2" t="str">
        <x:v>TERV</x:v>
      </x:c>
    </x:row>
    <x:row r="181" ht="32" customHeight="1">
      <x:c r="A181" s="2" t="str">
        <x:v>H0176</x:v>
      </x:c>
      <x:c r="B181" s="2" t="str">
        <x:v>KI12-TV01S-01</x:v>
      </x:c>
      <x:c r="C181" s="2" t="str">
        <x:v>TALP_CSAVAR_ELOFURAT</x:v>
      </x:c>
      <x:c r="D181" s="6" t="n">
        <x:v>1712.75</x:v>
      </x:c>
      <x:c r="E181" s="6" t="n">
        <x:v>37</x:v>
      </x:c>
      <x:c r="F181" s="6" t="n">
        <x:v>-18</x:v>
      </x:c>
      <x:c r="G181" s="6" t="n">
        <x:v>0</x:v>
      </x:c>
      <x:c r="H181" s="6" t="n">
        <x:v>0</x:v>
      </x:c>
      <x:c r="I181" s="6" t="n">
        <x:v>1</x:v>
      </x:c>
      <x:c r="J181" s="6" t="n">
        <x:v>2.5</x:v>
      </x:c>
      <x:c r="K181" s="6" t="n">
        <x:v>10</x:v>
      </x:c>
      <x:c r="L181" s="6" t="n">
        <x:v>18</x:v>
      </x:c>
      <x:c r="M181" s="6" t="n">
        <x:v>37</x:v>
      </x:c>
      <x:c r="N181" s="6" t="n">
        <x:v>2262.75</x:v>
      </x:c>
      <x:c r="O181" s="6" t="n">
        <x:v>-1</x:v>
      </x:c>
      <x:c r="P181" s="6" t="n">
        <x:v>0</x:v>
      </x:c>
      <x:c r="Q181" s="6" t="n">
        <x:v>0</x:v>
      </x:c>
      <x:c r="R181" s="2" t="str">
        <x:v>Blum173H7100 37/32; Ø2.5x10 tervezői próbaérték</x:v>
      </x:c>
      <x:c r="S181" s="2" t="str">
        <x:v>TERV</x:v>
      </x:c>
    </x:row>
    <x:row r="182" ht="32" customHeight="1">
      <x:c r="A182" s="2" t="str">
        <x:v>H0177</x:v>
      </x:c>
      <x:c r="B182" s="2" t="str">
        <x:v>KI12-TV01F-01</x:v>
      </x:c>
      <x:c r="C182" s="2" t="str">
        <x:v>PANT_CSÉSZE</x:v>
      </x:c>
      <x:c r="D182" s="6" t="n">
        <x:v>2227</x:v>
      </x:c>
      <x:c r="E182" s="6" t="n">
        <x:v>23</x:v>
      </x:c>
      <x:c r="F182" s="6" t="n">
        <x:v>0</x:v>
      </x:c>
      <x:c r="G182" s="6" t="n">
        <x:v>0</x:v>
      </x:c>
      <x:c r="H182" s="6" t="n">
        <x:v>0</x:v>
      </x:c>
      <x:c r="I182" s="6" t="n">
        <x:v>-1</x:v>
      </x:c>
      <x:c r="J182" s="6" t="n">
        <x:v>35</x:v>
      </x:c>
      <x:c r="K182" s="6" t="n">
        <x:v>13</x:v>
      </x:c>
      <x:c r="L182" s="6" t="n">
        <x:v>24.5</x:v>
      </x:c>
      <x:c r="M182" s="6" t="n">
        <x:v>-3</x:v>
      </x:c>
      <x:c r="N182" s="6" t="n">
        <x:v>2778.5</x:v>
      </x:c>
      <x:c r="O182" s="6" t="n">
        <x:v>0</x:v>
      </x:c>
      <x:c r="P182" s="6" t="n">
        <x:v>-1</x:v>
      </x:c>
      <x:c r="Q182" s="6" t="n">
        <x:v>0</x:v>
      </x:c>
      <x:c r="R182" s="2" t="str">
        <x:v>Blum 70T3550.TL datasheet:35/13; TB5.5, MD0 -&gt; FA16.5</x:v>
      </x:c>
      <x:c r="S182" s="2" t="str">
        <x:v>TERV</x:v>
      </x:c>
    </x:row>
    <x:row r="183" ht="32" customHeight="1">
      <x:c r="A183" s="2" t="str">
        <x:v>H0178</x:v>
      </x:c>
      <x:c r="B183" s="2" t="str">
        <x:v>KI12-TV01F-01</x:v>
      </x:c>
      <x:c r="C183" s="2" t="str">
        <x:v>PANT_CSAVAR_ELOFURAT</x:v>
      </x:c>
      <x:c r="D183" s="6" t="n">
        <x:v>2204.5</x:v>
      </x:c>
      <x:c r="E183" s="6" t="n">
        <x:v>13.5</x:v>
      </x:c>
      <x:c r="F183" s="6" t="n">
        <x:v>0</x:v>
      </x:c>
      <x:c r="G183" s="6" t="n">
        <x:v>0</x:v>
      </x:c>
      <x:c r="H183" s="6" t="n">
        <x:v>0</x:v>
      </x:c>
      <x:c r="I183" s="6" t="n">
        <x:v>-1</x:v>
      </x:c>
      <x:c r="J183" s="6" t="n">
        <x:v>2.5</x:v>
      </x:c>
      <x:c r="K183" s="6" t="n">
        <x:v>10</x:v>
      </x:c>
      <x:c r="L183" s="6" t="n">
        <x:v>15</x:v>
      </x:c>
      <x:c r="M183" s="6" t="n">
        <x:v>-3</x:v>
      </x:c>
      <x:c r="N183" s="6" t="n">
        <x:v>2756</x:v>
      </x:c>
      <x:c r="O183" s="6" t="n">
        <x:v>0</x:v>
      </x:c>
      <x:c r="P183" s="6" t="n">
        <x:v>-1</x:v>
      </x:c>
      <x:c r="Q183" s="6" t="n">
        <x:v>0</x:v>
      </x:c>
      <x:c r="R183" s="2" t="str">
        <x:v>45/9.5 gyári kiosztás; Ø2.5x10 próbadarabon igazolandó 3.5x15 csavarhoz</x:v>
      </x:c>
      <x:c r="S183" s="2" t="str">
        <x:v>TERV</x:v>
      </x:c>
    </x:row>
    <x:row r="184" ht="32" customHeight="1">
      <x:c r="A184" s="2" t="str">
        <x:v>H0179</x:v>
      </x:c>
      <x:c r="B184" s="2" t="str">
        <x:v>KI12-TV01F-01</x:v>
      </x:c>
      <x:c r="C184" s="2" t="str">
        <x:v>PANT_CSAVAR_ELOFURAT</x:v>
      </x:c>
      <x:c r="D184" s="6" t="n">
        <x:v>2249.5</x:v>
      </x:c>
      <x:c r="E184" s="6" t="n">
        <x:v>13.5</x:v>
      </x:c>
      <x:c r="F184" s="6" t="n">
        <x:v>0</x:v>
      </x:c>
      <x:c r="G184" s="6" t="n">
        <x:v>0</x:v>
      </x:c>
      <x:c r="H184" s="6" t="n">
        <x:v>0</x:v>
      </x:c>
      <x:c r="I184" s="6" t="n">
        <x:v>-1</x:v>
      </x:c>
      <x:c r="J184" s="6" t="n">
        <x:v>2.5</x:v>
      </x:c>
      <x:c r="K184" s="6" t="n">
        <x:v>10</x:v>
      </x:c>
      <x:c r="L184" s="6" t="n">
        <x:v>15</x:v>
      </x:c>
      <x:c r="M184" s="6" t="n">
        <x:v>-3</x:v>
      </x:c>
      <x:c r="N184" s="6" t="n">
        <x:v>2801</x:v>
      </x:c>
      <x:c r="O184" s="6" t="n">
        <x:v>0</x:v>
      </x:c>
      <x:c r="P184" s="6" t="n">
        <x:v>-1</x:v>
      </x:c>
      <x:c r="Q184" s="6" t="n">
        <x:v>0</x:v>
      </x:c>
      <x:c r="R184" s="2" t="str">
        <x:v>45/9.5 gyári kiosztás; Ø2.5x10 próbadarabon igazolandó 3.5x15 csavarhoz</x:v>
      </x:c>
      <x:c r="S184" s="2" t="str">
        <x:v>TERV</x:v>
      </x:c>
    </x:row>
    <x:row r="185" ht="32" customHeight="1">
      <x:c r="A185" s="2" t="str">
        <x:v>H0180</x:v>
      </x:c>
      <x:c r="B185" s="2" t="str">
        <x:v>KI12-TV01S-01</x:v>
      </x:c>
      <x:c r="C185" s="2" t="str">
        <x:v>TALP_CSAVAR_ELOFURAT</x:v>
      </x:c>
      <x:c r="D185" s="6" t="n">
        <x:v>2212.5</x:v>
      </x:c>
      <x:c r="E185" s="6" t="n">
        <x:v>37</x:v>
      </x:c>
      <x:c r="F185" s="6" t="n">
        <x:v>-18</x:v>
      </x:c>
      <x:c r="G185" s="6" t="n">
        <x:v>0</x:v>
      </x:c>
      <x:c r="H185" s="6" t="n">
        <x:v>0</x:v>
      </x:c>
      <x:c r="I185" s="6" t="n">
        <x:v>1</x:v>
      </x:c>
      <x:c r="J185" s="6" t="n">
        <x:v>2.5</x:v>
      </x:c>
      <x:c r="K185" s="6" t="n">
        <x:v>10</x:v>
      </x:c>
      <x:c r="L185" s="6" t="n">
        <x:v>18</x:v>
      </x:c>
      <x:c r="M185" s="6" t="n">
        <x:v>37</x:v>
      </x:c>
      <x:c r="N185" s="6" t="n">
        <x:v>2762.5</x:v>
      </x:c>
      <x:c r="O185" s="6" t="n">
        <x:v>-1</x:v>
      </x:c>
      <x:c r="P185" s="6" t="n">
        <x:v>0</x:v>
      </x:c>
      <x:c r="Q185" s="6" t="n">
        <x:v>0</x:v>
      </x:c>
      <x:c r="R185" s="2" t="str">
        <x:v>Blum173H7100 37/32; Ø2.5x10 tervezői próbaérték</x:v>
      </x:c>
      <x:c r="S185" s="2" t="str">
        <x:v>TERV</x:v>
      </x:c>
    </x:row>
    <x:row r="186" ht="32" customHeight="1">
      <x:c r="A186" s="2" t="str">
        <x:v>H0181</x:v>
      </x:c>
      <x:c r="B186" s="2" t="str">
        <x:v>KI12-TV01S-01</x:v>
      </x:c>
      <x:c r="C186" s="2" t="str">
        <x:v>TALP_CSAVAR_ELOFURAT</x:v>
      </x:c>
      <x:c r="D186" s="6" t="n">
        <x:v>2244.5</x:v>
      </x:c>
      <x:c r="E186" s="6" t="n">
        <x:v>37</x:v>
      </x:c>
      <x:c r="F186" s="6" t="n">
        <x:v>-18</x:v>
      </x:c>
      <x:c r="G186" s="6" t="n">
        <x:v>0</x:v>
      </x:c>
      <x:c r="H186" s="6" t="n">
        <x:v>0</x:v>
      </x:c>
      <x:c r="I186" s="6" t="n">
        <x:v>1</x:v>
      </x:c>
      <x:c r="J186" s="6" t="n">
        <x:v>2.5</x:v>
      </x:c>
      <x:c r="K186" s="6" t="n">
        <x:v>10</x:v>
      </x:c>
      <x:c r="L186" s="6" t="n">
        <x:v>18</x:v>
      </x:c>
      <x:c r="M186" s="6" t="n">
        <x:v>37</x:v>
      </x:c>
      <x:c r="N186" s="6" t="n">
        <x:v>2794.5</x:v>
      </x:c>
      <x:c r="O186" s="6" t="n">
        <x:v>-1</x:v>
      </x:c>
      <x:c r="P186" s="6" t="n">
        <x:v>0</x:v>
      </x:c>
      <x:c r="Q186" s="6" t="n">
        <x:v>0</x:v>
      </x:c>
      <x:c r="R186" s="2" t="str">
        <x:v>Blum173H7100 37/32; Ø2.5x10 tervezői próbaérték</x:v>
      </x:c>
      <x:c r="S186" s="2" t="str">
        <x:v>TERV</x:v>
      </x:c>
    </x:row>
    <x:row r="187" ht="32" customHeight="1">
      <x:c r="A187" s="2" t="str">
        <x:v>H0182</x:v>
      </x:c>
      <x:c r="B187" s="2" t="str">
        <x:v>KI12-TV01F-02</x:v>
      </x:c>
      <x:c r="C187" s="2" t="str">
        <x:v>PANT_CSÉSZE</x:v>
      </x:c>
      <x:c r="D187" s="6" t="n">
        <x:v>100</x:v>
      </x:c>
      <x:c r="E187" s="6" t="n">
        <x:v>334</x:v>
      </x:c>
      <x:c r="F187" s="6" t="n">
        <x:v>0</x:v>
      </x:c>
      <x:c r="G187" s="6" t="n">
        <x:v>0</x:v>
      </x:c>
      <x:c r="H187" s="6" t="n">
        <x:v>0</x:v>
      </x:c>
      <x:c r="I187" s="6" t="n">
        <x:v>-1</x:v>
      </x:c>
      <x:c r="J187" s="6" t="n">
        <x:v>35</x:v>
      </x:c>
      <x:c r="K187" s="6" t="n">
        <x:v>13</x:v>
      </x:c>
      <x:c r="L187" s="6" t="n">
        <x:v>695.5</x:v>
      </x:c>
      <x:c r="M187" s="6" t="n">
        <x:v>-3</x:v>
      </x:c>
      <x:c r="N187" s="6" t="n">
        <x:v>651.5</x:v>
      </x:c>
      <x:c r="O187" s="6" t="n">
        <x:v>0</x:v>
      </x:c>
      <x:c r="P187" s="6" t="n">
        <x:v>-1</x:v>
      </x:c>
      <x:c r="Q187" s="6" t="n">
        <x:v>0</x:v>
      </x:c>
      <x:c r="R187" s="2" t="str">
        <x:v>Blum 70T3550.TL datasheet:35/13; TB5.5, MD0 -&gt; FA16.5</x:v>
      </x:c>
      <x:c r="S187" s="2" t="str">
        <x:v>TERV</x:v>
      </x:c>
    </x:row>
    <x:row r="188" ht="32" customHeight="1">
      <x:c r="A188" s="2" t="str">
        <x:v>H0183</x:v>
      </x:c>
      <x:c r="B188" s="2" t="str">
        <x:v>KI12-TV01F-02</x:v>
      </x:c>
      <x:c r="C188" s="2" t="str">
        <x:v>PANT_CSAVAR_ELOFURAT</x:v>
      </x:c>
      <x:c r="D188" s="6" t="n">
        <x:v>77.5</x:v>
      </x:c>
      <x:c r="E188" s="6" t="n">
        <x:v>343.5</x:v>
      </x:c>
      <x:c r="F188" s="6" t="n">
        <x:v>0</x:v>
      </x:c>
      <x:c r="G188" s="6" t="n">
        <x:v>0</x:v>
      </x:c>
      <x:c r="H188" s="6" t="n">
        <x:v>0</x:v>
      </x:c>
      <x:c r="I188" s="6" t="n">
        <x:v>-1</x:v>
      </x:c>
      <x:c r="J188" s="6" t="n">
        <x:v>2.5</x:v>
      </x:c>
      <x:c r="K188" s="6" t="n">
        <x:v>10</x:v>
      </x:c>
      <x:c r="L188" s="6" t="n">
        <x:v>705</x:v>
      </x:c>
      <x:c r="M188" s="6" t="n">
        <x:v>-3</x:v>
      </x:c>
      <x:c r="N188" s="6" t="n">
        <x:v>629</x:v>
      </x:c>
      <x:c r="O188" s="6" t="n">
        <x:v>0</x:v>
      </x:c>
      <x:c r="P188" s="6" t="n">
        <x:v>-1</x:v>
      </x:c>
      <x:c r="Q188" s="6" t="n">
        <x:v>0</x:v>
      </x:c>
      <x:c r="R188" s="2" t="str">
        <x:v>45/9.5 gyári kiosztás; Ø2.5x10 próbadarabon igazolandó 3.5x15 csavarhoz</x:v>
      </x:c>
      <x:c r="S188" s="2" t="str">
        <x:v>TERV</x:v>
      </x:c>
    </x:row>
    <x:row r="189" ht="32" customHeight="1">
      <x:c r="A189" s="2" t="str">
        <x:v>H0184</x:v>
      </x:c>
      <x:c r="B189" s="2" t="str">
        <x:v>KI12-TV01F-02</x:v>
      </x:c>
      <x:c r="C189" s="2" t="str">
        <x:v>PANT_CSAVAR_ELOFURAT</x:v>
      </x:c>
      <x:c r="D189" s="6" t="n">
        <x:v>122.5</x:v>
      </x:c>
      <x:c r="E189" s="6" t="n">
        <x:v>343.5</x:v>
      </x:c>
      <x:c r="F189" s="6" t="n">
        <x:v>0</x:v>
      </x:c>
      <x:c r="G189" s="6" t="n">
        <x:v>0</x:v>
      </x:c>
      <x:c r="H189" s="6" t="n">
        <x:v>0</x:v>
      </x:c>
      <x:c r="I189" s="6" t="n">
        <x:v>-1</x:v>
      </x:c>
      <x:c r="J189" s="6" t="n">
        <x:v>2.5</x:v>
      </x:c>
      <x:c r="K189" s="6" t="n">
        <x:v>10</x:v>
      </x:c>
      <x:c r="L189" s="6" t="n">
        <x:v>705</x:v>
      </x:c>
      <x:c r="M189" s="6" t="n">
        <x:v>-3</x:v>
      </x:c>
      <x:c r="N189" s="6" t="n">
        <x:v>674</x:v>
      </x:c>
      <x:c r="O189" s="6" t="n">
        <x:v>0</x:v>
      </x:c>
      <x:c r="P189" s="6" t="n">
        <x:v>-1</x:v>
      </x:c>
      <x:c r="Q189" s="6" t="n">
        <x:v>0</x:v>
      </x:c>
      <x:c r="R189" s="2" t="str">
        <x:v>45/9.5 gyári kiosztás; Ø2.5x10 próbadarabon igazolandó 3.5x15 csavarhoz</x:v>
      </x:c>
      <x:c r="S189" s="2" t="str">
        <x:v>TERV</x:v>
      </x:c>
    </x:row>
    <x:row r="190" ht="32" customHeight="1">
      <x:c r="A190" s="2" t="str">
        <x:v>H0185</x:v>
      </x:c>
      <x:c r="B190" s="2" t="str">
        <x:v>KI12-TV01S-02</x:v>
      </x:c>
      <x:c r="C190" s="2" t="str">
        <x:v>TALP_CSAVAR_ELOFURAT</x:v>
      </x:c>
      <x:c r="D190" s="6" t="n">
        <x:v>85.5</x:v>
      </x:c>
      <x:c r="E190" s="6" t="n">
        <x:v>37</x:v>
      </x:c>
      <x:c r="F190" s="6" t="n">
        <x:v>0</x:v>
      </x:c>
      <x:c r="G190" s="6" t="n">
        <x:v>0</x:v>
      </x:c>
      <x:c r="H190" s="6" t="n">
        <x:v>0</x:v>
      </x:c>
      <x:c r="I190" s="6" t="n">
        <x:v>-1</x:v>
      </x:c>
      <x:c r="J190" s="6" t="n">
        <x:v>2.5</x:v>
      </x:c>
      <x:c r="K190" s="6" t="n">
        <x:v>10</x:v>
      </x:c>
      <x:c r="L190" s="6" t="n">
        <x:v>702</x:v>
      </x:c>
      <x:c r="M190" s="6" t="n">
        <x:v>37</x:v>
      </x:c>
      <x:c r="N190" s="6" t="n">
        <x:v>635.5</x:v>
      </x:c>
      <x:c r="O190" s="6" t="n">
        <x:v>1</x:v>
      </x:c>
      <x:c r="P190" s="6" t="n">
        <x:v>0</x:v>
      </x:c>
      <x:c r="Q190" s="6" t="n">
        <x:v>0</x:v>
      </x:c>
      <x:c r="R190" s="2" t="str">
        <x:v>Blum173H7100 37/32; Ø2.5x10 tervezői próbaérték</x:v>
      </x:c>
      <x:c r="S190" s="2" t="str">
        <x:v>TERV</x:v>
      </x:c>
    </x:row>
    <x:row r="191" ht="32" customHeight="1">
      <x:c r="A191" s="2" t="str">
        <x:v>H0186</x:v>
      </x:c>
      <x:c r="B191" s="2" t="str">
        <x:v>KI12-TV01S-02</x:v>
      </x:c>
      <x:c r="C191" s="2" t="str">
        <x:v>TALP_CSAVAR_ELOFURAT</x:v>
      </x:c>
      <x:c r="D191" s="6" t="n">
        <x:v>117.5</x:v>
      </x:c>
      <x:c r="E191" s="6" t="n">
        <x:v>37</x:v>
      </x:c>
      <x:c r="F191" s="6" t="n">
        <x:v>0</x:v>
      </x:c>
      <x:c r="G191" s="6" t="n">
        <x:v>0</x:v>
      </x:c>
      <x:c r="H191" s="6" t="n">
        <x:v>0</x:v>
      </x:c>
      <x:c r="I191" s="6" t="n">
        <x:v>-1</x:v>
      </x:c>
      <x:c r="J191" s="6" t="n">
        <x:v>2.5</x:v>
      </x:c>
      <x:c r="K191" s="6" t="n">
        <x:v>10</x:v>
      </x:c>
      <x:c r="L191" s="6" t="n">
        <x:v>702</x:v>
      </x:c>
      <x:c r="M191" s="6" t="n">
        <x:v>37</x:v>
      </x:c>
      <x:c r="N191" s="6" t="n">
        <x:v>667.5</x:v>
      </x:c>
      <x:c r="O191" s="6" t="n">
        <x:v>1</x:v>
      </x:c>
      <x:c r="P191" s="6" t="n">
        <x:v>0</x:v>
      </x:c>
      <x:c r="Q191" s="6" t="n">
        <x:v>0</x:v>
      </x:c>
      <x:c r="R191" s="2" t="str">
        <x:v>Blum173H7100 37/32; Ø2.5x10 tervezői próbaérték</x:v>
      </x:c>
      <x:c r="S191" s="2" t="str">
        <x:v>TERV</x:v>
      </x:c>
    </x:row>
    <x:row r="192" ht="32" customHeight="1">
      <x:c r="A192" s="2" t="str">
        <x:v>H0187</x:v>
      </x:c>
      <x:c r="B192" s="2" t="str">
        <x:v>KI12-TV01F-02</x:v>
      </x:c>
      <x:c r="C192" s="2" t="str">
        <x:v>PANT_CSÉSZE</x:v>
      </x:c>
      <x:c r="D192" s="6" t="n">
        <x:v>631.75</x:v>
      </x:c>
      <x:c r="E192" s="6" t="n">
        <x:v>334</x:v>
      </x:c>
      <x:c r="F192" s="6" t="n">
        <x:v>0</x:v>
      </x:c>
      <x:c r="G192" s="6" t="n">
        <x:v>0</x:v>
      </x:c>
      <x:c r="H192" s="6" t="n">
        <x:v>0</x:v>
      </x:c>
      <x:c r="I192" s="6" t="n">
        <x:v>-1</x:v>
      </x:c>
      <x:c r="J192" s="6" t="n">
        <x:v>35</x:v>
      </x:c>
      <x:c r="K192" s="6" t="n">
        <x:v>13</x:v>
      </x:c>
      <x:c r="L192" s="6" t="n">
        <x:v>695.5</x:v>
      </x:c>
      <x:c r="M192" s="6" t="n">
        <x:v>-3</x:v>
      </x:c>
      <x:c r="N192" s="6" t="n">
        <x:v>1183.25</x:v>
      </x:c>
      <x:c r="O192" s="6" t="n">
        <x:v>0</x:v>
      </x:c>
      <x:c r="P192" s="6" t="n">
        <x:v>-1</x:v>
      </x:c>
      <x:c r="Q192" s="6" t="n">
        <x:v>0</x:v>
      </x:c>
      <x:c r="R192" s="2" t="str">
        <x:v>Blum 70T3550.TL datasheet:35/13; TB5.5, MD0 -&gt; FA16.5</x:v>
      </x:c>
      <x:c r="S192" s="2" t="str">
        <x:v>TERV</x:v>
      </x:c>
    </x:row>
    <x:row r="193" ht="32" customHeight="1">
      <x:c r="A193" s="2" t="str">
        <x:v>H0188</x:v>
      </x:c>
      <x:c r="B193" s="2" t="str">
        <x:v>KI12-TV01F-02</x:v>
      </x:c>
      <x:c r="C193" s="2" t="str">
        <x:v>PANT_CSAVAR_ELOFURAT</x:v>
      </x:c>
      <x:c r="D193" s="6" t="n">
        <x:v>609.25</x:v>
      </x:c>
      <x:c r="E193" s="6" t="n">
        <x:v>343.5</x:v>
      </x:c>
      <x:c r="F193" s="6" t="n">
        <x:v>0</x:v>
      </x:c>
      <x:c r="G193" s="6" t="n">
        <x:v>0</x:v>
      </x:c>
      <x:c r="H193" s="6" t="n">
        <x:v>0</x:v>
      </x:c>
      <x:c r="I193" s="6" t="n">
        <x:v>-1</x:v>
      </x:c>
      <x:c r="J193" s="6" t="n">
        <x:v>2.5</x:v>
      </x:c>
      <x:c r="K193" s="6" t="n">
        <x:v>10</x:v>
      </x:c>
      <x:c r="L193" s="6" t="n">
        <x:v>705</x:v>
      </x:c>
      <x:c r="M193" s="6" t="n">
        <x:v>-3</x:v>
      </x:c>
      <x:c r="N193" s="6" t="n">
        <x:v>1160.75</x:v>
      </x:c>
      <x:c r="O193" s="6" t="n">
        <x:v>0</x:v>
      </x:c>
      <x:c r="P193" s="6" t="n">
        <x:v>-1</x:v>
      </x:c>
      <x:c r="Q193" s="6" t="n">
        <x:v>0</x:v>
      </x:c>
      <x:c r="R193" s="2" t="str">
        <x:v>45/9.5 gyári kiosztás; Ø2.5x10 próbadarabon igazolandó 3.5x15 csavarhoz</x:v>
      </x:c>
      <x:c r="S193" s="2" t="str">
        <x:v>TERV</x:v>
      </x:c>
    </x:row>
    <x:row r="194" ht="32" customHeight="1">
      <x:c r="A194" s="2" t="str">
        <x:v>H0189</x:v>
      </x:c>
      <x:c r="B194" s="2" t="str">
        <x:v>KI12-TV01F-02</x:v>
      </x:c>
      <x:c r="C194" s="2" t="str">
        <x:v>PANT_CSAVAR_ELOFURAT</x:v>
      </x:c>
      <x:c r="D194" s="6" t="n">
        <x:v>654.25</x:v>
      </x:c>
      <x:c r="E194" s="6" t="n">
        <x:v>343.5</x:v>
      </x:c>
      <x:c r="F194" s="6" t="n">
        <x:v>0</x:v>
      </x:c>
      <x:c r="G194" s="6" t="n">
        <x:v>0</x:v>
      </x:c>
      <x:c r="H194" s="6" t="n">
        <x:v>0</x:v>
      </x:c>
      <x:c r="I194" s="6" t="n">
        <x:v>-1</x:v>
      </x:c>
      <x:c r="J194" s="6" t="n">
        <x:v>2.5</x:v>
      </x:c>
      <x:c r="K194" s="6" t="n">
        <x:v>10</x:v>
      </x:c>
      <x:c r="L194" s="6" t="n">
        <x:v>705</x:v>
      </x:c>
      <x:c r="M194" s="6" t="n">
        <x:v>-3</x:v>
      </x:c>
      <x:c r="N194" s="6" t="n">
        <x:v>1205.75</x:v>
      </x:c>
      <x:c r="O194" s="6" t="n">
        <x:v>0</x:v>
      </x:c>
      <x:c r="P194" s="6" t="n">
        <x:v>-1</x:v>
      </x:c>
      <x:c r="Q194" s="6" t="n">
        <x:v>0</x:v>
      </x:c>
      <x:c r="R194" s="2" t="str">
        <x:v>45/9.5 gyári kiosztás; Ø2.5x10 próbadarabon igazolandó 3.5x15 csavarhoz</x:v>
      </x:c>
      <x:c r="S194" s="2" t="str">
        <x:v>TERV</x:v>
      </x:c>
    </x:row>
    <x:row r="195" ht="32" customHeight="1">
      <x:c r="A195" s="2" t="str">
        <x:v>H0190</x:v>
      </x:c>
      <x:c r="B195" s="2" t="str">
        <x:v>KI12-TV01S-02</x:v>
      </x:c>
      <x:c r="C195" s="2" t="str">
        <x:v>TALP_CSAVAR_ELOFURAT</x:v>
      </x:c>
      <x:c r="D195" s="6" t="n">
        <x:v>617.25</x:v>
      </x:c>
      <x:c r="E195" s="6" t="n">
        <x:v>37</x:v>
      </x:c>
      <x:c r="F195" s="6" t="n">
        <x:v>0</x:v>
      </x:c>
      <x:c r="G195" s="6" t="n">
        <x:v>0</x:v>
      </x:c>
      <x:c r="H195" s="6" t="n">
        <x:v>0</x:v>
      </x:c>
      <x:c r="I195" s="6" t="n">
        <x:v>-1</x:v>
      </x:c>
      <x:c r="J195" s="6" t="n">
        <x:v>2.5</x:v>
      </x:c>
      <x:c r="K195" s="6" t="n">
        <x:v>10</x:v>
      </x:c>
      <x:c r="L195" s="6" t="n">
        <x:v>702</x:v>
      </x:c>
      <x:c r="M195" s="6" t="n">
        <x:v>37</x:v>
      </x:c>
      <x:c r="N195" s="6" t="n">
        <x:v>1167.25</x:v>
      </x:c>
      <x:c r="O195" s="6" t="n">
        <x:v>1</x:v>
      </x:c>
      <x:c r="P195" s="6" t="n">
        <x:v>0</x:v>
      </x:c>
      <x:c r="Q195" s="6" t="n">
        <x:v>0</x:v>
      </x:c>
      <x:c r="R195" s="2" t="str">
        <x:v>Blum173H7100 37/32; Ø2.5x10 tervezői próbaérték</x:v>
      </x:c>
      <x:c r="S195" s="2" t="str">
        <x:v>TERV</x:v>
      </x:c>
    </x:row>
    <x:row r="196" ht="32" customHeight="1">
      <x:c r="A196" s="2" t="str">
        <x:v>H0191</x:v>
      </x:c>
      <x:c r="B196" s="2" t="str">
        <x:v>KI12-TV01S-02</x:v>
      </x:c>
      <x:c r="C196" s="2" t="str">
        <x:v>TALP_CSAVAR_ELOFURAT</x:v>
      </x:c>
      <x:c r="D196" s="6" t="n">
        <x:v>649.25</x:v>
      </x:c>
      <x:c r="E196" s="6" t="n">
        <x:v>37</x:v>
      </x:c>
      <x:c r="F196" s="6" t="n">
        <x:v>0</x:v>
      </x:c>
      <x:c r="G196" s="6" t="n">
        <x:v>0</x:v>
      </x:c>
      <x:c r="H196" s="6" t="n">
        <x:v>0</x:v>
      </x:c>
      <x:c r="I196" s="6" t="n">
        <x:v>-1</x:v>
      </x:c>
      <x:c r="J196" s="6" t="n">
        <x:v>2.5</x:v>
      </x:c>
      <x:c r="K196" s="6" t="n">
        <x:v>10</x:v>
      </x:c>
      <x:c r="L196" s="6" t="n">
        <x:v>702</x:v>
      </x:c>
      <x:c r="M196" s="6" t="n">
        <x:v>37</x:v>
      </x:c>
      <x:c r="N196" s="6" t="n">
        <x:v>1199.25</x:v>
      </x:c>
      <x:c r="O196" s="6" t="n">
        <x:v>1</x:v>
      </x:c>
      <x:c r="P196" s="6" t="n">
        <x:v>0</x:v>
      </x:c>
      <x:c r="Q196" s="6" t="n">
        <x:v>0</x:v>
      </x:c>
      <x:c r="R196" s="2" t="str">
        <x:v>Blum173H7100 37/32; Ø2.5x10 tervezői próbaérték</x:v>
      </x:c>
      <x:c r="S196" s="2" t="str">
        <x:v>TERV</x:v>
      </x:c>
    </x:row>
    <x:row r="197" ht="32" customHeight="1">
      <x:c r="A197" s="2" t="str">
        <x:v>H0192</x:v>
      </x:c>
      <x:c r="B197" s="2" t="str">
        <x:v>KI12-TV01F-02</x:v>
      </x:c>
      <x:c r="C197" s="2" t="str">
        <x:v>PANT_CSÉSZE</x:v>
      </x:c>
      <x:c r="D197" s="6" t="n">
        <x:v>1163.5</x:v>
      </x:c>
      <x:c r="E197" s="6" t="n">
        <x:v>334</x:v>
      </x:c>
      <x:c r="F197" s="6" t="n">
        <x:v>0</x:v>
      </x:c>
      <x:c r="G197" s="6" t="n">
        <x:v>0</x:v>
      </x:c>
      <x:c r="H197" s="6" t="n">
        <x:v>0</x:v>
      </x:c>
      <x:c r="I197" s="6" t="n">
        <x:v>-1</x:v>
      </x:c>
      <x:c r="J197" s="6" t="n">
        <x:v>35</x:v>
      </x:c>
      <x:c r="K197" s="6" t="n">
        <x:v>13</x:v>
      </x:c>
      <x:c r="L197" s="6" t="n">
        <x:v>695.5</x:v>
      </x:c>
      <x:c r="M197" s="6" t="n">
        <x:v>-3</x:v>
      </x:c>
      <x:c r="N197" s="6" t="n">
        <x:v>1715</x:v>
      </x:c>
      <x:c r="O197" s="6" t="n">
        <x:v>0</x:v>
      </x:c>
      <x:c r="P197" s="6" t="n">
        <x:v>-1</x:v>
      </x:c>
      <x:c r="Q197" s="6" t="n">
        <x:v>0</x:v>
      </x:c>
      <x:c r="R197" s="2" t="str">
        <x:v>Blum 70T3550.TL datasheet:35/13; TB5.5, MD0 -&gt; FA16.5</x:v>
      </x:c>
      <x:c r="S197" s="2" t="str">
        <x:v>TERV</x:v>
      </x:c>
    </x:row>
    <x:row r="198" ht="32" customHeight="1">
      <x:c r="A198" s="2" t="str">
        <x:v>H0193</x:v>
      </x:c>
      <x:c r="B198" s="2" t="str">
        <x:v>KI12-TV01F-02</x:v>
      </x:c>
      <x:c r="C198" s="2" t="str">
        <x:v>PANT_CSAVAR_ELOFURAT</x:v>
      </x:c>
      <x:c r="D198" s="6" t="n">
        <x:v>1141</x:v>
      </x:c>
      <x:c r="E198" s="6" t="n">
        <x:v>343.5</x:v>
      </x:c>
      <x:c r="F198" s="6" t="n">
        <x:v>0</x:v>
      </x:c>
      <x:c r="G198" s="6" t="n">
        <x:v>0</x:v>
      </x:c>
      <x:c r="H198" s="6" t="n">
        <x:v>0</x:v>
      </x:c>
      <x:c r="I198" s="6" t="n">
        <x:v>-1</x:v>
      </x:c>
      <x:c r="J198" s="6" t="n">
        <x:v>2.5</x:v>
      </x:c>
      <x:c r="K198" s="6" t="n">
        <x:v>10</x:v>
      </x:c>
      <x:c r="L198" s="6" t="n">
        <x:v>705</x:v>
      </x:c>
      <x:c r="M198" s="6" t="n">
        <x:v>-3</x:v>
      </x:c>
      <x:c r="N198" s="6" t="n">
        <x:v>1692.5</x:v>
      </x:c>
      <x:c r="O198" s="6" t="n">
        <x:v>0</x:v>
      </x:c>
      <x:c r="P198" s="6" t="n">
        <x:v>-1</x:v>
      </x:c>
      <x:c r="Q198" s="6" t="n">
        <x:v>0</x:v>
      </x:c>
      <x:c r="R198" s="2" t="str">
        <x:v>45/9.5 gyári kiosztás; Ø2.5x10 próbadarabon igazolandó 3.5x15 csavarhoz</x:v>
      </x:c>
      <x:c r="S198" s="2" t="str">
        <x:v>TERV</x:v>
      </x:c>
    </x:row>
    <x:row r="199" ht="32" customHeight="1">
      <x:c r="A199" s="2" t="str">
        <x:v>H0194</x:v>
      </x:c>
      <x:c r="B199" s="2" t="str">
        <x:v>KI12-TV01F-02</x:v>
      </x:c>
      <x:c r="C199" s="2" t="str">
        <x:v>PANT_CSAVAR_ELOFURAT</x:v>
      </x:c>
      <x:c r="D199" s="6" t="n">
        <x:v>1186</x:v>
      </x:c>
      <x:c r="E199" s="6" t="n">
        <x:v>343.5</x:v>
      </x:c>
      <x:c r="F199" s="6" t="n">
        <x:v>0</x:v>
      </x:c>
      <x:c r="G199" s="6" t="n">
        <x:v>0</x:v>
      </x:c>
      <x:c r="H199" s="6" t="n">
        <x:v>0</x:v>
      </x:c>
      <x:c r="I199" s="6" t="n">
        <x:v>-1</x:v>
      </x:c>
      <x:c r="J199" s="6" t="n">
        <x:v>2.5</x:v>
      </x:c>
      <x:c r="K199" s="6" t="n">
        <x:v>10</x:v>
      </x:c>
      <x:c r="L199" s="6" t="n">
        <x:v>705</x:v>
      </x:c>
      <x:c r="M199" s="6" t="n">
        <x:v>-3</x:v>
      </x:c>
      <x:c r="N199" s="6" t="n">
        <x:v>1737.5</x:v>
      </x:c>
      <x:c r="O199" s="6" t="n">
        <x:v>0</x:v>
      </x:c>
      <x:c r="P199" s="6" t="n">
        <x:v>-1</x:v>
      </x:c>
      <x:c r="Q199" s="6" t="n">
        <x:v>0</x:v>
      </x:c>
      <x:c r="R199" s="2" t="str">
        <x:v>45/9.5 gyári kiosztás; Ø2.5x10 próbadarabon igazolandó 3.5x15 csavarhoz</x:v>
      </x:c>
      <x:c r="S199" s="2" t="str">
        <x:v>TERV</x:v>
      </x:c>
    </x:row>
    <x:row r="200" ht="32" customHeight="1">
      <x:c r="A200" s="2" t="str">
        <x:v>H0195</x:v>
      </x:c>
      <x:c r="B200" s="2" t="str">
        <x:v>KI12-TV01S-02</x:v>
      </x:c>
      <x:c r="C200" s="2" t="str">
        <x:v>TALP_CSAVAR_ELOFURAT</x:v>
      </x:c>
      <x:c r="D200" s="6" t="n">
        <x:v>1149</x:v>
      </x:c>
      <x:c r="E200" s="6" t="n">
        <x:v>37</x:v>
      </x:c>
      <x:c r="F200" s="6" t="n">
        <x:v>0</x:v>
      </x:c>
      <x:c r="G200" s="6" t="n">
        <x:v>0</x:v>
      </x:c>
      <x:c r="H200" s="6" t="n">
        <x:v>0</x:v>
      </x:c>
      <x:c r="I200" s="6" t="n">
        <x:v>-1</x:v>
      </x:c>
      <x:c r="J200" s="6" t="n">
        <x:v>2.5</x:v>
      </x:c>
      <x:c r="K200" s="6" t="n">
        <x:v>10</x:v>
      </x:c>
      <x:c r="L200" s="6" t="n">
        <x:v>702</x:v>
      </x:c>
      <x:c r="M200" s="6" t="n">
        <x:v>37</x:v>
      </x:c>
      <x:c r="N200" s="6" t="n">
        <x:v>1699</x:v>
      </x:c>
      <x:c r="O200" s="6" t="n">
        <x:v>1</x:v>
      </x:c>
      <x:c r="P200" s="6" t="n">
        <x:v>0</x:v>
      </x:c>
      <x:c r="Q200" s="6" t="n">
        <x:v>0</x:v>
      </x:c>
      <x:c r="R200" s="2" t="str">
        <x:v>Blum173H7100 37/32; Ø2.5x10 tervezői próbaérték</x:v>
      </x:c>
      <x:c r="S200" s="2" t="str">
        <x:v>TERV</x:v>
      </x:c>
    </x:row>
    <x:row r="201" ht="32" customHeight="1">
      <x:c r="A201" s="2" t="str">
        <x:v>H0196</x:v>
      </x:c>
      <x:c r="B201" s="2" t="str">
        <x:v>KI12-TV01S-02</x:v>
      </x:c>
      <x:c r="C201" s="2" t="str">
        <x:v>TALP_CSAVAR_ELOFURAT</x:v>
      </x:c>
      <x:c r="D201" s="6" t="n">
        <x:v>1181</x:v>
      </x:c>
      <x:c r="E201" s="6" t="n">
        <x:v>37</x:v>
      </x:c>
      <x:c r="F201" s="6" t="n">
        <x:v>0</x:v>
      </x:c>
      <x:c r="G201" s="6" t="n">
        <x:v>0</x:v>
      </x:c>
      <x:c r="H201" s="6" t="n">
        <x:v>0</x:v>
      </x:c>
      <x:c r="I201" s="6" t="n">
        <x:v>-1</x:v>
      </x:c>
      <x:c r="J201" s="6" t="n">
        <x:v>2.5</x:v>
      </x:c>
      <x:c r="K201" s="6" t="n">
        <x:v>10</x:v>
      </x:c>
      <x:c r="L201" s="6" t="n">
        <x:v>702</x:v>
      </x:c>
      <x:c r="M201" s="6" t="n">
        <x:v>37</x:v>
      </x:c>
      <x:c r="N201" s="6" t="n">
        <x:v>1731</x:v>
      </x:c>
      <x:c r="O201" s="6" t="n">
        <x:v>1</x:v>
      </x:c>
      <x:c r="P201" s="6" t="n">
        <x:v>0</x:v>
      </x:c>
      <x:c r="Q201" s="6" t="n">
        <x:v>0</x:v>
      </x:c>
      <x:c r="R201" s="2" t="str">
        <x:v>Blum173H7100 37/32; Ø2.5x10 tervezői próbaérték</x:v>
      </x:c>
      <x:c r="S201" s="2" t="str">
        <x:v>TERV</x:v>
      </x:c>
    </x:row>
    <x:row r="202" ht="32" customHeight="1">
      <x:c r="A202" s="2" t="str">
        <x:v>H0197</x:v>
      </x:c>
      <x:c r="B202" s="2" t="str">
        <x:v>KI12-TV01F-02</x:v>
      </x:c>
      <x:c r="C202" s="2" t="str">
        <x:v>PANT_CSÉSZE</x:v>
      </x:c>
      <x:c r="D202" s="6" t="n">
        <x:v>1695.25</x:v>
      </x:c>
      <x:c r="E202" s="6" t="n">
        <x:v>334</x:v>
      </x:c>
      <x:c r="F202" s="6" t="n">
        <x:v>0</x:v>
      </x:c>
      <x:c r="G202" s="6" t="n">
        <x:v>0</x:v>
      </x:c>
      <x:c r="H202" s="6" t="n">
        <x:v>0</x:v>
      </x:c>
      <x:c r="I202" s="6" t="n">
        <x:v>-1</x:v>
      </x:c>
      <x:c r="J202" s="6" t="n">
        <x:v>35</x:v>
      </x:c>
      <x:c r="K202" s="6" t="n">
        <x:v>13</x:v>
      </x:c>
      <x:c r="L202" s="6" t="n">
        <x:v>695.5</x:v>
      </x:c>
      <x:c r="M202" s="6" t="n">
        <x:v>-3</x:v>
      </x:c>
      <x:c r="N202" s="6" t="n">
        <x:v>2246.75</x:v>
      </x:c>
      <x:c r="O202" s="6" t="n">
        <x:v>0</x:v>
      </x:c>
      <x:c r="P202" s="6" t="n">
        <x:v>-1</x:v>
      </x:c>
      <x:c r="Q202" s="6" t="n">
        <x:v>0</x:v>
      </x:c>
      <x:c r="R202" s="2" t="str">
        <x:v>Blum 70T3550.TL datasheet:35/13; TB5.5, MD0 -&gt; FA16.5</x:v>
      </x:c>
      <x:c r="S202" s="2" t="str">
        <x:v>TERV</x:v>
      </x:c>
    </x:row>
    <x:row r="203" ht="32" customHeight="1">
      <x:c r="A203" s="2" t="str">
        <x:v>H0198</x:v>
      </x:c>
      <x:c r="B203" s="2" t="str">
        <x:v>KI12-TV01F-02</x:v>
      </x:c>
      <x:c r="C203" s="2" t="str">
        <x:v>PANT_CSAVAR_ELOFURAT</x:v>
      </x:c>
      <x:c r="D203" s="6" t="n">
        <x:v>1672.75</x:v>
      </x:c>
      <x:c r="E203" s="6" t="n">
        <x:v>343.5</x:v>
      </x:c>
      <x:c r="F203" s="6" t="n">
        <x:v>0</x:v>
      </x:c>
      <x:c r="G203" s="6" t="n">
        <x:v>0</x:v>
      </x:c>
      <x:c r="H203" s="6" t="n">
        <x:v>0</x:v>
      </x:c>
      <x:c r="I203" s="6" t="n">
        <x:v>-1</x:v>
      </x:c>
      <x:c r="J203" s="6" t="n">
        <x:v>2.5</x:v>
      </x:c>
      <x:c r="K203" s="6" t="n">
        <x:v>10</x:v>
      </x:c>
      <x:c r="L203" s="6" t="n">
        <x:v>705</x:v>
      </x:c>
      <x:c r="M203" s="6" t="n">
        <x:v>-3</x:v>
      </x:c>
      <x:c r="N203" s="6" t="n">
        <x:v>2224.25</x:v>
      </x:c>
      <x:c r="O203" s="6" t="n">
        <x:v>0</x:v>
      </x:c>
      <x:c r="P203" s="6" t="n">
        <x:v>-1</x:v>
      </x:c>
      <x:c r="Q203" s="6" t="n">
        <x:v>0</x:v>
      </x:c>
      <x:c r="R203" s="2" t="str">
        <x:v>45/9.5 gyári kiosztás; Ø2.5x10 próbadarabon igazolandó 3.5x15 csavarhoz</x:v>
      </x:c>
      <x:c r="S203" s="2" t="str">
        <x:v>TERV</x:v>
      </x:c>
    </x:row>
    <x:row r="204" ht="32" customHeight="1">
      <x:c r="A204" s="2" t="str">
        <x:v>H0199</x:v>
      </x:c>
      <x:c r="B204" s="2" t="str">
        <x:v>KI12-TV01F-02</x:v>
      </x:c>
      <x:c r="C204" s="2" t="str">
        <x:v>PANT_CSAVAR_ELOFURAT</x:v>
      </x:c>
      <x:c r="D204" s="6" t="n">
        <x:v>1717.75</x:v>
      </x:c>
      <x:c r="E204" s="6" t="n">
        <x:v>343.5</x:v>
      </x:c>
      <x:c r="F204" s="6" t="n">
        <x:v>0</x:v>
      </x:c>
      <x:c r="G204" s="6" t="n">
        <x:v>0</x:v>
      </x:c>
      <x:c r="H204" s="6" t="n">
        <x:v>0</x:v>
      </x:c>
      <x:c r="I204" s="6" t="n">
        <x:v>-1</x:v>
      </x:c>
      <x:c r="J204" s="6" t="n">
        <x:v>2.5</x:v>
      </x:c>
      <x:c r="K204" s="6" t="n">
        <x:v>10</x:v>
      </x:c>
      <x:c r="L204" s="6" t="n">
        <x:v>705</x:v>
      </x:c>
      <x:c r="M204" s="6" t="n">
        <x:v>-3</x:v>
      </x:c>
      <x:c r="N204" s="6" t="n">
        <x:v>2269.25</x:v>
      </x:c>
      <x:c r="O204" s="6" t="n">
        <x:v>0</x:v>
      </x:c>
      <x:c r="P204" s="6" t="n">
        <x:v>-1</x:v>
      </x:c>
      <x:c r="Q204" s="6" t="n">
        <x:v>0</x:v>
      </x:c>
      <x:c r="R204" s="2" t="str">
        <x:v>45/9.5 gyári kiosztás; Ø2.5x10 próbadarabon igazolandó 3.5x15 csavarhoz</x:v>
      </x:c>
      <x:c r="S204" s="2" t="str">
        <x:v>TERV</x:v>
      </x:c>
    </x:row>
    <x:row r="205" ht="32" customHeight="1">
      <x:c r="A205" s="2" t="str">
        <x:v>H0200</x:v>
      </x:c>
      <x:c r="B205" s="2" t="str">
        <x:v>KI12-TV01S-02</x:v>
      </x:c>
      <x:c r="C205" s="2" t="str">
        <x:v>TALP_CSAVAR_ELOFURAT</x:v>
      </x:c>
      <x:c r="D205" s="6" t="n">
        <x:v>1680.75</x:v>
      </x:c>
      <x:c r="E205" s="6" t="n">
        <x:v>37</x:v>
      </x:c>
      <x:c r="F205" s="6" t="n">
        <x:v>0</x:v>
      </x:c>
      <x:c r="G205" s="6" t="n">
        <x:v>0</x:v>
      </x:c>
      <x:c r="H205" s="6" t="n">
        <x:v>0</x:v>
      </x:c>
      <x:c r="I205" s="6" t="n">
        <x:v>-1</x:v>
      </x:c>
      <x:c r="J205" s="6" t="n">
        <x:v>2.5</x:v>
      </x:c>
      <x:c r="K205" s="6" t="n">
        <x:v>10</x:v>
      </x:c>
      <x:c r="L205" s="6" t="n">
        <x:v>702</x:v>
      </x:c>
      <x:c r="M205" s="6" t="n">
        <x:v>37</x:v>
      </x:c>
      <x:c r="N205" s="6" t="n">
        <x:v>2230.75</x:v>
      </x:c>
      <x:c r="O205" s="6" t="n">
        <x:v>1</x:v>
      </x:c>
      <x:c r="P205" s="6" t="n">
        <x:v>0</x:v>
      </x:c>
      <x:c r="Q205" s="6" t="n">
        <x:v>0</x:v>
      </x:c>
      <x:c r="R205" s="2" t="str">
        <x:v>Blum173H7100 37/32; Ø2.5x10 tervezői próbaérték</x:v>
      </x:c>
      <x:c r="S205" s="2" t="str">
        <x:v>TERV</x:v>
      </x:c>
    </x:row>
    <x:row r="206" ht="32" customHeight="1">
      <x:c r="A206" s="2" t="str">
        <x:v>H0201</x:v>
      </x:c>
      <x:c r="B206" s="2" t="str">
        <x:v>KI12-TV01S-02</x:v>
      </x:c>
      <x:c r="C206" s="2" t="str">
        <x:v>TALP_CSAVAR_ELOFURAT</x:v>
      </x:c>
      <x:c r="D206" s="6" t="n">
        <x:v>1712.75</x:v>
      </x:c>
      <x:c r="E206" s="6" t="n">
        <x:v>37</x:v>
      </x:c>
      <x:c r="F206" s="6" t="n">
        <x:v>0</x:v>
      </x:c>
      <x:c r="G206" s="6" t="n">
        <x:v>0</x:v>
      </x:c>
      <x:c r="H206" s="6" t="n">
        <x:v>0</x:v>
      </x:c>
      <x:c r="I206" s="6" t="n">
        <x:v>-1</x:v>
      </x:c>
      <x:c r="J206" s="6" t="n">
        <x:v>2.5</x:v>
      </x:c>
      <x:c r="K206" s="6" t="n">
        <x:v>10</x:v>
      </x:c>
      <x:c r="L206" s="6" t="n">
        <x:v>702</x:v>
      </x:c>
      <x:c r="M206" s="6" t="n">
        <x:v>37</x:v>
      </x:c>
      <x:c r="N206" s="6" t="n">
        <x:v>2262.75</x:v>
      </x:c>
      <x:c r="O206" s="6" t="n">
        <x:v>1</x:v>
      </x:c>
      <x:c r="P206" s="6" t="n">
        <x:v>0</x:v>
      </x:c>
      <x:c r="Q206" s="6" t="n">
        <x:v>0</x:v>
      </x:c>
      <x:c r="R206" s="2" t="str">
        <x:v>Blum173H7100 37/32; Ø2.5x10 tervezői próbaérték</x:v>
      </x:c>
      <x:c r="S206" s="2" t="str">
        <x:v>TERV</x:v>
      </x:c>
    </x:row>
    <x:row r="207" ht="32" customHeight="1">
      <x:c r="A207" s="2" t="str">
        <x:v>H0202</x:v>
      </x:c>
      <x:c r="B207" s="2" t="str">
        <x:v>KI12-TV01F-02</x:v>
      </x:c>
      <x:c r="C207" s="2" t="str">
        <x:v>PANT_CSÉSZE</x:v>
      </x:c>
      <x:c r="D207" s="6" t="n">
        <x:v>2227</x:v>
      </x:c>
      <x:c r="E207" s="6" t="n">
        <x:v>334</x:v>
      </x:c>
      <x:c r="F207" s="6" t="n">
        <x:v>0</x:v>
      </x:c>
      <x:c r="G207" s="6" t="n">
        <x:v>0</x:v>
      </x:c>
      <x:c r="H207" s="6" t="n">
        <x:v>0</x:v>
      </x:c>
      <x:c r="I207" s="6" t="n">
        <x:v>-1</x:v>
      </x:c>
      <x:c r="J207" s="6" t="n">
        <x:v>35</x:v>
      </x:c>
      <x:c r="K207" s="6" t="n">
        <x:v>13</x:v>
      </x:c>
      <x:c r="L207" s="6" t="n">
        <x:v>695.5</x:v>
      </x:c>
      <x:c r="M207" s="6" t="n">
        <x:v>-3</x:v>
      </x:c>
      <x:c r="N207" s="6" t="n">
        <x:v>2778.5</x:v>
      </x:c>
      <x:c r="O207" s="6" t="n">
        <x:v>0</x:v>
      </x:c>
      <x:c r="P207" s="6" t="n">
        <x:v>-1</x:v>
      </x:c>
      <x:c r="Q207" s="6" t="n">
        <x:v>0</x:v>
      </x:c>
      <x:c r="R207" s="2" t="str">
        <x:v>Blum 70T3550.TL datasheet:35/13; TB5.5, MD0 -&gt; FA16.5</x:v>
      </x:c>
      <x:c r="S207" s="2" t="str">
        <x:v>TERV</x:v>
      </x:c>
    </x:row>
    <x:row r="208" ht="32" customHeight="1">
      <x:c r="A208" s="2" t="str">
        <x:v>H0203</x:v>
      </x:c>
      <x:c r="B208" s="2" t="str">
        <x:v>KI12-TV01F-02</x:v>
      </x:c>
      <x:c r="C208" s="2" t="str">
        <x:v>PANT_CSAVAR_ELOFURAT</x:v>
      </x:c>
      <x:c r="D208" s="6" t="n">
        <x:v>2204.5</x:v>
      </x:c>
      <x:c r="E208" s="6" t="n">
        <x:v>343.5</x:v>
      </x:c>
      <x:c r="F208" s="6" t="n">
        <x:v>0</x:v>
      </x:c>
      <x:c r="G208" s="6" t="n">
        <x:v>0</x:v>
      </x:c>
      <x:c r="H208" s="6" t="n">
        <x:v>0</x:v>
      </x:c>
      <x:c r="I208" s="6" t="n">
        <x:v>-1</x:v>
      </x:c>
      <x:c r="J208" s="6" t="n">
        <x:v>2.5</x:v>
      </x:c>
      <x:c r="K208" s="6" t="n">
        <x:v>10</x:v>
      </x:c>
      <x:c r="L208" s="6" t="n">
        <x:v>705</x:v>
      </x:c>
      <x:c r="M208" s="6" t="n">
        <x:v>-3</x:v>
      </x:c>
      <x:c r="N208" s="6" t="n">
        <x:v>2756</x:v>
      </x:c>
      <x:c r="O208" s="6" t="n">
        <x:v>0</x:v>
      </x:c>
      <x:c r="P208" s="6" t="n">
        <x:v>-1</x:v>
      </x:c>
      <x:c r="Q208" s="6" t="n">
        <x:v>0</x:v>
      </x:c>
      <x:c r="R208" s="2" t="str">
        <x:v>45/9.5 gyári kiosztás; Ø2.5x10 próbadarabon igazolandó 3.5x15 csavarhoz</x:v>
      </x:c>
      <x:c r="S208" s="2" t="str">
        <x:v>TERV</x:v>
      </x:c>
    </x:row>
    <x:row r="209" ht="32" customHeight="1">
      <x:c r="A209" s="2" t="str">
        <x:v>H0204</x:v>
      </x:c>
      <x:c r="B209" s="2" t="str">
        <x:v>KI12-TV01F-02</x:v>
      </x:c>
      <x:c r="C209" s="2" t="str">
        <x:v>PANT_CSAVAR_ELOFURAT</x:v>
      </x:c>
      <x:c r="D209" s="6" t="n">
        <x:v>2249.5</x:v>
      </x:c>
      <x:c r="E209" s="6" t="n">
        <x:v>343.5</x:v>
      </x:c>
      <x:c r="F209" s="6" t="n">
        <x:v>0</x:v>
      </x:c>
      <x:c r="G209" s="6" t="n">
        <x:v>0</x:v>
      </x:c>
      <x:c r="H209" s="6" t="n">
        <x:v>0</x:v>
      </x:c>
      <x:c r="I209" s="6" t="n">
        <x:v>-1</x:v>
      </x:c>
      <x:c r="J209" s="6" t="n">
        <x:v>2.5</x:v>
      </x:c>
      <x:c r="K209" s="6" t="n">
        <x:v>10</x:v>
      </x:c>
      <x:c r="L209" s="6" t="n">
        <x:v>705</x:v>
      </x:c>
      <x:c r="M209" s="6" t="n">
        <x:v>-3</x:v>
      </x:c>
      <x:c r="N209" s="6" t="n">
        <x:v>2801</x:v>
      </x:c>
      <x:c r="O209" s="6" t="n">
        <x:v>0</x:v>
      </x:c>
      <x:c r="P209" s="6" t="n">
        <x:v>-1</x:v>
      </x:c>
      <x:c r="Q209" s="6" t="n">
        <x:v>0</x:v>
      </x:c>
      <x:c r="R209" s="2" t="str">
        <x:v>45/9.5 gyári kiosztás; Ø2.5x10 próbadarabon igazolandó 3.5x15 csavarhoz</x:v>
      </x:c>
      <x:c r="S209" s="2" t="str">
        <x:v>TERV</x:v>
      </x:c>
    </x:row>
    <x:row r="210" ht="32" customHeight="1">
      <x:c r="A210" s="2" t="str">
        <x:v>H0205</x:v>
      </x:c>
      <x:c r="B210" s="2" t="str">
        <x:v>KI12-TV01S-02</x:v>
      </x:c>
      <x:c r="C210" s="2" t="str">
        <x:v>TALP_CSAVAR_ELOFURAT</x:v>
      </x:c>
      <x:c r="D210" s="6" t="n">
        <x:v>2212.5</x:v>
      </x:c>
      <x:c r="E210" s="6" t="n">
        <x:v>37</x:v>
      </x:c>
      <x:c r="F210" s="6" t="n">
        <x:v>0</x:v>
      </x:c>
      <x:c r="G210" s="6" t="n">
        <x:v>0</x:v>
      </x:c>
      <x:c r="H210" s="6" t="n">
        <x:v>0</x:v>
      </x:c>
      <x:c r="I210" s="6" t="n">
        <x:v>-1</x:v>
      </x:c>
      <x:c r="J210" s="6" t="n">
        <x:v>2.5</x:v>
      </x:c>
      <x:c r="K210" s="6" t="n">
        <x:v>10</x:v>
      </x:c>
      <x:c r="L210" s="6" t="n">
        <x:v>702</x:v>
      </x:c>
      <x:c r="M210" s="6" t="n">
        <x:v>37</x:v>
      </x:c>
      <x:c r="N210" s="6" t="n">
        <x:v>2762.5</x:v>
      </x:c>
      <x:c r="O210" s="6" t="n">
        <x:v>1</x:v>
      </x:c>
      <x:c r="P210" s="6" t="n">
        <x:v>0</x:v>
      </x:c>
      <x:c r="Q210" s="6" t="n">
        <x:v>0</x:v>
      </x:c>
      <x:c r="R210" s="2" t="str">
        <x:v>Blum173H7100 37/32; Ø2.5x10 tervezői próbaérték</x:v>
      </x:c>
      <x:c r="S210" s="2" t="str">
        <x:v>TERV</x:v>
      </x:c>
    </x:row>
    <x:row r="211" ht="32" customHeight="1">
      <x:c r="A211" s="2" t="str">
        <x:v>H0206</x:v>
      </x:c>
      <x:c r="B211" s="2" t="str">
        <x:v>KI12-TV01S-02</x:v>
      </x:c>
      <x:c r="C211" s="2" t="str">
        <x:v>TALP_CSAVAR_ELOFURAT</x:v>
      </x:c>
      <x:c r="D211" s="6" t="n">
        <x:v>2244.5</x:v>
      </x:c>
      <x:c r="E211" s="6" t="n">
        <x:v>37</x:v>
      </x:c>
      <x:c r="F211" s="6" t="n">
        <x:v>0</x:v>
      </x:c>
      <x:c r="G211" s="6" t="n">
        <x:v>0</x:v>
      </x:c>
      <x:c r="H211" s="6" t="n">
        <x:v>0</x:v>
      </x:c>
      <x:c r="I211" s="6" t="n">
        <x:v>-1</x:v>
      </x:c>
      <x:c r="J211" s="6" t="n">
        <x:v>2.5</x:v>
      </x:c>
      <x:c r="K211" s="6" t="n">
        <x:v>10</x:v>
      </x:c>
      <x:c r="L211" s="6" t="n">
        <x:v>702</x:v>
      </x:c>
      <x:c r="M211" s="6" t="n">
        <x:v>37</x:v>
      </x:c>
      <x:c r="N211" s="6" t="n">
        <x:v>2794.5</x:v>
      </x:c>
      <x:c r="O211" s="6" t="n">
        <x:v>1</x:v>
      </x:c>
      <x:c r="P211" s="6" t="n">
        <x:v>0</x:v>
      </x:c>
      <x:c r="Q211" s="6" t="n">
        <x:v>0</x:v>
      </x:c>
      <x:c r="R211" s="2" t="str">
        <x:v>Blum173H7100 37/32; Ø2.5x10 tervezői próbaérték</x:v>
      </x:c>
      <x:c r="S211" s="2" t="str">
        <x:v>TERV</x:v>
      </x:c>
    </x:row>
    <x:row r="212" ht="32" customHeight="1">
      <x:c r="A212" s="2" t="str">
        <x:v>H0207</x:v>
      </x:c>
      <x:c r="B212" s="2" t="str">
        <x:v>KI12-TV02F1-01</x:v>
      </x:c>
      <x:c r="C212" s="2" t="str">
        <x:v>PANT_CSÉSZE</x:v>
      </x:c>
      <x:c r="D212" s="6" t="n">
        <x:v>694</x:v>
      </x:c>
      <x:c r="E212" s="6" t="n">
        <x:v>80</x:v>
      </x:c>
      <x:c r="F212" s="6" t="n">
        <x:v>0</x:v>
      </x:c>
      <x:c r="G212" s="6" t="n">
        <x:v>0</x:v>
      </x:c>
      <x:c r="H212" s="6" t="n">
        <x:v>0</x:v>
      </x:c>
      <x:c r="I212" s="6" t="n">
        <x:v>-1</x:v>
      </x:c>
      <x:c r="J212" s="6" t="n">
        <x:v>35</x:v>
      </x:c>
      <x:c r="K212" s="6" t="n">
        <x:v>13</x:v>
      </x:c>
      <x:c r="L212" s="6" t="n">
        <x:v>24.5</x:v>
      </x:c>
      <x:c r="M212" s="6" t="n">
        <x:v>-3</x:v>
      </x:c>
      <x:c r="N212" s="6" t="n">
        <x:v>231.5</x:v>
      </x:c>
      <x:c r="O212" s="6" t="n">
        <x:v>0</x:v>
      </x:c>
      <x:c r="P212" s="6" t="n">
        <x:v>-1</x:v>
      </x:c>
      <x:c r="Q212" s="6" t="n">
        <x:v>0</x:v>
      </x:c>
      <x:c r="R212" s="2" t="str">
        <x:v>Blum 70T3550.TL datasheet:35/13; TB5.5, MD0 -&gt; FA16.5</x:v>
      </x:c>
      <x:c r="S212" s="2" t="str">
        <x:v>TERV</x:v>
      </x:c>
    </x:row>
    <x:row r="213" ht="32" customHeight="1">
      <x:c r="A213" s="2" t="str">
        <x:v>H0208</x:v>
      </x:c>
      <x:c r="B213" s="2" t="str">
        <x:v>KI12-TV02F1-01</x:v>
      </x:c>
      <x:c r="C213" s="2" t="str">
        <x:v>PANT_CSAVAR_ELOFURAT</x:v>
      </x:c>
      <x:c r="D213" s="6" t="n">
        <x:v>703.5</x:v>
      </x:c>
      <x:c r="E213" s="6" t="n">
        <x:v>57.5</x:v>
      </x:c>
      <x:c r="F213" s="6" t="n">
        <x:v>0</x:v>
      </x:c>
      <x:c r="G213" s="6" t="n">
        <x:v>0</x:v>
      </x:c>
      <x:c r="H213" s="6" t="n">
        <x:v>0</x:v>
      </x:c>
      <x:c r="I213" s="6" t="n">
        <x:v>-1</x:v>
      </x:c>
      <x:c r="J213" s="6" t="n">
        <x:v>2.5</x:v>
      </x:c>
      <x:c r="K213" s="6" t="n">
        <x:v>10</x:v>
      </x:c>
      <x:c r="L213" s="6" t="n">
        <x:v>15</x:v>
      </x:c>
      <x:c r="M213" s="6" t="n">
        <x:v>-3</x:v>
      </x:c>
      <x:c r="N213" s="6" t="n">
        <x:v>209</x:v>
      </x:c>
      <x:c r="O213" s="6" t="n">
        <x:v>0</x:v>
      </x:c>
      <x:c r="P213" s="6" t="n">
        <x:v>-1</x:v>
      </x:c>
      <x:c r="Q213" s="6" t="n">
        <x:v>0</x:v>
      </x:c>
      <x:c r="R213" s="2" t="str">
        <x:v>45/9.5 gyári kiosztás; Ø2.5x10 próbadarabon igazolandó 3.5x15 csavarhoz</x:v>
      </x:c>
      <x:c r="S213" s="2" t="str">
        <x:v>TERV</x:v>
      </x:c>
    </x:row>
    <x:row r="214" ht="32" customHeight="1">
      <x:c r="A214" s="2" t="str">
        <x:v>H0209</x:v>
      </x:c>
      <x:c r="B214" s="2" t="str">
        <x:v>KI12-TV02F1-01</x:v>
      </x:c>
      <x:c r="C214" s="2" t="str">
        <x:v>PANT_CSAVAR_ELOFURAT</x:v>
      </x:c>
      <x:c r="D214" s="6" t="n">
        <x:v>703.5</x:v>
      </x:c>
      <x:c r="E214" s="6" t="n">
        <x:v>102.5</x:v>
      </x:c>
      <x:c r="F214" s="6" t="n">
        <x:v>0</x:v>
      </x:c>
      <x:c r="G214" s="6" t="n">
        <x:v>0</x:v>
      </x:c>
      <x:c r="H214" s="6" t="n">
        <x:v>0</x:v>
      </x:c>
      <x:c r="I214" s="6" t="n">
        <x:v>-1</x:v>
      </x:c>
      <x:c r="J214" s="6" t="n">
        <x:v>2.5</x:v>
      </x:c>
      <x:c r="K214" s="6" t="n">
        <x:v>10</x:v>
      </x:c>
      <x:c r="L214" s="6" t="n">
        <x:v>15</x:v>
      </x:c>
      <x:c r="M214" s="6" t="n">
        <x:v>-3</x:v>
      </x:c>
      <x:c r="N214" s="6" t="n">
        <x:v>254</x:v>
      </x:c>
      <x:c r="O214" s="6" t="n">
        <x:v>0</x:v>
      </x:c>
      <x:c r="P214" s="6" t="n">
        <x:v>-1</x:v>
      </x:c>
      <x:c r="Q214" s="6" t="n">
        <x:v>0</x:v>
      </x:c>
      <x:c r="R214" s="2" t="str">
        <x:v>45/9.5 gyári kiosztás; Ø2.5x10 próbadarabon igazolandó 3.5x15 csavarhoz</x:v>
      </x:c>
      <x:c r="S214" s="2" t="str">
        <x:v>TERV</x:v>
      </x:c>
    </x:row>
    <x:row r="215" ht="32" customHeight="1">
      <x:c r="A215" s="2" t="str">
        <x:v>H0210</x:v>
      </x:c>
      <x:c r="B215" s="2" t="str">
        <x:v>KI12-TV02S-01</x:v>
      </x:c>
      <x:c r="C215" s="2" t="str">
        <x:v>TALP_CSAVAR_ELOFURAT</x:v>
      </x:c>
      <x:c r="D215" s="6" t="n">
        <x:v>65.5</x:v>
      </x:c>
      <x:c r="E215" s="6" t="n">
        <x:v>37</x:v>
      </x:c>
      <x:c r="F215" s="6" t="n">
        <x:v>-18</x:v>
      </x:c>
      <x:c r="G215" s="6" t="n">
        <x:v>0</x:v>
      </x:c>
      <x:c r="H215" s="6" t="n">
        <x:v>0</x:v>
      </x:c>
      <x:c r="I215" s="6" t="n">
        <x:v>1</x:v>
      </x:c>
      <x:c r="J215" s="6" t="n">
        <x:v>2.5</x:v>
      </x:c>
      <x:c r="K215" s="6" t="n">
        <x:v>10</x:v>
      </x:c>
      <x:c r="L215" s="6" t="n">
        <x:v>18</x:v>
      </x:c>
      <x:c r="M215" s="6" t="n">
        <x:v>37</x:v>
      </x:c>
      <x:c r="N215" s="6" t="n">
        <x:v>215.5</x:v>
      </x:c>
      <x:c r="O215" s="6" t="n">
        <x:v>-1</x:v>
      </x:c>
      <x:c r="P215" s="6" t="n">
        <x:v>0</x:v>
      </x:c>
      <x:c r="Q215" s="6" t="n">
        <x:v>0</x:v>
      </x:c>
      <x:c r="R215" s="2" t="str">
        <x:v>Blum173H7100 37/32; Ø2.5x10 tervezői próbaérték</x:v>
      </x:c>
      <x:c r="S215" s="2" t="str">
        <x:v>TERV</x:v>
      </x:c>
    </x:row>
    <x:row r="216" ht="32" customHeight="1">
      <x:c r="A216" s="2" t="str">
        <x:v>H0211</x:v>
      </x:c>
      <x:c r="B216" s="2" t="str">
        <x:v>KI12-TV02S-01</x:v>
      </x:c>
      <x:c r="C216" s="2" t="str">
        <x:v>TALP_CSAVAR_ELOFURAT</x:v>
      </x:c>
      <x:c r="D216" s="6" t="n">
        <x:v>97.5</x:v>
      </x:c>
      <x:c r="E216" s="6" t="n">
        <x:v>37</x:v>
      </x:c>
      <x:c r="F216" s="6" t="n">
        <x:v>-18</x:v>
      </x:c>
      <x:c r="G216" s="6" t="n">
        <x:v>0</x:v>
      </x:c>
      <x:c r="H216" s="6" t="n">
        <x:v>0</x:v>
      </x:c>
      <x:c r="I216" s="6" t="n">
        <x:v>1</x:v>
      </x:c>
      <x:c r="J216" s="6" t="n">
        <x:v>2.5</x:v>
      </x:c>
      <x:c r="K216" s="6" t="n">
        <x:v>10</x:v>
      </x:c>
      <x:c r="L216" s="6" t="n">
        <x:v>18</x:v>
      </x:c>
      <x:c r="M216" s="6" t="n">
        <x:v>37</x:v>
      </x:c>
      <x:c r="N216" s="6" t="n">
        <x:v>247.5</x:v>
      </x:c>
      <x:c r="O216" s="6" t="n">
        <x:v>-1</x:v>
      </x:c>
      <x:c r="P216" s="6" t="n">
        <x:v>0</x:v>
      </x:c>
      <x:c r="Q216" s="6" t="n">
        <x:v>0</x:v>
      </x:c>
      <x:c r="R216" s="2" t="str">
        <x:v>Blum173H7100 37/32; Ø2.5x10 tervezői próbaérték</x:v>
      </x:c>
      <x:c r="S216" s="2" t="str">
        <x:v>TERV</x:v>
      </x:c>
    </x:row>
    <x:row r="217" ht="32" customHeight="1">
      <x:c r="A217" s="2" t="str">
        <x:v>H0212</x:v>
      </x:c>
      <x:c r="B217" s="2" t="str">
        <x:v>KI12-TV02F1-01</x:v>
      </x:c>
      <x:c r="C217" s="2" t="str">
        <x:v>PANT_CSÉSZE</x:v>
      </x:c>
      <x:c r="D217" s="6" t="n">
        <x:v>694</x:v>
      </x:c>
      <x:c r="E217" s="6" t="n">
        <x:v>317</x:v>
      </x:c>
      <x:c r="F217" s="6" t="n">
        <x:v>0</x:v>
      </x:c>
      <x:c r="G217" s="6" t="n">
        <x:v>0</x:v>
      </x:c>
      <x:c r="H217" s="6" t="n">
        <x:v>0</x:v>
      </x:c>
      <x:c r="I217" s="6" t="n">
        <x:v>-1</x:v>
      </x:c>
      <x:c r="J217" s="6" t="n">
        <x:v>35</x:v>
      </x:c>
      <x:c r="K217" s="6" t="n">
        <x:v>13</x:v>
      </x:c>
      <x:c r="L217" s="6" t="n">
        <x:v>24.5</x:v>
      </x:c>
      <x:c r="M217" s="6" t="n">
        <x:v>-3</x:v>
      </x:c>
      <x:c r="N217" s="6" t="n">
        <x:v>468.5</x:v>
      </x:c>
      <x:c r="O217" s="6" t="n">
        <x:v>0</x:v>
      </x:c>
      <x:c r="P217" s="6" t="n">
        <x:v>-1</x:v>
      </x:c>
      <x:c r="Q217" s="6" t="n">
        <x:v>0</x:v>
      </x:c>
      <x:c r="R217" s="2" t="str">
        <x:v>Blum 70T3550.TL datasheet:35/13; TB5.5, MD0 -&gt; FA16.5</x:v>
      </x:c>
      <x:c r="S217" s="2" t="str">
        <x:v>TERV</x:v>
      </x:c>
    </x:row>
    <x:row r="218" ht="32" customHeight="1">
      <x:c r="A218" s="2" t="str">
        <x:v>H0213</x:v>
      </x:c>
      <x:c r="B218" s="2" t="str">
        <x:v>KI12-TV02F1-01</x:v>
      </x:c>
      <x:c r="C218" s="2" t="str">
        <x:v>PANT_CSAVAR_ELOFURAT</x:v>
      </x:c>
      <x:c r="D218" s="6" t="n">
        <x:v>703.5</x:v>
      </x:c>
      <x:c r="E218" s="6" t="n">
        <x:v>294.5</x:v>
      </x:c>
      <x:c r="F218" s="6" t="n">
        <x:v>0</x:v>
      </x:c>
      <x:c r="G218" s="6" t="n">
        <x:v>0</x:v>
      </x:c>
      <x:c r="H218" s="6" t="n">
        <x:v>0</x:v>
      </x:c>
      <x:c r="I218" s="6" t="n">
        <x:v>-1</x:v>
      </x:c>
      <x:c r="J218" s="6" t="n">
        <x:v>2.5</x:v>
      </x:c>
      <x:c r="K218" s="6" t="n">
        <x:v>10</x:v>
      </x:c>
      <x:c r="L218" s="6" t="n">
        <x:v>15</x:v>
      </x:c>
      <x:c r="M218" s="6" t="n">
        <x:v>-3</x:v>
      </x:c>
      <x:c r="N218" s="6" t="n">
        <x:v>446</x:v>
      </x:c>
      <x:c r="O218" s="6" t="n">
        <x:v>0</x:v>
      </x:c>
      <x:c r="P218" s="6" t="n">
        <x:v>-1</x:v>
      </x:c>
      <x:c r="Q218" s="6" t="n">
        <x:v>0</x:v>
      </x:c>
      <x:c r="R218" s="2" t="str">
        <x:v>45/9.5 gyári kiosztás; Ø2.5x10 próbadarabon igazolandó 3.5x15 csavarhoz</x:v>
      </x:c>
      <x:c r="S218" s="2" t="str">
        <x:v>TERV</x:v>
      </x:c>
    </x:row>
    <x:row r="219" ht="32" customHeight="1">
      <x:c r="A219" s="2" t="str">
        <x:v>H0214</x:v>
      </x:c>
      <x:c r="B219" s="2" t="str">
        <x:v>KI12-TV02F1-01</x:v>
      </x:c>
      <x:c r="C219" s="2" t="str">
        <x:v>PANT_CSAVAR_ELOFURAT</x:v>
      </x:c>
      <x:c r="D219" s="6" t="n">
        <x:v>703.5</x:v>
      </x:c>
      <x:c r="E219" s="6" t="n">
        <x:v>339.5</x:v>
      </x:c>
      <x:c r="F219" s="6" t="n">
        <x:v>0</x:v>
      </x:c>
      <x:c r="G219" s="6" t="n">
        <x:v>0</x:v>
      </x:c>
      <x:c r="H219" s="6" t="n">
        <x:v>0</x:v>
      </x:c>
      <x:c r="I219" s="6" t="n">
        <x:v>-1</x:v>
      </x:c>
      <x:c r="J219" s="6" t="n">
        <x:v>2.5</x:v>
      </x:c>
      <x:c r="K219" s="6" t="n">
        <x:v>10</x:v>
      </x:c>
      <x:c r="L219" s="6" t="n">
        <x:v>15</x:v>
      </x:c>
      <x:c r="M219" s="6" t="n">
        <x:v>-3</x:v>
      </x:c>
      <x:c r="N219" s="6" t="n">
        <x:v>491</x:v>
      </x:c>
      <x:c r="O219" s="6" t="n">
        <x:v>0</x:v>
      </x:c>
      <x:c r="P219" s="6" t="n">
        <x:v>-1</x:v>
      </x:c>
      <x:c r="Q219" s="6" t="n">
        <x:v>0</x:v>
      </x:c>
      <x:c r="R219" s="2" t="str">
        <x:v>45/9.5 gyári kiosztás; Ø2.5x10 próbadarabon igazolandó 3.5x15 csavarhoz</x:v>
      </x:c>
      <x:c r="S219" s="2" t="str">
        <x:v>TERV</x:v>
      </x:c>
    </x:row>
    <x:row r="220" ht="32" customHeight="1">
      <x:c r="A220" s="2" t="str">
        <x:v>H0215</x:v>
      </x:c>
      <x:c r="B220" s="2" t="str">
        <x:v>KI12-TV02S-01</x:v>
      </x:c>
      <x:c r="C220" s="2" t="str">
        <x:v>TALP_CSAVAR_ELOFURAT</x:v>
      </x:c>
      <x:c r="D220" s="6" t="n">
        <x:v>302.5</x:v>
      </x:c>
      <x:c r="E220" s="6" t="n">
        <x:v>37</x:v>
      </x:c>
      <x:c r="F220" s="6" t="n">
        <x:v>-18</x:v>
      </x:c>
      <x:c r="G220" s="6" t="n">
        <x:v>0</x:v>
      </x:c>
      <x:c r="H220" s="6" t="n">
        <x:v>0</x:v>
      </x:c>
      <x:c r="I220" s="6" t="n">
        <x:v>1</x:v>
      </x:c>
      <x:c r="J220" s="6" t="n">
        <x:v>2.5</x:v>
      </x:c>
      <x:c r="K220" s="6" t="n">
        <x:v>10</x:v>
      </x:c>
      <x:c r="L220" s="6" t="n">
        <x:v>18</x:v>
      </x:c>
      <x:c r="M220" s="6" t="n">
        <x:v>37</x:v>
      </x:c>
      <x:c r="N220" s="6" t="n">
        <x:v>452.5</x:v>
      </x:c>
      <x:c r="O220" s="6" t="n">
        <x:v>-1</x:v>
      </x:c>
      <x:c r="P220" s="6" t="n">
        <x:v>0</x:v>
      </x:c>
      <x:c r="Q220" s="6" t="n">
        <x:v>0</x:v>
      </x:c>
      <x:c r="R220" s="2" t="str">
        <x:v>Blum173H7100 37/32; Ø2.5x10 tervezői próbaérték</x:v>
      </x:c>
      <x:c r="S220" s="2" t="str">
        <x:v>TERV</x:v>
      </x:c>
    </x:row>
    <x:row r="221" ht="32" customHeight="1">
      <x:c r="A221" s="2" t="str">
        <x:v>H0216</x:v>
      </x:c>
      <x:c r="B221" s="2" t="str">
        <x:v>KI12-TV02S-01</x:v>
      </x:c>
      <x:c r="C221" s="2" t="str">
        <x:v>TALP_CSAVAR_ELOFURAT</x:v>
      </x:c>
      <x:c r="D221" s="6" t="n">
        <x:v>334.5</x:v>
      </x:c>
      <x:c r="E221" s="6" t="n">
        <x:v>37</x:v>
      </x:c>
      <x:c r="F221" s="6" t="n">
        <x:v>-18</x:v>
      </x:c>
      <x:c r="G221" s="6" t="n">
        <x:v>0</x:v>
      </x:c>
      <x:c r="H221" s="6" t="n">
        <x:v>0</x:v>
      </x:c>
      <x:c r="I221" s="6" t="n">
        <x:v>1</x:v>
      </x:c>
      <x:c r="J221" s="6" t="n">
        <x:v>2.5</x:v>
      </x:c>
      <x:c r="K221" s="6" t="n">
        <x:v>10</x:v>
      </x:c>
      <x:c r="L221" s="6" t="n">
        <x:v>18</x:v>
      </x:c>
      <x:c r="M221" s="6" t="n">
        <x:v>37</x:v>
      </x:c>
      <x:c r="N221" s="6" t="n">
        <x:v>484.5</x:v>
      </x:c>
      <x:c r="O221" s="6" t="n">
        <x:v>-1</x:v>
      </x:c>
      <x:c r="P221" s="6" t="n">
        <x:v>0</x:v>
      </x:c>
      <x:c r="Q221" s="6" t="n">
        <x:v>0</x:v>
      </x:c>
      <x:c r="R221" s="2" t="str">
        <x:v>Blum173H7100 37/32; Ø2.5x10 tervezői próbaérték</x:v>
      </x:c>
      <x:c r="S221" s="2" t="str">
        <x:v>TERV</x:v>
      </x:c>
    </x:row>
    <x:row r="222" ht="32" customHeight="1">
      <x:c r="A222" s="2" t="str">
        <x:v>H0217</x:v>
      </x:c>
      <x:c r="B222" s="2" t="str">
        <x:v>KI12-TV02F2-01</x:v>
      </x:c>
      <x:c r="C222" s="2" t="str">
        <x:v>PANT_CSÉSZE</x:v>
      </x:c>
      <x:c r="D222" s="6" t="n">
        <x:v>664</x:v>
      </x:c>
      <x:c r="E222" s="6" t="n">
        <x:v>80</x:v>
      </x:c>
      <x:c r="F222" s="6" t="n">
        <x:v>0</x:v>
      </x:c>
      <x:c r="G222" s="6" t="n">
        <x:v>0</x:v>
      </x:c>
      <x:c r="H222" s="6" t="n">
        <x:v>0</x:v>
      </x:c>
      <x:c r="I222" s="6" t="n">
        <x:v>-1</x:v>
      </x:c>
      <x:c r="J222" s="6" t="n">
        <x:v>35</x:v>
      </x:c>
      <x:c r="K222" s="6" t="n">
        <x:v>13</x:v>
      </x:c>
      <x:c r="L222" s="6" t="n">
        <x:v>864.5</x:v>
      </x:c>
      <x:c r="M222" s="6" t="n">
        <x:v>-3</x:v>
      </x:c>
      <x:c r="N222" s="6" t="n">
        <x:v>231.5</x:v>
      </x:c>
      <x:c r="O222" s="6" t="n">
        <x:v>0</x:v>
      </x:c>
      <x:c r="P222" s="6" t="n">
        <x:v>-1</x:v>
      </x:c>
      <x:c r="Q222" s="6" t="n">
        <x:v>0</x:v>
      </x:c>
      <x:c r="R222" s="2" t="str">
        <x:v>Blum 70T3550.TL datasheet:35/13; TB5.5, MD0 -&gt; FA16.5</x:v>
      </x:c>
      <x:c r="S222" s="2" t="str">
        <x:v>TERV</x:v>
      </x:c>
    </x:row>
    <x:row r="223" ht="32" customHeight="1">
      <x:c r="A223" s="2" t="str">
        <x:v>H0218</x:v>
      </x:c>
      <x:c r="B223" s="2" t="str">
        <x:v>KI12-TV02F2-01</x:v>
      </x:c>
      <x:c r="C223" s="2" t="str">
        <x:v>PANT_CSAVAR_ELOFURAT</x:v>
      </x:c>
      <x:c r="D223" s="6" t="n">
        <x:v>673.5</x:v>
      </x:c>
      <x:c r="E223" s="6" t="n">
        <x:v>57.5</x:v>
      </x:c>
      <x:c r="F223" s="6" t="n">
        <x:v>0</x:v>
      </x:c>
      <x:c r="G223" s="6" t="n">
        <x:v>0</x:v>
      </x:c>
      <x:c r="H223" s="6" t="n">
        <x:v>0</x:v>
      </x:c>
      <x:c r="I223" s="6" t="n">
        <x:v>-1</x:v>
      </x:c>
      <x:c r="J223" s="6" t="n">
        <x:v>2.5</x:v>
      </x:c>
      <x:c r="K223" s="6" t="n">
        <x:v>10</x:v>
      </x:c>
      <x:c r="L223" s="6" t="n">
        <x:v>855</x:v>
      </x:c>
      <x:c r="M223" s="6" t="n">
        <x:v>-3</x:v>
      </x:c>
      <x:c r="N223" s="6" t="n">
        <x:v>209</x:v>
      </x:c>
      <x:c r="O223" s="6" t="n">
        <x:v>0</x:v>
      </x:c>
      <x:c r="P223" s="6" t="n">
        <x:v>-1</x:v>
      </x:c>
      <x:c r="Q223" s="6" t="n">
        <x:v>0</x:v>
      </x:c>
      <x:c r="R223" s="2" t="str">
        <x:v>45/9.5 gyári kiosztás; Ø2.5x10 próbadarabon igazolandó 3.5x15 csavarhoz</x:v>
      </x:c>
      <x:c r="S223" s="2" t="str">
        <x:v>TERV</x:v>
      </x:c>
    </x:row>
    <x:row r="224" ht="32" customHeight="1">
      <x:c r="A224" s="2" t="str">
        <x:v>H0219</x:v>
      </x:c>
      <x:c r="B224" s="2" t="str">
        <x:v>KI12-TV02F2-01</x:v>
      </x:c>
      <x:c r="C224" s="2" t="str">
        <x:v>PANT_CSAVAR_ELOFURAT</x:v>
      </x:c>
      <x:c r="D224" s="6" t="n">
        <x:v>673.5</x:v>
      </x:c>
      <x:c r="E224" s="6" t="n">
        <x:v>102.5</x:v>
      </x:c>
      <x:c r="F224" s="6" t="n">
        <x:v>0</x:v>
      </x:c>
      <x:c r="G224" s="6" t="n">
        <x:v>0</x:v>
      </x:c>
      <x:c r="H224" s="6" t="n">
        <x:v>0</x:v>
      </x:c>
      <x:c r="I224" s="6" t="n">
        <x:v>-1</x:v>
      </x:c>
      <x:c r="J224" s="6" t="n">
        <x:v>2.5</x:v>
      </x:c>
      <x:c r="K224" s="6" t="n">
        <x:v>10</x:v>
      </x:c>
      <x:c r="L224" s="6" t="n">
        <x:v>855</x:v>
      </x:c>
      <x:c r="M224" s="6" t="n">
        <x:v>-3</x:v>
      </x:c>
      <x:c r="N224" s="6" t="n">
        <x:v>254</x:v>
      </x:c>
      <x:c r="O224" s="6" t="n">
        <x:v>0</x:v>
      </x:c>
      <x:c r="P224" s="6" t="n">
        <x:v>-1</x:v>
      </x:c>
      <x:c r="Q224" s="6" t="n">
        <x:v>0</x:v>
      </x:c>
      <x:c r="R224" s="2" t="str">
        <x:v>45/9.5 gyári kiosztás; Ø2.5x10 próbadarabon igazolandó 3.5x15 csavarhoz</x:v>
      </x:c>
      <x:c r="S224" s="2" t="str">
        <x:v>TERV</x:v>
      </x:c>
    </x:row>
    <x:row r="225" ht="32" customHeight="1">
      <x:c r="A225" s="2" t="str">
        <x:v>H0220</x:v>
      </x:c>
      <x:c r="B225" s="2" t="str">
        <x:v>KI12-TV02S-03</x:v>
      </x:c>
      <x:c r="C225" s="2" t="str">
        <x:v>TALP_CSAVAR_ELOFURAT</x:v>
      </x:c>
      <x:c r="D225" s="6" t="n">
        <x:v>65.5</x:v>
      </x:c>
      <x:c r="E225" s="6" t="n">
        <x:v>37</x:v>
      </x:c>
      <x:c r="F225" s="6" t="n">
        <x:v>-18</x:v>
      </x:c>
      <x:c r="G225" s="6" t="n">
        <x:v>0</x:v>
      </x:c>
      <x:c r="H225" s="6" t="n">
        <x:v>0</x:v>
      </x:c>
      <x:c r="I225" s="6" t="n">
        <x:v>1</x:v>
      </x:c>
      <x:c r="J225" s="6" t="n">
        <x:v>2.5</x:v>
      </x:c>
      <x:c r="K225" s="6" t="n">
        <x:v>10</x:v>
      </x:c>
      <x:c r="L225" s="6" t="n">
        <x:v>858</x:v>
      </x:c>
      <x:c r="M225" s="6" t="n">
        <x:v>37</x:v>
      </x:c>
      <x:c r="N225" s="6" t="n">
        <x:v>215.5</x:v>
      </x:c>
      <x:c r="O225" s="6" t="n">
        <x:v>-1</x:v>
      </x:c>
      <x:c r="P225" s="6" t="n">
        <x:v>0</x:v>
      </x:c>
      <x:c r="Q225" s="6" t="n">
        <x:v>0</x:v>
      </x:c>
      <x:c r="R225" s="2" t="str">
        <x:v>Blum173H7100 37/32; Ø2.5x10 tervezői próbaérték</x:v>
      </x:c>
      <x:c r="S225" s="2" t="str">
        <x:v>TERV</x:v>
      </x:c>
    </x:row>
    <x:row r="226" ht="32" customHeight="1">
      <x:c r="A226" s="2" t="str">
        <x:v>H0221</x:v>
      </x:c>
      <x:c r="B226" s="2" t="str">
        <x:v>KI12-TV02S-03</x:v>
      </x:c>
      <x:c r="C226" s="2" t="str">
        <x:v>TALP_CSAVAR_ELOFURAT</x:v>
      </x:c>
      <x:c r="D226" s="6" t="n">
        <x:v>97.5</x:v>
      </x:c>
      <x:c r="E226" s="6" t="n">
        <x:v>37</x:v>
      </x:c>
      <x:c r="F226" s="6" t="n">
        <x:v>-18</x:v>
      </x:c>
      <x:c r="G226" s="6" t="n">
        <x:v>0</x:v>
      </x:c>
      <x:c r="H226" s="6" t="n">
        <x:v>0</x:v>
      </x:c>
      <x:c r="I226" s="6" t="n">
        <x:v>1</x:v>
      </x:c>
      <x:c r="J226" s="6" t="n">
        <x:v>2.5</x:v>
      </x:c>
      <x:c r="K226" s="6" t="n">
        <x:v>10</x:v>
      </x:c>
      <x:c r="L226" s="6" t="n">
        <x:v>858</x:v>
      </x:c>
      <x:c r="M226" s="6" t="n">
        <x:v>37</x:v>
      </x:c>
      <x:c r="N226" s="6" t="n">
        <x:v>247.5</x:v>
      </x:c>
      <x:c r="O226" s="6" t="n">
        <x:v>-1</x:v>
      </x:c>
      <x:c r="P226" s="6" t="n">
        <x:v>0</x:v>
      </x:c>
      <x:c r="Q226" s="6" t="n">
        <x:v>0</x:v>
      </x:c>
      <x:c r="R226" s="2" t="str">
        <x:v>Blum173H7100 37/32; Ø2.5x10 tervezői próbaérték</x:v>
      </x:c>
      <x:c r="S226" s="2" t="str">
        <x:v>TERV</x:v>
      </x:c>
    </x:row>
    <x:row r="227" ht="32" customHeight="1">
      <x:c r="A227" s="2" t="str">
        <x:v>H0222</x:v>
      </x:c>
      <x:c r="B227" s="2" t="str">
        <x:v>KI12-TV02F2-01</x:v>
      </x:c>
      <x:c r="C227" s="2" t="str">
        <x:v>PANT_CSÉSZE</x:v>
      </x:c>
      <x:c r="D227" s="6" t="n">
        <x:v>664</x:v>
      </x:c>
      <x:c r="E227" s="6" t="n">
        <x:v>317</x:v>
      </x:c>
      <x:c r="F227" s="6" t="n">
        <x:v>0</x:v>
      </x:c>
      <x:c r="G227" s="6" t="n">
        <x:v>0</x:v>
      </x:c>
      <x:c r="H227" s="6" t="n">
        <x:v>0</x:v>
      </x:c>
      <x:c r="I227" s="6" t="n">
        <x:v>-1</x:v>
      </x:c>
      <x:c r="J227" s="6" t="n">
        <x:v>35</x:v>
      </x:c>
      <x:c r="K227" s="6" t="n">
        <x:v>13</x:v>
      </x:c>
      <x:c r="L227" s="6" t="n">
        <x:v>864.5</x:v>
      </x:c>
      <x:c r="M227" s="6" t="n">
        <x:v>-3</x:v>
      </x:c>
      <x:c r="N227" s="6" t="n">
        <x:v>468.5</x:v>
      </x:c>
      <x:c r="O227" s="6" t="n">
        <x:v>0</x:v>
      </x:c>
      <x:c r="P227" s="6" t="n">
        <x:v>-1</x:v>
      </x:c>
      <x:c r="Q227" s="6" t="n">
        <x:v>0</x:v>
      </x:c>
      <x:c r="R227" s="2" t="str">
        <x:v>Blum 70T3550.TL datasheet:35/13; TB5.5, MD0 -&gt; FA16.5</x:v>
      </x:c>
      <x:c r="S227" s="2" t="str">
        <x:v>TERV</x:v>
      </x:c>
    </x:row>
    <x:row r="228" ht="32" customHeight="1">
      <x:c r="A228" s="2" t="str">
        <x:v>H0223</x:v>
      </x:c>
      <x:c r="B228" s="2" t="str">
        <x:v>KI12-TV02F2-01</x:v>
      </x:c>
      <x:c r="C228" s="2" t="str">
        <x:v>PANT_CSAVAR_ELOFURAT</x:v>
      </x:c>
      <x:c r="D228" s="6" t="n">
        <x:v>673.5</x:v>
      </x:c>
      <x:c r="E228" s="6" t="n">
        <x:v>294.5</x:v>
      </x:c>
      <x:c r="F228" s="6" t="n">
        <x:v>0</x:v>
      </x:c>
      <x:c r="G228" s="6" t="n">
        <x:v>0</x:v>
      </x:c>
      <x:c r="H228" s="6" t="n">
        <x:v>0</x:v>
      </x:c>
      <x:c r="I228" s="6" t="n">
        <x:v>-1</x:v>
      </x:c>
      <x:c r="J228" s="6" t="n">
        <x:v>2.5</x:v>
      </x:c>
      <x:c r="K228" s="6" t="n">
        <x:v>10</x:v>
      </x:c>
      <x:c r="L228" s="6" t="n">
        <x:v>855</x:v>
      </x:c>
      <x:c r="M228" s="6" t="n">
        <x:v>-3</x:v>
      </x:c>
      <x:c r="N228" s="6" t="n">
        <x:v>446</x:v>
      </x:c>
      <x:c r="O228" s="6" t="n">
        <x:v>0</x:v>
      </x:c>
      <x:c r="P228" s="6" t="n">
        <x:v>-1</x:v>
      </x:c>
      <x:c r="Q228" s="6" t="n">
        <x:v>0</x:v>
      </x:c>
      <x:c r="R228" s="2" t="str">
        <x:v>45/9.5 gyári kiosztás; Ø2.5x10 próbadarabon igazolandó 3.5x15 csavarhoz</x:v>
      </x:c>
      <x:c r="S228" s="2" t="str">
        <x:v>TERV</x:v>
      </x:c>
    </x:row>
    <x:row r="229" ht="32" customHeight="1">
      <x:c r="A229" s="2" t="str">
        <x:v>H0224</x:v>
      </x:c>
      <x:c r="B229" s="2" t="str">
        <x:v>KI12-TV02F2-01</x:v>
      </x:c>
      <x:c r="C229" s="2" t="str">
        <x:v>PANT_CSAVAR_ELOFURAT</x:v>
      </x:c>
      <x:c r="D229" s="6" t="n">
        <x:v>673.5</x:v>
      </x:c>
      <x:c r="E229" s="6" t="n">
        <x:v>339.5</x:v>
      </x:c>
      <x:c r="F229" s="6" t="n">
        <x:v>0</x:v>
      </x:c>
      <x:c r="G229" s="6" t="n">
        <x:v>0</x:v>
      </x:c>
      <x:c r="H229" s="6" t="n">
        <x:v>0</x:v>
      </x:c>
      <x:c r="I229" s="6" t="n">
        <x:v>-1</x:v>
      </x:c>
      <x:c r="J229" s="6" t="n">
        <x:v>2.5</x:v>
      </x:c>
      <x:c r="K229" s="6" t="n">
        <x:v>10</x:v>
      </x:c>
      <x:c r="L229" s="6" t="n">
        <x:v>855</x:v>
      </x:c>
      <x:c r="M229" s="6" t="n">
        <x:v>-3</x:v>
      </x:c>
      <x:c r="N229" s="6" t="n">
        <x:v>491</x:v>
      </x:c>
      <x:c r="O229" s="6" t="n">
        <x:v>0</x:v>
      </x:c>
      <x:c r="P229" s="6" t="n">
        <x:v>-1</x:v>
      </x:c>
      <x:c r="Q229" s="6" t="n">
        <x:v>0</x:v>
      </x:c>
      <x:c r="R229" s="2" t="str">
        <x:v>45/9.5 gyári kiosztás; Ø2.5x10 próbadarabon igazolandó 3.5x15 csavarhoz</x:v>
      </x:c>
      <x:c r="S229" s="2" t="str">
        <x:v>TERV</x:v>
      </x:c>
    </x:row>
    <x:row r="230" ht="32" customHeight="1">
      <x:c r="A230" s="2" t="str">
        <x:v>H0225</x:v>
      </x:c>
      <x:c r="B230" s="2" t="str">
        <x:v>KI12-TV02S-03</x:v>
      </x:c>
      <x:c r="C230" s="2" t="str">
        <x:v>TALP_CSAVAR_ELOFURAT</x:v>
      </x:c>
      <x:c r="D230" s="6" t="n">
        <x:v>302.5</x:v>
      </x:c>
      <x:c r="E230" s="6" t="n">
        <x:v>37</x:v>
      </x:c>
      <x:c r="F230" s="6" t="n">
        <x:v>-18</x:v>
      </x:c>
      <x:c r="G230" s="6" t="n">
        <x:v>0</x:v>
      </x:c>
      <x:c r="H230" s="6" t="n">
        <x:v>0</x:v>
      </x:c>
      <x:c r="I230" s="6" t="n">
        <x:v>1</x:v>
      </x:c>
      <x:c r="J230" s="6" t="n">
        <x:v>2.5</x:v>
      </x:c>
      <x:c r="K230" s="6" t="n">
        <x:v>10</x:v>
      </x:c>
      <x:c r="L230" s="6" t="n">
        <x:v>858</x:v>
      </x:c>
      <x:c r="M230" s="6" t="n">
        <x:v>37</x:v>
      </x:c>
      <x:c r="N230" s="6" t="n">
        <x:v>452.5</x:v>
      </x:c>
      <x:c r="O230" s="6" t="n">
        <x:v>-1</x:v>
      </x:c>
      <x:c r="P230" s="6" t="n">
        <x:v>0</x:v>
      </x:c>
      <x:c r="Q230" s="6" t="n">
        <x:v>0</x:v>
      </x:c>
      <x:c r="R230" s="2" t="str">
        <x:v>Blum173H7100 37/32; Ø2.5x10 tervezői próbaérték</x:v>
      </x:c>
      <x:c r="S230" s="2" t="str">
        <x:v>TERV</x:v>
      </x:c>
    </x:row>
    <x:row r="231" ht="32" customHeight="1">
      <x:c r="A231" s="2" t="str">
        <x:v>H0226</x:v>
      </x:c>
      <x:c r="B231" s="2" t="str">
        <x:v>KI12-TV02S-03</x:v>
      </x:c>
      <x:c r="C231" s="2" t="str">
        <x:v>TALP_CSAVAR_ELOFURAT</x:v>
      </x:c>
      <x:c r="D231" s="6" t="n">
        <x:v>334.5</x:v>
      </x:c>
      <x:c r="E231" s="6" t="n">
        <x:v>37</x:v>
      </x:c>
      <x:c r="F231" s="6" t="n">
        <x:v>-18</x:v>
      </x:c>
      <x:c r="G231" s="6" t="n">
        <x:v>0</x:v>
      </x:c>
      <x:c r="H231" s="6" t="n">
        <x:v>0</x:v>
      </x:c>
      <x:c r="I231" s="6" t="n">
        <x:v>1</x:v>
      </x:c>
      <x:c r="J231" s="6" t="n">
        <x:v>2.5</x:v>
      </x:c>
      <x:c r="K231" s="6" t="n">
        <x:v>10</x:v>
      </x:c>
      <x:c r="L231" s="6" t="n">
        <x:v>858</x:v>
      </x:c>
      <x:c r="M231" s="6" t="n">
        <x:v>37</x:v>
      </x:c>
      <x:c r="N231" s="6" t="n">
        <x:v>484.5</x:v>
      </x:c>
      <x:c r="O231" s="6" t="n">
        <x:v>-1</x:v>
      </x:c>
      <x:c r="P231" s="6" t="n">
        <x:v>0</x:v>
      </x:c>
      <x:c r="Q231" s="6" t="n">
        <x:v>0</x:v>
      </x:c>
      <x:c r="R231" s="2" t="str">
        <x:v>Blum173H7100 37/32; Ø2.5x10 tervezői próbaérték</x:v>
      </x:c>
      <x:c r="S231" s="2" t="str">
        <x:v>TERV</x:v>
      </x:c>
    </x:row>
    <x:row r="232" ht="32" customHeight="1">
      <x:c r="A232" s="2" t="str">
        <x:v>H0227</x:v>
      </x:c>
      <x:c r="B232" s="2" t="str">
        <x:v>KI12-TV02F2-04</x:v>
      </x:c>
      <x:c r="C232" s="2" t="str">
        <x:v>PANT_CSÉSZE</x:v>
      </x:c>
      <x:c r="D232" s="6" t="n">
        <x:v>664</x:v>
      </x:c>
      <x:c r="E232" s="6" t="n">
        <x:v>80</x:v>
      </x:c>
      <x:c r="F232" s="6" t="n">
        <x:v>0</x:v>
      </x:c>
      <x:c r="G232" s="6" t="n">
        <x:v>0</x:v>
      </x:c>
      <x:c r="H232" s="6" t="n">
        <x:v>0</x:v>
      </x:c>
      <x:c r="I232" s="6" t="n">
        <x:v>-1</x:v>
      </x:c>
      <x:c r="J232" s="6" t="n">
        <x:v>35</x:v>
      </x:c>
      <x:c r="K232" s="6" t="n">
        <x:v>13</x:v>
      </x:c>
      <x:c r="L232" s="6" t="n">
        <x:v>2934.5</x:v>
      </x:c>
      <x:c r="M232" s="6" t="n">
        <x:v>-3</x:v>
      </x:c>
      <x:c r="N232" s="6" t="n">
        <x:v>231.5</x:v>
      </x:c>
      <x:c r="O232" s="6" t="n">
        <x:v>0</x:v>
      </x:c>
      <x:c r="P232" s="6" t="n">
        <x:v>-1</x:v>
      </x:c>
      <x:c r="Q232" s="6" t="n">
        <x:v>0</x:v>
      </x:c>
      <x:c r="R232" s="2" t="str">
        <x:v>Blum 70T3550.TL datasheet:35/13; TB5.5, MD0 -&gt; FA16.5</x:v>
      </x:c>
      <x:c r="S232" s="2" t="str">
        <x:v>TERV</x:v>
      </x:c>
    </x:row>
    <x:row r="233" ht="32" customHeight="1">
      <x:c r="A233" s="2" t="str">
        <x:v>H0228</x:v>
      </x:c>
      <x:c r="B233" s="2" t="str">
        <x:v>KI12-TV02F2-04</x:v>
      </x:c>
      <x:c r="C233" s="2" t="str">
        <x:v>PANT_CSAVAR_ELOFURAT</x:v>
      </x:c>
      <x:c r="D233" s="6" t="n">
        <x:v>673.5</x:v>
      </x:c>
      <x:c r="E233" s="6" t="n">
        <x:v>57.5</x:v>
      </x:c>
      <x:c r="F233" s="6" t="n">
        <x:v>0</x:v>
      </x:c>
      <x:c r="G233" s="6" t="n">
        <x:v>0</x:v>
      </x:c>
      <x:c r="H233" s="6" t="n">
        <x:v>0</x:v>
      </x:c>
      <x:c r="I233" s="6" t="n">
        <x:v>-1</x:v>
      </x:c>
      <x:c r="J233" s="6" t="n">
        <x:v>2.5</x:v>
      </x:c>
      <x:c r="K233" s="6" t="n">
        <x:v>10</x:v>
      </x:c>
      <x:c r="L233" s="6" t="n">
        <x:v>2925</x:v>
      </x:c>
      <x:c r="M233" s="6" t="n">
        <x:v>-3</x:v>
      </x:c>
      <x:c r="N233" s="6" t="n">
        <x:v>209</x:v>
      </x:c>
      <x:c r="O233" s="6" t="n">
        <x:v>0</x:v>
      </x:c>
      <x:c r="P233" s="6" t="n">
        <x:v>-1</x:v>
      </x:c>
      <x:c r="Q233" s="6" t="n">
        <x:v>0</x:v>
      </x:c>
      <x:c r="R233" s="2" t="str">
        <x:v>45/9.5 gyári kiosztás; Ø2.5x10 próbadarabon igazolandó 3.5x15 csavarhoz</x:v>
      </x:c>
      <x:c r="S233" s="2" t="str">
        <x:v>TERV</x:v>
      </x:c>
    </x:row>
    <x:row r="234" ht="32" customHeight="1">
      <x:c r="A234" s="2" t="str">
        <x:v>H0229</x:v>
      </x:c>
      <x:c r="B234" s="2" t="str">
        <x:v>KI12-TV02F2-04</x:v>
      </x:c>
      <x:c r="C234" s="2" t="str">
        <x:v>PANT_CSAVAR_ELOFURAT</x:v>
      </x:c>
      <x:c r="D234" s="6" t="n">
        <x:v>673.5</x:v>
      </x:c>
      <x:c r="E234" s="6" t="n">
        <x:v>102.5</x:v>
      </x:c>
      <x:c r="F234" s="6" t="n">
        <x:v>0</x:v>
      </x:c>
      <x:c r="G234" s="6" t="n">
        <x:v>0</x:v>
      </x:c>
      <x:c r="H234" s="6" t="n">
        <x:v>0</x:v>
      </x:c>
      <x:c r="I234" s="6" t="n">
        <x:v>-1</x:v>
      </x:c>
      <x:c r="J234" s="6" t="n">
        <x:v>2.5</x:v>
      </x:c>
      <x:c r="K234" s="6" t="n">
        <x:v>10</x:v>
      </x:c>
      <x:c r="L234" s="6" t="n">
        <x:v>2925</x:v>
      </x:c>
      <x:c r="M234" s="6" t="n">
        <x:v>-3</x:v>
      </x:c>
      <x:c r="N234" s="6" t="n">
        <x:v>254</x:v>
      </x:c>
      <x:c r="O234" s="6" t="n">
        <x:v>0</x:v>
      </x:c>
      <x:c r="P234" s="6" t="n">
        <x:v>-1</x:v>
      </x:c>
      <x:c r="Q234" s="6" t="n">
        <x:v>0</x:v>
      </x:c>
      <x:c r="R234" s="2" t="str">
        <x:v>45/9.5 gyári kiosztás; Ø2.5x10 próbadarabon igazolandó 3.5x15 csavarhoz</x:v>
      </x:c>
      <x:c r="S234" s="2" t="str">
        <x:v>TERV</x:v>
      </x:c>
    </x:row>
    <x:row r="235" ht="32" customHeight="1">
      <x:c r="A235" s="2" t="str">
        <x:v>H0230</x:v>
      </x:c>
      <x:c r="B235" s="2" t="str">
        <x:v>KI12-TV02S-09</x:v>
      </x:c>
      <x:c r="C235" s="2" t="str">
        <x:v>TALP_CSAVAR_ELOFURAT</x:v>
      </x:c>
      <x:c r="D235" s="6" t="n">
        <x:v>65.5</x:v>
      </x:c>
      <x:c r="E235" s="6" t="n">
        <x:v>37</x:v>
      </x:c>
      <x:c r="F235" s="6" t="n">
        <x:v>-18</x:v>
      </x:c>
      <x:c r="G235" s="6" t="n">
        <x:v>0</x:v>
      </x:c>
      <x:c r="H235" s="6" t="n">
        <x:v>0</x:v>
      </x:c>
      <x:c r="I235" s="6" t="n">
        <x:v>1</x:v>
      </x:c>
      <x:c r="J235" s="6" t="n">
        <x:v>2.5</x:v>
      </x:c>
      <x:c r="K235" s="6" t="n">
        <x:v>10</x:v>
      </x:c>
      <x:c r="L235" s="6" t="n">
        <x:v>2928</x:v>
      </x:c>
      <x:c r="M235" s="6" t="n">
        <x:v>37</x:v>
      </x:c>
      <x:c r="N235" s="6" t="n">
        <x:v>215.5</x:v>
      </x:c>
      <x:c r="O235" s="6" t="n">
        <x:v>-1</x:v>
      </x:c>
      <x:c r="P235" s="6" t="n">
        <x:v>0</x:v>
      </x:c>
      <x:c r="Q235" s="6" t="n">
        <x:v>0</x:v>
      </x:c>
      <x:c r="R235" s="2" t="str">
        <x:v>Blum173H7100 37/32; Ø2.5x10 tervezői próbaérték</x:v>
      </x:c>
      <x:c r="S235" s="2" t="str">
        <x:v>TERV</x:v>
      </x:c>
    </x:row>
    <x:row r="236" ht="32" customHeight="1">
      <x:c r="A236" s="2" t="str">
        <x:v>H0231</x:v>
      </x:c>
      <x:c r="B236" s="2" t="str">
        <x:v>KI12-TV02S-09</x:v>
      </x:c>
      <x:c r="C236" s="2" t="str">
        <x:v>TALP_CSAVAR_ELOFURAT</x:v>
      </x:c>
      <x:c r="D236" s="6" t="n">
        <x:v>97.5</x:v>
      </x:c>
      <x:c r="E236" s="6" t="n">
        <x:v>37</x:v>
      </x:c>
      <x:c r="F236" s="6" t="n">
        <x:v>-18</x:v>
      </x:c>
      <x:c r="G236" s="6" t="n">
        <x:v>0</x:v>
      </x:c>
      <x:c r="H236" s="6" t="n">
        <x:v>0</x:v>
      </x:c>
      <x:c r="I236" s="6" t="n">
        <x:v>1</x:v>
      </x:c>
      <x:c r="J236" s="6" t="n">
        <x:v>2.5</x:v>
      </x:c>
      <x:c r="K236" s="6" t="n">
        <x:v>10</x:v>
      </x:c>
      <x:c r="L236" s="6" t="n">
        <x:v>2928</x:v>
      </x:c>
      <x:c r="M236" s="6" t="n">
        <x:v>37</x:v>
      </x:c>
      <x:c r="N236" s="6" t="n">
        <x:v>247.5</x:v>
      </x:c>
      <x:c r="O236" s="6" t="n">
        <x:v>-1</x:v>
      </x:c>
      <x:c r="P236" s="6" t="n">
        <x:v>0</x:v>
      </x:c>
      <x:c r="Q236" s="6" t="n">
        <x:v>0</x:v>
      </x:c>
      <x:c r="R236" s="2" t="str">
        <x:v>Blum173H7100 37/32; Ø2.5x10 tervezői próbaérték</x:v>
      </x:c>
      <x:c r="S236" s="2" t="str">
        <x:v>TERV</x:v>
      </x:c>
    </x:row>
    <x:row r="237" ht="32" customHeight="1">
      <x:c r="A237" s="2" t="str">
        <x:v>H0232</x:v>
      </x:c>
      <x:c r="B237" s="2" t="str">
        <x:v>KI12-TV02F2-04</x:v>
      </x:c>
      <x:c r="C237" s="2" t="str">
        <x:v>PANT_CSÉSZE</x:v>
      </x:c>
      <x:c r="D237" s="6" t="n">
        <x:v>664</x:v>
      </x:c>
      <x:c r="E237" s="6" t="n">
        <x:v>317</x:v>
      </x:c>
      <x:c r="F237" s="6" t="n">
        <x:v>0</x:v>
      </x:c>
      <x:c r="G237" s="6" t="n">
        <x:v>0</x:v>
      </x:c>
      <x:c r="H237" s="6" t="n">
        <x:v>0</x:v>
      </x:c>
      <x:c r="I237" s="6" t="n">
        <x:v>-1</x:v>
      </x:c>
      <x:c r="J237" s="6" t="n">
        <x:v>35</x:v>
      </x:c>
      <x:c r="K237" s="6" t="n">
        <x:v>13</x:v>
      </x:c>
      <x:c r="L237" s="6" t="n">
        <x:v>2934.5</x:v>
      </x:c>
      <x:c r="M237" s="6" t="n">
        <x:v>-3</x:v>
      </x:c>
      <x:c r="N237" s="6" t="n">
        <x:v>468.5</x:v>
      </x:c>
      <x:c r="O237" s="6" t="n">
        <x:v>0</x:v>
      </x:c>
      <x:c r="P237" s="6" t="n">
        <x:v>-1</x:v>
      </x:c>
      <x:c r="Q237" s="6" t="n">
        <x:v>0</x:v>
      </x:c>
      <x:c r="R237" s="2" t="str">
        <x:v>Blum 70T3550.TL datasheet:35/13; TB5.5, MD0 -&gt; FA16.5</x:v>
      </x:c>
      <x:c r="S237" s="2" t="str">
        <x:v>TERV</x:v>
      </x:c>
    </x:row>
    <x:row r="238" ht="32" customHeight="1">
      <x:c r="A238" s="2" t="str">
        <x:v>H0233</x:v>
      </x:c>
      <x:c r="B238" s="2" t="str">
        <x:v>KI12-TV02F2-04</x:v>
      </x:c>
      <x:c r="C238" s="2" t="str">
        <x:v>PANT_CSAVAR_ELOFURAT</x:v>
      </x:c>
      <x:c r="D238" s="6" t="n">
        <x:v>673.5</x:v>
      </x:c>
      <x:c r="E238" s="6" t="n">
        <x:v>294.5</x:v>
      </x:c>
      <x:c r="F238" s="6" t="n">
        <x:v>0</x:v>
      </x:c>
      <x:c r="G238" s="6" t="n">
        <x:v>0</x:v>
      </x:c>
      <x:c r="H238" s="6" t="n">
        <x:v>0</x:v>
      </x:c>
      <x:c r="I238" s="6" t="n">
        <x:v>-1</x:v>
      </x:c>
      <x:c r="J238" s="6" t="n">
        <x:v>2.5</x:v>
      </x:c>
      <x:c r="K238" s="6" t="n">
        <x:v>10</x:v>
      </x:c>
      <x:c r="L238" s="6" t="n">
        <x:v>2925</x:v>
      </x:c>
      <x:c r="M238" s="6" t="n">
        <x:v>-3</x:v>
      </x:c>
      <x:c r="N238" s="6" t="n">
        <x:v>446</x:v>
      </x:c>
      <x:c r="O238" s="6" t="n">
        <x:v>0</x:v>
      </x:c>
      <x:c r="P238" s="6" t="n">
        <x:v>-1</x:v>
      </x:c>
      <x:c r="Q238" s="6" t="n">
        <x:v>0</x:v>
      </x:c>
      <x:c r="R238" s="2" t="str">
        <x:v>45/9.5 gyári kiosztás; Ø2.5x10 próbadarabon igazolandó 3.5x15 csavarhoz</x:v>
      </x:c>
      <x:c r="S238" s="2" t="str">
        <x:v>TERV</x:v>
      </x:c>
    </x:row>
    <x:row r="239" ht="32" customHeight="1">
      <x:c r="A239" s="2" t="str">
        <x:v>H0234</x:v>
      </x:c>
      <x:c r="B239" s="2" t="str">
        <x:v>KI12-TV02F2-04</x:v>
      </x:c>
      <x:c r="C239" s="2" t="str">
        <x:v>PANT_CSAVAR_ELOFURAT</x:v>
      </x:c>
      <x:c r="D239" s="6" t="n">
        <x:v>673.5</x:v>
      </x:c>
      <x:c r="E239" s="6" t="n">
        <x:v>339.5</x:v>
      </x:c>
      <x:c r="F239" s="6" t="n">
        <x:v>0</x:v>
      </x:c>
      <x:c r="G239" s="6" t="n">
        <x:v>0</x:v>
      </x:c>
      <x:c r="H239" s="6" t="n">
        <x:v>0</x:v>
      </x:c>
      <x:c r="I239" s="6" t="n">
        <x:v>-1</x:v>
      </x:c>
      <x:c r="J239" s="6" t="n">
        <x:v>2.5</x:v>
      </x:c>
      <x:c r="K239" s="6" t="n">
        <x:v>10</x:v>
      </x:c>
      <x:c r="L239" s="6" t="n">
        <x:v>2925</x:v>
      </x:c>
      <x:c r="M239" s="6" t="n">
        <x:v>-3</x:v>
      </x:c>
      <x:c r="N239" s="6" t="n">
        <x:v>491</x:v>
      </x:c>
      <x:c r="O239" s="6" t="n">
        <x:v>0</x:v>
      </x:c>
      <x:c r="P239" s="6" t="n">
        <x:v>-1</x:v>
      </x:c>
      <x:c r="Q239" s="6" t="n">
        <x:v>0</x:v>
      </x:c>
      <x:c r="R239" s="2" t="str">
        <x:v>45/9.5 gyári kiosztás; Ø2.5x10 próbadarabon igazolandó 3.5x15 csavarhoz</x:v>
      </x:c>
      <x:c r="S239" s="2" t="str">
        <x:v>TERV</x:v>
      </x:c>
    </x:row>
    <x:row r="240" ht="32" customHeight="1">
      <x:c r="A240" s="2" t="str">
        <x:v>H0235</x:v>
      </x:c>
      <x:c r="B240" s="2" t="str">
        <x:v>KI12-TV02S-09</x:v>
      </x:c>
      <x:c r="C240" s="2" t="str">
        <x:v>TALP_CSAVAR_ELOFURAT</x:v>
      </x:c>
      <x:c r="D240" s="6" t="n">
        <x:v>302.5</x:v>
      </x:c>
      <x:c r="E240" s="6" t="n">
        <x:v>37</x:v>
      </x:c>
      <x:c r="F240" s="6" t="n">
        <x:v>-18</x:v>
      </x:c>
      <x:c r="G240" s="6" t="n">
        <x:v>0</x:v>
      </x:c>
      <x:c r="H240" s="6" t="n">
        <x:v>0</x:v>
      </x:c>
      <x:c r="I240" s="6" t="n">
        <x:v>1</x:v>
      </x:c>
      <x:c r="J240" s="6" t="n">
        <x:v>2.5</x:v>
      </x:c>
      <x:c r="K240" s="6" t="n">
        <x:v>10</x:v>
      </x:c>
      <x:c r="L240" s="6" t="n">
        <x:v>2928</x:v>
      </x:c>
      <x:c r="M240" s="6" t="n">
        <x:v>37</x:v>
      </x:c>
      <x:c r="N240" s="6" t="n">
        <x:v>452.5</x:v>
      </x:c>
      <x:c r="O240" s="6" t="n">
        <x:v>-1</x:v>
      </x:c>
      <x:c r="P240" s="6" t="n">
        <x:v>0</x:v>
      </x:c>
      <x:c r="Q240" s="6" t="n">
        <x:v>0</x:v>
      </x:c>
      <x:c r="R240" s="2" t="str">
        <x:v>Blum173H7100 37/32; Ø2.5x10 tervezői próbaérték</x:v>
      </x:c>
      <x:c r="S240" s="2" t="str">
        <x:v>TERV</x:v>
      </x:c>
    </x:row>
    <x:row r="241" ht="32" customHeight="1">
      <x:c r="A241" s="2" t="str">
        <x:v>H0236</x:v>
      </x:c>
      <x:c r="B241" s="2" t="str">
        <x:v>KI12-TV02S-09</x:v>
      </x:c>
      <x:c r="C241" s="2" t="str">
        <x:v>TALP_CSAVAR_ELOFURAT</x:v>
      </x:c>
      <x:c r="D241" s="6" t="n">
        <x:v>334.5</x:v>
      </x:c>
      <x:c r="E241" s="6" t="n">
        <x:v>37</x:v>
      </x:c>
      <x:c r="F241" s="6" t="n">
        <x:v>-18</x:v>
      </x:c>
      <x:c r="G241" s="6" t="n">
        <x:v>0</x:v>
      </x:c>
      <x:c r="H241" s="6" t="n">
        <x:v>0</x:v>
      </x:c>
      <x:c r="I241" s="6" t="n">
        <x:v>1</x:v>
      </x:c>
      <x:c r="J241" s="6" t="n">
        <x:v>2.5</x:v>
      </x:c>
      <x:c r="K241" s="6" t="n">
        <x:v>10</x:v>
      </x:c>
      <x:c r="L241" s="6" t="n">
        <x:v>2928</x:v>
      </x:c>
      <x:c r="M241" s="6" t="n">
        <x:v>37</x:v>
      </x:c>
      <x:c r="N241" s="6" t="n">
        <x:v>484.5</x:v>
      </x:c>
      <x:c r="O241" s="6" t="n">
        <x:v>-1</x:v>
      </x:c>
      <x:c r="P241" s="6" t="n">
        <x:v>0</x:v>
      </x:c>
      <x:c r="Q241" s="6" t="n">
        <x:v>0</x:v>
      </x:c>
      <x:c r="R241" s="2" t="str">
        <x:v>Blum173H7100 37/32; Ø2.5x10 tervezői próbaérték</x:v>
      </x:c>
      <x:c r="S241" s="2" t="str">
        <x:v>TERV</x:v>
      </x:c>
    </x:row>
    <x:row r="242" ht="32" customHeight="1">
      <x:c r="A242" s="2" t="str">
        <x:v>H0237</x:v>
      </x:c>
      <x:c r="B242" s="2" t="str">
        <x:v>KI12-TV01S-01</x:v>
      </x:c>
      <x:c r="C242" s="2" t="str">
        <x:v>POLCTARTO</x:v>
      </x:c>
      <x:c r="D242" s="6" t="n">
        <x:v>382.5</x:v>
      </x:c>
      <x:c r="E242" s="6" t="n">
        <x:v>50</x:v>
      </x:c>
      <x:c r="F242" s="6" t="n">
        <x:v>-18</x:v>
      </x:c>
      <x:c r="G242" s="6" t="n">
        <x:v>0</x:v>
      </x:c>
      <x:c r="H242" s="6" t="n">
        <x:v>0</x:v>
      </x:c>
      <x:c r="I242" s="6" t="n">
        <x:v>1</x:v>
      </x:c>
      <x:c r="J242" s="6" t="n">
        <x:v>5</x:v>
      </x:c>
      <x:c r="K242" s="6" t="n">
        <x:v>8</x:v>
      </x:c>
      <x:c r="L242" s="6" t="n">
        <x:v>18</x:v>
      </x:c>
      <x:c r="M242" s="6" t="n">
        <x:v>50</x:v>
      </x:c>
      <x:c r="N242" s="6" t="n">
        <x:v>932.5</x:v>
      </x:c>
      <x:c r="O242" s="6" t="n">
        <x:v>-1</x:v>
      </x:c>
      <x:c r="P242" s="6" t="n">
        <x:v>0</x:v>
      </x:c>
      <x:c r="Q242" s="6" t="n">
        <x:v>0</x:v>
      </x:c>
      <x:c r="R242" s="2" t="str">
        <x:v>Ø5 csapos, lapos felfekvésű polctartó; 8mm beülés, tervezési specifikáció</x:v>
      </x:c>
      <x:c r="S242" s="2" t="str">
        <x:v>TERV</x:v>
      </x:c>
    </x:row>
    <x:row r="243" ht="32" customHeight="1">
      <x:c r="A243" s="2" t="str">
        <x:v>H0238</x:v>
      </x:c>
      <x:c r="B243" s="2" t="str">
        <x:v>KI12-TV01S-01</x:v>
      </x:c>
      <x:c r="C243" s="2" t="str">
        <x:v>POLCTARTO</x:v>
      </x:c>
      <x:c r="D243" s="6" t="n">
        <x:v>382.5</x:v>
      </x:c>
      <x:c r="E243" s="6" t="n">
        <x:v>310</x:v>
      </x:c>
      <x:c r="F243" s="6" t="n">
        <x:v>-18</x:v>
      </x:c>
      <x:c r="G243" s="6" t="n">
        <x:v>0</x:v>
      </x:c>
      <x:c r="H243" s="6" t="n">
        <x:v>0</x:v>
      </x:c>
      <x:c r="I243" s="6" t="n">
        <x:v>1</x:v>
      </x:c>
      <x:c r="J243" s="6" t="n">
        <x:v>5</x:v>
      </x:c>
      <x:c r="K243" s="6" t="n">
        <x:v>8</x:v>
      </x:c>
      <x:c r="L243" s="6" t="n">
        <x:v>18</x:v>
      </x:c>
      <x:c r="M243" s="6" t="n">
        <x:v>310</x:v>
      </x:c>
      <x:c r="N243" s="6" t="n">
        <x:v>932.5</x:v>
      </x:c>
      <x:c r="O243" s="6" t="n">
        <x:v>-1</x:v>
      </x:c>
      <x:c r="P243" s="6" t="n">
        <x:v>0</x:v>
      </x:c>
      <x:c r="Q243" s="6" t="n">
        <x:v>0</x:v>
      </x:c>
      <x:c r="R243" s="2" t="str">
        <x:v>Ø5 csapos, lapos felfekvésű polctartó; 8mm beülés, tervezési specifikáció</x:v>
      </x:c>
      <x:c r="S243" s="2" t="str">
        <x:v>TERV</x:v>
      </x:c>
    </x:row>
    <x:row r="244" ht="32" customHeight="1">
      <x:c r="A244" s="2" t="str">
        <x:v>H0239</x:v>
      </x:c>
      <x:c r="B244" s="2" t="str">
        <x:v>KI12-TV01C-01</x:v>
      </x:c>
      <x:c r="C244" s="2" t="str">
        <x:v>POLCTARTO</x:v>
      </x:c>
      <x:c r="D244" s="6" t="n">
        <x:v>364.5</x:v>
      </x:c>
      <x:c r="E244" s="6" t="n">
        <x:v>50</x:v>
      </x:c>
      <x:c r="F244" s="6" t="n">
        <x:v>0</x:v>
      </x:c>
      <x:c r="G244" s="6" t="n">
        <x:v>0</x:v>
      </x:c>
      <x:c r="H244" s="6" t="n">
        <x:v>0</x:v>
      </x:c>
      <x:c r="I244" s="6" t="n">
        <x:v>-1</x:v>
      </x:c>
      <x:c r="J244" s="6" t="n">
        <x:v>5</x:v>
      </x:c>
      <x:c r="K244" s="6" t="n">
        <x:v>8</x:v>
      </x:c>
      <x:c r="L244" s="6" t="n">
        <x:v>351</x:v>
      </x:c>
      <x:c r="M244" s="6" t="n">
        <x:v>50</x:v>
      </x:c>
      <x:c r="N244" s="6" t="n">
        <x:v>932.5</x:v>
      </x:c>
      <x:c r="O244" s="6" t="n">
        <x:v>1</x:v>
      </x:c>
      <x:c r="P244" s="6" t="n">
        <x:v>0</x:v>
      </x:c>
      <x:c r="Q244" s="6" t="n">
        <x:v>0</x:v>
      </x:c>
      <x:c r="R244" s="2" t="str">
        <x:v>Ø5 csapos, lapos felfekvésű polctartó; 8mm beülés, tervezési specifikáció</x:v>
      </x:c>
      <x:c r="S244" s="2" t="str">
        <x:v>TERV</x:v>
      </x:c>
    </x:row>
    <x:row r="245" ht="32" customHeight="1">
      <x:c r="A245" s="2" t="str">
        <x:v>H0240</x:v>
      </x:c>
      <x:c r="B245" s="2" t="str">
        <x:v>KI12-TV01C-01</x:v>
      </x:c>
      <x:c r="C245" s="2" t="str">
        <x:v>POLCTARTO</x:v>
      </x:c>
      <x:c r="D245" s="6" t="n">
        <x:v>364.5</x:v>
      </x:c>
      <x:c r="E245" s="6" t="n">
        <x:v>310</x:v>
      </x:c>
      <x:c r="F245" s="6" t="n">
        <x:v>0</x:v>
      </x:c>
      <x:c r="G245" s="6" t="n">
        <x:v>0</x:v>
      </x:c>
      <x:c r="H245" s="6" t="n">
        <x:v>0</x:v>
      </x:c>
      <x:c r="I245" s="6" t="n">
        <x:v>-1</x:v>
      </x:c>
      <x:c r="J245" s="6" t="n">
        <x:v>5</x:v>
      </x:c>
      <x:c r="K245" s="6" t="n">
        <x:v>8</x:v>
      </x:c>
      <x:c r="L245" s="6" t="n">
        <x:v>351</x:v>
      </x:c>
      <x:c r="M245" s="6" t="n">
        <x:v>310</x:v>
      </x:c>
      <x:c r="N245" s="6" t="n">
        <x:v>932.5</x:v>
      </x:c>
      <x:c r="O245" s="6" t="n">
        <x:v>1</x:v>
      </x:c>
      <x:c r="P245" s="6" t="n">
        <x:v>0</x:v>
      </x:c>
      <x:c r="Q245" s="6" t="n">
        <x:v>0</x:v>
      </x:c>
      <x:c r="R245" s="2" t="str">
        <x:v>Ø5 csapos, lapos felfekvésű polctartó; 8mm beülés, tervezési specifikáció</x:v>
      </x:c>
      <x:c r="S245" s="2" t="str">
        <x:v>TERV</x:v>
      </x:c>
    </x:row>
    <x:row r="246" ht="32" customHeight="1">
      <x:c r="A246" s="2" t="str">
        <x:v>H0241</x:v>
      </x:c>
      <x:c r="B246" s="2" t="str">
        <x:v>KI12-TV01S-01</x:v>
      </x:c>
      <x:c r="C246" s="2" t="str">
        <x:v>POLCTARTO</x:v>
      </x:c>
      <x:c r="D246" s="6" t="n">
        <x:v>767.5</x:v>
      </x:c>
      <x:c r="E246" s="6" t="n">
        <x:v>50</x:v>
      </x:c>
      <x:c r="F246" s="6" t="n">
        <x:v>-18</x:v>
      </x:c>
      <x:c r="G246" s="6" t="n">
        <x:v>0</x:v>
      </x:c>
      <x:c r="H246" s="6" t="n">
        <x:v>0</x:v>
      </x:c>
      <x:c r="I246" s="6" t="n">
        <x:v>1</x:v>
      </x:c>
      <x:c r="J246" s="6" t="n">
        <x:v>5</x:v>
      </x:c>
      <x:c r="K246" s="6" t="n">
        <x:v>8</x:v>
      </x:c>
      <x:c r="L246" s="6" t="n">
        <x:v>18</x:v>
      </x:c>
      <x:c r="M246" s="6" t="n">
        <x:v>50</x:v>
      </x:c>
      <x:c r="N246" s="6" t="n">
        <x:v>1317.5</x:v>
      </x:c>
      <x:c r="O246" s="6" t="n">
        <x:v>-1</x:v>
      </x:c>
      <x:c r="P246" s="6" t="n">
        <x:v>0</x:v>
      </x:c>
      <x:c r="Q246" s="6" t="n">
        <x:v>0</x:v>
      </x:c>
      <x:c r="R246" s="2" t="str">
        <x:v>Ø5 csapos, lapos felfekvésű polctartó; 8mm beülés, tervezési specifikáció</x:v>
      </x:c>
      <x:c r="S246" s="2" t="str">
        <x:v>TERV</x:v>
      </x:c>
    </x:row>
    <x:row r="247" ht="32" customHeight="1">
      <x:c r="A247" s="2" t="str">
        <x:v>H0242</x:v>
      </x:c>
      <x:c r="B247" s="2" t="str">
        <x:v>KI12-TV01S-01</x:v>
      </x:c>
      <x:c r="C247" s="2" t="str">
        <x:v>POLCTARTO</x:v>
      </x:c>
      <x:c r="D247" s="6" t="n">
        <x:v>767.5</x:v>
      </x:c>
      <x:c r="E247" s="6" t="n">
        <x:v>310</x:v>
      </x:c>
      <x:c r="F247" s="6" t="n">
        <x:v>-18</x:v>
      </x:c>
      <x:c r="G247" s="6" t="n">
        <x:v>0</x:v>
      </x:c>
      <x:c r="H247" s="6" t="n">
        <x:v>0</x:v>
      </x:c>
      <x:c r="I247" s="6" t="n">
        <x:v>1</x:v>
      </x:c>
      <x:c r="J247" s="6" t="n">
        <x:v>5</x:v>
      </x:c>
      <x:c r="K247" s="6" t="n">
        <x:v>8</x:v>
      </x:c>
      <x:c r="L247" s="6" t="n">
        <x:v>18</x:v>
      </x:c>
      <x:c r="M247" s="6" t="n">
        <x:v>310</x:v>
      </x:c>
      <x:c r="N247" s="6" t="n">
        <x:v>1317.5</x:v>
      </x:c>
      <x:c r="O247" s="6" t="n">
        <x:v>-1</x:v>
      </x:c>
      <x:c r="P247" s="6" t="n">
        <x:v>0</x:v>
      </x:c>
      <x:c r="Q247" s="6" t="n">
        <x:v>0</x:v>
      </x:c>
      <x:c r="R247" s="2" t="str">
        <x:v>Ø5 csapos, lapos felfekvésű polctartó; 8mm beülés, tervezési specifikáció</x:v>
      </x:c>
      <x:c r="S247" s="2" t="str">
        <x:v>TERV</x:v>
      </x:c>
    </x:row>
    <x:row r="248" ht="32" customHeight="1">
      <x:c r="A248" s="2" t="str">
        <x:v>H0243</x:v>
      </x:c>
      <x:c r="B248" s="2" t="str">
        <x:v>KI12-TV01C-01</x:v>
      </x:c>
      <x:c r="C248" s="2" t="str">
        <x:v>POLCTARTO</x:v>
      </x:c>
      <x:c r="D248" s="6" t="n">
        <x:v>749.5</x:v>
      </x:c>
      <x:c r="E248" s="6" t="n">
        <x:v>50</x:v>
      </x:c>
      <x:c r="F248" s="6" t="n">
        <x:v>0</x:v>
      </x:c>
      <x:c r="G248" s="6" t="n">
        <x:v>0</x:v>
      </x:c>
      <x:c r="H248" s="6" t="n">
        <x:v>0</x:v>
      </x:c>
      <x:c r="I248" s="6" t="n">
        <x:v>-1</x:v>
      </x:c>
      <x:c r="J248" s="6" t="n">
        <x:v>5</x:v>
      </x:c>
      <x:c r="K248" s="6" t="n">
        <x:v>8</x:v>
      </x:c>
      <x:c r="L248" s="6" t="n">
        <x:v>351</x:v>
      </x:c>
      <x:c r="M248" s="6" t="n">
        <x:v>50</x:v>
      </x:c>
      <x:c r="N248" s="6" t="n">
        <x:v>1317.5</x:v>
      </x:c>
      <x:c r="O248" s="6" t="n">
        <x:v>1</x:v>
      </x:c>
      <x:c r="P248" s="6" t="n">
        <x:v>0</x:v>
      </x:c>
      <x:c r="Q248" s="6" t="n">
        <x:v>0</x:v>
      </x:c>
      <x:c r="R248" s="2" t="str">
        <x:v>Ø5 csapos, lapos felfekvésű polctartó; 8mm beülés, tervezési specifikáció</x:v>
      </x:c>
      <x:c r="S248" s="2" t="str">
        <x:v>TERV</x:v>
      </x:c>
    </x:row>
    <x:row r="249" ht="32" customHeight="1">
      <x:c r="A249" s="2" t="str">
        <x:v>H0244</x:v>
      </x:c>
      <x:c r="B249" s="2" t="str">
        <x:v>KI12-TV01C-01</x:v>
      </x:c>
      <x:c r="C249" s="2" t="str">
        <x:v>POLCTARTO</x:v>
      </x:c>
      <x:c r="D249" s="6" t="n">
        <x:v>749.5</x:v>
      </x:c>
      <x:c r="E249" s="6" t="n">
        <x:v>310</x:v>
      </x:c>
      <x:c r="F249" s="6" t="n">
        <x:v>0</x:v>
      </x:c>
      <x:c r="G249" s="6" t="n">
        <x:v>0</x:v>
      </x:c>
      <x:c r="H249" s="6" t="n">
        <x:v>0</x:v>
      </x:c>
      <x:c r="I249" s="6" t="n">
        <x:v>-1</x:v>
      </x:c>
      <x:c r="J249" s="6" t="n">
        <x:v>5</x:v>
      </x:c>
      <x:c r="K249" s="6" t="n">
        <x:v>8</x:v>
      </x:c>
      <x:c r="L249" s="6" t="n">
        <x:v>351</x:v>
      </x:c>
      <x:c r="M249" s="6" t="n">
        <x:v>310</x:v>
      </x:c>
      <x:c r="N249" s="6" t="n">
        <x:v>1317.5</x:v>
      </x:c>
      <x:c r="O249" s="6" t="n">
        <x:v>1</x:v>
      </x:c>
      <x:c r="P249" s="6" t="n">
        <x:v>0</x:v>
      </x:c>
      <x:c r="Q249" s="6" t="n">
        <x:v>0</x:v>
      </x:c>
      <x:c r="R249" s="2" t="str">
        <x:v>Ø5 csapos, lapos felfekvésű polctartó; 8mm beülés, tervezési specifikáció</x:v>
      </x:c>
      <x:c r="S249" s="2" t="str">
        <x:v>TERV</x:v>
      </x:c>
    </x:row>
    <x:row r="250" ht="32" customHeight="1">
      <x:c r="A250" s="2" t="str">
        <x:v>H0245</x:v>
      </x:c>
      <x:c r="B250" s="2" t="str">
        <x:v>KI12-TV01S-01</x:v>
      </x:c>
      <x:c r="C250" s="2" t="str">
        <x:v>POLCTARTO</x:v>
      </x:c>
      <x:c r="D250" s="6" t="n">
        <x:v>1152.5</x:v>
      </x:c>
      <x:c r="E250" s="6" t="n">
        <x:v>50</x:v>
      </x:c>
      <x:c r="F250" s="6" t="n">
        <x:v>-18</x:v>
      </x:c>
      <x:c r="G250" s="6" t="n">
        <x:v>0</x:v>
      </x:c>
      <x:c r="H250" s="6" t="n">
        <x:v>0</x:v>
      </x:c>
      <x:c r="I250" s="6" t="n">
        <x:v>1</x:v>
      </x:c>
      <x:c r="J250" s="6" t="n">
        <x:v>5</x:v>
      </x:c>
      <x:c r="K250" s="6" t="n">
        <x:v>8</x:v>
      </x:c>
      <x:c r="L250" s="6" t="n">
        <x:v>18</x:v>
      </x:c>
      <x:c r="M250" s="6" t="n">
        <x:v>50</x:v>
      </x:c>
      <x:c r="N250" s="6" t="n">
        <x:v>1702.5</x:v>
      </x:c>
      <x:c r="O250" s="6" t="n">
        <x:v>-1</x:v>
      </x:c>
      <x:c r="P250" s="6" t="n">
        <x:v>0</x:v>
      </x:c>
      <x:c r="Q250" s="6" t="n">
        <x:v>0</x:v>
      </x:c>
      <x:c r="R250" s="2" t="str">
        <x:v>Ø5 csapos, lapos felfekvésű polctartó; 8mm beülés, tervezési specifikáció</x:v>
      </x:c>
      <x:c r="S250" s="2" t="str">
        <x:v>TERV</x:v>
      </x:c>
    </x:row>
    <x:row r="251" ht="32" customHeight="1">
      <x:c r="A251" s="2" t="str">
        <x:v>H0246</x:v>
      </x:c>
      <x:c r="B251" s="2" t="str">
        <x:v>KI12-TV01S-01</x:v>
      </x:c>
      <x:c r="C251" s="2" t="str">
        <x:v>POLCTARTO</x:v>
      </x:c>
      <x:c r="D251" s="6" t="n">
        <x:v>1152.5</x:v>
      </x:c>
      <x:c r="E251" s="6" t="n">
        <x:v>310</x:v>
      </x:c>
      <x:c r="F251" s="6" t="n">
        <x:v>-18</x:v>
      </x:c>
      <x:c r="G251" s="6" t="n">
        <x:v>0</x:v>
      </x:c>
      <x:c r="H251" s="6" t="n">
        <x:v>0</x:v>
      </x:c>
      <x:c r="I251" s="6" t="n">
        <x:v>1</x:v>
      </x:c>
      <x:c r="J251" s="6" t="n">
        <x:v>5</x:v>
      </x:c>
      <x:c r="K251" s="6" t="n">
        <x:v>8</x:v>
      </x:c>
      <x:c r="L251" s="6" t="n">
        <x:v>18</x:v>
      </x:c>
      <x:c r="M251" s="6" t="n">
        <x:v>310</x:v>
      </x:c>
      <x:c r="N251" s="6" t="n">
        <x:v>1702.5</x:v>
      </x:c>
      <x:c r="O251" s="6" t="n">
        <x:v>-1</x:v>
      </x:c>
      <x:c r="P251" s="6" t="n">
        <x:v>0</x:v>
      </x:c>
      <x:c r="Q251" s="6" t="n">
        <x:v>0</x:v>
      </x:c>
      <x:c r="R251" s="2" t="str">
        <x:v>Ø5 csapos, lapos felfekvésű polctartó; 8mm beülés, tervezési specifikáció</x:v>
      </x:c>
      <x:c r="S251" s="2" t="str">
        <x:v>TERV</x:v>
      </x:c>
    </x:row>
    <x:row r="252" ht="32" customHeight="1">
      <x:c r="A252" s="2" t="str">
        <x:v>H0247</x:v>
      </x:c>
      <x:c r="B252" s="2" t="str">
        <x:v>KI12-TV01C-01</x:v>
      </x:c>
      <x:c r="C252" s="2" t="str">
        <x:v>POLCTARTO</x:v>
      </x:c>
      <x:c r="D252" s="6" t="n">
        <x:v>1134.5</x:v>
      </x:c>
      <x:c r="E252" s="6" t="n">
        <x:v>50</x:v>
      </x:c>
      <x:c r="F252" s="6" t="n">
        <x:v>0</x:v>
      </x:c>
      <x:c r="G252" s="6" t="n">
        <x:v>0</x:v>
      </x:c>
      <x:c r="H252" s="6" t="n">
        <x:v>0</x:v>
      </x:c>
      <x:c r="I252" s="6" t="n">
        <x:v>-1</x:v>
      </x:c>
      <x:c r="J252" s="6" t="n">
        <x:v>5</x:v>
      </x:c>
      <x:c r="K252" s="6" t="n">
        <x:v>8</x:v>
      </x:c>
      <x:c r="L252" s="6" t="n">
        <x:v>351</x:v>
      </x:c>
      <x:c r="M252" s="6" t="n">
        <x:v>50</x:v>
      </x:c>
      <x:c r="N252" s="6" t="n">
        <x:v>1702.5</x:v>
      </x:c>
      <x:c r="O252" s="6" t="n">
        <x:v>1</x:v>
      </x:c>
      <x:c r="P252" s="6" t="n">
        <x:v>0</x:v>
      </x:c>
      <x:c r="Q252" s="6" t="n">
        <x:v>0</x:v>
      </x:c>
      <x:c r="R252" s="2" t="str">
        <x:v>Ø5 csapos, lapos felfekvésű polctartó; 8mm beülés, tervezési specifikáció</x:v>
      </x:c>
      <x:c r="S252" s="2" t="str">
        <x:v>TERV</x:v>
      </x:c>
    </x:row>
    <x:row r="253" ht="32" customHeight="1">
      <x:c r="A253" s="2" t="str">
        <x:v>H0248</x:v>
      </x:c>
      <x:c r="B253" s="2" t="str">
        <x:v>KI12-TV01C-01</x:v>
      </x:c>
      <x:c r="C253" s="2" t="str">
        <x:v>POLCTARTO</x:v>
      </x:c>
      <x:c r="D253" s="6" t="n">
        <x:v>1134.5</x:v>
      </x:c>
      <x:c r="E253" s="6" t="n">
        <x:v>310</x:v>
      </x:c>
      <x:c r="F253" s="6" t="n">
        <x:v>0</x:v>
      </x:c>
      <x:c r="G253" s="6" t="n">
        <x:v>0</x:v>
      </x:c>
      <x:c r="H253" s="6" t="n">
        <x:v>0</x:v>
      </x:c>
      <x:c r="I253" s="6" t="n">
        <x:v>-1</x:v>
      </x:c>
      <x:c r="J253" s="6" t="n">
        <x:v>5</x:v>
      </x:c>
      <x:c r="K253" s="6" t="n">
        <x:v>8</x:v>
      </x:c>
      <x:c r="L253" s="6" t="n">
        <x:v>351</x:v>
      </x:c>
      <x:c r="M253" s="6" t="n">
        <x:v>310</x:v>
      </x:c>
      <x:c r="N253" s="6" t="n">
        <x:v>1702.5</x:v>
      </x:c>
      <x:c r="O253" s="6" t="n">
        <x:v>1</x:v>
      </x:c>
      <x:c r="P253" s="6" t="n">
        <x:v>0</x:v>
      </x:c>
      <x:c r="Q253" s="6" t="n">
        <x:v>0</x:v>
      </x:c>
      <x:c r="R253" s="2" t="str">
        <x:v>Ø5 csapos, lapos felfekvésű polctartó; 8mm beülés, tervezési specifikáció</x:v>
      </x:c>
      <x:c r="S253" s="2" t="str">
        <x:v>TERV</x:v>
      </x:c>
    </x:row>
    <x:row r="254" ht="32" customHeight="1">
      <x:c r="A254" s="2" t="str">
        <x:v>H0249</x:v>
      </x:c>
      <x:c r="B254" s="2" t="str">
        <x:v>KI12-TV01S-01</x:v>
      </x:c>
      <x:c r="C254" s="2" t="str">
        <x:v>POLCTARTO</x:v>
      </x:c>
      <x:c r="D254" s="6" t="n">
        <x:v>1537.5</x:v>
      </x:c>
      <x:c r="E254" s="6" t="n">
        <x:v>50</x:v>
      </x:c>
      <x:c r="F254" s="6" t="n">
        <x:v>-18</x:v>
      </x:c>
      <x:c r="G254" s="6" t="n">
        <x:v>0</x:v>
      </x:c>
      <x:c r="H254" s="6" t="n">
        <x:v>0</x:v>
      </x:c>
      <x:c r="I254" s="6" t="n">
        <x:v>1</x:v>
      </x:c>
      <x:c r="J254" s="6" t="n">
        <x:v>5</x:v>
      </x:c>
      <x:c r="K254" s="6" t="n">
        <x:v>8</x:v>
      </x:c>
      <x:c r="L254" s="6" t="n">
        <x:v>18</x:v>
      </x:c>
      <x:c r="M254" s="6" t="n">
        <x:v>50</x:v>
      </x:c>
      <x:c r="N254" s="6" t="n">
        <x:v>2087.5</x:v>
      </x:c>
      <x:c r="O254" s="6" t="n">
        <x:v>-1</x:v>
      </x:c>
      <x:c r="P254" s="6" t="n">
        <x:v>0</x:v>
      </x:c>
      <x:c r="Q254" s="6" t="n">
        <x:v>0</x:v>
      </x:c>
      <x:c r="R254" s="2" t="str">
        <x:v>Ø5 csapos, lapos felfekvésű polctartó; 8mm beülés, tervezési specifikáció</x:v>
      </x:c>
      <x:c r="S254" s="2" t="str">
        <x:v>TERV</x:v>
      </x:c>
    </x:row>
    <x:row r="255" ht="32" customHeight="1">
      <x:c r="A255" s="2" t="str">
        <x:v>H0250</x:v>
      </x:c>
      <x:c r="B255" s="2" t="str">
        <x:v>KI12-TV01S-01</x:v>
      </x:c>
      <x:c r="C255" s="2" t="str">
        <x:v>POLCTARTO</x:v>
      </x:c>
      <x:c r="D255" s="6" t="n">
        <x:v>1537.5</x:v>
      </x:c>
      <x:c r="E255" s="6" t="n">
        <x:v>310</x:v>
      </x:c>
      <x:c r="F255" s="6" t="n">
        <x:v>-18</x:v>
      </x:c>
      <x:c r="G255" s="6" t="n">
        <x:v>0</x:v>
      </x:c>
      <x:c r="H255" s="6" t="n">
        <x:v>0</x:v>
      </x:c>
      <x:c r="I255" s="6" t="n">
        <x:v>1</x:v>
      </x:c>
      <x:c r="J255" s="6" t="n">
        <x:v>5</x:v>
      </x:c>
      <x:c r="K255" s="6" t="n">
        <x:v>8</x:v>
      </x:c>
      <x:c r="L255" s="6" t="n">
        <x:v>18</x:v>
      </x:c>
      <x:c r="M255" s="6" t="n">
        <x:v>310</x:v>
      </x:c>
      <x:c r="N255" s="6" t="n">
        <x:v>2087.5</x:v>
      </x:c>
      <x:c r="O255" s="6" t="n">
        <x:v>-1</x:v>
      </x:c>
      <x:c r="P255" s="6" t="n">
        <x:v>0</x:v>
      </x:c>
      <x:c r="Q255" s="6" t="n">
        <x:v>0</x:v>
      </x:c>
      <x:c r="R255" s="2" t="str">
        <x:v>Ø5 csapos, lapos felfekvésű polctartó; 8mm beülés, tervezési specifikáció</x:v>
      </x:c>
      <x:c r="S255" s="2" t="str">
        <x:v>TERV</x:v>
      </x:c>
    </x:row>
    <x:row r="256" ht="32" customHeight="1">
      <x:c r="A256" s="2" t="str">
        <x:v>H0251</x:v>
      </x:c>
      <x:c r="B256" s="2" t="str">
        <x:v>KI12-TV01C-01</x:v>
      </x:c>
      <x:c r="C256" s="2" t="str">
        <x:v>POLCTARTO</x:v>
      </x:c>
      <x:c r="D256" s="6" t="n">
        <x:v>1519.5</x:v>
      </x:c>
      <x:c r="E256" s="6" t="n">
        <x:v>50</x:v>
      </x:c>
      <x:c r="F256" s="6" t="n">
        <x:v>0</x:v>
      </x:c>
      <x:c r="G256" s="6" t="n">
        <x:v>0</x:v>
      </x:c>
      <x:c r="H256" s="6" t="n">
        <x:v>0</x:v>
      </x:c>
      <x:c r="I256" s="6" t="n">
        <x:v>-1</x:v>
      </x:c>
      <x:c r="J256" s="6" t="n">
        <x:v>5</x:v>
      </x:c>
      <x:c r="K256" s="6" t="n">
        <x:v>8</x:v>
      </x:c>
      <x:c r="L256" s="6" t="n">
        <x:v>351</x:v>
      </x:c>
      <x:c r="M256" s="6" t="n">
        <x:v>50</x:v>
      </x:c>
      <x:c r="N256" s="6" t="n">
        <x:v>2087.5</x:v>
      </x:c>
      <x:c r="O256" s="6" t="n">
        <x:v>1</x:v>
      </x:c>
      <x:c r="P256" s="6" t="n">
        <x:v>0</x:v>
      </x:c>
      <x:c r="Q256" s="6" t="n">
        <x:v>0</x:v>
      </x:c>
      <x:c r="R256" s="2" t="str">
        <x:v>Ø5 csapos, lapos felfekvésű polctartó; 8mm beülés, tervezési specifikáció</x:v>
      </x:c>
      <x:c r="S256" s="2" t="str">
        <x:v>TERV</x:v>
      </x:c>
    </x:row>
    <x:row r="257" ht="32" customHeight="1">
      <x:c r="A257" s="2" t="str">
        <x:v>H0252</x:v>
      </x:c>
      <x:c r="B257" s="2" t="str">
        <x:v>KI12-TV01C-01</x:v>
      </x:c>
      <x:c r="C257" s="2" t="str">
        <x:v>POLCTARTO</x:v>
      </x:c>
      <x:c r="D257" s="6" t="n">
        <x:v>1519.5</x:v>
      </x:c>
      <x:c r="E257" s="6" t="n">
        <x:v>310</x:v>
      </x:c>
      <x:c r="F257" s="6" t="n">
        <x:v>0</x:v>
      </x:c>
      <x:c r="G257" s="6" t="n">
        <x:v>0</x:v>
      </x:c>
      <x:c r="H257" s="6" t="n">
        <x:v>0</x:v>
      </x:c>
      <x:c r="I257" s="6" t="n">
        <x:v>-1</x:v>
      </x:c>
      <x:c r="J257" s="6" t="n">
        <x:v>5</x:v>
      </x:c>
      <x:c r="K257" s="6" t="n">
        <x:v>8</x:v>
      </x:c>
      <x:c r="L257" s="6" t="n">
        <x:v>351</x:v>
      </x:c>
      <x:c r="M257" s="6" t="n">
        <x:v>310</x:v>
      </x:c>
      <x:c r="N257" s="6" t="n">
        <x:v>2087.5</x:v>
      </x:c>
      <x:c r="O257" s="6" t="n">
        <x:v>1</x:v>
      </x:c>
      <x:c r="P257" s="6" t="n">
        <x:v>0</x:v>
      </x:c>
      <x:c r="Q257" s="6" t="n">
        <x:v>0</x:v>
      </x:c>
      <x:c r="R257" s="2" t="str">
        <x:v>Ø5 csapos, lapos felfekvésű polctartó; 8mm beülés, tervezési specifikáció</x:v>
      </x:c>
      <x:c r="S257" s="2" t="str">
        <x:v>TERV</x:v>
      </x:c>
    </x:row>
    <x:row r="258" ht="32" customHeight="1">
      <x:c r="A258" s="2" t="str">
        <x:v>H0253</x:v>
      </x:c>
      <x:c r="B258" s="2" t="str">
        <x:v>KI12-TV01S-01</x:v>
      </x:c>
      <x:c r="C258" s="2" t="str">
        <x:v>POLCTARTO</x:v>
      </x:c>
      <x:c r="D258" s="6" t="n">
        <x:v>1922.5</x:v>
      </x:c>
      <x:c r="E258" s="6" t="n">
        <x:v>50</x:v>
      </x:c>
      <x:c r="F258" s="6" t="n">
        <x:v>-18</x:v>
      </x:c>
      <x:c r="G258" s="6" t="n">
        <x:v>0</x:v>
      </x:c>
      <x:c r="H258" s="6" t="n">
        <x:v>0</x:v>
      </x:c>
      <x:c r="I258" s="6" t="n">
        <x:v>1</x:v>
      </x:c>
      <x:c r="J258" s="6" t="n">
        <x:v>5</x:v>
      </x:c>
      <x:c r="K258" s="6" t="n">
        <x:v>8</x:v>
      </x:c>
      <x:c r="L258" s="6" t="n">
        <x:v>18</x:v>
      </x:c>
      <x:c r="M258" s="6" t="n">
        <x:v>50</x:v>
      </x:c>
      <x:c r="N258" s="6" t="n">
        <x:v>2472.5</x:v>
      </x:c>
      <x:c r="O258" s="6" t="n">
        <x:v>-1</x:v>
      </x:c>
      <x:c r="P258" s="6" t="n">
        <x:v>0</x:v>
      </x:c>
      <x:c r="Q258" s="6" t="n">
        <x:v>0</x:v>
      </x:c>
      <x:c r="R258" s="2" t="str">
        <x:v>Ø5 csapos, lapos felfekvésű polctartó; 8mm beülés, tervezési specifikáció</x:v>
      </x:c>
      <x:c r="S258" s="2" t="str">
        <x:v>TERV</x:v>
      </x:c>
    </x:row>
    <x:row r="259" ht="32" customHeight="1">
      <x:c r="A259" s="2" t="str">
        <x:v>H0254</x:v>
      </x:c>
      <x:c r="B259" s="2" t="str">
        <x:v>KI12-TV01S-01</x:v>
      </x:c>
      <x:c r="C259" s="2" t="str">
        <x:v>POLCTARTO</x:v>
      </x:c>
      <x:c r="D259" s="6" t="n">
        <x:v>1922.5</x:v>
      </x:c>
      <x:c r="E259" s="6" t="n">
        <x:v>310</x:v>
      </x:c>
      <x:c r="F259" s="6" t="n">
        <x:v>-18</x:v>
      </x:c>
      <x:c r="G259" s="6" t="n">
        <x:v>0</x:v>
      </x:c>
      <x:c r="H259" s="6" t="n">
        <x:v>0</x:v>
      </x:c>
      <x:c r="I259" s="6" t="n">
        <x:v>1</x:v>
      </x:c>
      <x:c r="J259" s="6" t="n">
        <x:v>5</x:v>
      </x:c>
      <x:c r="K259" s="6" t="n">
        <x:v>8</x:v>
      </x:c>
      <x:c r="L259" s="6" t="n">
        <x:v>18</x:v>
      </x:c>
      <x:c r="M259" s="6" t="n">
        <x:v>310</x:v>
      </x:c>
      <x:c r="N259" s="6" t="n">
        <x:v>2472.5</x:v>
      </x:c>
      <x:c r="O259" s="6" t="n">
        <x:v>-1</x:v>
      </x:c>
      <x:c r="P259" s="6" t="n">
        <x:v>0</x:v>
      </x:c>
      <x:c r="Q259" s="6" t="n">
        <x:v>0</x:v>
      </x:c>
      <x:c r="R259" s="2" t="str">
        <x:v>Ø5 csapos, lapos felfekvésű polctartó; 8mm beülés, tervezési specifikáció</x:v>
      </x:c>
      <x:c r="S259" s="2" t="str">
        <x:v>TERV</x:v>
      </x:c>
    </x:row>
    <x:row r="260" ht="32" customHeight="1">
      <x:c r="A260" s="2" t="str">
        <x:v>H0255</x:v>
      </x:c>
      <x:c r="B260" s="2" t="str">
        <x:v>KI12-TV01C-01</x:v>
      </x:c>
      <x:c r="C260" s="2" t="str">
        <x:v>POLCTARTO</x:v>
      </x:c>
      <x:c r="D260" s="6" t="n">
        <x:v>1904.5</x:v>
      </x:c>
      <x:c r="E260" s="6" t="n">
        <x:v>50</x:v>
      </x:c>
      <x:c r="F260" s="6" t="n">
        <x:v>0</x:v>
      </x:c>
      <x:c r="G260" s="6" t="n">
        <x:v>0</x:v>
      </x:c>
      <x:c r="H260" s="6" t="n">
        <x:v>0</x:v>
      </x:c>
      <x:c r="I260" s="6" t="n">
        <x:v>-1</x:v>
      </x:c>
      <x:c r="J260" s="6" t="n">
        <x:v>5</x:v>
      </x:c>
      <x:c r="K260" s="6" t="n">
        <x:v>8</x:v>
      </x:c>
      <x:c r="L260" s="6" t="n">
        <x:v>351</x:v>
      </x:c>
      <x:c r="M260" s="6" t="n">
        <x:v>50</x:v>
      </x:c>
      <x:c r="N260" s="6" t="n">
        <x:v>2472.5</x:v>
      </x:c>
      <x:c r="O260" s="6" t="n">
        <x:v>1</x:v>
      </x:c>
      <x:c r="P260" s="6" t="n">
        <x:v>0</x:v>
      </x:c>
      <x:c r="Q260" s="6" t="n">
        <x:v>0</x:v>
      </x:c>
      <x:c r="R260" s="2" t="str">
        <x:v>Ø5 csapos, lapos felfekvésű polctartó; 8mm beülés, tervezési specifikáció</x:v>
      </x:c>
      <x:c r="S260" s="2" t="str">
        <x:v>TERV</x:v>
      </x:c>
    </x:row>
    <x:row r="261" ht="32" customHeight="1">
      <x:c r="A261" s="2" t="str">
        <x:v>H0256</x:v>
      </x:c>
      <x:c r="B261" s="2" t="str">
        <x:v>KI12-TV01C-01</x:v>
      </x:c>
      <x:c r="C261" s="2" t="str">
        <x:v>POLCTARTO</x:v>
      </x:c>
      <x:c r="D261" s="6" t="n">
        <x:v>1904.5</x:v>
      </x:c>
      <x:c r="E261" s="6" t="n">
        <x:v>310</x:v>
      </x:c>
      <x:c r="F261" s="6" t="n">
        <x:v>0</x:v>
      </x:c>
      <x:c r="G261" s="6" t="n">
        <x:v>0</x:v>
      </x:c>
      <x:c r="H261" s="6" t="n">
        <x:v>0</x:v>
      </x:c>
      <x:c r="I261" s="6" t="n">
        <x:v>-1</x:v>
      </x:c>
      <x:c r="J261" s="6" t="n">
        <x:v>5</x:v>
      </x:c>
      <x:c r="K261" s="6" t="n">
        <x:v>8</x:v>
      </x:c>
      <x:c r="L261" s="6" t="n">
        <x:v>351</x:v>
      </x:c>
      <x:c r="M261" s="6" t="n">
        <x:v>310</x:v>
      </x:c>
      <x:c r="N261" s="6" t="n">
        <x:v>2472.5</x:v>
      </x:c>
      <x:c r="O261" s="6" t="n">
        <x:v>1</x:v>
      </x:c>
      <x:c r="P261" s="6" t="n">
        <x:v>0</x:v>
      </x:c>
      <x:c r="Q261" s="6" t="n">
        <x:v>0</x:v>
      </x:c>
      <x:c r="R261" s="2" t="str">
        <x:v>Ø5 csapos, lapos felfekvésű polctartó; 8mm beülés, tervezési specifikáció</x:v>
      </x:c>
      <x:c r="S261" s="2" t="str">
        <x:v>TERV</x:v>
      </x:c>
    </x:row>
    <x:row r="262" ht="32" customHeight="1">
      <x:c r="A262" s="2" t="str">
        <x:v>H0257</x:v>
      </x:c>
      <x:c r="B262" s="2" t="str">
        <x:v>KI12-TV01C-01</x:v>
      </x:c>
      <x:c r="C262" s="2" t="str">
        <x:v>POLCTARTO</x:v>
      </x:c>
      <x:c r="D262" s="6" t="n">
        <x:v>364.5</x:v>
      </x:c>
      <x:c r="E262" s="6" t="n">
        <x:v>50</x:v>
      </x:c>
      <x:c r="F262" s="6" t="n">
        <x:v>-18</x:v>
      </x:c>
      <x:c r="G262" s="6" t="n">
        <x:v>0</x:v>
      </x:c>
      <x:c r="H262" s="6" t="n">
        <x:v>0</x:v>
      </x:c>
      <x:c r="I262" s="6" t="n">
        <x:v>1</x:v>
      </x:c>
      <x:c r="J262" s="6" t="n">
        <x:v>5</x:v>
      </x:c>
      <x:c r="K262" s="6" t="n">
        <x:v>8</x:v>
      </x:c>
      <x:c r="L262" s="6" t="n">
        <x:v>369</x:v>
      </x:c>
      <x:c r="M262" s="6" t="n">
        <x:v>50</x:v>
      </x:c>
      <x:c r="N262" s="6" t="n">
        <x:v>932.5</x:v>
      </x:c>
      <x:c r="O262" s="6" t="n">
        <x:v>-1</x:v>
      </x:c>
      <x:c r="P262" s="6" t="n">
        <x:v>0</x:v>
      </x:c>
      <x:c r="Q262" s="6" t="n">
        <x:v>0</x:v>
      </x:c>
      <x:c r="R262" s="2" t="str">
        <x:v>Ø5 csapos, lapos felfekvésű polctartó; 8mm beülés, tervezési specifikáció</x:v>
      </x:c>
      <x:c r="S262" s="2" t="str">
        <x:v>TERV</x:v>
      </x:c>
    </x:row>
    <x:row r="263" ht="32" customHeight="1">
      <x:c r="A263" s="2" t="str">
        <x:v>H0258</x:v>
      </x:c>
      <x:c r="B263" s="2" t="str">
        <x:v>KI12-TV01C-01</x:v>
      </x:c>
      <x:c r="C263" s="2" t="str">
        <x:v>POLCTARTO</x:v>
      </x:c>
      <x:c r="D263" s="6" t="n">
        <x:v>364.5</x:v>
      </x:c>
      <x:c r="E263" s="6" t="n">
        <x:v>310</x:v>
      </x:c>
      <x:c r="F263" s="6" t="n">
        <x:v>-18</x:v>
      </x:c>
      <x:c r="G263" s="6" t="n">
        <x:v>0</x:v>
      </x:c>
      <x:c r="H263" s="6" t="n">
        <x:v>0</x:v>
      </x:c>
      <x:c r="I263" s="6" t="n">
        <x:v>1</x:v>
      </x:c>
      <x:c r="J263" s="6" t="n">
        <x:v>5</x:v>
      </x:c>
      <x:c r="K263" s="6" t="n">
        <x:v>8</x:v>
      </x:c>
      <x:c r="L263" s="6" t="n">
        <x:v>369</x:v>
      </x:c>
      <x:c r="M263" s="6" t="n">
        <x:v>310</x:v>
      </x:c>
      <x:c r="N263" s="6" t="n">
        <x:v>932.5</x:v>
      </x:c>
      <x:c r="O263" s="6" t="n">
        <x:v>-1</x:v>
      </x:c>
      <x:c r="P263" s="6" t="n">
        <x:v>0</x:v>
      </x:c>
      <x:c r="Q263" s="6" t="n">
        <x:v>0</x:v>
      </x:c>
      <x:c r="R263" s="2" t="str">
        <x:v>Ø5 csapos, lapos felfekvésű polctartó; 8mm beülés, tervezési specifikáció</x:v>
      </x:c>
      <x:c r="S263" s="2" t="str">
        <x:v>TERV</x:v>
      </x:c>
    </x:row>
    <x:row r="264" ht="32" customHeight="1">
      <x:c r="A264" s="2" t="str">
        <x:v>H0259</x:v>
      </x:c>
      <x:c r="B264" s="2" t="str">
        <x:v>KI12-TV01S-02</x:v>
      </x:c>
      <x:c r="C264" s="2" t="str">
        <x:v>POLCTARTO</x:v>
      </x:c>
      <x:c r="D264" s="6" t="n">
        <x:v>382.5</x:v>
      </x:c>
      <x:c r="E264" s="6" t="n">
        <x:v>50</x:v>
      </x:c>
      <x:c r="F264" s="6" t="n">
        <x:v>0</x:v>
      </x:c>
      <x:c r="G264" s="6" t="n">
        <x:v>0</x:v>
      </x:c>
      <x:c r="H264" s="6" t="n">
        <x:v>0</x:v>
      </x:c>
      <x:c r="I264" s="6" t="n">
        <x:v>-1</x:v>
      </x:c>
      <x:c r="J264" s="6" t="n">
        <x:v>5</x:v>
      </x:c>
      <x:c r="K264" s="6" t="n">
        <x:v>8</x:v>
      </x:c>
      <x:c r="L264" s="6" t="n">
        <x:v>702</x:v>
      </x:c>
      <x:c r="M264" s="6" t="n">
        <x:v>50</x:v>
      </x:c>
      <x:c r="N264" s="6" t="n">
        <x:v>932.5</x:v>
      </x:c>
      <x:c r="O264" s="6" t="n">
        <x:v>1</x:v>
      </x:c>
      <x:c r="P264" s="6" t="n">
        <x:v>0</x:v>
      </x:c>
      <x:c r="Q264" s="6" t="n">
        <x:v>0</x:v>
      </x:c>
      <x:c r="R264" s="2" t="str">
        <x:v>Ø5 csapos, lapos felfekvésű polctartó; 8mm beülés, tervezési specifikáció</x:v>
      </x:c>
      <x:c r="S264" s="2" t="str">
        <x:v>TERV</x:v>
      </x:c>
    </x:row>
    <x:row r="265" ht="32" customHeight="1">
      <x:c r="A265" s="2" t="str">
        <x:v>H0260</x:v>
      </x:c>
      <x:c r="B265" s="2" t="str">
        <x:v>KI12-TV01S-02</x:v>
      </x:c>
      <x:c r="C265" s="2" t="str">
        <x:v>POLCTARTO</x:v>
      </x:c>
      <x:c r="D265" s="6" t="n">
        <x:v>382.5</x:v>
      </x:c>
      <x:c r="E265" s="6" t="n">
        <x:v>310</x:v>
      </x:c>
      <x:c r="F265" s="6" t="n">
        <x:v>0</x:v>
      </x:c>
      <x:c r="G265" s="6" t="n">
        <x:v>0</x:v>
      </x:c>
      <x:c r="H265" s="6" t="n">
        <x:v>0</x:v>
      </x:c>
      <x:c r="I265" s="6" t="n">
        <x:v>-1</x:v>
      </x:c>
      <x:c r="J265" s="6" t="n">
        <x:v>5</x:v>
      </x:c>
      <x:c r="K265" s="6" t="n">
        <x:v>8</x:v>
      </x:c>
      <x:c r="L265" s="6" t="n">
        <x:v>702</x:v>
      </x:c>
      <x:c r="M265" s="6" t="n">
        <x:v>310</x:v>
      </x:c>
      <x:c r="N265" s="6" t="n">
        <x:v>932.5</x:v>
      </x:c>
      <x:c r="O265" s="6" t="n">
        <x:v>1</x:v>
      </x:c>
      <x:c r="P265" s="6" t="n">
        <x:v>0</x:v>
      </x:c>
      <x:c r="Q265" s="6" t="n">
        <x:v>0</x:v>
      </x:c>
      <x:c r="R265" s="2" t="str">
        <x:v>Ø5 csapos, lapos felfekvésű polctartó; 8mm beülés, tervezési specifikáció</x:v>
      </x:c>
      <x:c r="S265" s="2" t="str">
        <x:v>TERV</x:v>
      </x:c>
    </x:row>
    <x:row r="266" ht="32" customHeight="1">
      <x:c r="A266" s="2" t="str">
        <x:v>H0261</x:v>
      </x:c>
      <x:c r="B266" s="2" t="str">
        <x:v>KI12-TV01C-01</x:v>
      </x:c>
      <x:c r="C266" s="2" t="str">
        <x:v>POLCTARTO</x:v>
      </x:c>
      <x:c r="D266" s="6" t="n">
        <x:v>749.5</x:v>
      </x:c>
      <x:c r="E266" s="6" t="n">
        <x:v>50</x:v>
      </x:c>
      <x:c r="F266" s="6" t="n">
        <x:v>-18</x:v>
      </x:c>
      <x:c r="G266" s="6" t="n">
        <x:v>0</x:v>
      </x:c>
      <x:c r="H266" s="6" t="n">
        <x:v>0</x:v>
      </x:c>
      <x:c r="I266" s="6" t="n">
        <x:v>1</x:v>
      </x:c>
      <x:c r="J266" s="6" t="n">
        <x:v>5</x:v>
      </x:c>
      <x:c r="K266" s="6" t="n">
        <x:v>8</x:v>
      </x:c>
      <x:c r="L266" s="6" t="n">
        <x:v>369</x:v>
      </x:c>
      <x:c r="M266" s="6" t="n">
        <x:v>50</x:v>
      </x:c>
      <x:c r="N266" s="6" t="n">
        <x:v>1317.5</x:v>
      </x:c>
      <x:c r="O266" s="6" t="n">
        <x:v>-1</x:v>
      </x:c>
      <x:c r="P266" s="6" t="n">
        <x:v>0</x:v>
      </x:c>
      <x:c r="Q266" s="6" t="n">
        <x:v>0</x:v>
      </x:c>
      <x:c r="R266" s="2" t="str">
        <x:v>Ø5 csapos, lapos felfekvésű polctartó; 8mm beülés, tervezési specifikáció</x:v>
      </x:c>
      <x:c r="S266" s="2" t="str">
        <x:v>TERV</x:v>
      </x:c>
    </x:row>
    <x:row r="267" ht="32" customHeight="1">
      <x:c r="A267" s="2" t="str">
        <x:v>H0262</x:v>
      </x:c>
      <x:c r="B267" s="2" t="str">
        <x:v>KI12-TV01C-01</x:v>
      </x:c>
      <x:c r="C267" s="2" t="str">
        <x:v>POLCTARTO</x:v>
      </x:c>
      <x:c r="D267" s="6" t="n">
        <x:v>749.5</x:v>
      </x:c>
      <x:c r="E267" s="6" t="n">
        <x:v>310</x:v>
      </x:c>
      <x:c r="F267" s="6" t="n">
        <x:v>-18</x:v>
      </x:c>
      <x:c r="G267" s="6" t="n">
        <x:v>0</x:v>
      </x:c>
      <x:c r="H267" s="6" t="n">
        <x:v>0</x:v>
      </x:c>
      <x:c r="I267" s="6" t="n">
        <x:v>1</x:v>
      </x:c>
      <x:c r="J267" s="6" t="n">
        <x:v>5</x:v>
      </x:c>
      <x:c r="K267" s="6" t="n">
        <x:v>8</x:v>
      </x:c>
      <x:c r="L267" s="6" t="n">
        <x:v>369</x:v>
      </x:c>
      <x:c r="M267" s="6" t="n">
        <x:v>310</x:v>
      </x:c>
      <x:c r="N267" s="6" t="n">
        <x:v>1317.5</x:v>
      </x:c>
      <x:c r="O267" s="6" t="n">
        <x:v>-1</x:v>
      </x:c>
      <x:c r="P267" s="6" t="n">
        <x:v>0</x:v>
      </x:c>
      <x:c r="Q267" s="6" t="n">
        <x:v>0</x:v>
      </x:c>
      <x:c r="R267" s="2" t="str">
        <x:v>Ø5 csapos, lapos felfekvésű polctartó; 8mm beülés, tervezési specifikáció</x:v>
      </x:c>
      <x:c r="S267" s="2" t="str">
        <x:v>TERV</x:v>
      </x:c>
    </x:row>
    <x:row r="268" ht="32" customHeight="1">
      <x:c r="A268" s="2" t="str">
        <x:v>H0263</x:v>
      </x:c>
      <x:c r="B268" s="2" t="str">
        <x:v>KI12-TV01S-02</x:v>
      </x:c>
      <x:c r="C268" s="2" t="str">
        <x:v>POLCTARTO</x:v>
      </x:c>
      <x:c r="D268" s="6" t="n">
        <x:v>767.5</x:v>
      </x:c>
      <x:c r="E268" s="6" t="n">
        <x:v>50</x:v>
      </x:c>
      <x:c r="F268" s="6" t="n">
        <x:v>0</x:v>
      </x:c>
      <x:c r="G268" s="6" t="n">
        <x:v>0</x:v>
      </x:c>
      <x:c r="H268" s="6" t="n">
        <x:v>0</x:v>
      </x:c>
      <x:c r="I268" s="6" t="n">
        <x:v>-1</x:v>
      </x:c>
      <x:c r="J268" s="6" t="n">
        <x:v>5</x:v>
      </x:c>
      <x:c r="K268" s="6" t="n">
        <x:v>8</x:v>
      </x:c>
      <x:c r="L268" s="6" t="n">
        <x:v>702</x:v>
      </x:c>
      <x:c r="M268" s="6" t="n">
        <x:v>50</x:v>
      </x:c>
      <x:c r="N268" s="6" t="n">
        <x:v>1317.5</x:v>
      </x:c>
      <x:c r="O268" s="6" t="n">
        <x:v>1</x:v>
      </x:c>
      <x:c r="P268" s="6" t="n">
        <x:v>0</x:v>
      </x:c>
      <x:c r="Q268" s="6" t="n">
        <x:v>0</x:v>
      </x:c>
      <x:c r="R268" s="2" t="str">
        <x:v>Ø5 csapos, lapos felfekvésű polctartó; 8mm beülés, tervezési specifikáció</x:v>
      </x:c>
      <x:c r="S268" s="2" t="str">
        <x:v>TERV</x:v>
      </x:c>
    </x:row>
    <x:row r="269" ht="32" customHeight="1">
      <x:c r="A269" s="2" t="str">
        <x:v>H0264</x:v>
      </x:c>
      <x:c r="B269" s="2" t="str">
        <x:v>KI12-TV01S-02</x:v>
      </x:c>
      <x:c r="C269" s="2" t="str">
        <x:v>POLCTARTO</x:v>
      </x:c>
      <x:c r="D269" s="6" t="n">
        <x:v>767.5</x:v>
      </x:c>
      <x:c r="E269" s="6" t="n">
        <x:v>310</x:v>
      </x:c>
      <x:c r="F269" s="6" t="n">
        <x:v>0</x:v>
      </x:c>
      <x:c r="G269" s="6" t="n">
        <x:v>0</x:v>
      </x:c>
      <x:c r="H269" s="6" t="n">
        <x:v>0</x:v>
      </x:c>
      <x:c r="I269" s="6" t="n">
        <x:v>-1</x:v>
      </x:c>
      <x:c r="J269" s="6" t="n">
        <x:v>5</x:v>
      </x:c>
      <x:c r="K269" s="6" t="n">
        <x:v>8</x:v>
      </x:c>
      <x:c r="L269" s="6" t="n">
        <x:v>702</x:v>
      </x:c>
      <x:c r="M269" s="6" t="n">
        <x:v>310</x:v>
      </x:c>
      <x:c r="N269" s="6" t="n">
        <x:v>1317.5</x:v>
      </x:c>
      <x:c r="O269" s="6" t="n">
        <x:v>1</x:v>
      </x:c>
      <x:c r="P269" s="6" t="n">
        <x:v>0</x:v>
      </x:c>
      <x:c r="Q269" s="6" t="n">
        <x:v>0</x:v>
      </x:c>
      <x:c r="R269" s="2" t="str">
        <x:v>Ø5 csapos, lapos felfekvésű polctartó; 8mm beülés, tervezési specifikáció</x:v>
      </x:c>
      <x:c r="S269" s="2" t="str">
        <x:v>TERV</x:v>
      </x:c>
    </x:row>
    <x:row r="270" ht="32" customHeight="1">
      <x:c r="A270" s="2" t="str">
        <x:v>H0265</x:v>
      </x:c>
      <x:c r="B270" s="2" t="str">
        <x:v>KI12-TV01C-01</x:v>
      </x:c>
      <x:c r="C270" s="2" t="str">
        <x:v>POLCTARTO</x:v>
      </x:c>
      <x:c r="D270" s="6" t="n">
        <x:v>1134.5</x:v>
      </x:c>
      <x:c r="E270" s="6" t="n">
        <x:v>50</x:v>
      </x:c>
      <x:c r="F270" s="6" t="n">
        <x:v>-18</x:v>
      </x:c>
      <x:c r="G270" s="6" t="n">
        <x:v>0</x:v>
      </x:c>
      <x:c r="H270" s="6" t="n">
        <x:v>0</x:v>
      </x:c>
      <x:c r="I270" s="6" t="n">
        <x:v>1</x:v>
      </x:c>
      <x:c r="J270" s="6" t="n">
        <x:v>5</x:v>
      </x:c>
      <x:c r="K270" s="6" t="n">
        <x:v>8</x:v>
      </x:c>
      <x:c r="L270" s="6" t="n">
        <x:v>369</x:v>
      </x:c>
      <x:c r="M270" s="6" t="n">
        <x:v>50</x:v>
      </x:c>
      <x:c r="N270" s="6" t="n">
        <x:v>1702.5</x:v>
      </x:c>
      <x:c r="O270" s="6" t="n">
        <x:v>-1</x:v>
      </x:c>
      <x:c r="P270" s="6" t="n">
        <x:v>0</x:v>
      </x:c>
      <x:c r="Q270" s="6" t="n">
        <x:v>0</x:v>
      </x:c>
      <x:c r="R270" s="2" t="str">
        <x:v>Ø5 csapos, lapos felfekvésű polctartó; 8mm beülés, tervezési specifikáció</x:v>
      </x:c>
      <x:c r="S270" s="2" t="str">
        <x:v>TERV</x:v>
      </x:c>
    </x:row>
    <x:row r="271" ht="32" customHeight="1">
      <x:c r="A271" s="2" t="str">
        <x:v>H0266</x:v>
      </x:c>
      <x:c r="B271" s="2" t="str">
        <x:v>KI12-TV01C-01</x:v>
      </x:c>
      <x:c r="C271" s="2" t="str">
        <x:v>POLCTARTO</x:v>
      </x:c>
      <x:c r="D271" s="6" t="n">
        <x:v>1134.5</x:v>
      </x:c>
      <x:c r="E271" s="6" t="n">
        <x:v>310</x:v>
      </x:c>
      <x:c r="F271" s="6" t="n">
        <x:v>-18</x:v>
      </x:c>
      <x:c r="G271" s="6" t="n">
        <x:v>0</x:v>
      </x:c>
      <x:c r="H271" s="6" t="n">
        <x:v>0</x:v>
      </x:c>
      <x:c r="I271" s="6" t="n">
        <x:v>1</x:v>
      </x:c>
      <x:c r="J271" s="6" t="n">
        <x:v>5</x:v>
      </x:c>
      <x:c r="K271" s="6" t="n">
        <x:v>8</x:v>
      </x:c>
      <x:c r="L271" s="6" t="n">
        <x:v>369</x:v>
      </x:c>
      <x:c r="M271" s="6" t="n">
        <x:v>310</x:v>
      </x:c>
      <x:c r="N271" s="6" t="n">
        <x:v>1702.5</x:v>
      </x:c>
      <x:c r="O271" s="6" t="n">
        <x:v>-1</x:v>
      </x:c>
      <x:c r="P271" s="6" t="n">
        <x:v>0</x:v>
      </x:c>
      <x:c r="Q271" s="6" t="n">
        <x:v>0</x:v>
      </x:c>
      <x:c r="R271" s="2" t="str">
        <x:v>Ø5 csapos, lapos felfekvésű polctartó; 8mm beülés, tervezési specifikáció</x:v>
      </x:c>
      <x:c r="S271" s="2" t="str">
        <x:v>TERV</x:v>
      </x:c>
    </x:row>
    <x:row r="272" ht="32" customHeight="1">
      <x:c r="A272" s="2" t="str">
        <x:v>H0267</x:v>
      </x:c>
      <x:c r="B272" s="2" t="str">
        <x:v>KI12-TV01S-02</x:v>
      </x:c>
      <x:c r="C272" s="2" t="str">
        <x:v>POLCTARTO</x:v>
      </x:c>
      <x:c r="D272" s="6" t="n">
        <x:v>1152.5</x:v>
      </x:c>
      <x:c r="E272" s="6" t="n">
        <x:v>50</x:v>
      </x:c>
      <x:c r="F272" s="6" t="n">
        <x:v>0</x:v>
      </x:c>
      <x:c r="G272" s="6" t="n">
        <x:v>0</x:v>
      </x:c>
      <x:c r="H272" s="6" t="n">
        <x:v>0</x:v>
      </x:c>
      <x:c r="I272" s="6" t="n">
        <x:v>-1</x:v>
      </x:c>
      <x:c r="J272" s="6" t="n">
        <x:v>5</x:v>
      </x:c>
      <x:c r="K272" s="6" t="n">
        <x:v>8</x:v>
      </x:c>
      <x:c r="L272" s="6" t="n">
        <x:v>702</x:v>
      </x:c>
      <x:c r="M272" s="6" t="n">
        <x:v>50</x:v>
      </x:c>
      <x:c r="N272" s="6" t="n">
        <x:v>1702.5</x:v>
      </x:c>
      <x:c r="O272" s="6" t="n">
        <x:v>1</x:v>
      </x:c>
      <x:c r="P272" s="6" t="n">
        <x:v>0</x:v>
      </x:c>
      <x:c r="Q272" s="6" t="n">
        <x:v>0</x:v>
      </x:c>
      <x:c r="R272" s="2" t="str">
        <x:v>Ø5 csapos, lapos felfekvésű polctartó; 8mm beülés, tervezési specifikáció</x:v>
      </x:c>
      <x:c r="S272" s="2" t="str">
        <x:v>TERV</x:v>
      </x:c>
    </x:row>
    <x:row r="273" ht="32" customHeight="1">
      <x:c r="A273" s="2" t="str">
        <x:v>H0268</x:v>
      </x:c>
      <x:c r="B273" s="2" t="str">
        <x:v>KI12-TV01S-02</x:v>
      </x:c>
      <x:c r="C273" s="2" t="str">
        <x:v>POLCTARTO</x:v>
      </x:c>
      <x:c r="D273" s="6" t="n">
        <x:v>1152.5</x:v>
      </x:c>
      <x:c r="E273" s="6" t="n">
        <x:v>310</x:v>
      </x:c>
      <x:c r="F273" s="6" t="n">
        <x:v>0</x:v>
      </x:c>
      <x:c r="G273" s="6" t="n">
        <x:v>0</x:v>
      </x:c>
      <x:c r="H273" s="6" t="n">
        <x:v>0</x:v>
      </x:c>
      <x:c r="I273" s="6" t="n">
        <x:v>-1</x:v>
      </x:c>
      <x:c r="J273" s="6" t="n">
        <x:v>5</x:v>
      </x:c>
      <x:c r="K273" s="6" t="n">
        <x:v>8</x:v>
      </x:c>
      <x:c r="L273" s="6" t="n">
        <x:v>702</x:v>
      </x:c>
      <x:c r="M273" s="6" t="n">
        <x:v>310</x:v>
      </x:c>
      <x:c r="N273" s="6" t="n">
        <x:v>1702.5</x:v>
      </x:c>
      <x:c r="O273" s="6" t="n">
        <x:v>1</x:v>
      </x:c>
      <x:c r="P273" s="6" t="n">
        <x:v>0</x:v>
      </x:c>
      <x:c r="Q273" s="6" t="n">
        <x:v>0</x:v>
      </x:c>
      <x:c r="R273" s="2" t="str">
        <x:v>Ø5 csapos, lapos felfekvésű polctartó; 8mm beülés, tervezési specifikáció</x:v>
      </x:c>
      <x:c r="S273" s="2" t="str">
        <x:v>TERV</x:v>
      </x:c>
    </x:row>
    <x:row r="274" ht="32" customHeight="1">
      <x:c r="A274" s="2" t="str">
        <x:v>H0269</x:v>
      </x:c>
      <x:c r="B274" s="2" t="str">
        <x:v>KI12-TV01C-01</x:v>
      </x:c>
      <x:c r="C274" s="2" t="str">
        <x:v>POLCTARTO</x:v>
      </x:c>
      <x:c r="D274" s="6" t="n">
        <x:v>1519.5</x:v>
      </x:c>
      <x:c r="E274" s="6" t="n">
        <x:v>50</x:v>
      </x:c>
      <x:c r="F274" s="6" t="n">
        <x:v>-18</x:v>
      </x:c>
      <x:c r="G274" s="6" t="n">
        <x:v>0</x:v>
      </x:c>
      <x:c r="H274" s="6" t="n">
        <x:v>0</x:v>
      </x:c>
      <x:c r="I274" s="6" t="n">
        <x:v>1</x:v>
      </x:c>
      <x:c r="J274" s="6" t="n">
        <x:v>5</x:v>
      </x:c>
      <x:c r="K274" s="6" t="n">
        <x:v>8</x:v>
      </x:c>
      <x:c r="L274" s="6" t="n">
        <x:v>369</x:v>
      </x:c>
      <x:c r="M274" s="6" t="n">
        <x:v>50</x:v>
      </x:c>
      <x:c r="N274" s="6" t="n">
        <x:v>2087.5</x:v>
      </x:c>
      <x:c r="O274" s="6" t="n">
        <x:v>-1</x:v>
      </x:c>
      <x:c r="P274" s="6" t="n">
        <x:v>0</x:v>
      </x:c>
      <x:c r="Q274" s="6" t="n">
        <x:v>0</x:v>
      </x:c>
      <x:c r="R274" s="2" t="str">
        <x:v>Ø5 csapos, lapos felfekvésű polctartó; 8mm beülés, tervezési specifikáció</x:v>
      </x:c>
      <x:c r="S274" s="2" t="str">
        <x:v>TERV</x:v>
      </x:c>
    </x:row>
    <x:row r="275" ht="32" customHeight="1">
      <x:c r="A275" s="2" t="str">
        <x:v>H0270</x:v>
      </x:c>
      <x:c r="B275" s="2" t="str">
        <x:v>KI12-TV01C-01</x:v>
      </x:c>
      <x:c r="C275" s="2" t="str">
        <x:v>POLCTARTO</x:v>
      </x:c>
      <x:c r="D275" s="6" t="n">
        <x:v>1519.5</x:v>
      </x:c>
      <x:c r="E275" s="6" t="n">
        <x:v>310</x:v>
      </x:c>
      <x:c r="F275" s="6" t="n">
        <x:v>-18</x:v>
      </x:c>
      <x:c r="G275" s="6" t="n">
        <x:v>0</x:v>
      </x:c>
      <x:c r="H275" s="6" t="n">
        <x:v>0</x:v>
      </x:c>
      <x:c r="I275" s="6" t="n">
        <x:v>1</x:v>
      </x:c>
      <x:c r="J275" s="6" t="n">
        <x:v>5</x:v>
      </x:c>
      <x:c r="K275" s="6" t="n">
        <x:v>8</x:v>
      </x:c>
      <x:c r="L275" s="6" t="n">
        <x:v>369</x:v>
      </x:c>
      <x:c r="M275" s="6" t="n">
        <x:v>310</x:v>
      </x:c>
      <x:c r="N275" s="6" t="n">
        <x:v>2087.5</x:v>
      </x:c>
      <x:c r="O275" s="6" t="n">
        <x:v>-1</x:v>
      </x:c>
      <x:c r="P275" s="6" t="n">
        <x:v>0</x:v>
      </x:c>
      <x:c r="Q275" s="6" t="n">
        <x:v>0</x:v>
      </x:c>
      <x:c r="R275" s="2" t="str">
        <x:v>Ø5 csapos, lapos felfekvésű polctartó; 8mm beülés, tervezési specifikáció</x:v>
      </x:c>
      <x:c r="S275" s="2" t="str">
        <x:v>TERV</x:v>
      </x:c>
    </x:row>
    <x:row r="276" ht="32" customHeight="1">
      <x:c r="A276" s="2" t="str">
        <x:v>H0271</x:v>
      </x:c>
      <x:c r="B276" s="2" t="str">
        <x:v>KI12-TV01S-02</x:v>
      </x:c>
      <x:c r="C276" s="2" t="str">
        <x:v>POLCTARTO</x:v>
      </x:c>
      <x:c r="D276" s="6" t="n">
        <x:v>1537.5</x:v>
      </x:c>
      <x:c r="E276" s="6" t="n">
        <x:v>50</x:v>
      </x:c>
      <x:c r="F276" s="6" t="n">
        <x:v>0</x:v>
      </x:c>
      <x:c r="G276" s="6" t="n">
        <x:v>0</x:v>
      </x:c>
      <x:c r="H276" s="6" t="n">
        <x:v>0</x:v>
      </x:c>
      <x:c r="I276" s="6" t="n">
        <x:v>-1</x:v>
      </x:c>
      <x:c r="J276" s="6" t="n">
        <x:v>5</x:v>
      </x:c>
      <x:c r="K276" s="6" t="n">
        <x:v>8</x:v>
      </x:c>
      <x:c r="L276" s="6" t="n">
        <x:v>702</x:v>
      </x:c>
      <x:c r="M276" s="6" t="n">
        <x:v>50</x:v>
      </x:c>
      <x:c r="N276" s="6" t="n">
        <x:v>2087.5</x:v>
      </x:c>
      <x:c r="O276" s="6" t="n">
        <x:v>1</x:v>
      </x:c>
      <x:c r="P276" s="6" t="n">
        <x:v>0</x:v>
      </x:c>
      <x:c r="Q276" s="6" t="n">
        <x:v>0</x:v>
      </x:c>
      <x:c r="R276" s="2" t="str">
        <x:v>Ø5 csapos, lapos felfekvésű polctartó; 8mm beülés, tervezési specifikáció</x:v>
      </x:c>
      <x:c r="S276" s="2" t="str">
        <x:v>TERV</x:v>
      </x:c>
    </x:row>
    <x:row r="277" ht="32" customHeight="1">
      <x:c r="A277" s="2" t="str">
        <x:v>H0272</x:v>
      </x:c>
      <x:c r="B277" s="2" t="str">
        <x:v>KI12-TV01S-02</x:v>
      </x:c>
      <x:c r="C277" s="2" t="str">
        <x:v>POLCTARTO</x:v>
      </x:c>
      <x:c r="D277" s="6" t="n">
        <x:v>1537.5</x:v>
      </x:c>
      <x:c r="E277" s="6" t="n">
        <x:v>310</x:v>
      </x:c>
      <x:c r="F277" s="6" t="n">
        <x:v>0</x:v>
      </x:c>
      <x:c r="G277" s="6" t="n">
        <x:v>0</x:v>
      </x:c>
      <x:c r="H277" s="6" t="n">
        <x:v>0</x:v>
      </x:c>
      <x:c r="I277" s="6" t="n">
        <x:v>-1</x:v>
      </x:c>
      <x:c r="J277" s="6" t="n">
        <x:v>5</x:v>
      </x:c>
      <x:c r="K277" s="6" t="n">
        <x:v>8</x:v>
      </x:c>
      <x:c r="L277" s="6" t="n">
        <x:v>702</x:v>
      </x:c>
      <x:c r="M277" s="6" t="n">
        <x:v>310</x:v>
      </x:c>
      <x:c r="N277" s="6" t="n">
        <x:v>2087.5</x:v>
      </x:c>
      <x:c r="O277" s="6" t="n">
        <x:v>1</x:v>
      </x:c>
      <x:c r="P277" s="6" t="n">
        <x:v>0</x:v>
      </x:c>
      <x:c r="Q277" s="6" t="n">
        <x:v>0</x:v>
      </x:c>
      <x:c r="R277" s="2" t="str">
        <x:v>Ø5 csapos, lapos felfekvésű polctartó; 8mm beülés, tervezési specifikáció</x:v>
      </x:c>
      <x:c r="S277" s="2" t="str">
        <x:v>TERV</x:v>
      </x:c>
    </x:row>
    <x:row r="278" ht="32" customHeight="1">
      <x:c r="A278" s="2" t="str">
        <x:v>H0273</x:v>
      </x:c>
      <x:c r="B278" s="2" t="str">
        <x:v>KI12-TV01C-01</x:v>
      </x:c>
      <x:c r="C278" s="2" t="str">
        <x:v>POLCTARTO</x:v>
      </x:c>
      <x:c r="D278" s="6" t="n">
        <x:v>1904.5</x:v>
      </x:c>
      <x:c r="E278" s="6" t="n">
        <x:v>50</x:v>
      </x:c>
      <x:c r="F278" s="6" t="n">
        <x:v>-18</x:v>
      </x:c>
      <x:c r="G278" s="6" t="n">
        <x:v>0</x:v>
      </x:c>
      <x:c r="H278" s="6" t="n">
        <x:v>0</x:v>
      </x:c>
      <x:c r="I278" s="6" t="n">
        <x:v>1</x:v>
      </x:c>
      <x:c r="J278" s="6" t="n">
        <x:v>5</x:v>
      </x:c>
      <x:c r="K278" s="6" t="n">
        <x:v>8</x:v>
      </x:c>
      <x:c r="L278" s="6" t="n">
        <x:v>369</x:v>
      </x:c>
      <x:c r="M278" s="6" t="n">
        <x:v>50</x:v>
      </x:c>
      <x:c r="N278" s="6" t="n">
        <x:v>2472.5</x:v>
      </x:c>
      <x:c r="O278" s="6" t="n">
        <x:v>-1</x:v>
      </x:c>
      <x:c r="P278" s="6" t="n">
        <x:v>0</x:v>
      </x:c>
      <x:c r="Q278" s="6" t="n">
        <x:v>0</x:v>
      </x:c>
      <x:c r="R278" s="2" t="str">
        <x:v>Ø5 csapos, lapos felfekvésű polctartó; 8mm beülés, tervezési specifikáció</x:v>
      </x:c>
      <x:c r="S278" s="2" t="str">
        <x:v>TERV</x:v>
      </x:c>
    </x:row>
    <x:row r="279" ht="32" customHeight="1">
      <x:c r="A279" s="2" t="str">
        <x:v>H0274</x:v>
      </x:c>
      <x:c r="B279" s="2" t="str">
        <x:v>KI12-TV01C-01</x:v>
      </x:c>
      <x:c r="C279" s="2" t="str">
        <x:v>POLCTARTO</x:v>
      </x:c>
      <x:c r="D279" s="6" t="n">
        <x:v>1904.5</x:v>
      </x:c>
      <x:c r="E279" s="6" t="n">
        <x:v>310</x:v>
      </x:c>
      <x:c r="F279" s="6" t="n">
        <x:v>-18</x:v>
      </x:c>
      <x:c r="G279" s="6" t="n">
        <x:v>0</x:v>
      </x:c>
      <x:c r="H279" s="6" t="n">
        <x:v>0</x:v>
      </x:c>
      <x:c r="I279" s="6" t="n">
        <x:v>1</x:v>
      </x:c>
      <x:c r="J279" s="6" t="n">
        <x:v>5</x:v>
      </x:c>
      <x:c r="K279" s="6" t="n">
        <x:v>8</x:v>
      </x:c>
      <x:c r="L279" s="6" t="n">
        <x:v>369</x:v>
      </x:c>
      <x:c r="M279" s="6" t="n">
        <x:v>310</x:v>
      </x:c>
      <x:c r="N279" s="6" t="n">
        <x:v>2472.5</x:v>
      </x:c>
      <x:c r="O279" s="6" t="n">
        <x:v>-1</x:v>
      </x:c>
      <x:c r="P279" s="6" t="n">
        <x:v>0</x:v>
      </x:c>
      <x:c r="Q279" s="6" t="n">
        <x:v>0</x:v>
      </x:c>
      <x:c r="R279" s="2" t="str">
        <x:v>Ø5 csapos, lapos felfekvésű polctartó; 8mm beülés, tervezési specifikáció</x:v>
      </x:c>
      <x:c r="S279" s="2" t="str">
        <x:v>TERV</x:v>
      </x:c>
    </x:row>
    <x:row r="280" ht="32" customHeight="1">
      <x:c r="A280" s="2" t="str">
        <x:v>H0275</x:v>
      </x:c>
      <x:c r="B280" s="2" t="str">
        <x:v>KI12-TV01S-02</x:v>
      </x:c>
      <x:c r="C280" s="2" t="str">
        <x:v>POLCTARTO</x:v>
      </x:c>
      <x:c r="D280" s="6" t="n">
        <x:v>1922.5</x:v>
      </x:c>
      <x:c r="E280" s="6" t="n">
        <x:v>50</x:v>
      </x:c>
      <x:c r="F280" s="6" t="n">
        <x:v>0</x:v>
      </x:c>
      <x:c r="G280" s="6" t="n">
        <x:v>0</x:v>
      </x:c>
      <x:c r="H280" s="6" t="n">
        <x:v>0</x:v>
      </x:c>
      <x:c r="I280" s="6" t="n">
        <x:v>-1</x:v>
      </x:c>
      <x:c r="J280" s="6" t="n">
        <x:v>5</x:v>
      </x:c>
      <x:c r="K280" s="6" t="n">
        <x:v>8</x:v>
      </x:c>
      <x:c r="L280" s="6" t="n">
        <x:v>702</x:v>
      </x:c>
      <x:c r="M280" s="6" t="n">
        <x:v>50</x:v>
      </x:c>
      <x:c r="N280" s="6" t="n">
        <x:v>2472.5</x:v>
      </x:c>
      <x:c r="O280" s="6" t="n">
        <x:v>1</x:v>
      </x:c>
      <x:c r="P280" s="6" t="n">
        <x:v>0</x:v>
      </x:c>
      <x:c r="Q280" s="6" t="n">
        <x:v>0</x:v>
      </x:c>
      <x:c r="R280" s="2" t="str">
        <x:v>Ø5 csapos, lapos felfekvésű polctartó; 8mm beülés, tervezési specifikáció</x:v>
      </x:c>
      <x:c r="S280" s="2" t="str">
        <x:v>TERV</x:v>
      </x:c>
    </x:row>
    <x:row r="281" ht="32" customHeight="1">
      <x:c r="A281" s="2" t="str">
        <x:v>H0276</x:v>
      </x:c>
      <x:c r="B281" s="2" t="str">
        <x:v>KI12-TV01S-02</x:v>
      </x:c>
      <x:c r="C281" s="2" t="str">
        <x:v>POLCTARTO</x:v>
      </x:c>
      <x:c r="D281" s="6" t="n">
        <x:v>1922.5</x:v>
      </x:c>
      <x:c r="E281" s="6" t="n">
        <x:v>310</x:v>
      </x:c>
      <x:c r="F281" s="6" t="n">
        <x:v>0</x:v>
      </x:c>
      <x:c r="G281" s="6" t="n">
        <x:v>0</x:v>
      </x:c>
      <x:c r="H281" s="6" t="n">
        <x:v>0</x:v>
      </x:c>
      <x:c r="I281" s="6" t="n">
        <x:v>-1</x:v>
      </x:c>
      <x:c r="J281" s="6" t="n">
        <x:v>5</x:v>
      </x:c>
      <x:c r="K281" s="6" t="n">
        <x:v>8</x:v>
      </x:c>
      <x:c r="L281" s="6" t="n">
        <x:v>702</x:v>
      </x:c>
      <x:c r="M281" s="6" t="n">
        <x:v>310</x:v>
      </x:c>
      <x:c r="N281" s="6" t="n">
        <x:v>2472.5</x:v>
      </x:c>
      <x:c r="O281" s="6" t="n">
        <x:v>1</x:v>
      </x:c>
      <x:c r="P281" s="6" t="n">
        <x:v>0</x:v>
      </x:c>
      <x:c r="Q281" s="6" t="n">
        <x:v>0</x:v>
      </x:c>
      <x:c r="R281" s="2" t="str">
        <x:v>Ø5 csapos, lapos felfekvésű polctartó; 8mm beülés, tervezési specifikáció</x:v>
      </x:c>
      <x:c r="S281" s="2" t="str">
        <x:v>TERV</x:v>
      </x:c>
    </x:row>
    <x:row r="282" ht="32" customHeight="1">
      <x:c r="A282" s="2" t="str">
        <x:v>H0277</x:v>
      </x:c>
      <x:c r="B282" s="2" t="str">
        <x:v>KI12-TV02S-01</x:v>
      </x:c>
      <x:c r="C282" s="2" t="str">
        <x:v>POLCTARTO</x:v>
      </x:c>
      <x:c r="D282" s="6" t="n">
        <x:v>188.5</x:v>
      </x:c>
      <x:c r="E282" s="6" t="n">
        <x:v>50</x:v>
      </x:c>
      <x:c r="F282" s="6" t="n">
        <x:v>-18</x:v>
      </x:c>
      <x:c r="G282" s="6" t="n">
        <x:v>0</x:v>
      </x:c>
      <x:c r="H282" s="6" t="n">
        <x:v>0</x:v>
      </x:c>
      <x:c r="I282" s="6" t="n">
        <x:v>1</x:v>
      </x:c>
      <x:c r="J282" s="6" t="n">
        <x:v>5</x:v>
      </x:c>
      <x:c r="K282" s="6" t="n">
        <x:v>8</x:v>
      </x:c>
      <x:c r="L282" s="6" t="n">
        <x:v>18</x:v>
      </x:c>
      <x:c r="M282" s="6" t="n">
        <x:v>50</x:v>
      </x:c>
      <x:c r="N282" s="6" t="n">
        <x:v>338.5</x:v>
      </x:c>
      <x:c r="O282" s="6" t="n">
        <x:v>-1</x:v>
      </x:c>
      <x:c r="P282" s="6" t="n">
        <x:v>0</x:v>
      </x:c>
      <x:c r="Q282" s="6" t="n">
        <x:v>0</x:v>
      </x:c>
      <x:c r="R282" s="2" t="str">
        <x:v>Ø5 csapos, lapos felfekvésű polctartó; 8mm beülés, tervezési specifikáció</x:v>
      </x:c>
      <x:c r="S282" s="2" t="str">
        <x:v>TERV</x:v>
      </x:c>
    </x:row>
    <x:row r="283" ht="32" customHeight="1">
      <x:c r="A283" s="2" t="str">
        <x:v>H0278</x:v>
      </x:c>
      <x:c r="B283" s="2" t="str">
        <x:v>KI12-TV02S-01</x:v>
      </x:c>
      <x:c r="C283" s="2" t="str">
        <x:v>POLCTARTO</x:v>
      </x:c>
      <x:c r="D283" s="6" t="n">
        <x:v>188.5</x:v>
      </x:c>
      <x:c r="E283" s="6" t="n">
        <x:v>310</x:v>
      </x:c>
      <x:c r="F283" s="6" t="n">
        <x:v>-18</x:v>
      </x:c>
      <x:c r="G283" s="6" t="n">
        <x:v>0</x:v>
      </x:c>
      <x:c r="H283" s="6" t="n">
        <x:v>0</x:v>
      </x:c>
      <x:c r="I283" s="6" t="n">
        <x:v>1</x:v>
      </x:c>
      <x:c r="J283" s="6" t="n">
        <x:v>5</x:v>
      </x:c>
      <x:c r="K283" s="6" t="n">
        <x:v>8</x:v>
      </x:c>
      <x:c r="L283" s="6" t="n">
        <x:v>18</x:v>
      </x:c>
      <x:c r="M283" s="6" t="n">
        <x:v>310</x:v>
      </x:c>
      <x:c r="N283" s="6" t="n">
        <x:v>338.5</x:v>
      </x:c>
      <x:c r="O283" s="6" t="n">
        <x:v>-1</x:v>
      </x:c>
      <x:c r="P283" s="6" t="n">
        <x:v>0</x:v>
      </x:c>
      <x:c r="Q283" s="6" t="n">
        <x:v>0</x:v>
      </x:c>
      <x:c r="R283" s="2" t="str">
        <x:v>Ø5 csapos, lapos felfekvésű polctartó; 8mm beülés, tervezési specifikáció</x:v>
      </x:c>
      <x:c r="S283" s="2" t="str">
        <x:v>TERV</x:v>
      </x:c>
    </x:row>
    <x:row r="284" ht="32" customHeight="1">
      <x:c r="A284" s="2" t="str">
        <x:v>H0279</x:v>
      </x:c>
      <x:c r="B284" s="2" t="str">
        <x:v>KI12-TV02S-02</x:v>
      </x:c>
      <x:c r="C284" s="2" t="str">
        <x:v>POLCTARTO</x:v>
      </x:c>
      <x:c r="D284" s="6" t="n">
        <x:v>188.5</x:v>
      </x:c>
      <x:c r="E284" s="6" t="n">
        <x:v>50</x:v>
      </x:c>
      <x:c r="F284" s="6" t="n">
        <x:v>0</x:v>
      </x:c>
      <x:c r="G284" s="6" t="n">
        <x:v>0</x:v>
      </x:c>
      <x:c r="H284" s="6" t="n">
        <x:v>0</x:v>
      </x:c>
      <x:c r="I284" s="6" t="n">
        <x:v>-1</x:v>
      </x:c>
      <x:c r="J284" s="6" t="n">
        <x:v>5</x:v>
      </x:c>
      <x:c r="K284" s="6" t="n">
        <x:v>8</x:v>
      </x:c>
      <x:c r="L284" s="6" t="n">
        <x:v>702</x:v>
      </x:c>
      <x:c r="M284" s="6" t="n">
        <x:v>50</x:v>
      </x:c>
      <x:c r="N284" s="6" t="n">
        <x:v>338.5</x:v>
      </x:c>
      <x:c r="O284" s="6" t="n">
        <x:v>1</x:v>
      </x:c>
      <x:c r="P284" s="6" t="n">
        <x:v>0</x:v>
      </x:c>
      <x:c r="Q284" s="6" t="n">
        <x:v>0</x:v>
      </x:c>
      <x:c r="R284" s="2" t="str">
        <x:v>Ø5 csapos, lapos felfekvésű polctartó; 8mm beülés, tervezési specifikáció</x:v>
      </x:c>
      <x:c r="S284" s="2" t="str">
        <x:v>TERV</x:v>
      </x:c>
    </x:row>
    <x:row r="285" ht="32" customHeight="1">
      <x:c r="A285" s="2" t="str">
        <x:v>H0280</x:v>
      </x:c>
      <x:c r="B285" s="2" t="str">
        <x:v>KI12-TV02S-02</x:v>
      </x:c>
      <x:c r="C285" s="2" t="str">
        <x:v>POLCTARTO</x:v>
      </x:c>
      <x:c r="D285" s="6" t="n">
        <x:v>188.5</x:v>
      </x:c>
      <x:c r="E285" s="6" t="n">
        <x:v>310</x:v>
      </x:c>
      <x:c r="F285" s="6" t="n">
        <x:v>0</x:v>
      </x:c>
      <x:c r="G285" s="6" t="n">
        <x:v>0</x:v>
      </x:c>
      <x:c r="H285" s="6" t="n">
        <x:v>0</x:v>
      </x:c>
      <x:c r="I285" s="6" t="n">
        <x:v>-1</x:v>
      </x:c>
      <x:c r="J285" s="6" t="n">
        <x:v>5</x:v>
      </x:c>
      <x:c r="K285" s="6" t="n">
        <x:v>8</x:v>
      </x:c>
      <x:c r="L285" s="6" t="n">
        <x:v>702</x:v>
      </x:c>
      <x:c r="M285" s="6" t="n">
        <x:v>310</x:v>
      </x:c>
      <x:c r="N285" s="6" t="n">
        <x:v>338.5</x:v>
      </x:c>
      <x:c r="O285" s="6" t="n">
        <x:v>1</x:v>
      </x:c>
      <x:c r="P285" s="6" t="n">
        <x:v>0</x:v>
      </x:c>
      <x:c r="Q285" s="6" t="n">
        <x:v>0</x:v>
      </x:c>
      <x:c r="R285" s="2" t="str">
        <x:v>Ø5 csapos, lapos felfekvésű polctartó; 8mm beülés, tervezési specifikáció</x:v>
      </x:c>
      <x:c r="S285" s="2" t="str">
        <x:v>TERV</x:v>
      </x:c>
    </x:row>
    <x:row r="286" ht="32" customHeight="1">
      <x:c r="A286" s="2" t="str">
        <x:v>H0281</x:v>
      </x:c>
      <x:c r="B286" s="2" t="str">
        <x:v>KI12-TV02S-05</x:v>
      </x:c>
      <x:c r="C286" s="2" t="str">
        <x:v>POLCTARTO</x:v>
      </x:c>
      <x:c r="D286" s="6" t="n">
        <x:v>188.5</x:v>
      </x:c>
      <x:c r="E286" s="6" t="n">
        <x:v>50</x:v>
      </x:c>
      <x:c r="F286" s="6" t="n">
        <x:v>-18</x:v>
      </x:c>
      <x:c r="G286" s="6" t="n">
        <x:v>0</x:v>
      </x:c>
      <x:c r="H286" s="6" t="n">
        <x:v>0</x:v>
      </x:c>
      <x:c r="I286" s="6" t="n">
        <x:v>1</x:v>
      </x:c>
      <x:c r="J286" s="6" t="n">
        <x:v>5</x:v>
      </x:c>
      <x:c r="K286" s="6" t="n">
        <x:v>8</x:v>
      </x:c>
      <x:c r="L286" s="6" t="n">
        <x:v>1548</x:v>
      </x:c>
      <x:c r="M286" s="6" t="n">
        <x:v>50</x:v>
      </x:c>
      <x:c r="N286" s="6" t="n">
        <x:v>338.5</x:v>
      </x:c>
      <x:c r="O286" s="6" t="n">
        <x:v>-1</x:v>
      </x:c>
      <x:c r="P286" s="6" t="n">
        <x:v>0</x:v>
      </x:c>
      <x:c r="Q286" s="6" t="n">
        <x:v>0</x:v>
      </x:c>
      <x:c r="R286" s="2" t="str">
        <x:v>Ø5 csapos, lapos felfekvésű polctartó; 8mm beülés, tervezési specifikáció</x:v>
      </x:c>
      <x:c r="S286" s="2" t="str">
        <x:v>TERV</x:v>
      </x:c>
    </x:row>
    <x:row r="287" ht="32" customHeight="1">
      <x:c r="A287" s="2" t="str">
        <x:v>H0282</x:v>
      </x:c>
      <x:c r="B287" s="2" t="str">
        <x:v>KI12-TV02S-05</x:v>
      </x:c>
      <x:c r="C287" s="2" t="str">
        <x:v>POLCTARTO</x:v>
      </x:c>
      <x:c r="D287" s="6" t="n">
        <x:v>188.5</x:v>
      </x:c>
      <x:c r="E287" s="6" t="n">
        <x:v>310</x:v>
      </x:c>
      <x:c r="F287" s="6" t="n">
        <x:v>-18</x:v>
      </x:c>
      <x:c r="G287" s="6" t="n">
        <x:v>0</x:v>
      </x:c>
      <x:c r="H287" s="6" t="n">
        <x:v>0</x:v>
      </x:c>
      <x:c r="I287" s="6" t="n">
        <x:v>1</x:v>
      </x:c>
      <x:c r="J287" s="6" t="n">
        <x:v>5</x:v>
      </x:c>
      <x:c r="K287" s="6" t="n">
        <x:v>8</x:v>
      </x:c>
      <x:c r="L287" s="6" t="n">
        <x:v>1548</x:v>
      </x:c>
      <x:c r="M287" s="6" t="n">
        <x:v>310</x:v>
      </x:c>
      <x:c r="N287" s="6" t="n">
        <x:v>338.5</x:v>
      </x:c>
      <x:c r="O287" s="6" t="n">
        <x:v>-1</x:v>
      </x:c>
      <x:c r="P287" s="6" t="n">
        <x:v>0</x:v>
      </x:c>
      <x:c r="Q287" s="6" t="n">
        <x:v>0</x:v>
      </x:c>
      <x:c r="R287" s="2" t="str">
        <x:v>Ø5 csapos, lapos felfekvésű polctartó; 8mm beülés, tervezési specifikáció</x:v>
      </x:c>
      <x:c r="S287" s="2" t="str">
        <x:v>TERV</x:v>
      </x:c>
    </x:row>
    <x:row r="288" ht="32" customHeight="1">
      <x:c r="A288" s="2" t="str">
        <x:v>H0283</x:v>
      </x:c>
      <x:c r="B288" s="2" t="str">
        <x:v>KI12-TV02S-06</x:v>
      </x:c>
      <x:c r="C288" s="2" t="str">
        <x:v>POLCTARTO</x:v>
      </x:c>
      <x:c r="D288" s="6" t="n">
        <x:v>188.5</x:v>
      </x:c>
      <x:c r="E288" s="6" t="n">
        <x:v>50</x:v>
      </x:c>
      <x:c r="F288" s="6" t="n">
        <x:v>0</x:v>
      </x:c>
      <x:c r="G288" s="6" t="n">
        <x:v>0</x:v>
      </x:c>
      <x:c r="H288" s="6" t="n">
        <x:v>0</x:v>
      </x:c>
      <x:c r="I288" s="6" t="n">
        <x:v>-1</x:v>
      </x:c>
      <x:c r="J288" s="6" t="n">
        <x:v>5</x:v>
      </x:c>
      <x:c r="K288" s="6" t="n">
        <x:v>8</x:v>
      </x:c>
      <x:c r="L288" s="6" t="n">
        <x:v>2202</x:v>
      </x:c>
      <x:c r="M288" s="6" t="n">
        <x:v>50</x:v>
      </x:c>
      <x:c r="N288" s="6" t="n">
        <x:v>338.5</x:v>
      </x:c>
      <x:c r="O288" s="6" t="n">
        <x:v>1</x:v>
      </x:c>
      <x:c r="P288" s="6" t="n">
        <x:v>0</x:v>
      </x:c>
      <x:c r="Q288" s="6" t="n">
        <x:v>0</x:v>
      </x:c>
      <x:c r="R288" s="2" t="str">
        <x:v>Ø5 csapos, lapos felfekvésű polctartó; 8mm beülés, tervezési specifikáció</x:v>
      </x:c>
      <x:c r="S288" s="2" t="str">
        <x:v>TERV</x:v>
      </x:c>
    </x:row>
    <x:row r="289" ht="32" customHeight="1">
      <x:c r="A289" s="2" t="str">
        <x:v>H0284</x:v>
      </x:c>
      <x:c r="B289" s="2" t="str">
        <x:v>KI12-TV02S-06</x:v>
      </x:c>
      <x:c r="C289" s="2" t="str">
        <x:v>POLCTARTO</x:v>
      </x:c>
      <x:c r="D289" s="6" t="n">
        <x:v>188.5</x:v>
      </x:c>
      <x:c r="E289" s="6" t="n">
        <x:v>310</x:v>
      </x:c>
      <x:c r="F289" s="6" t="n">
        <x:v>0</x:v>
      </x:c>
      <x:c r="G289" s="6" t="n">
        <x:v>0</x:v>
      </x:c>
      <x:c r="H289" s="6" t="n">
        <x:v>0</x:v>
      </x:c>
      <x:c r="I289" s="6" t="n">
        <x:v>-1</x:v>
      </x:c>
      <x:c r="J289" s="6" t="n">
        <x:v>5</x:v>
      </x:c>
      <x:c r="K289" s="6" t="n">
        <x:v>8</x:v>
      </x:c>
      <x:c r="L289" s="6" t="n">
        <x:v>2202</x:v>
      </x:c>
      <x:c r="M289" s="6" t="n">
        <x:v>310</x:v>
      </x:c>
      <x:c r="N289" s="6" t="n">
        <x:v>338.5</x:v>
      </x:c>
      <x:c r="O289" s="6" t="n">
        <x:v>1</x:v>
      </x:c>
      <x:c r="P289" s="6" t="n">
        <x:v>0</x:v>
      </x:c>
      <x:c r="Q289" s="6" t="n">
        <x:v>0</x:v>
      </x:c>
      <x:c r="R289" s="2" t="str">
        <x:v>Ø5 csapos, lapos felfekvésű polctartó; 8mm beülés, tervezési specifikáció</x:v>
      </x:c>
      <x:c r="S289" s="2" t="str">
        <x:v>TERV</x:v>
      </x:c>
    </x:row>
    <x:row r="290" ht="32" customHeight="1">
      <x:c r="A290" s="2" t="str">
        <x:v>H0285</x:v>
      </x:c>
      <x:c r="B290" s="2" t="str">
        <x:v>KI12-TV02S-07</x:v>
      </x:c>
      <x:c r="C290" s="2" t="str">
        <x:v>POLCTARTO</x:v>
      </x:c>
      <x:c r="D290" s="6" t="n">
        <x:v>188.5</x:v>
      </x:c>
      <x:c r="E290" s="6" t="n">
        <x:v>50</x:v>
      </x:c>
      <x:c r="F290" s="6" t="n">
        <x:v>-18</x:v>
      </x:c>
      <x:c r="G290" s="6" t="n">
        <x:v>0</x:v>
      </x:c>
      <x:c r="H290" s="6" t="n">
        <x:v>0</x:v>
      </x:c>
      <x:c r="I290" s="6" t="n">
        <x:v>1</x:v>
      </x:c>
      <x:c r="J290" s="6" t="n">
        <x:v>5</x:v>
      </x:c>
      <x:c r="K290" s="6" t="n">
        <x:v>8</x:v>
      </x:c>
      <x:c r="L290" s="6" t="n">
        <x:v>2238</x:v>
      </x:c>
      <x:c r="M290" s="6" t="n">
        <x:v>50</x:v>
      </x:c>
      <x:c r="N290" s="6" t="n">
        <x:v>338.5</x:v>
      </x:c>
      <x:c r="O290" s="6" t="n">
        <x:v>-1</x:v>
      </x:c>
      <x:c r="P290" s="6" t="n">
        <x:v>0</x:v>
      </x:c>
      <x:c r="Q290" s="6" t="n">
        <x:v>0</x:v>
      </x:c>
      <x:c r="R290" s="2" t="str">
        <x:v>Ø5 csapos, lapos felfekvésű polctartó; 8mm beülés, tervezési specifikáció</x:v>
      </x:c>
      <x:c r="S290" s="2" t="str">
        <x:v>TERV</x:v>
      </x:c>
    </x:row>
    <x:row r="291" ht="32" customHeight="1">
      <x:c r="A291" s="2" t="str">
        <x:v>H0286</x:v>
      </x:c>
      <x:c r="B291" s="2" t="str">
        <x:v>KI12-TV02S-07</x:v>
      </x:c>
      <x:c r="C291" s="2" t="str">
        <x:v>POLCTARTO</x:v>
      </x:c>
      <x:c r="D291" s="6" t="n">
        <x:v>188.5</x:v>
      </x:c>
      <x:c r="E291" s="6" t="n">
        <x:v>310</x:v>
      </x:c>
      <x:c r="F291" s="6" t="n">
        <x:v>-18</x:v>
      </x:c>
      <x:c r="G291" s="6" t="n">
        <x:v>0</x:v>
      </x:c>
      <x:c r="H291" s="6" t="n">
        <x:v>0</x:v>
      </x:c>
      <x:c r="I291" s="6" t="n">
        <x:v>1</x:v>
      </x:c>
      <x:c r="J291" s="6" t="n">
        <x:v>5</x:v>
      </x:c>
      <x:c r="K291" s="6" t="n">
        <x:v>8</x:v>
      </x:c>
      <x:c r="L291" s="6" t="n">
        <x:v>2238</x:v>
      </x:c>
      <x:c r="M291" s="6" t="n">
        <x:v>310</x:v>
      </x:c>
      <x:c r="N291" s="6" t="n">
        <x:v>338.5</x:v>
      </x:c>
      <x:c r="O291" s="6" t="n">
        <x:v>-1</x:v>
      </x:c>
      <x:c r="P291" s="6" t="n">
        <x:v>0</x:v>
      </x:c>
      <x:c r="Q291" s="6" t="n">
        <x:v>0</x:v>
      </x:c>
      <x:c r="R291" s="2" t="str">
        <x:v>Ø5 csapos, lapos felfekvésű polctartó; 8mm beülés, tervezési specifikáció</x:v>
      </x:c>
      <x:c r="S291" s="2" t="str">
        <x:v>TERV</x:v>
      </x:c>
    </x:row>
    <x:row r="292" ht="32" customHeight="1">
      <x:c r="A292" s="2" t="str">
        <x:v>H0287</x:v>
      </x:c>
      <x:c r="B292" s="2" t="str">
        <x:v>KI12-TV02S-08</x:v>
      </x:c>
      <x:c r="C292" s="2" t="str">
        <x:v>POLCTARTO</x:v>
      </x:c>
      <x:c r="D292" s="6" t="n">
        <x:v>188.5</x:v>
      </x:c>
      <x:c r="E292" s="6" t="n">
        <x:v>50</x:v>
      </x:c>
      <x:c r="F292" s="6" t="n">
        <x:v>0</x:v>
      </x:c>
      <x:c r="G292" s="6" t="n">
        <x:v>0</x:v>
      </x:c>
      <x:c r="H292" s="6" t="n">
        <x:v>0</x:v>
      </x:c>
      <x:c r="I292" s="6" t="n">
        <x:v>-1</x:v>
      </x:c>
      <x:c r="J292" s="6" t="n">
        <x:v>5</x:v>
      </x:c>
      <x:c r="K292" s="6" t="n">
        <x:v>8</x:v>
      </x:c>
      <x:c r="L292" s="6" t="n">
        <x:v>2892</x:v>
      </x:c>
      <x:c r="M292" s="6" t="n">
        <x:v>50</x:v>
      </x:c>
      <x:c r="N292" s="6" t="n">
        <x:v>338.5</x:v>
      </x:c>
      <x:c r="O292" s="6" t="n">
        <x:v>1</x:v>
      </x:c>
      <x:c r="P292" s="6" t="n">
        <x:v>0</x:v>
      </x:c>
      <x:c r="Q292" s="6" t="n">
        <x:v>0</x:v>
      </x:c>
      <x:c r="R292" s="2" t="str">
        <x:v>Ø5 csapos, lapos felfekvésű polctartó; 8mm beülés, tervezési specifikáció</x:v>
      </x:c>
      <x:c r="S292" s="2" t="str">
        <x:v>TERV</x:v>
      </x:c>
    </x:row>
    <x:row r="293" ht="32" customHeight="1">
      <x:c r="A293" s="2" t="str">
        <x:v>H0288</x:v>
      </x:c>
      <x:c r="B293" s="2" t="str">
        <x:v>KI12-TV02S-08</x:v>
      </x:c>
      <x:c r="C293" s="2" t="str">
        <x:v>POLCTARTO</x:v>
      </x:c>
      <x:c r="D293" s="6" t="n">
        <x:v>188.5</x:v>
      </x:c>
      <x:c r="E293" s="6" t="n">
        <x:v>310</x:v>
      </x:c>
      <x:c r="F293" s="6" t="n">
        <x:v>0</x:v>
      </x:c>
      <x:c r="G293" s="6" t="n">
        <x:v>0</x:v>
      </x:c>
      <x:c r="H293" s="6" t="n">
        <x:v>0</x:v>
      </x:c>
      <x:c r="I293" s="6" t="n">
        <x:v>-1</x:v>
      </x:c>
      <x:c r="J293" s="6" t="n">
        <x:v>5</x:v>
      </x:c>
      <x:c r="K293" s="6" t="n">
        <x:v>8</x:v>
      </x:c>
      <x:c r="L293" s="6" t="n">
        <x:v>2892</x:v>
      </x:c>
      <x:c r="M293" s="6" t="n">
        <x:v>310</x:v>
      </x:c>
      <x:c r="N293" s="6" t="n">
        <x:v>338.5</x:v>
      </x:c>
      <x:c r="O293" s="6" t="n">
        <x:v>1</x:v>
      </x:c>
      <x:c r="P293" s="6" t="n">
        <x:v>0</x:v>
      </x:c>
      <x:c r="Q293" s="6" t="n">
        <x:v>0</x:v>
      </x:c>
      <x:c r="R293" s="2" t="str">
        <x:v>Ø5 csapos, lapos felfekvésű polctartó; 8mm beülés, tervezési specifikáció</x:v>
      </x:c>
      <x:c r="S293" s="2" t="str">
        <x:v>TERV</x:v>
      </x:c>
    </x:row>
    <x:row r="294" ht="32" customHeight="1">
      <x:c r="A294" s="2" t="str">
        <x:v>H0289</x:v>
      </x:c>
      <x:c r="B294" s="2" t="str">
        <x:v>KI12-TV02S-09</x:v>
      </x:c>
      <x:c r="C294" s="2" t="str">
        <x:v>POLCTARTO</x:v>
      </x:c>
      <x:c r="D294" s="6" t="n">
        <x:v>188.5</x:v>
      </x:c>
      <x:c r="E294" s="6" t="n">
        <x:v>50</x:v>
      </x:c>
      <x:c r="F294" s="6" t="n">
        <x:v>-18</x:v>
      </x:c>
      <x:c r="G294" s="6" t="n">
        <x:v>0</x:v>
      </x:c>
      <x:c r="H294" s="6" t="n">
        <x:v>0</x:v>
      </x:c>
      <x:c r="I294" s="6" t="n">
        <x:v>1</x:v>
      </x:c>
      <x:c r="J294" s="6" t="n">
        <x:v>5</x:v>
      </x:c>
      <x:c r="K294" s="6" t="n">
        <x:v>8</x:v>
      </x:c>
      <x:c r="L294" s="6" t="n">
        <x:v>2928</x:v>
      </x:c>
      <x:c r="M294" s="6" t="n">
        <x:v>50</x:v>
      </x:c>
      <x:c r="N294" s="6" t="n">
        <x:v>338.5</x:v>
      </x:c>
      <x:c r="O294" s="6" t="n">
        <x:v>-1</x:v>
      </x:c>
      <x:c r="P294" s="6" t="n">
        <x:v>0</x:v>
      </x:c>
      <x:c r="Q294" s="6" t="n">
        <x:v>0</x:v>
      </x:c>
      <x:c r="R294" s="2" t="str">
        <x:v>Ø5 csapos, lapos felfekvésű polctartó; 8mm beülés, tervezési specifikáció</x:v>
      </x:c>
      <x:c r="S294" s="2" t="str">
        <x:v>TERV</x:v>
      </x:c>
    </x:row>
    <x:row r="295" ht="32" customHeight="1">
      <x:c r="A295" s="2" t="str">
        <x:v>H0290</x:v>
      </x:c>
      <x:c r="B295" s="2" t="str">
        <x:v>KI12-TV02S-09</x:v>
      </x:c>
      <x:c r="C295" s="2" t="str">
        <x:v>POLCTARTO</x:v>
      </x:c>
      <x:c r="D295" s="6" t="n">
        <x:v>188.5</x:v>
      </x:c>
      <x:c r="E295" s="6" t="n">
        <x:v>310</x:v>
      </x:c>
      <x:c r="F295" s="6" t="n">
        <x:v>-18</x:v>
      </x:c>
      <x:c r="G295" s="6" t="n">
        <x:v>0</x:v>
      </x:c>
      <x:c r="H295" s="6" t="n">
        <x:v>0</x:v>
      </x:c>
      <x:c r="I295" s="6" t="n">
        <x:v>1</x:v>
      </x:c>
      <x:c r="J295" s="6" t="n">
        <x:v>5</x:v>
      </x:c>
      <x:c r="K295" s="6" t="n">
        <x:v>8</x:v>
      </x:c>
      <x:c r="L295" s="6" t="n">
        <x:v>2928</x:v>
      </x:c>
      <x:c r="M295" s="6" t="n">
        <x:v>310</x:v>
      </x:c>
      <x:c r="N295" s="6" t="n">
        <x:v>338.5</x:v>
      </x:c>
      <x:c r="O295" s="6" t="n">
        <x:v>-1</x:v>
      </x:c>
      <x:c r="P295" s="6" t="n">
        <x:v>0</x:v>
      </x:c>
      <x:c r="Q295" s="6" t="n">
        <x:v>0</x:v>
      </x:c>
      <x:c r="R295" s="2" t="str">
        <x:v>Ø5 csapos, lapos felfekvésű polctartó; 8mm beülés, tervezési specifikáció</x:v>
      </x:c>
      <x:c r="S295" s="2" t="str">
        <x:v>TERV</x:v>
      </x:c>
    </x:row>
    <x:row r="296" ht="32" customHeight="1">
      <x:c r="A296" s="2" t="str">
        <x:v>H0291</x:v>
      </x:c>
      <x:c r="B296" s="2" t="str">
        <x:v>KI12-TV02S-10</x:v>
      </x:c>
      <x:c r="C296" s="2" t="str">
        <x:v>POLCTARTO</x:v>
      </x:c>
      <x:c r="D296" s="6" t="n">
        <x:v>188.5</x:v>
      </x:c>
      <x:c r="E296" s="6" t="n">
        <x:v>50</x:v>
      </x:c>
      <x:c r="F296" s="6" t="n">
        <x:v>0</x:v>
      </x:c>
      <x:c r="G296" s="6" t="n">
        <x:v>0</x:v>
      </x:c>
      <x:c r="H296" s="6" t="n">
        <x:v>0</x:v>
      </x:c>
      <x:c r="I296" s="6" t="n">
        <x:v>-1</x:v>
      </x:c>
      <x:c r="J296" s="6" t="n">
        <x:v>5</x:v>
      </x:c>
      <x:c r="K296" s="6" t="n">
        <x:v>8</x:v>
      </x:c>
      <x:c r="L296" s="6" t="n">
        <x:v>3582</x:v>
      </x:c>
      <x:c r="M296" s="6" t="n">
        <x:v>50</x:v>
      </x:c>
      <x:c r="N296" s="6" t="n">
        <x:v>338.5</x:v>
      </x:c>
      <x:c r="O296" s="6" t="n">
        <x:v>1</x:v>
      </x:c>
      <x:c r="P296" s="6" t="n">
        <x:v>0</x:v>
      </x:c>
      <x:c r="Q296" s="6" t="n">
        <x:v>0</x:v>
      </x:c>
      <x:c r="R296" s="2" t="str">
        <x:v>Ø5 csapos, lapos felfekvésű polctartó; 8mm beülés, tervezési specifikáció</x:v>
      </x:c>
      <x:c r="S296" s="2" t="str">
        <x:v>TERV</x:v>
      </x:c>
    </x:row>
    <x:row r="297" ht="32" customHeight="1">
      <x:c r="A297" s="2" t="str">
        <x:v>H0292</x:v>
      </x:c>
      <x:c r="B297" s="2" t="str">
        <x:v>KI12-TV02S-10</x:v>
      </x:c>
      <x:c r="C297" s="2" t="str">
        <x:v>POLCTARTO</x:v>
      </x:c>
      <x:c r="D297" s="6" t="n">
        <x:v>188.5</x:v>
      </x:c>
      <x:c r="E297" s="6" t="n">
        <x:v>310</x:v>
      </x:c>
      <x:c r="F297" s="6" t="n">
        <x:v>0</x:v>
      </x:c>
      <x:c r="G297" s="6" t="n">
        <x:v>0</x:v>
      </x:c>
      <x:c r="H297" s="6" t="n">
        <x:v>0</x:v>
      </x:c>
      <x:c r="I297" s="6" t="n">
        <x:v>-1</x:v>
      </x:c>
      <x:c r="J297" s="6" t="n">
        <x:v>5</x:v>
      </x:c>
      <x:c r="K297" s="6" t="n">
        <x:v>8</x:v>
      </x:c>
      <x:c r="L297" s="6" t="n">
        <x:v>3582</x:v>
      </x:c>
      <x:c r="M297" s="6" t="n">
        <x:v>310</x:v>
      </x:c>
      <x:c r="N297" s="6" t="n">
        <x:v>338.5</x:v>
      </x:c>
      <x:c r="O297" s="6" t="n">
        <x:v>1</x:v>
      </x:c>
      <x:c r="P297" s="6" t="n">
        <x:v>0</x:v>
      </x:c>
      <x:c r="Q297" s="6" t="n">
        <x:v>0</x:v>
      </x:c>
      <x:c r="R297" s="2" t="str">
        <x:v>Ø5 csapos, lapos felfekvésű polctartó; 8mm beülés, tervezési specifikáció</x:v>
      </x:c>
      <x:c r="S297" s="2" t="str">
        <x:v>TERV</x:v>
      </x:c>
    </x:row>
    <x:row r="298" ht="32" customHeight="1">
      <x:c r="A298" s="2" t="str">
        <x:v>H0293</x:v>
      </x:c>
      <x:c r="B298" s="2" t="str">
        <x:v>KI12-TV02H2-01</x:v>
      </x:c>
      <x:c r="C298" s="2" t="str">
        <x:v>AV_KABEL</x:v>
      </x:c>
      <x:c r="D298" s="6" t="n">
        <x:v>327</x:v>
      </x:c>
      <x:c r="E298" s="6" t="n">
        <x:v>132</x:v>
      </x:c>
      <x:c r="F298" s="6" t="n">
        <x:v>0</x:v>
      </x:c>
      <x:c r="G298" s="6" t="n">
        <x:v>0</x:v>
      </x:c>
      <x:c r="H298" s="6" t="n">
        <x:v>0</x:v>
      </x:c>
      <x:c r="I298" s="6" t="n">
        <x:v>-1</x:v>
      </x:c>
      <x:c r="J298" s="6" t="n">
        <x:v>60</x:v>
      </x:c>
      <x:c r="K298" s="6" t="n">
        <x:v>8</x:v>
      </x:c>
      <x:c r="L298" s="6" t="n">
        <x:v>1185</x:v>
      </x:c>
      <x:c r="M298" s="6" t="n">
        <x:v>382</x:v>
      </x:c>
      <x:c r="N298" s="6" t="n">
        <x:v>300</x:v>
      </x:c>
      <x:c r="O298" s="6" t="n">
        <x:v>0</x:v>
      </x:c>
      <x:c r="P298" s="6" t="n">
        <x:v>-1</x:v>
      </x:c>
      <x:c r="Q298" s="6" t="n">
        <x:v>0</x:v>
      </x:c>
      <x:c r="R298" s="2" t="str">
        <x:v>Tervezési Ø60 átvezetés; cserélhető kefe, villamos kábelek elkülönítése</x:v>
      </x:c>
      <x:c r="S298" s="2" t="str">
        <x:v>TERV</x:v>
      </x:c>
    </x:row>
  </x:sheetData>
  <x:pageMargins left="0.7" right="0.7" top="0.75" bottom="0.75" header="0.3" footer="0.3"/>
  <x:tableParts count="1">
    <x:tablePart xmlns:r="http://schemas.openxmlformats.org/officeDocument/2006/relationships" r:id="R582176bb75494b1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75" hidden="0" customWidth="1"/>
    <x:col min="5" max="5" width="18" hidden="0" customWidth="1"/>
    <x:col min="6" max="6" width="18" hidden="0" customWidth="1"/>
    <x:col min="7" max="7" width="48" hidden="0" customWidth="1"/>
  </x:cols>
  <x:sheetData>
    <x:row r="1">
      <x:c r="A1" t="str">
        <x:v>Aktív MPR-tervezetek / woodWOP5 még nem tesztelt</x:v>
      </x:c>
    </x:row>
    <x:row r="2">
      <x:c r="A2" t="str">
        <x:v>EN=1, ??=1. A/B külön befogás; DU átmérő szerinti kiválasztás; F_=STANDARD. Gépre küldés nem történt.</x:v>
      </x:c>
    </x:row>
    <x:row r="5" ht="35" customHeight="1">
      <x:c r="A5" s="4" t="str">
        <x:v>Darab</x:v>
      </x:c>
      <x:c r="B5" s="4" t="str">
        <x:v>Revízió</x:v>
      </x:c>
      <x:c r="C5" s="4" t="str">
        <x:v>Oldal</x:v>
      </x:c>
      <x:c r="D5" s="4" t="str">
        <x:v>Relatív fájl</x:v>
      </x:c>
      <x:c r="E5" s="4" t="str">
        <x:v>Furat db</x:v>
      </x:c>
      <x:c r="F5" s="4" t="str">
        <x:v>Aktiválás</x:v>
      </x:c>
      <x:c r="G5" s="4" t="str">
        <x:v>Kiadási státusz</x:v>
      </x:c>
    </x:row>
    <x:row r="6" ht="32" customHeight="1">
      <x:c r="A6" s="2" t="str">
        <x:v>KI12-TV01S-01</x:v>
      </x:c>
      <x:c r="B6" s="2" t="str">
        <x:v>R13</x:v>
      </x:c>
      <x:c r="C6" s="2" t="str">
        <x:v>B</x:v>
      </x:c>
      <x:c r="D6" s="2" t="str">
        <x:v>mpr_aktiv_tervezet/KI12-TV01S-01_R13_B.mpr</x:v>
      </x:c>
      <x:c r="E6" s="2" t="n">
        <x:v>26</x:v>
      </x:c>
      <x:c r="F6" s="2" t="str">
        <x:v>EN=1 / ??=1</x:v>
      </x:c>
      <x:c r="G6" s="2" t="str">
        <x:v>AKTÍV TERV - MŰHELYBEN TESZTELENDŐ</x:v>
      </x:c>
    </x:row>
    <x:row r="7" ht="32" customHeight="1">
      <x:c r="A7" s="2" t="str">
        <x:v>KI12-TV01S-02</x:v>
      </x:c>
      <x:c r="B7" s="2" t="str">
        <x:v>R13</x:v>
      </x:c>
      <x:c r="C7" s="2" t="str">
        <x:v>A</x:v>
      </x:c>
      <x:c r="D7" s="2" t="str">
        <x:v>mpr_aktiv_tervezet/KI12-TV01S-02_R13_A.mpr</x:v>
      </x:c>
      <x:c r="E7" s="2" t="n">
        <x:v>26</x:v>
      </x:c>
      <x:c r="F7" s="2" t="str">
        <x:v>EN=1 / ??=1</x:v>
      </x:c>
      <x:c r="G7" s="2" t="str">
        <x:v>AKTÍV TERV - MŰHELYBEN TESZTELENDŐ</x:v>
      </x:c>
    </x:row>
    <x:row r="8" ht="32" customHeight="1">
      <x:c r="A8" s="2" t="str">
        <x:v>KI12-TV01T-01</x:v>
      </x:c>
      <x:c r="B8" s="2" t="str">
        <x:v>R13</x:v>
      </x:c>
      <x:c r="C8" s="2" t="str">
        <x:v>A</x:v>
      </x:c>
      <x:c r="D8" s="2" t="str">
        <x:v>mpr_aktiv_tervezet/KI12-TV01T-01_R13_A.mpr</x:v>
      </x:c>
      <x:c r="E8" s="2" t="n">
        <x:v>9</x:v>
      </x:c>
      <x:c r="F8" s="2" t="str">
        <x:v>EN=1 / ??=1</x:v>
      </x:c>
      <x:c r="G8" s="2" t="str">
        <x:v>AKTÍV TERV - MŰHELYBEN TESZTELENDŐ</x:v>
      </x:c>
    </x:row>
    <x:row r="9" ht="32" customHeight="1">
      <x:c r="A9" s="2" t="str">
        <x:v>KI12-TV01T-02</x:v>
      </x:c>
      <x:c r="B9" s="2" t="str">
        <x:v>R13</x:v>
      </x:c>
      <x:c r="C9" s="2" t="str">
        <x:v>A</x:v>
      </x:c>
      <x:c r="D9" s="2" t="str">
        <x:v>mpr_aktiv_tervezet/KI12-TV01T-02_R13_A.mpr</x:v>
      </x:c>
      <x:c r="E9" s="2" t="n">
        <x:v>6</x:v>
      </x:c>
      <x:c r="F9" s="2" t="str">
        <x:v>EN=1 / ??=1</x:v>
      </x:c>
      <x:c r="G9" s="2" t="str">
        <x:v>AKTÍV TERV - MŰHELYBEN TESZTELENDŐ</x:v>
      </x:c>
    </x:row>
    <x:row r="10" ht="32" customHeight="1">
      <x:c r="A10" s="2" t="str">
        <x:v>KI12-TV01T-02</x:v>
      </x:c>
      <x:c r="B10" s="2" t="str">
        <x:v>R13</x:v>
      </x:c>
      <x:c r="C10" s="2" t="str">
        <x:v>B</x:v>
      </x:c>
      <x:c r="D10" s="2" t="str">
        <x:v>mpr_aktiv_tervezet/KI12-TV01T-02_R13_B.mpr</x:v>
      </x:c>
      <x:c r="E10" s="2" t="n">
        <x:v>3</x:v>
      </x:c>
      <x:c r="F10" s="2" t="str">
        <x:v>EN=1 / ??=1</x:v>
      </x:c>
      <x:c r="G10" s="2" t="str">
        <x:v>AKTÍV TERV - MŰHELYBEN TESZTELENDŐ</x:v>
      </x:c>
    </x:row>
    <x:row r="11" ht="32" customHeight="1">
      <x:c r="A11" s="2" t="str">
        <x:v>KI12-TV01C-01</x:v>
      </x:c>
      <x:c r="B11" s="2" t="str">
        <x:v>R13</x:v>
      </x:c>
      <x:c r="C11" s="2" t="str">
        <x:v>A</x:v>
      </x:c>
      <x:c r="D11" s="2" t="str">
        <x:v>mpr_aktiv_tervezet/KI12-TV01C-01_R13_A.mpr</x:v>
      </x:c>
      <x:c r="E11" s="2" t="n">
        <x:v>16</x:v>
      </x:c>
      <x:c r="F11" s="2" t="str">
        <x:v>EN=1 / ??=1</x:v>
      </x:c>
      <x:c r="G11" s="2" t="str">
        <x:v>AKTÍV TERV - MŰHELYBEN TESZTELENDŐ</x:v>
      </x:c>
    </x:row>
    <x:row r="12" ht="32" customHeight="1">
      <x:c r="A12" s="2" t="str">
        <x:v>KI12-TV01C-01</x:v>
      </x:c>
      <x:c r="B12" s="2" t="str">
        <x:v>R13</x:v>
      </x:c>
      <x:c r="C12" s="2" t="str">
        <x:v>B</x:v>
      </x:c>
      <x:c r="D12" s="2" t="str">
        <x:v>mpr_aktiv_tervezet/KI12-TV01C-01_R13_B.mpr</x:v>
      </x:c>
      <x:c r="E12" s="2" t="n">
        <x:v>10</x:v>
      </x:c>
      <x:c r="F12" s="2" t="str">
        <x:v>EN=1 / ??=1</x:v>
      </x:c>
      <x:c r="G12" s="2" t="str">
        <x:v>AKTÍV TERV - MŰHELYBEN TESZTELENDŐ</x:v>
      </x:c>
    </x:row>
    <x:row r="13" ht="32" customHeight="1">
      <x:c r="A13" s="2" t="str">
        <x:v>KI12-TV01F-01</x:v>
      </x:c>
      <x:c r="B13" s="2" t="str">
        <x:v>R13</x:v>
      </x:c>
      <x:c r="C13" s="2" t="str">
        <x:v>A</x:v>
      </x:c>
      <x:c r="D13" s="2" t="str">
        <x:v>mpr_aktiv_tervezet/KI12-TV01F-01_R13_A.mpr</x:v>
      </x:c>
      <x:c r="E13" s="2" t="n">
        <x:v>15</x:v>
      </x:c>
      <x:c r="F13" s="2" t="str">
        <x:v>EN=1 / ??=1</x:v>
      </x:c>
      <x:c r="G13" s="2" t="str">
        <x:v>AKTÍV TERV - MŰHELYBEN TESZTELENDŐ</x:v>
      </x:c>
    </x:row>
    <x:row r="14" ht="32" customHeight="1">
      <x:c r="A14" s="2" t="str">
        <x:v>KI12-TV01F-02</x:v>
      </x:c>
      <x:c r="B14" s="2" t="str">
        <x:v>R13</x:v>
      </x:c>
      <x:c r="C14" s="2" t="str">
        <x:v>A</x:v>
      </x:c>
      <x:c r="D14" s="2" t="str">
        <x:v>mpr_aktiv_tervezet/KI12-TV01F-02_R13_A.mpr</x:v>
      </x:c>
      <x:c r="E14" s="2" t="n">
        <x:v>15</x:v>
      </x:c>
      <x:c r="F14" s="2" t="str">
        <x:v>EN=1 / ??=1</x:v>
      </x:c>
      <x:c r="G14" s="2" t="str">
        <x:v>AKTÍV TERV - MŰHELYBEN TESZTELENDŐ</x:v>
      </x:c>
    </x:row>
    <x:row r="15" ht="32" customHeight="1">
      <x:c r="A15" s="2" t="str">
        <x:v>KI12-TV02S-01</x:v>
      </x:c>
      <x:c r="B15" s="2" t="str">
        <x:v>R13</x:v>
      </x:c>
      <x:c r="C15" s="2" t="str">
        <x:v>A</x:v>
      </x:c>
      <x:c r="D15" s="2" t="str">
        <x:v>mpr_aktiv_tervezet/KI12-TV02S-01_R13_A.mpr</x:v>
      </x:c>
      <x:c r="E15" s="2" t="n">
        <x:v>3</x:v>
      </x:c>
      <x:c r="F15" s="2" t="str">
        <x:v>EN=1 / ??=1</x:v>
      </x:c>
      <x:c r="G15" s="2" t="str">
        <x:v>AKTÍV TERV - MŰHELYBEN TESZTELENDŐ</x:v>
      </x:c>
    </x:row>
    <x:row r="16" ht="32" customHeight="1">
      <x:c r="A16" s="2" t="str">
        <x:v>KI12-TV02S-01</x:v>
      </x:c>
      <x:c r="B16" s="2" t="str">
        <x:v>R13</x:v>
      </x:c>
      <x:c r="C16" s="2" t="str">
        <x:v>B</x:v>
      </x:c>
      <x:c r="D16" s="2" t="str">
        <x:v>mpr_aktiv_tervezet/KI12-TV02S-01_R13_B.mpr</x:v>
      </x:c>
      <x:c r="E16" s="2" t="n">
        <x:v>9</x:v>
      </x:c>
      <x:c r="F16" s="2" t="str">
        <x:v>EN=1 / ??=1</x:v>
      </x:c>
      <x:c r="G16" s="2" t="str">
        <x:v>AKTÍV TERV - MŰHELYBEN TESZTELENDŐ</x:v>
      </x:c>
    </x:row>
    <x:row r="17" ht="32" customHeight="1">
      <x:c r="A17" s="2" t="str">
        <x:v>KI12-TV02S-02</x:v>
      </x:c>
      <x:c r="B17" s="2" t="str">
        <x:v>R13</x:v>
      </x:c>
      <x:c r="C17" s="2" t="str">
        <x:v>A</x:v>
      </x:c>
      <x:c r="D17" s="2" t="str">
        <x:v>mpr_aktiv_tervezet/KI12-TV02S-02_R13_A.mpr</x:v>
      </x:c>
      <x:c r="E17" s="2" t="n">
        <x:v>8</x:v>
      </x:c>
      <x:c r="F17" s="2" t="str">
        <x:v>EN=1 / ??=1</x:v>
      </x:c>
      <x:c r="G17" s="2" t="str">
        <x:v>AKTÍV TERV - MŰHELYBEN TESZTELENDŐ</x:v>
      </x:c>
    </x:row>
    <x:row r="18" ht="32" customHeight="1">
      <x:c r="A18" s="2" t="str">
        <x:v>KI12-TV02S-03</x:v>
      </x:c>
      <x:c r="B18" s="2" t="str">
        <x:v>R13</x:v>
      </x:c>
      <x:c r="C18" s="2" t="str">
        <x:v>A</x:v>
      </x:c>
      <x:c r="D18" s="2" t="str">
        <x:v>mpr_aktiv_tervezet/KI12-TV02S-03_R13_A.mpr</x:v>
      </x:c>
      <x:c r="E18" s="2" t="n">
        <x:v>3</x:v>
      </x:c>
      <x:c r="F18" s="2" t="str">
        <x:v>EN=1 / ??=1</x:v>
      </x:c>
      <x:c r="G18" s="2" t="str">
        <x:v>AKTÍV TERV - MŰHELYBEN TESZTELENDŐ</x:v>
      </x:c>
    </x:row>
    <x:row r="19" ht="32" customHeight="1">
      <x:c r="A19" s="2" t="str">
        <x:v>KI12-TV02S-03</x:v>
      </x:c>
      <x:c r="B19" s="2" t="str">
        <x:v>R13</x:v>
      </x:c>
      <x:c r="C19" s="2" t="str">
        <x:v>B</x:v>
      </x:c>
      <x:c r="D19" s="2" t="str">
        <x:v>mpr_aktiv_tervezet/KI12-TV02S-03_R13_B.mpr</x:v>
      </x:c>
      <x:c r="E19" s="2" t="n">
        <x:v>7</x:v>
      </x:c>
      <x:c r="F19" s="2" t="str">
        <x:v>EN=1 / ??=1</x:v>
      </x:c>
      <x:c r="G19" s="2" t="str">
        <x:v>AKTÍV TERV - MŰHELYBEN TESZTELENDŐ</x:v>
      </x:c>
    </x:row>
    <x:row r="20" ht="32" customHeight="1">
      <x:c r="A20" s="2" t="str">
        <x:v>KI12-TV02S-04</x:v>
      </x:c>
      <x:c r="B20" s="2" t="str">
        <x:v>R13</x:v>
      </x:c>
      <x:c r="C20" s="2" t="str">
        <x:v>A</x:v>
      </x:c>
      <x:c r="D20" s="2" t="str">
        <x:v>mpr_aktiv_tervezet/KI12-TV02S-04_R13_A.mpr</x:v>
      </x:c>
      <x:c r="E20" s="2" t="n">
        <x:v>6</x:v>
      </x:c>
      <x:c r="F20" s="2" t="str">
        <x:v>EN=1 / ??=1</x:v>
      </x:c>
      <x:c r="G20" s="2" t="str">
        <x:v>AKTÍV TERV - MŰHELYBEN TESZTELENDŐ</x:v>
      </x:c>
    </x:row>
    <x:row r="21" ht="32" customHeight="1">
      <x:c r="A21" s="2" t="str">
        <x:v>KI12-TV02S-05</x:v>
      </x:c>
      <x:c r="B21" s="2" t="str">
        <x:v>R13</x:v>
      </x:c>
      <x:c r="C21" s="2" t="str">
        <x:v>A</x:v>
      </x:c>
      <x:c r="D21" s="2" t="str">
        <x:v>mpr_aktiv_tervezet/KI12-TV02S-05_R13_A.mpr</x:v>
      </x:c>
      <x:c r="E21" s="2" t="n">
        <x:v>3</x:v>
      </x:c>
      <x:c r="F21" s="2" t="str">
        <x:v>EN=1 / ??=1</x:v>
      </x:c>
      <x:c r="G21" s="2" t="str">
        <x:v>AKTÍV TERV - MŰHELYBEN TESZTELENDŐ</x:v>
      </x:c>
    </x:row>
    <x:row r="22" ht="32" customHeight="1">
      <x:c r="A22" s="2" t="str">
        <x:v>KI12-TV02S-05</x:v>
      </x:c>
      <x:c r="B22" s="2" t="str">
        <x:v>R13</x:v>
      </x:c>
      <x:c r="C22" s="2" t="str">
        <x:v>B</x:v>
      </x:c>
      <x:c r="D22" s="2" t="str">
        <x:v>mpr_aktiv_tervezet/KI12-TV02S-05_R13_B.mpr</x:v>
      </x:c>
      <x:c r="E22" s="2" t="n">
        <x:v>5</x:v>
      </x:c>
      <x:c r="F22" s="2" t="str">
        <x:v>EN=1 / ??=1</x:v>
      </x:c>
      <x:c r="G22" s="2" t="str">
        <x:v>AKTÍV TERV - MŰHELYBEN TESZTELENDŐ</x:v>
      </x:c>
    </x:row>
    <x:row r="23" ht="32" customHeight="1">
      <x:c r="A23" s="2" t="str">
        <x:v>KI12-TV02S-06</x:v>
      </x:c>
      <x:c r="B23" s="2" t="str">
        <x:v>R13</x:v>
      </x:c>
      <x:c r="C23" s="2" t="str">
        <x:v>A</x:v>
      </x:c>
      <x:c r="D23" s="2" t="str">
        <x:v>mpr_aktiv_tervezet/KI12-TV02S-06_R13_A.mpr</x:v>
      </x:c>
      <x:c r="E23" s="2" t="n">
        <x:v>8</x:v>
      </x:c>
      <x:c r="F23" s="2" t="str">
        <x:v>EN=1 / ??=1</x:v>
      </x:c>
      <x:c r="G23" s="2" t="str">
        <x:v>AKTÍV TERV - MŰHELYBEN TESZTELENDŐ</x:v>
      </x:c>
    </x:row>
    <x:row r="24" ht="32" customHeight="1">
      <x:c r="A24" s="2" t="str">
        <x:v>KI12-TV02S-07</x:v>
      </x:c>
      <x:c r="B24" s="2" t="str">
        <x:v>R13</x:v>
      </x:c>
      <x:c r="C24" s="2" t="str">
        <x:v>A</x:v>
      </x:c>
      <x:c r="D24" s="2" t="str">
        <x:v>mpr_aktiv_tervezet/KI12-TV02S-07_R13_A.mpr</x:v>
      </x:c>
      <x:c r="E24" s="2" t="n">
        <x:v>3</x:v>
      </x:c>
      <x:c r="F24" s="2" t="str">
        <x:v>EN=1 / ??=1</x:v>
      </x:c>
      <x:c r="G24" s="2" t="str">
        <x:v>AKTÍV TERV - MŰHELYBEN TESZTELENDŐ</x:v>
      </x:c>
    </x:row>
    <x:row r="25" ht="32" customHeight="1">
      <x:c r="A25" s="2" t="str">
        <x:v>KI12-TV02S-07</x:v>
      </x:c>
      <x:c r="B25" s="2" t="str">
        <x:v>R13</x:v>
      </x:c>
      <x:c r="C25" s="2" t="str">
        <x:v>B</x:v>
      </x:c>
      <x:c r="D25" s="2" t="str">
        <x:v>mpr_aktiv_tervezet/KI12-TV02S-07_R13_B.mpr</x:v>
      </x:c>
      <x:c r="E25" s="2" t="n">
        <x:v>5</x:v>
      </x:c>
      <x:c r="F25" s="2" t="str">
        <x:v>EN=1 / ??=1</x:v>
      </x:c>
      <x:c r="G25" s="2" t="str">
        <x:v>AKTÍV TERV - MŰHELYBEN TESZTELENDŐ</x:v>
      </x:c>
    </x:row>
    <x:row r="26" ht="32" customHeight="1">
      <x:c r="A26" s="2" t="str">
        <x:v>KI12-TV02S-08</x:v>
      </x:c>
      <x:c r="B26" s="2" t="str">
        <x:v>R13</x:v>
      </x:c>
      <x:c r="C26" s="2" t="str">
        <x:v>A</x:v>
      </x:c>
      <x:c r="D26" s="2" t="str">
        <x:v>mpr_aktiv_tervezet/KI12-TV02S-08_R13_A.mpr</x:v>
      </x:c>
      <x:c r="E26" s="2" t="n">
        <x:v>8</x:v>
      </x:c>
      <x:c r="F26" s="2" t="str">
        <x:v>EN=1 / ??=1</x:v>
      </x:c>
      <x:c r="G26" s="2" t="str">
        <x:v>AKTÍV TERV - MŰHELYBEN TESZTELENDŐ</x:v>
      </x:c>
    </x:row>
    <x:row r="27" ht="32" customHeight="1">
      <x:c r="A27" s="2" t="str">
        <x:v>KI12-TV02S-09</x:v>
      </x:c>
      <x:c r="B27" s="2" t="str">
        <x:v>R13</x:v>
      </x:c>
      <x:c r="C27" s="2" t="str">
        <x:v>A</x:v>
      </x:c>
      <x:c r="D27" s="2" t="str">
        <x:v>mpr_aktiv_tervezet/KI12-TV02S-09_R13_A.mpr</x:v>
      </x:c>
      <x:c r="E27" s="2" t="n">
        <x:v>3</x:v>
      </x:c>
      <x:c r="F27" s="2" t="str">
        <x:v>EN=1 / ??=1</x:v>
      </x:c>
      <x:c r="G27" s="2" t="str">
        <x:v>AKTÍV TERV - MŰHELYBEN TESZTELENDŐ</x:v>
      </x:c>
    </x:row>
    <x:row r="28" ht="32" customHeight="1">
      <x:c r="A28" s="2" t="str">
        <x:v>KI12-TV02S-09</x:v>
      </x:c>
      <x:c r="B28" s="2" t="str">
        <x:v>R13</x:v>
      </x:c>
      <x:c r="C28" s="2" t="str">
        <x:v>B</x:v>
      </x:c>
      <x:c r="D28" s="2" t="str">
        <x:v>mpr_aktiv_tervezet/KI12-TV02S-09_R13_B.mpr</x:v>
      </x:c>
      <x:c r="E28" s="2" t="n">
        <x:v>9</x:v>
      </x:c>
      <x:c r="F28" s="2" t="str">
        <x:v>EN=1 / ??=1</x:v>
      </x:c>
      <x:c r="G28" s="2" t="str">
        <x:v>AKTÍV TERV - MŰHELYBEN TESZTELENDŐ</x:v>
      </x:c>
    </x:row>
    <x:row r="29" ht="32" customHeight="1">
      <x:c r="A29" s="2" t="str">
        <x:v>KI12-TV02S-10</x:v>
      </x:c>
      <x:c r="B29" s="2" t="str">
        <x:v>R13</x:v>
      </x:c>
      <x:c r="C29" s="2" t="str">
        <x:v>A</x:v>
      </x:c>
      <x:c r="D29" s="2" t="str">
        <x:v>mpr_aktiv_tervezet/KI12-TV02S-10_R13_A.mpr</x:v>
      </x:c>
      <x:c r="E29" s="2" t="n">
        <x:v>8</x:v>
      </x:c>
      <x:c r="F29" s="2" t="str">
        <x:v>EN=1 / ??=1</x:v>
      </x:c>
      <x:c r="G29" s="2" t="str">
        <x:v>AKTÍV TERV - MŰHELYBEN TESZTELENDŐ</x:v>
      </x:c>
    </x:row>
    <x:row r="30" ht="32" customHeight="1">
      <x:c r="A30" s="2" t="str">
        <x:v>KI12-TV02T1-01</x:v>
      </x:c>
      <x:c r="B30" s="2" t="str">
        <x:v>R13</x:v>
      </x:c>
      <x:c r="C30" s="2" t="str">
        <x:v>A</x:v>
      </x:c>
      <x:c r="D30" s="2" t="str">
        <x:v>mpr_aktiv_tervezet/KI12-TV02T1-01_R13_A.mpr</x:v>
      </x:c>
      <x:c r="E30" s="2" t="n">
        <x:v>6</x:v>
      </x:c>
      <x:c r="F30" s="2" t="str">
        <x:v>EN=1 / ??=1</x:v>
      </x:c>
      <x:c r="G30" s="2" t="str">
        <x:v>AKTÍV TERV - MŰHELYBEN TESZTELENDŐ</x:v>
      </x:c>
    </x:row>
    <x:row r="31" ht="32" customHeight="1">
      <x:c r="A31" s="2" t="str">
        <x:v>KI12-TV02T2-01</x:v>
      </x:c>
      <x:c r="B31" s="2" t="str">
        <x:v>R13</x:v>
      </x:c>
      <x:c r="C31" s="2" t="str">
        <x:v>A</x:v>
      </x:c>
      <x:c r="D31" s="2" t="str">
        <x:v>mpr_aktiv_tervezet/KI12-TV02T2-01_R13_A.mpr</x:v>
      </x:c>
      <x:c r="E31" s="2" t="n">
        <x:v>6</x:v>
      </x:c>
      <x:c r="F31" s="2" t="str">
        <x:v>EN=1 / ??=1</x:v>
      </x:c>
      <x:c r="G31" s="2" t="str">
        <x:v>AKTÍV TERV - MŰHELYBEN TESZTELENDŐ</x:v>
      </x:c>
    </x:row>
    <x:row r="32" ht="32" customHeight="1">
      <x:c r="A32" s="2" t="str">
        <x:v>KI12-TV02T2-02</x:v>
      </x:c>
      <x:c r="B32" s="2" t="str">
        <x:v>R13</x:v>
      </x:c>
      <x:c r="C32" s="2" t="str">
        <x:v>A</x:v>
      </x:c>
      <x:c r="D32" s="2" t="str">
        <x:v>mpr_aktiv_tervezet/KI12-TV02T2-02_R13_A.mpr</x:v>
      </x:c>
      <x:c r="E32" s="2" t="n">
        <x:v>6</x:v>
      </x:c>
      <x:c r="F32" s="2" t="str">
        <x:v>EN=1 / ??=1</x:v>
      </x:c>
      <x:c r="G32" s="2" t="str">
        <x:v>AKTÍV TERV - MŰHELYBEN TESZTELENDŐ</x:v>
      </x:c>
    </x:row>
    <x:row r="33" ht="32" customHeight="1">
      <x:c r="A33" s="2" t="str">
        <x:v>KI12-TV02T2-03</x:v>
      </x:c>
      <x:c r="B33" s="2" t="str">
        <x:v>R13</x:v>
      </x:c>
      <x:c r="C33" s="2" t="str">
        <x:v>A</x:v>
      </x:c>
      <x:c r="D33" s="2" t="str">
        <x:v>mpr_aktiv_tervezet/KI12-TV02T2-03_R13_A.mpr</x:v>
      </x:c>
      <x:c r="E33" s="2" t="n">
        <x:v>6</x:v>
      </x:c>
      <x:c r="F33" s="2" t="str">
        <x:v>EN=1 / ??=1</x:v>
      </x:c>
      <x:c r="G33" s="2" t="str">
        <x:v>AKTÍV TERV - MŰHELYBEN TESZTELENDŐ</x:v>
      </x:c>
    </x:row>
    <x:row r="34" ht="32" customHeight="1">
      <x:c r="A34" s="2" t="str">
        <x:v>KI12-TV02T2-04</x:v>
      </x:c>
      <x:c r="B34" s="2" t="str">
        <x:v>R13</x:v>
      </x:c>
      <x:c r="C34" s="2" t="str">
        <x:v>A</x:v>
      </x:c>
      <x:c r="D34" s="2" t="str">
        <x:v>mpr_aktiv_tervezet/KI12-TV02T2-04_R13_A.mpr</x:v>
      </x:c>
      <x:c r="E34" s="2" t="n">
        <x:v>6</x:v>
      </x:c>
      <x:c r="F34" s="2" t="str">
        <x:v>EN=1 / ??=1</x:v>
      </x:c>
      <x:c r="G34" s="2" t="str">
        <x:v>AKTÍV TERV - MŰHELYBEN TESZTELENDŐ</x:v>
      </x:c>
    </x:row>
    <x:row r="35" ht="32" customHeight="1">
      <x:c r="A35" s="2" t="str">
        <x:v>KI12-TV02F1-01</x:v>
      </x:c>
      <x:c r="B35" s="2" t="str">
        <x:v>R13</x:v>
      </x:c>
      <x:c r="C35" s="2" t="str">
        <x:v>A</x:v>
      </x:c>
      <x:c r="D35" s="2" t="str">
        <x:v>mpr_aktiv_tervezet/KI12-TV02F1-01_R13_A.mpr</x:v>
      </x:c>
      <x:c r="E35" s="2" t="n">
        <x:v>6</x:v>
      </x:c>
      <x:c r="F35" s="2" t="str">
        <x:v>EN=1 / ??=1</x:v>
      </x:c>
      <x:c r="G35" s="2" t="str">
        <x:v>AKTÍV TERV - MŰHELYBEN TESZTELENDŐ</x:v>
      </x:c>
    </x:row>
    <x:row r="36" ht="32" customHeight="1">
      <x:c r="A36" s="2" t="str">
        <x:v>KI12-TV02F2-01</x:v>
      </x:c>
      <x:c r="B36" s="2" t="str">
        <x:v>R13</x:v>
      </x:c>
      <x:c r="C36" s="2" t="str">
        <x:v>A</x:v>
      </x:c>
      <x:c r="D36" s="2" t="str">
        <x:v>mpr_aktiv_tervezet/KI12-TV02F2-01_R13_A.mpr</x:v>
      </x:c>
      <x:c r="E36" s="2" t="n">
        <x:v>6</x:v>
      </x:c>
      <x:c r="F36" s="2" t="str">
        <x:v>EN=1 / ??=1</x:v>
      </x:c>
      <x:c r="G36" s="2" t="str">
        <x:v>AKTÍV TERV - MŰHELYBEN TESZTELENDŐ</x:v>
      </x:c>
    </x:row>
    <x:row r="37" ht="32" customHeight="1">
      <x:c r="A37" s="2" t="str">
        <x:v>KI12-TV02F2-04</x:v>
      </x:c>
      <x:c r="B37" s="2" t="str">
        <x:v>R13</x:v>
      </x:c>
      <x:c r="C37" s="2" t="str">
        <x:v>A</x:v>
      </x:c>
      <x:c r="D37" s="2" t="str">
        <x:v>mpr_aktiv_tervezet/KI12-TV02F2-04_R13_A.mpr</x:v>
      </x:c>
      <x:c r="E37" s="2" t="n">
        <x:v>6</x:v>
      </x:c>
      <x:c r="F37" s="2" t="str">
        <x:v>EN=1 / ??=1</x:v>
      </x:c>
      <x:c r="G37" s="2" t="str">
        <x:v>AKTÍV TERV - MŰHELYBEN TESZTELENDŐ</x:v>
      </x:c>
    </x:row>
    <x:row r="38" ht="32" customHeight="1">
      <x:c r="A38" s="2" t="str">
        <x:v>KI12-TV02H2-01</x:v>
      </x:c>
      <x:c r="B38" s="2" t="str">
        <x:v>R13</x:v>
      </x:c>
      <x:c r="C38" s="2" t="str">
        <x:v>A</x:v>
      </x:c>
      <x:c r="D38" s="2" t="str">
        <x:v>mpr_aktiv_tervezet/KI12-TV02H2-01_R13_A.mpr</x:v>
      </x:c>
      <x:c r="E38" s="2" t="n">
        <x:v>1</x:v>
      </x:c>
      <x:c r="F38" s="2" t="str">
        <x:v>EN=1 / ??=1</x:v>
      </x:c>
      <x:c r="G38" s="2" t="str">
        <x:v>AKTÍV TERV - MŰHELYBEN TESZTELENDŐ</x:v>
      </x:c>
    </x:row>
    <x:row r="39" ht="32" customHeight="1">
      <x:c r="A39" s="2" t="str">
        <x:v>KI12-TV02CAP-01</x:v>
      </x:c>
      <x:c r="B39" s="2" t="str">
        <x:v>R13</x:v>
      </x:c>
      <x:c r="C39" s="2" t="str">
        <x:v>B</x:v>
      </x:c>
      <x:c r="D39" s="2" t="str">
        <x:v>mpr_aktiv_tervezet/KI12-TV02CAP-01_R13_B.mpr</x:v>
      </x:c>
      <x:c r="E39" s="2" t="n">
        <x:v>30</x:v>
      </x:c>
      <x:c r="F39" s="2" t="str">
        <x:v>EN=1 / ??=1</x:v>
      </x:c>
      <x:c r="G39" s="2" t="str">
        <x:v>AKTÍV TERV - MŰHELYBEN TESZTELENDŐ</x:v>
      </x:c>
    </x:row>
  </x:sheetData>
  <x:pageMargins left="0.7" right="0.7" top="0.75" bottom="0.75" header="0.3" footer="0.3"/>
</x: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9.970000267028809" hidden="0" customWidth="1"/>
    <col min="2" max="2" width="9.970000267028809" hidden="0" customWidth="1"/>
    <col min="3" max="3" width="9.970000267028809" hidden="0" customWidth="1"/>
    <col min="4" max="4" width="9.970000267028809" hidden="0" customWidth="1"/>
    <col min="5" max="5" width="4.199999809265137" hidden="0" customWidth="1"/>
    <col min="6" max="6" width="9.970000267028809" hidden="0" customWidth="1"/>
    <col min="7" max="7" width="9.970000267028809" hidden="0" customWidth="1"/>
    <col min="8" max="8" width="9.970000267028809" hidden="0" customWidth="1"/>
    <col min="9" max="9" width="9.970000267028809" hidden="0" customWidth="1"/>
  </cols>
  <sheetData>
    <row r="1" ht="14.17322826385498" customHeight="1">
      <c r="A1" s="11" t="str">
        <f>Darabok!A6</f>
        <v>KI12-TV01S-01</v>
      </c>
      <c r="B1" s="12"/>
      <c r="C1" s="12"/>
      <c r="D1" s="13"/>
      <c r="E1" s="1"/>
      <c r="F1" s="11" t="str">
        <f>Darabok!A7</f>
        <v>KI12-TV01S-02</v>
      </c>
      <c r="G1" s="12"/>
      <c r="H1" s="12"/>
      <c r="I1" s="13"/>
    </row>
    <row r="2" ht="14.17322826385498" customHeight="1">
      <c r="A2" s="14" t="str">
        <v>R13 / TERV</v>
      </c>
      <c r="B2" s="1"/>
      <c r="C2" s="1"/>
      <c r="D2" s="15"/>
      <c r="E2" s="1"/>
      <c r="F2" s="14" t="str">
        <v>R13 / TERV</v>
      </c>
      <c r="G2" s="1"/>
      <c r="H2" s="1"/>
      <c r="I2" s="15"/>
    </row>
    <row r="3" ht="14.17322826385498" customHeight="1">
      <c r="A3" s="14" t="str">
        <f>Darabok!C6&amp;" x "&amp;Darabok!D6&amp;" x "&amp;Darabok!E6&amp;" mm"</f>
        <v>2330 x 382 x 18 mm</v>
      </c>
      <c r="B3" s="1"/>
      <c r="C3" s="1"/>
      <c r="D3" s="15"/>
      <c r="E3" s="1"/>
      <c r="F3" s="14" t="str">
        <f>Darabok!C7&amp;" x "&amp;Darabok!D7&amp;" x "&amp;Darabok!E7&amp;" mm"</f>
        <v>2330 x 382 x 18 mm</v>
      </c>
      <c r="G3" s="1"/>
      <c r="H3" s="1"/>
      <c r="I3" s="15"/>
    </row>
    <row r="4" ht="14.17322826385498" customHeight="1">
      <c r="A4" s="14" t="str">
        <f>Darabok!F6</f>
        <v>M03</v>
      </c>
      <c r="B4" s="1"/>
      <c r="C4" s="1"/>
      <c r="D4" s="15"/>
      <c r="E4" s="1"/>
      <c r="F4" s="14" t="str">
        <f>Darabok!F7</f>
        <v>M03</v>
      </c>
      <c r="G4" s="1"/>
      <c r="H4" s="1"/>
      <c r="I4" s="15"/>
    </row>
    <row r="5" ht="14.17322826385498" customHeight="1">
      <c r="A5" s="14" t="str">
        <v>A/B: rajz szerint; nem gépi tájoló</v>
      </c>
      <c r="B5" s="1"/>
      <c r="C5" s="1"/>
      <c r="D5" s="15"/>
      <c r="E5" s="1"/>
      <c r="F5" s="14" t="str">
        <v>A/B: rajz szerint; nem gépi tájoló</v>
      </c>
      <c r="G5" s="1"/>
      <c r="H5" s="1"/>
      <c r="I5" s="15"/>
    </row>
    <row r="6" ht="14.17322826385498" customHeight="1">
      <c r="A6" s="14" t="str">
        <f>"C elkod: "&amp;Darabok!P6</f>
        <v>C elkod: NYITOTT</v>
      </c>
      <c r="B6" s="1"/>
      <c r="C6" s="1"/>
      <c r="D6" s="15"/>
      <c r="E6" s="1"/>
      <c r="F6" s="14" t="str">
        <f>"C elkod: "&amp;Darabok!P7</f>
        <v>C elkod: NYITOTT</v>
      </c>
      <c r="G6" s="1"/>
      <c r="H6" s="1"/>
      <c r="I6" s="15"/>
    </row>
    <row r="7" ht="14.17322826385498" customHeight="1">
      <c r="A7" s="14" t="str">
        <v>AKTÍV MPR-TERV / NEM GYÁRTÁSI KIADÁS</v>
      </c>
      <c r="B7" s="1"/>
      <c r="C7" s="1"/>
      <c r="D7" s="15"/>
      <c r="E7" s="1"/>
      <c r="F7" s="14" t="str">
        <v>AKTÍV MPR-TERV / NEM GYÁRTÁSI KIADÁS</v>
      </c>
      <c r="G7" s="1"/>
      <c r="H7" s="1"/>
      <c r="I7" s="15"/>
    </row>
    <row r="8" ht="14.17322826385498" customHeight="1">
      <c r="A8" s="14" t="str">
        <f>Darabok!S6</f>
        <v>R13:KI12-TV01S-01</v>
      </c>
      <c r="B8" s="1"/>
      <c r="C8" s="1"/>
      <c r="D8" s="15"/>
      <c r="E8" s="1"/>
      <c r="F8" s="14" t="str">
        <f>Darabok!S7</f>
        <v>R13:KI12-TV01S-02</v>
      </c>
      <c r="G8" s="1"/>
      <c r="H8" s="1"/>
      <c r="I8" s="15"/>
    </row>
    <row r="9" ht="14.17322826385498" customHeight="1">
      <c r="A9" s="14" t="str">
        <v>PDF-címkén gépi vonalkód is szerepel</v>
      </c>
      <c r="B9" s="1"/>
      <c r="C9" s="1"/>
      <c r="D9" s="15"/>
      <c r="E9" s="1"/>
      <c r="F9" s="14" t="str">
        <v>PDF-címkén gépi vonalkód is szerepel</v>
      </c>
      <c r="G9" s="1"/>
      <c r="H9" s="1"/>
      <c r="I9" s="15"/>
    </row>
    <row r="10" ht="14.17322826385498" customHeight="1">
      <c r="A10" s="16"/>
      <c r="B10" s="17"/>
      <c r="C10" s="17"/>
      <c r="D10" s="18"/>
      <c r="E10" s="1"/>
      <c r="F10" s="16"/>
      <c r="G10" s="17"/>
      <c r="H10" s="17"/>
      <c r="I10" s="18"/>
    </row>
    <row r="11" ht="14.17322826385498" customHeight="1">
      <c r="A11" s="11" t="str">
        <f>Darabok!A8</f>
        <v>KI12-TV01T-01</v>
      </c>
      <c r="B11" s="12"/>
      <c r="C11" s="12"/>
      <c r="D11" s="13"/>
      <c r="E11" s="1"/>
      <c r="F11" s="11" t="str">
        <f>Darabok!A9</f>
        <v>KI12-TV01T-02</v>
      </c>
      <c r="G11" s="12"/>
      <c r="H11" s="12"/>
      <c r="I11" s="13"/>
    </row>
    <row r="12" ht="14.17322826385498" customHeight="1">
      <c r="A12" s="14" t="str">
        <v>R13 / TERV</v>
      </c>
      <c r="B12" s="1"/>
      <c r="C12" s="1"/>
      <c r="D12" s="15"/>
      <c r="E12" s="1"/>
      <c r="F12" s="14" t="str">
        <v>R13 / TERV</v>
      </c>
      <c r="G12" s="1"/>
      <c r="H12" s="1"/>
      <c r="I12" s="15"/>
    </row>
    <row r="13" ht="14.17322826385498" customHeight="1">
      <c r="A13" s="14" t="str">
        <f>Darabok!C8&amp;" x "&amp;Darabok!D8&amp;" x "&amp;Darabok!E8&amp;" mm"</f>
        <v>684 x 382 x 18 mm</v>
      </c>
      <c r="B13" s="1"/>
      <c r="C13" s="1"/>
      <c r="D13" s="15"/>
      <c r="E13" s="1"/>
      <c r="F13" s="14" t="str">
        <f>Darabok!C9&amp;" x "&amp;Darabok!D9&amp;" x "&amp;Darabok!E9&amp;" mm"</f>
        <v>684 x 382 x 18 mm</v>
      </c>
      <c r="G13" s="1"/>
      <c r="H13" s="1"/>
      <c r="I13" s="15"/>
    </row>
    <row r="14" ht="14.17322826385498" customHeight="1">
      <c r="A14" s="14" t="str">
        <f>Darabok!F8</f>
        <v>M03</v>
      </c>
      <c r="B14" s="1"/>
      <c r="C14" s="1"/>
      <c r="D14" s="15"/>
      <c r="E14" s="1"/>
      <c r="F14" s="14" t="str">
        <f>Darabok!F9</f>
        <v>M03</v>
      </c>
      <c r="G14" s="1"/>
      <c r="H14" s="1"/>
      <c r="I14" s="15"/>
    </row>
    <row r="15" ht="14.17322826385498" customHeight="1">
      <c r="A15" s="14" t="str">
        <v>A/B: rajz szerint; nem gépi tájoló</v>
      </c>
      <c r="B15" s="1"/>
      <c r="C15" s="1"/>
      <c r="D15" s="15"/>
      <c r="E15" s="1"/>
      <c r="F15" s="14" t="str">
        <v>A/B: rajz szerint; nem gépi tájoló</v>
      </c>
      <c r="G15" s="1"/>
      <c r="H15" s="1"/>
      <c r="I15" s="15"/>
    </row>
    <row r="16" ht="14.17322826385498" customHeight="1">
      <c r="A16" s="14" t="str">
        <f>"C elkod: "&amp;Darabok!P8</f>
        <v>C elkod: NYITOTT</v>
      </c>
      <c r="B16" s="1"/>
      <c r="C16" s="1"/>
      <c r="D16" s="15"/>
      <c r="E16" s="1"/>
      <c r="F16" s="14" t="str">
        <f>"C elkod: "&amp;Darabok!P9</f>
        <v>C elkod: NYITOTT</v>
      </c>
      <c r="G16" s="1"/>
      <c r="H16" s="1"/>
      <c r="I16" s="15"/>
    </row>
    <row r="17" ht="14.17322826385498" customHeight="1">
      <c r="A17" s="14" t="str">
        <v>AKTÍV MPR-TERV / NEM GYÁRTÁSI KIADÁS</v>
      </c>
      <c r="B17" s="1"/>
      <c r="C17" s="1"/>
      <c r="D17" s="15"/>
      <c r="E17" s="1"/>
      <c r="F17" s="14" t="str">
        <v>AKTÍV MPR-TERV / NEM GYÁRTÁSI KIADÁS</v>
      </c>
      <c r="G17" s="1"/>
      <c r="H17" s="1"/>
      <c r="I17" s="15"/>
    </row>
    <row r="18" ht="14.17322826385498" customHeight="1">
      <c r="A18" s="14" t="str">
        <f>Darabok!S8</f>
        <v>R13:KI12-TV01T-01</v>
      </c>
      <c r="B18" s="1"/>
      <c r="C18" s="1"/>
      <c r="D18" s="15"/>
      <c r="E18" s="1"/>
      <c r="F18" s="14" t="str">
        <f>Darabok!S9</f>
        <v>R13:KI12-TV01T-02</v>
      </c>
      <c r="G18" s="1"/>
      <c r="H18" s="1"/>
      <c r="I18" s="15"/>
    </row>
    <row r="19" ht="14.17322826385498" customHeight="1">
      <c r="A19" s="14" t="str">
        <v>PDF-címkén gépi vonalkód is szerepel</v>
      </c>
      <c r="B19" s="1"/>
      <c r="C19" s="1"/>
      <c r="D19" s="15"/>
      <c r="E19" s="1"/>
      <c r="F19" s="14" t="str">
        <v>PDF-címkén gépi vonalkód is szerepel</v>
      </c>
      <c r="G19" s="1"/>
      <c r="H19" s="1"/>
      <c r="I19" s="15"/>
    </row>
    <row r="20" ht="14.17322826385498" customHeight="1">
      <c r="A20" s="16"/>
      <c r="B20" s="17"/>
      <c r="C20" s="17"/>
      <c r="D20" s="18"/>
      <c r="E20" s="1"/>
      <c r="F20" s="16"/>
      <c r="G20" s="17"/>
      <c r="H20" s="17"/>
      <c r="I20" s="18"/>
    </row>
    <row r="21" ht="14.17322826385498" customHeight="1">
      <c r="A21" s="11" t="str">
        <f>Darabok!A10</f>
        <v>KI12-TV01C-01</v>
      </c>
      <c r="B21" s="12"/>
      <c r="C21" s="12"/>
      <c r="D21" s="13"/>
      <c r="E21" s="1"/>
      <c r="F21" s="11" t="str">
        <f>Darabok!A11</f>
        <v>KI12-TV01P-01</v>
      </c>
      <c r="G21" s="12"/>
      <c r="H21" s="12"/>
      <c r="I21" s="13"/>
    </row>
    <row r="22" ht="14.17322826385498" customHeight="1">
      <c r="A22" s="14" t="str">
        <v>R13 / TERV</v>
      </c>
      <c r="B22" s="1"/>
      <c r="C22" s="1"/>
      <c r="D22" s="15"/>
      <c r="E22" s="1"/>
      <c r="F22" s="14" t="str">
        <v>R13 / TERV</v>
      </c>
      <c r="G22" s="1"/>
      <c r="H22" s="1"/>
      <c r="I22" s="15"/>
    </row>
    <row r="23" ht="14.17322826385498" customHeight="1">
      <c r="A23" s="14" t="str">
        <f>Darabok!C10&amp;" x "&amp;Darabok!D10&amp;" x "&amp;Darabok!E10&amp;" mm"</f>
        <v>2294 x 374 x 18 mm</v>
      </c>
      <c r="B23" s="1"/>
      <c r="C23" s="1"/>
      <c r="D23" s="15"/>
      <c r="E23" s="1"/>
      <c r="F23" s="14" t="str">
        <f>Darabok!C11&amp;" x "&amp;Darabok!D11&amp;" x "&amp;Darabok!E11&amp;" mm"</f>
        <v>331 x 320 x 18 mm</v>
      </c>
      <c r="G23" s="1"/>
      <c r="H23" s="1"/>
      <c r="I23" s="15"/>
    </row>
    <row r="24" ht="14.17322826385498" customHeight="1">
      <c r="A24" s="14" t="str">
        <f>Darabok!F10</f>
        <v>M03</v>
      </c>
      <c r="B24" s="1"/>
      <c r="C24" s="1"/>
      <c r="D24" s="15"/>
      <c r="E24" s="1"/>
      <c r="F24" s="14" t="str">
        <f>Darabok!F11</f>
        <v>M03</v>
      </c>
      <c r="G24" s="1"/>
      <c r="H24" s="1"/>
      <c r="I24" s="15"/>
    </row>
    <row r="25" ht="14.17322826385498" customHeight="1">
      <c r="A25" s="14" t="str">
        <v>A/B: rajz szerint; nem gépi tájoló</v>
      </c>
      <c r="B25" s="1"/>
      <c r="C25" s="1"/>
      <c r="D25" s="15"/>
      <c r="E25" s="1"/>
      <c r="F25" s="14" t="str">
        <v>A/B: rajz szerint; nem gépi tájoló</v>
      </c>
      <c r="G25" s="1"/>
      <c r="H25" s="1"/>
      <c r="I25" s="15"/>
    </row>
    <row r="26" ht="14.17322826385498" customHeight="1">
      <c r="A26" s="14" t="str">
        <f>"C elkod: "&amp;Darabok!P10</f>
        <v>C elkod: NYITOTT</v>
      </c>
      <c r="B26" s="1"/>
      <c r="C26" s="1"/>
      <c r="D26" s="15"/>
      <c r="E26" s="1"/>
      <c r="F26" s="14" t="str">
        <f>"C elkod: "&amp;Darabok!P11</f>
        <v>C elkod: NYITOTT</v>
      </c>
      <c r="G26" s="1"/>
      <c r="H26" s="1"/>
      <c r="I26" s="15"/>
    </row>
    <row r="27" ht="14.17322826385498" customHeight="1">
      <c r="A27" s="14" t="str">
        <v>AKTÍV MPR-TERV / NEM GYÁRTÁSI KIADÁS</v>
      </c>
      <c r="B27" s="1"/>
      <c r="C27" s="1"/>
      <c r="D27" s="15"/>
      <c r="E27" s="1"/>
      <c r="F27" s="14" t="str">
        <v>AKTÍV MPR-TERV / NEM GYÁRTÁSI KIADÁS</v>
      </c>
      <c r="G27" s="1"/>
      <c r="H27" s="1"/>
      <c r="I27" s="15"/>
    </row>
    <row r="28" ht="14.17322826385498" customHeight="1">
      <c r="A28" s="14" t="str">
        <f>Darabok!S10</f>
        <v>R13:KI12-TV01C-01</v>
      </c>
      <c r="B28" s="1"/>
      <c r="C28" s="1"/>
      <c r="D28" s="15"/>
      <c r="E28" s="1"/>
      <c r="F28" s="14" t="str">
        <f>Darabok!S11</f>
        <v>R13:KI12-TV01P-01</v>
      </c>
      <c r="G28" s="1"/>
      <c r="H28" s="1"/>
      <c r="I28" s="15"/>
    </row>
    <row r="29" ht="14.17322826385498" customHeight="1">
      <c r="A29" s="14" t="str">
        <v>PDF-címkén gépi vonalkód is szerepel</v>
      </c>
      <c r="B29" s="1"/>
      <c r="C29" s="1"/>
      <c r="D29" s="15"/>
      <c r="E29" s="1"/>
      <c r="F29" s="14" t="str">
        <v>PDF-címkén gépi vonalkód is szerepel</v>
      </c>
      <c r="G29" s="1"/>
      <c r="H29" s="1"/>
      <c r="I29" s="15"/>
    </row>
    <row r="30" ht="14.17322826385498" customHeight="1">
      <c r="A30" s="16"/>
      <c r="B30" s="17"/>
      <c r="C30" s="17"/>
      <c r="D30" s="18"/>
      <c r="E30" s="1"/>
      <c r="F30" s="16"/>
      <c r="G30" s="17"/>
      <c r="H30" s="17"/>
      <c r="I30" s="18"/>
    </row>
    <row r="31" ht="14.17322826385498" customHeight="1">
      <c r="A31" s="11" t="str">
        <f>Darabok!A12</f>
        <v>KI12-TV01P-02</v>
      </c>
      <c r="B31" s="12"/>
      <c r="C31" s="12"/>
      <c r="D31" s="13"/>
      <c r="E31" s="1"/>
      <c r="F31" s="11" t="str">
        <f>Darabok!A13</f>
        <v>KI12-TV01P-03</v>
      </c>
      <c r="G31" s="12"/>
      <c r="H31" s="12"/>
      <c r="I31" s="13"/>
    </row>
    <row r="32" ht="14.17322826385498" customHeight="1">
      <c r="A32" s="14" t="str">
        <v>R13 / TERV</v>
      </c>
      <c r="B32" s="1"/>
      <c r="C32" s="1"/>
      <c r="D32" s="15"/>
      <c r="E32" s="1"/>
      <c r="F32" s="14" t="str">
        <v>R13 / TERV</v>
      </c>
      <c r="G32" s="1"/>
      <c r="H32" s="1"/>
      <c r="I32" s="15"/>
    </row>
    <row r="33" ht="14.17322826385498" customHeight="1">
      <c r="A33" s="14" t="str">
        <f>Darabok!C12&amp;" x "&amp;Darabok!D12&amp;" x "&amp;Darabok!E12&amp;" mm"</f>
        <v>331 x 320 x 18 mm</v>
      </c>
      <c r="B33" s="1"/>
      <c r="C33" s="1"/>
      <c r="D33" s="15"/>
      <c r="E33" s="1"/>
      <c r="F33" s="14" t="str">
        <f>Darabok!C13&amp;" x "&amp;Darabok!D13&amp;" x "&amp;Darabok!E13&amp;" mm"</f>
        <v>331 x 320 x 18 mm</v>
      </c>
      <c r="G33" s="1"/>
      <c r="H33" s="1"/>
      <c r="I33" s="15"/>
    </row>
    <row r="34" ht="14.17322826385498" customHeight="1">
      <c r="A34" s="14" t="str">
        <f>Darabok!F12</f>
        <v>M03</v>
      </c>
      <c r="B34" s="1"/>
      <c r="C34" s="1"/>
      <c r="D34" s="15"/>
      <c r="E34" s="1"/>
      <c r="F34" s="14" t="str">
        <f>Darabok!F13</f>
        <v>M03</v>
      </c>
      <c r="G34" s="1"/>
      <c r="H34" s="1"/>
      <c r="I34" s="15"/>
    </row>
    <row r="35" ht="14.17322826385498" customHeight="1">
      <c r="A35" s="14" t="str">
        <v>A/B: rajz szerint; nem gépi tájoló</v>
      </c>
      <c r="B35" s="1"/>
      <c r="C35" s="1"/>
      <c r="D35" s="15"/>
      <c r="E35" s="1"/>
      <c r="F35" s="14" t="str">
        <v>A/B: rajz szerint; nem gépi tájoló</v>
      </c>
      <c r="G35" s="1"/>
      <c r="H35" s="1"/>
      <c r="I35" s="15"/>
    </row>
    <row r="36" ht="14.17322826385498" customHeight="1">
      <c r="A36" s="14" t="str">
        <f>"C elkod: "&amp;Darabok!P12</f>
        <v>C elkod: NYITOTT</v>
      </c>
      <c r="B36" s="1"/>
      <c r="C36" s="1"/>
      <c r="D36" s="15"/>
      <c r="E36" s="1"/>
      <c r="F36" s="14" t="str">
        <f>"C elkod: "&amp;Darabok!P13</f>
        <v>C elkod: NYITOTT</v>
      </c>
      <c r="G36" s="1"/>
      <c r="H36" s="1"/>
      <c r="I36" s="15"/>
    </row>
    <row r="37" ht="14.17322826385498" customHeight="1">
      <c r="A37" s="14" t="str">
        <v>AKTÍV MPR-TERV / NEM GYÁRTÁSI KIADÁS</v>
      </c>
      <c r="B37" s="1"/>
      <c r="C37" s="1"/>
      <c r="D37" s="15"/>
      <c r="E37" s="1"/>
      <c r="F37" s="14" t="str">
        <v>AKTÍV MPR-TERV / NEM GYÁRTÁSI KIADÁS</v>
      </c>
      <c r="G37" s="1"/>
      <c r="H37" s="1"/>
      <c r="I37" s="15"/>
    </row>
    <row r="38" ht="14.17322826385498" customHeight="1">
      <c r="A38" s="14" t="str">
        <f>Darabok!S12</f>
        <v>R13:KI12-TV01P-02</v>
      </c>
      <c r="B38" s="1"/>
      <c r="C38" s="1"/>
      <c r="D38" s="15"/>
      <c r="E38" s="1"/>
      <c r="F38" s="14" t="str">
        <f>Darabok!S13</f>
        <v>R13:KI12-TV01P-03</v>
      </c>
      <c r="G38" s="1"/>
      <c r="H38" s="1"/>
      <c r="I38" s="15"/>
    </row>
    <row r="39" ht="14.17322826385498" customHeight="1">
      <c r="A39" s="14" t="str">
        <v>PDF-címkén gépi vonalkód is szerepel</v>
      </c>
      <c r="B39" s="1"/>
      <c r="C39" s="1"/>
      <c r="D39" s="15"/>
      <c r="E39" s="1"/>
      <c r="F39" s="14" t="str">
        <v>PDF-címkén gépi vonalkód is szerepel</v>
      </c>
      <c r="G39" s="1"/>
      <c r="H39" s="1"/>
      <c r="I39" s="15"/>
    </row>
    <row r="40" ht="14.17322826385498" customHeight="1">
      <c r="A40" s="16"/>
      <c r="B40" s="17"/>
      <c r="C40" s="17"/>
      <c r="D40" s="18"/>
      <c r="E40" s="1"/>
      <c r="F40" s="16"/>
      <c r="G40" s="17"/>
      <c r="H40" s="17"/>
      <c r="I40" s="18"/>
    </row>
    <row r="41" ht="14.17322826385498" customHeight="1">
      <c r="A41" s="11" t="str">
        <f>Darabok!A14</f>
        <v>KI12-TV01P-04</v>
      </c>
      <c r="B41" s="12"/>
      <c r="C41" s="12"/>
      <c r="D41" s="13"/>
      <c r="E41" s="1"/>
      <c r="F41" s="11" t="str">
        <f>Darabok!A15</f>
        <v>KI12-TV01P-05</v>
      </c>
      <c r="G41" s="12"/>
      <c r="H41" s="12"/>
      <c r="I41" s="13"/>
    </row>
    <row r="42" ht="14.17322826385498" customHeight="1">
      <c r="A42" s="14" t="str">
        <v>R13 / TERV</v>
      </c>
      <c r="B42" s="1"/>
      <c r="C42" s="1"/>
      <c r="D42" s="15"/>
      <c r="E42" s="1"/>
      <c r="F42" s="14" t="str">
        <v>R13 / TERV</v>
      </c>
      <c r="G42" s="1"/>
      <c r="H42" s="1"/>
      <c r="I42" s="15"/>
    </row>
    <row r="43" ht="14.17322826385498" customHeight="1">
      <c r="A43" s="14" t="str">
        <f>Darabok!C14&amp;" x "&amp;Darabok!D14&amp;" x "&amp;Darabok!E14&amp;" mm"</f>
        <v>331 x 320 x 18 mm</v>
      </c>
      <c r="B43" s="1"/>
      <c r="C43" s="1"/>
      <c r="D43" s="15"/>
      <c r="E43" s="1"/>
      <c r="F43" s="14" t="str">
        <f>Darabok!C15&amp;" x "&amp;Darabok!D15&amp;" x "&amp;Darabok!E15&amp;" mm"</f>
        <v>331 x 320 x 18 mm</v>
      </c>
      <c r="G43" s="1"/>
      <c r="H43" s="1"/>
      <c r="I43" s="15"/>
    </row>
    <row r="44" ht="14.17322826385498" customHeight="1">
      <c r="A44" s="14" t="str">
        <f>Darabok!F14</f>
        <v>M03</v>
      </c>
      <c r="B44" s="1"/>
      <c r="C44" s="1"/>
      <c r="D44" s="15"/>
      <c r="E44" s="1"/>
      <c r="F44" s="14" t="str">
        <f>Darabok!F15</f>
        <v>M03</v>
      </c>
      <c r="G44" s="1"/>
      <c r="H44" s="1"/>
      <c r="I44" s="15"/>
    </row>
    <row r="45" ht="14.17322826385498" customHeight="1">
      <c r="A45" s="14" t="str">
        <v>A/B: rajz szerint; nem gépi tájoló</v>
      </c>
      <c r="B45" s="1"/>
      <c r="C45" s="1"/>
      <c r="D45" s="15"/>
      <c r="E45" s="1"/>
      <c r="F45" s="14" t="str">
        <v>A/B: rajz szerint; nem gépi tájoló</v>
      </c>
      <c r="G45" s="1"/>
      <c r="H45" s="1"/>
      <c r="I45" s="15"/>
    </row>
    <row r="46" ht="14.17322826385498" customHeight="1">
      <c r="A46" s="14" t="str">
        <f>"C elkod: "&amp;Darabok!P14</f>
        <v>C elkod: NYITOTT</v>
      </c>
      <c r="B46" s="1"/>
      <c r="C46" s="1"/>
      <c r="D46" s="15"/>
      <c r="E46" s="1"/>
      <c r="F46" s="14" t="str">
        <f>"C elkod: "&amp;Darabok!P15</f>
        <v>C elkod: NYITOTT</v>
      </c>
      <c r="G46" s="1"/>
      <c r="H46" s="1"/>
      <c r="I46" s="15"/>
    </row>
    <row r="47" ht="14.17322826385498" customHeight="1">
      <c r="A47" s="14" t="str">
        <v>AKTÍV MPR-TERV / NEM GYÁRTÁSI KIADÁS</v>
      </c>
      <c r="B47" s="1"/>
      <c r="C47" s="1"/>
      <c r="D47" s="15"/>
      <c r="E47" s="1"/>
      <c r="F47" s="14" t="str">
        <v>AKTÍV MPR-TERV / NEM GYÁRTÁSI KIADÁS</v>
      </c>
      <c r="G47" s="1"/>
      <c r="H47" s="1"/>
      <c r="I47" s="15"/>
    </row>
    <row r="48" ht="14.17322826385498" customHeight="1">
      <c r="A48" s="14" t="str">
        <f>Darabok!S14</f>
        <v>R13:KI12-TV01P-04</v>
      </c>
      <c r="B48" s="1"/>
      <c r="C48" s="1"/>
      <c r="D48" s="15"/>
      <c r="E48" s="1"/>
      <c r="F48" s="14" t="str">
        <f>Darabok!S15</f>
        <v>R13:KI12-TV01P-05</v>
      </c>
      <c r="G48" s="1"/>
      <c r="H48" s="1"/>
      <c r="I48" s="15"/>
    </row>
    <row r="49" ht="14.17322826385498" customHeight="1">
      <c r="A49" s="14" t="str">
        <v>PDF-címkén gépi vonalkód is szerepel</v>
      </c>
      <c r="B49" s="1"/>
      <c r="C49" s="1"/>
      <c r="D49" s="15"/>
      <c r="E49" s="1"/>
      <c r="F49" s="14" t="str">
        <v>PDF-címkén gépi vonalkód is szerepel</v>
      </c>
      <c r="G49" s="1"/>
      <c r="H49" s="1"/>
      <c r="I49" s="15"/>
    </row>
    <row r="50" ht="14.17322826385498" customHeight="1">
      <c r="A50" s="16"/>
      <c r="B50" s="17"/>
      <c r="C50" s="17"/>
      <c r="D50" s="18"/>
      <c r="E50" s="1"/>
      <c r="F50" s="16"/>
      <c r="G50" s="17"/>
      <c r="H50" s="17"/>
      <c r="I50" s="18"/>
    </row>
    <row r="51" ht="14.17322826385498" customHeight="1">
      <c r="A51" s="11" t="str">
        <f>Darabok!A16</f>
        <v>KI12-TV01P-06</v>
      </c>
      <c r="B51" s="12"/>
      <c r="C51" s="12"/>
      <c r="D51" s="13"/>
      <c r="E51" s="1"/>
      <c r="F51" s="11" t="str">
        <f>Darabok!A17</f>
        <v>KI12-TV01P-07</v>
      </c>
      <c r="G51" s="12"/>
      <c r="H51" s="12"/>
      <c r="I51" s="13"/>
    </row>
    <row r="52" ht="14.17322826385498" customHeight="1">
      <c r="A52" s="14" t="str">
        <v>R13 / TERV</v>
      </c>
      <c r="B52" s="1"/>
      <c r="C52" s="1"/>
      <c r="D52" s="15"/>
      <c r="E52" s="1"/>
      <c r="F52" s="14" t="str">
        <v>R13 / TERV</v>
      </c>
      <c r="G52" s="1"/>
      <c r="H52" s="1"/>
      <c r="I52" s="15"/>
    </row>
    <row r="53" ht="14.17322826385498" customHeight="1">
      <c r="A53" s="14" t="str">
        <f>Darabok!C16&amp;" x "&amp;Darabok!D16&amp;" x "&amp;Darabok!E16&amp;" mm"</f>
        <v>331 x 320 x 18 mm</v>
      </c>
      <c r="B53" s="1"/>
      <c r="C53" s="1"/>
      <c r="D53" s="15"/>
      <c r="E53" s="1"/>
      <c r="F53" s="14" t="str">
        <f>Darabok!C17&amp;" x "&amp;Darabok!D17&amp;" x "&amp;Darabok!E17&amp;" mm"</f>
        <v>331 x 320 x 18 mm</v>
      </c>
      <c r="G53" s="1"/>
      <c r="H53" s="1"/>
      <c r="I53" s="15"/>
    </row>
    <row r="54" ht="14.17322826385498" customHeight="1">
      <c r="A54" s="14" t="str">
        <f>Darabok!F16</f>
        <v>M03</v>
      </c>
      <c r="B54" s="1"/>
      <c r="C54" s="1"/>
      <c r="D54" s="15"/>
      <c r="E54" s="1"/>
      <c r="F54" s="14" t="str">
        <f>Darabok!F17</f>
        <v>M03</v>
      </c>
      <c r="G54" s="1"/>
      <c r="H54" s="1"/>
      <c r="I54" s="15"/>
    </row>
    <row r="55" ht="14.17322826385498" customHeight="1">
      <c r="A55" s="14" t="str">
        <v>A/B: rajz szerint; nem gépi tájoló</v>
      </c>
      <c r="B55" s="1"/>
      <c r="C55" s="1"/>
      <c r="D55" s="15"/>
      <c r="E55" s="1"/>
      <c r="F55" s="14" t="str">
        <v>A/B: rajz szerint; nem gépi tájoló</v>
      </c>
      <c r="G55" s="1"/>
      <c r="H55" s="1"/>
      <c r="I55" s="15"/>
    </row>
    <row r="56" ht="14.17322826385498" customHeight="1">
      <c r="A56" s="14" t="str">
        <f>"C elkod: "&amp;Darabok!P16</f>
        <v>C elkod: NYITOTT</v>
      </c>
      <c r="B56" s="1"/>
      <c r="C56" s="1"/>
      <c r="D56" s="15"/>
      <c r="E56" s="1"/>
      <c r="F56" s="14" t="str">
        <f>"C elkod: "&amp;Darabok!P17</f>
        <v>C elkod: NYITOTT</v>
      </c>
      <c r="G56" s="1"/>
      <c r="H56" s="1"/>
      <c r="I56" s="15"/>
    </row>
    <row r="57" ht="14.17322826385498" customHeight="1">
      <c r="A57" s="14" t="str">
        <v>AKTÍV MPR-TERV / NEM GYÁRTÁSI KIADÁS</v>
      </c>
      <c r="B57" s="1"/>
      <c r="C57" s="1"/>
      <c r="D57" s="15"/>
      <c r="E57" s="1"/>
      <c r="F57" s="14" t="str">
        <v>AKTÍV MPR-TERV / NEM GYÁRTÁSI KIADÁS</v>
      </c>
      <c r="G57" s="1"/>
      <c r="H57" s="1"/>
      <c r="I57" s="15"/>
    </row>
    <row r="58" ht="14.17322826385498" customHeight="1">
      <c r="A58" s="14" t="str">
        <f>Darabok!S16</f>
        <v>R13:KI12-TV01P-06</v>
      </c>
      <c r="B58" s="1"/>
      <c r="C58" s="1"/>
      <c r="D58" s="15"/>
      <c r="E58" s="1"/>
      <c r="F58" s="14" t="str">
        <f>Darabok!S17</f>
        <v>R13:KI12-TV01P-07</v>
      </c>
      <c r="G58" s="1"/>
      <c r="H58" s="1"/>
      <c r="I58" s="15"/>
    </row>
    <row r="59" ht="14.17322826385498" customHeight="1">
      <c r="A59" s="14" t="str">
        <v>PDF-címkén gépi vonalkód is szerepel</v>
      </c>
      <c r="B59" s="1"/>
      <c r="C59" s="1"/>
      <c r="D59" s="15"/>
      <c r="E59" s="1"/>
      <c r="F59" s="14" t="str">
        <v>PDF-címkén gépi vonalkód is szerepel</v>
      </c>
      <c r="G59" s="1"/>
      <c r="H59" s="1"/>
      <c r="I59" s="15"/>
    </row>
    <row r="60" ht="14.17322826385498" customHeight="1">
      <c r="A60" s="16"/>
      <c r="B60" s="17"/>
      <c r="C60" s="17"/>
      <c r="D60" s="18"/>
      <c r="E60" s="1"/>
      <c r="F60" s="16"/>
      <c r="G60" s="17"/>
      <c r="H60" s="17"/>
      <c r="I60" s="18"/>
    </row>
    <row r="61" ht="14.17322826385498" customHeight="1">
      <c r="A61" s="11" t="str">
        <f>Darabok!A18</f>
        <v>KI12-TV01P-08</v>
      </c>
      <c r="B61" s="12"/>
      <c r="C61" s="12"/>
      <c r="D61" s="13"/>
      <c r="E61" s="1"/>
      <c r="F61" s="11" t="str">
        <f>Darabok!A19</f>
        <v>KI12-TV01P-09</v>
      </c>
      <c r="G61" s="12"/>
      <c r="H61" s="12"/>
      <c r="I61" s="13"/>
    </row>
    <row r="62" ht="14.17322826385498" customHeight="1">
      <c r="A62" s="14" t="str">
        <v>R13 / TERV</v>
      </c>
      <c r="B62" s="1"/>
      <c r="C62" s="1"/>
      <c r="D62" s="15"/>
      <c r="E62" s="1"/>
      <c r="F62" s="14" t="str">
        <v>R13 / TERV</v>
      </c>
      <c r="G62" s="1"/>
      <c r="H62" s="1"/>
      <c r="I62" s="15"/>
    </row>
    <row r="63" ht="14.17322826385498" customHeight="1">
      <c r="A63" s="14" t="str">
        <f>Darabok!C18&amp;" x "&amp;Darabok!D18&amp;" x "&amp;Darabok!E18&amp;" mm"</f>
        <v>331 x 320 x 18 mm</v>
      </c>
      <c r="B63" s="1"/>
      <c r="C63" s="1"/>
      <c r="D63" s="15"/>
      <c r="E63" s="1"/>
      <c r="F63" s="14" t="str">
        <f>Darabok!C19&amp;" x "&amp;Darabok!D19&amp;" x "&amp;Darabok!E19&amp;" mm"</f>
        <v>331 x 320 x 18 mm</v>
      </c>
      <c r="G63" s="1"/>
      <c r="H63" s="1"/>
      <c r="I63" s="15"/>
    </row>
    <row r="64" ht="14.17322826385498" customHeight="1">
      <c r="A64" s="14" t="str">
        <f>Darabok!F18</f>
        <v>M03</v>
      </c>
      <c r="B64" s="1"/>
      <c r="C64" s="1"/>
      <c r="D64" s="15"/>
      <c r="E64" s="1"/>
      <c r="F64" s="14" t="str">
        <f>Darabok!F19</f>
        <v>M03</v>
      </c>
      <c r="G64" s="1"/>
      <c r="H64" s="1"/>
      <c r="I64" s="15"/>
    </row>
    <row r="65" ht="14.17322826385498" customHeight="1">
      <c r="A65" s="14" t="str">
        <v>A/B: rajz szerint; nem gépi tájoló</v>
      </c>
      <c r="B65" s="1"/>
      <c r="C65" s="1"/>
      <c r="D65" s="15"/>
      <c r="E65" s="1"/>
      <c r="F65" s="14" t="str">
        <v>A/B: rajz szerint; nem gépi tájoló</v>
      </c>
      <c r="G65" s="1"/>
      <c r="H65" s="1"/>
      <c r="I65" s="15"/>
    </row>
    <row r="66" ht="14.17322826385498" customHeight="1">
      <c r="A66" s="14" t="str">
        <f>"C elkod: "&amp;Darabok!P18</f>
        <v>C elkod: NYITOTT</v>
      </c>
      <c r="B66" s="1"/>
      <c r="C66" s="1"/>
      <c r="D66" s="15"/>
      <c r="E66" s="1"/>
      <c r="F66" s="14" t="str">
        <f>"C elkod: "&amp;Darabok!P19</f>
        <v>C elkod: NYITOTT</v>
      </c>
      <c r="G66" s="1"/>
      <c r="H66" s="1"/>
      <c r="I66" s="15"/>
    </row>
    <row r="67" ht="14.17322826385498" customHeight="1">
      <c r="A67" s="14" t="str">
        <v>AKTÍV MPR-TERV / NEM GYÁRTÁSI KIADÁS</v>
      </c>
      <c r="B67" s="1"/>
      <c r="C67" s="1"/>
      <c r="D67" s="15"/>
      <c r="E67" s="1"/>
      <c r="F67" s="14" t="str">
        <v>AKTÍV MPR-TERV / NEM GYÁRTÁSI KIADÁS</v>
      </c>
      <c r="G67" s="1"/>
      <c r="H67" s="1"/>
      <c r="I67" s="15"/>
    </row>
    <row r="68" ht="14.17322826385498" customHeight="1">
      <c r="A68" s="14" t="str">
        <f>Darabok!S18</f>
        <v>R13:KI12-TV01P-08</v>
      </c>
      <c r="B68" s="1"/>
      <c r="C68" s="1"/>
      <c r="D68" s="15"/>
      <c r="E68" s="1"/>
      <c r="F68" s="14" t="str">
        <f>Darabok!S19</f>
        <v>R13:KI12-TV01P-09</v>
      </c>
      <c r="G68" s="1"/>
      <c r="H68" s="1"/>
      <c r="I68" s="15"/>
    </row>
    <row r="69" ht="14.17322826385498" customHeight="1">
      <c r="A69" s="14" t="str">
        <v>PDF-címkén gépi vonalkód is szerepel</v>
      </c>
      <c r="B69" s="1"/>
      <c r="C69" s="1"/>
      <c r="D69" s="15"/>
      <c r="E69" s="1"/>
      <c r="F69" s="14" t="str">
        <v>PDF-címkén gépi vonalkód is szerepel</v>
      </c>
      <c r="G69" s="1"/>
      <c r="H69" s="1"/>
      <c r="I69" s="15"/>
    </row>
    <row r="70" ht="14.17322826385498" customHeight="1">
      <c r="A70" s="16"/>
      <c r="B70" s="17"/>
      <c r="C70" s="17"/>
      <c r="D70" s="18"/>
      <c r="E70" s="1"/>
      <c r="F70" s="16"/>
      <c r="G70" s="17"/>
      <c r="H70" s="17"/>
      <c r="I70" s="18"/>
    </row>
    <row r="71" ht="14.17322826385498" customHeight="1">
      <c r="A71" s="11" t="str">
        <f>Darabok!A20</f>
        <v>KI12-TV01P-10</v>
      </c>
      <c r="B71" s="12"/>
      <c r="C71" s="12"/>
      <c r="D71" s="13"/>
      <c r="E71" s="1"/>
      <c r="F71" s="11" t="str">
        <f>Darabok!A21</f>
        <v>KI12-TV01F-01</v>
      </c>
      <c r="G71" s="12"/>
      <c r="H71" s="12"/>
      <c r="I71" s="13"/>
    </row>
    <row r="72" ht="14.17322826385498" customHeight="1">
      <c r="A72" s="14" t="str">
        <v>R13 / TERV</v>
      </c>
      <c r="B72" s="1"/>
      <c r="C72" s="1"/>
      <c r="D72" s="15"/>
      <c r="E72" s="1"/>
      <c r="F72" s="14" t="str">
        <v>R13 / TERV</v>
      </c>
      <c r="G72" s="1"/>
      <c r="H72" s="1"/>
      <c r="I72" s="15"/>
    </row>
    <row r="73" ht="14.17322826385498" customHeight="1">
      <c r="A73" s="14" t="str">
        <f>Darabok!C20&amp;" x "&amp;Darabok!D20&amp;" x "&amp;Darabok!E20&amp;" mm"</f>
        <v>331 x 320 x 18 mm</v>
      </c>
      <c r="B73" s="1"/>
      <c r="C73" s="1"/>
      <c r="D73" s="15"/>
      <c r="E73" s="1"/>
      <c r="F73" s="14" t="str">
        <f>Darabok!C21&amp;" x "&amp;Darabok!D21&amp;" x "&amp;Darabok!E21&amp;" mm"</f>
        <v>2327 x 357 x 18 mm</v>
      </c>
      <c r="G73" s="1"/>
      <c r="H73" s="1"/>
      <c r="I73" s="15"/>
    </row>
    <row r="74" ht="14.17322826385498" customHeight="1">
      <c r="A74" s="14" t="str">
        <f>Darabok!F20</f>
        <v>M03</v>
      </c>
      <c r="B74" s="1"/>
      <c r="C74" s="1"/>
      <c r="D74" s="15"/>
      <c r="E74" s="1"/>
      <c r="F74" s="14" t="str">
        <f>Darabok!F21</f>
        <v>M01+nyomat</v>
      </c>
      <c r="G74" s="1"/>
      <c r="H74" s="1"/>
      <c r="I74" s="15"/>
    </row>
    <row r="75" ht="14.17322826385498" customHeight="1">
      <c r="A75" s="14" t="str">
        <v>A/B: rajz szerint; nem gépi tájoló</v>
      </c>
      <c r="B75" s="1"/>
      <c r="C75" s="1"/>
      <c r="D75" s="15"/>
      <c r="E75" s="1"/>
      <c r="F75" s="14" t="str">
        <v>A/B: rajz szerint; nem gépi tájoló</v>
      </c>
      <c r="G75" s="1"/>
      <c r="H75" s="1"/>
      <c r="I75" s="15"/>
    </row>
    <row r="76" ht="14.17322826385498" customHeight="1">
      <c r="A76" s="14" t="str">
        <f>"C elkod: "&amp;Darabok!P20</f>
        <v>C elkod: NYITOTT</v>
      </c>
      <c r="B76" s="1"/>
      <c r="C76" s="1"/>
      <c r="D76" s="15"/>
      <c r="E76" s="1"/>
      <c r="F76" s="14" t="str">
        <f>"C elkod: "&amp;Darabok!P21</f>
        <v>C elkod: NYITOTT</v>
      </c>
      <c r="G76" s="1"/>
      <c r="H76" s="1"/>
      <c r="I76" s="15"/>
    </row>
    <row r="77" ht="14.17322826385498" customHeight="1">
      <c r="A77" s="14" t="str">
        <v>AKTÍV MPR-TERV / NEM GYÁRTÁSI KIADÁS</v>
      </c>
      <c r="B77" s="1"/>
      <c r="C77" s="1"/>
      <c r="D77" s="15"/>
      <c r="E77" s="1"/>
      <c r="F77" s="14" t="str">
        <v>AKTÍV MPR-TERV / NEM GYÁRTÁSI KIADÁS</v>
      </c>
      <c r="G77" s="1"/>
      <c r="H77" s="1"/>
      <c r="I77" s="15"/>
    </row>
    <row r="78" ht="14.17322826385498" customHeight="1">
      <c r="A78" s="14" t="str">
        <f>Darabok!S20</f>
        <v>R13:KI12-TV01P-10</v>
      </c>
      <c r="B78" s="1"/>
      <c r="C78" s="1"/>
      <c r="D78" s="15"/>
      <c r="E78" s="1"/>
      <c r="F78" s="14" t="str">
        <f>Darabok!S21</f>
        <v>R13:KI12-TV01F-01</v>
      </c>
      <c r="G78" s="1"/>
      <c r="H78" s="1"/>
      <c r="I78" s="15"/>
    </row>
    <row r="79" ht="14.17322826385498" customHeight="1">
      <c r="A79" s="14" t="str">
        <v>PDF-címkén gépi vonalkód is szerepel</v>
      </c>
      <c r="B79" s="1"/>
      <c r="C79" s="1"/>
      <c r="D79" s="15"/>
      <c r="E79" s="1"/>
      <c r="F79" s="14" t="str">
        <v>PDF-címkén gépi vonalkód is szerepel</v>
      </c>
      <c r="G79" s="1"/>
      <c r="H79" s="1"/>
      <c r="I79" s="15"/>
    </row>
    <row r="80" ht="14.17322826385498" customHeight="1">
      <c r="A80" s="16"/>
      <c r="B80" s="17"/>
      <c r="C80" s="17"/>
      <c r="D80" s="18"/>
      <c r="E80" s="1"/>
      <c r="F80" s="16"/>
      <c r="G80" s="17"/>
      <c r="H80" s="17"/>
      <c r="I80" s="18"/>
    </row>
    <row r="81" ht="14.17322826385498" customHeight="1">
      <c r="A81" s="11" t="str">
        <f>Darabok!A22</f>
        <v>KI12-TV01F-02</v>
      </c>
      <c r="B81" s="12"/>
      <c r="C81" s="12"/>
      <c r="D81" s="13"/>
      <c r="E81" s="1"/>
      <c r="F81" s="11" t="str">
        <f>Darabok!A23</f>
        <v>KI12-TV01H-01</v>
      </c>
      <c r="G81" s="12"/>
      <c r="H81" s="12"/>
      <c r="I81" s="13"/>
    </row>
    <row r="82" ht="14.17322826385498" customHeight="1">
      <c r="A82" s="14" t="str">
        <v>R13 / TERV</v>
      </c>
      <c r="B82" s="1"/>
      <c r="C82" s="1"/>
      <c r="D82" s="15"/>
      <c r="E82" s="1"/>
      <c r="F82" s="14" t="str">
        <v>R13 / TERV</v>
      </c>
      <c r="G82" s="1"/>
      <c r="H82" s="1"/>
      <c r="I82" s="15"/>
    </row>
    <row r="83" ht="14.17322826385498" customHeight="1">
      <c r="A83" s="14" t="str">
        <f>Darabok!C22&amp;" x "&amp;Darabok!D22&amp;" x "&amp;Darabok!E22&amp;" mm"</f>
        <v>2327 x 357 x 18 mm</v>
      </c>
      <c r="B83" s="1"/>
      <c r="C83" s="1"/>
      <c r="D83" s="15"/>
      <c r="E83" s="1"/>
      <c r="F83" s="14" t="str">
        <f>Darabok!C23&amp;" x "&amp;Darabok!D23&amp;" x "&amp;Darabok!E23&amp;" mm"</f>
        <v>2294 x 684 x 8 mm</v>
      </c>
      <c r="G83" s="1"/>
      <c r="H83" s="1"/>
      <c r="I83" s="15"/>
    </row>
    <row r="84" ht="14.17322826385498" customHeight="1">
      <c r="A84" s="14" t="str">
        <f>Darabok!F22</f>
        <v>M01+nyomat</v>
      </c>
      <c r="B84" s="1"/>
      <c r="C84" s="1"/>
      <c r="D84" s="15"/>
      <c r="E84" s="1"/>
      <c r="F84" s="14" t="str">
        <f>Darabok!F23</f>
        <v>M03</v>
      </c>
      <c r="G84" s="1"/>
      <c r="H84" s="1"/>
      <c r="I84" s="15"/>
    </row>
    <row r="85" ht="14.17322826385498" customHeight="1">
      <c r="A85" s="14" t="str">
        <v>A/B: rajz szerint; nem gépi tájoló</v>
      </c>
      <c r="B85" s="1"/>
      <c r="C85" s="1"/>
      <c r="D85" s="15"/>
      <c r="E85" s="1"/>
      <c r="F85" s="14" t="str">
        <v>A/B: rajz szerint; nem gépi tájoló</v>
      </c>
      <c r="G85" s="1"/>
      <c r="H85" s="1"/>
      <c r="I85" s="15"/>
    </row>
    <row r="86" ht="14.17322826385498" customHeight="1">
      <c r="A86" s="14" t="str">
        <f>"C elkod: "&amp;Darabok!P22</f>
        <v>C elkod: NYITOTT</v>
      </c>
      <c r="B86" s="1"/>
      <c r="C86" s="1"/>
      <c r="D86" s="15"/>
      <c r="E86" s="1"/>
      <c r="F86" s="14" t="str">
        <f>"C elkod: "&amp;Darabok!P23</f>
        <v>C elkod: NYITOTT</v>
      </c>
      <c r="G86" s="1"/>
      <c r="H86" s="1"/>
      <c r="I86" s="15"/>
    </row>
    <row r="87" ht="14.17322826385498" customHeight="1">
      <c r="A87" s="14" t="str">
        <v>AKTÍV MPR-TERV / NEM GYÁRTÁSI KIADÁS</v>
      </c>
      <c r="B87" s="1"/>
      <c r="C87" s="1"/>
      <c r="D87" s="15"/>
      <c r="E87" s="1"/>
      <c r="F87" s="14" t="str">
        <v>AKTÍV MPR-TERV / NEM GYÁRTÁSI KIADÁS</v>
      </c>
      <c r="G87" s="1"/>
      <c r="H87" s="1"/>
      <c r="I87" s="15"/>
    </row>
    <row r="88" ht="14.17322826385498" customHeight="1">
      <c r="A88" s="14" t="str">
        <f>Darabok!S22</f>
        <v>R13:KI12-TV01F-02</v>
      </c>
      <c r="B88" s="1"/>
      <c r="C88" s="1"/>
      <c r="D88" s="15"/>
      <c r="E88" s="1"/>
      <c r="F88" s="14" t="str">
        <f>Darabok!S23</f>
        <v>R13:KI12-TV01H-01</v>
      </c>
      <c r="G88" s="1"/>
      <c r="H88" s="1"/>
      <c r="I88" s="15"/>
    </row>
    <row r="89" ht="14.17322826385498" customHeight="1">
      <c r="A89" s="14" t="str">
        <v>PDF-címkén gépi vonalkód is szerepel</v>
      </c>
      <c r="B89" s="1"/>
      <c r="C89" s="1"/>
      <c r="D89" s="15"/>
      <c r="E89" s="1"/>
      <c r="F89" s="14" t="str">
        <v>PDF-címkén gépi vonalkód is szerepel</v>
      </c>
      <c r="G89" s="1"/>
      <c r="H89" s="1"/>
      <c r="I89" s="15"/>
    </row>
    <row r="90" ht="14.17322826385498" customHeight="1">
      <c r="A90" s="16"/>
      <c r="B90" s="17"/>
      <c r="C90" s="17"/>
      <c r="D90" s="18"/>
      <c r="E90" s="1"/>
      <c r="F90" s="16"/>
      <c r="G90" s="17"/>
      <c r="H90" s="17"/>
      <c r="I90" s="18"/>
    </row>
    <row r="91" ht="14.17322826385498" customHeight="1">
      <c r="A91" s="11" t="str">
        <f>Darabok!A24</f>
        <v>KI12-TV02S-01</v>
      </c>
      <c r="B91" s="12"/>
      <c r="C91" s="12"/>
      <c r="D91" s="13"/>
      <c r="E91" s="1"/>
      <c r="F91" s="11" t="str">
        <f>Darabok!A25</f>
        <v>KI12-TV02S-02</v>
      </c>
      <c r="G91" s="12"/>
      <c r="H91" s="12"/>
      <c r="I91" s="13"/>
    </row>
    <row r="92" ht="14.17322826385498" customHeight="1">
      <c r="A92" s="14" t="str">
        <v>R13 / TERV</v>
      </c>
      <c r="B92" s="1"/>
      <c r="C92" s="1"/>
      <c r="D92" s="15"/>
      <c r="E92" s="1"/>
      <c r="F92" s="14" t="str">
        <v>R13 / TERV</v>
      </c>
      <c r="G92" s="1"/>
      <c r="H92" s="1"/>
      <c r="I92" s="15"/>
    </row>
    <row r="93" ht="14.17322826385498" customHeight="1">
      <c r="A93" s="14" t="str">
        <f>Darabok!C24&amp;" x "&amp;Darabok!D24&amp;" x "&amp;Darabok!E24&amp;" mm"</f>
        <v>382 x 382 x 18 mm</v>
      </c>
      <c r="B93" s="1"/>
      <c r="C93" s="1"/>
      <c r="D93" s="15"/>
      <c r="E93" s="1"/>
      <c r="F93" s="14" t="str">
        <f>Darabok!C25&amp;" x "&amp;Darabok!D25&amp;" x "&amp;Darabok!E25&amp;" mm"</f>
        <v>382 x 382 x 18 mm</v>
      </c>
      <c r="G93" s="1"/>
      <c r="H93" s="1"/>
      <c r="I93" s="15"/>
    </row>
    <row r="94" ht="14.17322826385498" customHeight="1">
      <c r="A94" s="14" t="str">
        <f>Darabok!F24</f>
        <v>M03</v>
      </c>
      <c r="B94" s="1"/>
      <c r="C94" s="1"/>
      <c r="D94" s="15"/>
      <c r="E94" s="1"/>
      <c r="F94" s="14" t="str">
        <f>Darabok!F25</f>
        <v>M03</v>
      </c>
      <c r="G94" s="1"/>
      <c r="H94" s="1"/>
      <c r="I94" s="15"/>
    </row>
    <row r="95" ht="14.17322826385498" customHeight="1">
      <c r="A95" s="14" t="str">
        <v>A/B: rajz szerint; nem gépi tájoló</v>
      </c>
      <c r="B95" s="1"/>
      <c r="C95" s="1"/>
      <c r="D95" s="15"/>
      <c r="E95" s="1"/>
      <c r="F95" s="14" t="str">
        <v>A/B: rajz szerint; nem gépi tájoló</v>
      </c>
      <c r="G95" s="1"/>
      <c r="H95" s="1"/>
      <c r="I95" s="15"/>
    </row>
    <row r="96" ht="14.17322826385498" customHeight="1">
      <c r="A96" s="14" t="str">
        <f>"C elkod: "&amp;Darabok!P24</f>
        <v>C elkod: NYITOTT</v>
      </c>
      <c r="B96" s="1"/>
      <c r="C96" s="1"/>
      <c r="D96" s="15"/>
      <c r="E96" s="1"/>
      <c r="F96" s="14" t="str">
        <f>"C elkod: "&amp;Darabok!P25</f>
        <v>C elkod: NYITOTT</v>
      </c>
      <c r="G96" s="1"/>
      <c r="H96" s="1"/>
      <c r="I96" s="15"/>
    </row>
    <row r="97" ht="14.17322826385498" customHeight="1">
      <c r="A97" s="14" t="str">
        <v>AKTÍV MPR-TERV / NEM GYÁRTÁSI KIADÁS</v>
      </c>
      <c r="B97" s="1"/>
      <c r="C97" s="1"/>
      <c r="D97" s="15"/>
      <c r="E97" s="1"/>
      <c r="F97" s="14" t="str">
        <v>AKTÍV MPR-TERV / NEM GYÁRTÁSI KIADÁS</v>
      </c>
      <c r="G97" s="1"/>
      <c r="H97" s="1"/>
      <c r="I97" s="15"/>
    </row>
    <row r="98" ht="14.17322826385498" customHeight="1">
      <c r="A98" s="14" t="str">
        <f>Darabok!S24</f>
        <v>R13:KI12-TV02S-01</v>
      </c>
      <c r="B98" s="1"/>
      <c r="C98" s="1"/>
      <c r="D98" s="15"/>
      <c r="E98" s="1"/>
      <c r="F98" s="14" t="str">
        <f>Darabok!S25</f>
        <v>R13:KI12-TV02S-02</v>
      </c>
      <c r="G98" s="1"/>
      <c r="H98" s="1"/>
      <c r="I98" s="15"/>
    </row>
    <row r="99" ht="14.17322826385498" customHeight="1">
      <c r="A99" s="14" t="str">
        <v>PDF-címkén gépi vonalkód is szerepel</v>
      </c>
      <c r="B99" s="1"/>
      <c r="C99" s="1"/>
      <c r="D99" s="15"/>
      <c r="E99" s="1"/>
      <c r="F99" s="14" t="str">
        <v>PDF-címkén gépi vonalkód is szerepel</v>
      </c>
      <c r="G99" s="1"/>
      <c r="H99" s="1"/>
      <c r="I99" s="15"/>
    </row>
    <row r="100" ht="14.17322826385498" customHeight="1">
      <c r="A100" s="16"/>
      <c r="B100" s="17"/>
      <c r="C100" s="17"/>
      <c r="D100" s="18"/>
      <c r="E100" s="1"/>
      <c r="F100" s="16"/>
      <c r="G100" s="17"/>
      <c r="H100" s="17"/>
      <c r="I100" s="18"/>
    </row>
    <row r="101" ht="14.17322826385498" customHeight="1">
      <c r="A101" s="11" t="str">
        <f>Darabok!A26</f>
        <v>KI12-TV02S-03</v>
      </c>
      <c r="B101" s="12"/>
      <c r="C101" s="12"/>
      <c r="D101" s="13"/>
      <c r="E101" s="1"/>
      <c r="F101" s="11" t="str">
        <f>Darabok!A27</f>
        <v>KI12-TV02S-04</v>
      </c>
      <c r="G101" s="12"/>
      <c r="H101" s="12"/>
      <c r="I101" s="13"/>
    </row>
    <row r="102" ht="14.17322826385498" customHeight="1">
      <c r="A102" s="14" t="str">
        <v>R13 / TERV</v>
      </c>
      <c r="B102" s="1"/>
      <c r="C102" s="1"/>
      <c r="D102" s="15"/>
      <c r="E102" s="1"/>
      <c r="F102" s="14" t="str">
        <v>R13 / TERV</v>
      </c>
      <c r="G102" s="1"/>
      <c r="H102" s="1"/>
      <c r="I102" s="15"/>
    </row>
    <row r="103" ht="14.17322826385498" customHeight="1">
      <c r="A103" s="14" t="str">
        <f>Darabok!C26&amp;" x "&amp;Darabok!D26&amp;" x "&amp;Darabok!E26&amp;" mm"</f>
        <v>382 x 382 x 18 mm</v>
      </c>
      <c r="B103" s="1"/>
      <c r="C103" s="1"/>
      <c r="D103" s="15"/>
      <c r="E103" s="1"/>
      <c r="F103" s="14" t="str">
        <f>Darabok!C27&amp;" x "&amp;Darabok!D27&amp;" x "&amp;Darabok!E27&amp;" mm"</f>
        <v>382 x 382 x 18 mm</v>
      </c>
      <c r="G103" s="1"/>
      <c r="H103" s="1"/>
      <c r="I103" s="15"/>
    </row>
    <row r="104" ht="14.17322826385498" customHeight="1">
      <c r="A104" s="14" t="str">
        <f>Darabok!F26</f>
        <v>M03</v>
      </c>
      <c r="B104" s="1"/>
      <c r="C104" s="1"/>
      <c r="D104" s="15"/>
      <c r="E104" s="1"/>
      <c r="F104" s="14" t="str">
        <f>Darabok!F27</f>
        <v>M03</v>
      </c>
      <c r="G104" s="1"/>
      <c r="H104" s="1"/>
      <c r="I104" s="15"/>
    </row>
    <row r="105" ht="14.17322826385498" customHeight="1">
      <c r="A105" s="14" t="str">
        <v>A/B: rajz szerint; nem gépi tájoló</v>
      </c>
      <c r="B105" s="1"/>
      <c r="C105" s="1"/>
      <c r="D105" s="15"/>
      <c r="E105" s="1"/>
      <c r="F105" s="14" t="str">
        <v>A/B: rajz szerint; nem gépi tájoló</v>
      </c>
      <c r="G105" s="1"/>
      <c r="H105" s="1"/>
      <c r="I105" s="15"/>
    </row>
    <row r="106" ht="14.17322826385498" customHeight="1">
      <c r="A106" s="14" t="str">
        <f>"C elkod: "&amp;Darabok!P26</f>
        <v>C elkod: NYITOTT</v>
      </c>
      <c r="B106" s="1"/>
      <c r="C106" s="1"/>
      <c r="D106" s="15"/>
      <c r="E106" s="1"/>
      <c r="F106" s="14" t="str">
        <f>"C elkod: "&amp;Darabok!P27</f>
        <v>C elkod: NYITOTT</v>
      </c>
      <c r="G106" s="1"/>
      <c r="H106" s="1"/>
      <c r="I106" s="15"/>
    </row>
    <row r="107" ht="14.17322826385498" customHeight="1">
      <c r="A107" s="14" t="str">
        <v>AKTÍV MPR-TERV / NEM GYÁRTÁSI KIADÁS</v>
      </c>
      <c r="B107" s="1"/>
      <c r="C107" s="1"/>
      <c r="D107" s="15"/>
      <c r="E107" s="1"/>
      <c r="F107" s="14" t="str">
        <v>AKTÍV MPR-TERV / NEM GYÁRTÁSI KIADÁS</v>
      </c>
      <c r="G107" s="1"/>
      <c r="H107" s="1"/>
      <c r="I107" s="15"/>
    </row>
    <row r="108" ht="14.17322826385498" customHeight="1">
      <c r="A108" s="14" t="str">
        <f>Darabok!S26</f>
        <v>R13:KI12-TV02S-03</v>
      </c>
      <c r="B108" s="1"/>
      <c r="C108" s="1"/>
      <c r="D108" s="15"/>
      <c r="E108" s="1"/>
      <c r="F108" s="14" t="str">
        <f>Darabok!S27</f>
        <v>R13:KI12-TV02S-04</v>
      </c>
      <c r="G108" s="1"/>
      <c r="H108" s="1"/>
      <c r="I108" s="15"/>
    </row>
    <row r="109" ht="14.17322826385498" customHeight="1">
      <c r="A109" s="14" t="str">
        <v>PDF-címkén gépi vonalkód is szerepel</v>
      </c>
      <c r="B109" s="1"/>
      <c r="C109" s="1"/>
      <c r="D109" s="15"/>
      <c r="E109" s="1"/>
      <c r="F109" s="14" t="str">
        <v>PDF-címkén gépi vonalkód is szerepel</v>
      </c>
      <c r="G109" s="1"/>
      <c r="H109" s="1"/>
      <c r="I109" s="15"/>
    </row>
    <row r="110" ht="14.17322826385498" customHeight="1">
      <c r="A110" s="16"/>
      <c r="B110" s="17"/>
      <c r="C110" s="17"/>
      <c r="D110" s="18"/>
      <c r="E110" s="1"/>
      <c r="F110" s="16"/>
      <c r="G110" s="17"/>
      <c r="H110" s="17"/>
      <c r="I110" s="18"/>
    </row>
    <row r="111" ht="14.17322826385498" customHeight="1">
      <c r="A111" s="11" t="str">
        <f>Darabok!A28</f>
        <v>KI12-TV02S-05</v>
      </c>
      <c r="B111" s="12"/>
      <c r="C111" s="12"/>
      <c r="D111" s="13"/>
      <c r="E111" s="1"/>
      <c r="F111" s="11" t="str">
        <f>Darabok!A29</f>
        <v>KI12-TV02S-06</v>
      </c>
      <c r="G111" s="12"/>
      <c r="H111" s="12"/>
      <c r="I111" s="13"/>
    </row>
    <row r="112" ht="14.17322826385498" customHeight="1">
      <c r="A112" s="14" t="str">
        <v>R13 / TERV</v>
      </c>
      <c r="B112" s="1"/>
      <c r="C112" s="1"/>
      <c r="D112" s="15"/>
      <c r="E112" s="1"/>
      <c r="F112" s="14" t="str">
        <v>R13 / TERV</v>
      </c>
      <c r="G112" s="1"/>
      <c r="H112" s="1"/>
      <c r="I112" s="15"/>
    </row>
    <row r="113" ht="14.17322826385498" customHeight="1">
      <c r="A113" s="14" t="str">
        <f>Darabok!C28&amp;" x "&amp;Darabok!D28&amp;" x "&amp;Darabok!E28&amp;" mm"</f>
        <v>382 x 382 x 18 mm</v>
      </c>
      <c r="B113" s="1"/>
      <c r="C113" s="1"/>
      <c r="D113" s="15"/>
      <c r="E113" s="1"/>
      <c r="F113" s="14" t="str">
        <f>Darabok!C29&amp;" x "&amp;Darabok!D29&amp;" x "&amp;Darabok!E29&amp;" mm"</f>
        <v>382 x 382 x 18 mm</v>
      </c>
      <c r="G113" s="1"/>
      <c r="H113" s="1"/>
      <c r="I113" s="15"/>
    </row>
    <row r="114" ht="14.17322826385498" customHeight="1">
      <c r="A114" s="14" t="str">
        <f>Darabok!F28</f>
        <v>M03</v>
      </c>
      <c r="B114" s="1"/>
      <c r="C114" s="1"/>
      <c r="D114" s="15"/>
      <c r="E114" s="1"/>
      <c r="F114" s="14" t="str">
        <f>Darabok!F29</f>
        <v>M03</v>
      </c>
      <c r="G114" s="1"/>
      <c r="H114" s="1"/>
      <c r="I114" s="15"/>
    </row>
    <row r="115" ht="14.17322826385498" customHeight="1">
      <c r="A115" s="14" t="str">
        <v>A/B: rajz szerint; nem gépi tájoló</v>
      </c>
      <c r="B115" s="1"/>
      <c r="C115" s="1"/>
      <c r="D115" s="15"/>
      <c r="E115" s="1"/>
      <c r="F115" s="14" t="str">
        <v>A/B: rajz szerint; nem gépi tájoló</v>
      </c>
      <c r="G115" s="1"/>
      <c r="H115" s="1"/>
      <c r="I115" s="15"/>
    </row>
    <row r="116" ht="14.17322826385498" customHeight="1">
      <c r="A116" s="14" t="str">
        <f>"C elkod: "&amp;Darabok!P28</f>
        <v>C elkod: NYITOTT</v>
      </c>
      <c r="B116" s="1"/>
      <c r="C116" s="1"/>
      <c r="D116" s="15"/>
      <c r="E116" s="1"/>
      <c r="F116" s="14" t="str">
        <f>"C elkod: "&amp;Darabok!P29</f>
        <v>C elkod: NYITOTT</v>
      </c>
      <c r="G116" s="1"/>
      <c r="H116" s="1"/>
      <c r="I116" s="15"/>
    </row>
    <row r="117" ht="14.17322826385498" customHeight="1">
      <c r="A117" s="14" t="str">
        <v>AKTÍV MPR-TERV / NEM GYÁRTÁSI KIADÁS</v>
      </c>
      <c r="B117" s="1"/>
      <c r="C117" s="1"/>
      <c r="D117" s="15"/>
      <c r="E117" s="1"/>
      <c r="F117" s="14" t="str">
        <v>AKTÍV MPR-TERV / NEM GYÁRTÁSI KIADÁS</v>
      </c>
      <c r="G117" s="1"/>
      <c r="H117" s="1"/>
      <c r="I117" s="15"/>
    </row>
    <row r="118" ht="14.17322826385498" customHeight="1">
      <c r="A118" s="14" t="str">
        <f>Darabok!S28</f>
        <v>R13:KI12-TV02S-05</v>
      </c>
      <c r="B118" s="1"/>
      <c r="C118" s="1"/>
      <c r="D118" s="15"/>
      <c r="E118" s="1"/>
      <c r="F118" s="14" t="str">
        <f>Darabok!S29</f>
        <v>R13:KI12-TV02S-06</v>
      </c>
      <c r="G118" s="1"/>
      <c r="H118" s="1"/>
      <c r="I118" s="15"/>
    </row>
    <row r="119" ht="14.17322826385498" customHeight="1">
      <c r="A119" s="14" t="str">
        <v>PDF-címkén gépi vonalkód is szerepel</v>
      </c>
      <c r="B119" s="1"/>
      <c r="C119" s="1"/>
      <c r="D119" s="15"/>
      <c r="E119" s="1"/>
      <c r="F119" s="14" t="str">
        <v>PDF-címkén gépi vonalkód is szerepel</v>
      </c>
      <c r="G119" s="1"/>
      <c r="H119" s="1"/>
      <c r="I119" s="15"/>
    </row>
    <row r="120" ht="14.17322826385498" customHeight="1">
      <c r="A120" s="16"/>
      <c r="B120" s="17"/>
      <c r="C120" s="17"/>
      <c r="D120" s="18"/>
      <c r="E120" s="1"/>
      <c r="F120" s="16"/>
      <c r="G120" s="17"/>
      <c r="H120" s="17"/>
      <c r="I120" s="18"/>
    </row>
    <row r="121" ht="14.17322826385498" customHeight="1">
      <c r="A121" s="11" t="str">
        <f>Darabok!A30</f>
        <v>KI12-TV02S-07</v>
      </c>
      <c r="B121" s="12"/>
      <c r="C121" s="12"/>
      <c r="D121" s="13"/>
      <c r="E121" s="1"/>
      <c r="F121" s="11" t="str">
        <f>Darabok!A31</f>
        <v>KI12-TV02S-08</v>
      </c>
      <c r="G121" s="12"/>
      <c r="H121" s="12"/>
      <c r="I121" s="13"/>
    </row>
    <row r="122" ht="14.17322826385498" customHeight="1">
      <c r="A122" s="14" t="str">
        <v>R13 / TERV</v>
      </c>
      <c r="B122" s="1"/>
      <c r="C122" s="1"/>
      <c r="D122" s="15"/>
      <c r="E122" s="1"/>
      <c r="F122" s="14" t="str">
        <v>R13 / TERV</v>
      </c>
      <c r="G122" s="1"/>
      <c r="H122" s="1"/>
      <c r="I122" s="15"/>
    </row>
    <row r="123" ht="14.17322826385498" customHeight="1">
      <c r="A123" s="14" t="str">
        <f>Darabok!C30&amp;" x "&amp;Darabok!D30&amp;" x "&amp;Darabok!E30&amp;" mm"</f>
        <v>382 x 382 x 18 mm</v>
      </c>
      <c r="B123" s="1"/>
      <c r="C123" s="1"/>
      <c r="D123" s="15"/>
      <c r="E123" s="1"/>
      <c r="F123" s="14" t="str">
        <f>Darabok!C31&amp;" x "&amp;Darabok!D31&amp;" x "&amp;Darabok!E31&amp;" mm"</f>
        <v>382 x 382 x 18 mm</v>
      </c>
      <c r="G123" s="1"/>
      <c r="H123" s="1"/>
      <c r="I123" s="15"/>
    </row>
    <row r="124" ht="14.17322826385498" customHeight="1">
      <c r="A124" s="14" t="str">
        <f>Darabok!F30</f>
        <v>M03</v>
      </c>
      <c r="B124" s="1"/>
      <c r="C124" s="1"/>
      <c r="D124" s="15"/>
      <c r="E124" s="1"/>
      <c r="F124" s="14" t="str">
        <f>Darabok!F31</f>
        <v>M03</v>
      </c>
      <c r="G124" s="1"/>
      <c r="H124" s="1"/>
      <c r="I124" s="15"/>
    </row>
    <row r="125" ht="14.17322826385498" customHeight="1">
      <c r="A125" s="14" t="str">
        <v>A/B: rajz szerint; nem gépi tájoló</v>
      </c>
      <c r="B125" s="1"/>
      <c r="C125" s="1"/>
      <c r="D125" s="15"/>
      <c r="E125" s="1"/>
      <c r="F125" s="14" t="str">
        <v>A/B: rajz szerint; nem gépi tájoló</v>
      </c>
      <c r="G125" s="1"/>
      <c r="H125" s="1"/>
      <c r="I125" s="15"/>
    </row>
    <row r="126" ht="14.17322826385498" customHeight="1">
      <c r="A126" s="14" t="str">
        <f>"C elkod: "&amp;Darabok!P30</f>
        <v>C elkod: NYITOTT</v>
      </c>
      <c r="B126" s="1"/>
      <c r="C126" s="1"/>
      <c r="D126" s="15"/>
      <c r="E126" s="1"/>
      <c r="F126" s="14" t="str">
        <f>"C elkod: "&amp;Darabok!P31</f>
        <v>C elkod: NYITOTT</v>
      </c>
      <c r="G126" s="1"/>
      <c r="H126" s="1"/>
      <c r="I126" s="15"/>
    </row>
    <row r="127" ht="14.17322826385498" customHeight="1">
      <c r="A127" s="14" t="str">
        <v>AKTÍV MPR-TERV / NEM GYÁRTÁSI KIADÁS</v>
      </c>
      <c r="B127" s="1"/>
      <c r="C127" s="1"/>
      <c r="D127" s="15"/>
      <c r="E127" s="1"/>
      <c r="F127" s="14" t="str">
        <v>AKTÍV MPR-TERV / NEM GYÁRTÁSI KIADÁS</v>
      </c>
      <c r="G127" s="1"/>
      <c r="H127" s="1"/>
      <c r="I127" s="15"/>
    </row>
    <row r="128" ht="14.17322826385498" customHeight="1">
      <c r="A128" s="14" t="str">
        <f>Darabok!S30</f>
        <v>R13:KI12-TV02S-07</v>
      </c>
      <c r="B128" s="1"/>
      <c r="C128" s="1"/>
      <c r="D128" s="15"/>
      <c r="E128" s="1"/>
      <c r="F128" s="14" t="str">
        <f>Darabok!S31</f>
        <v>R13:KI12-TV02S-08</v>
      </c>
      <c r="G128" s="1"/>
      <c r="H128" s="1"/>
      <c r="I128" s="15"/>
    </row>
    <row r="129" ht="14.17322826385498" customHeight="1">
      <c r="A129" s="14" t="str">
        <v>PDF-címkén gépi vonalkód is szerepel</v>
      </c>
      <c r="B129" s="1"/>
      <c r="C129" s="1"/>
      <c r="D129" s="15"/>
      <c r="E129" s="1"/>
      <c r="F129" s="14" t="str">
        <v>PDF-címkén gépi vonalkód is szerepel</v>
      </c>
      <c r="G129" s="1"/>
      <c r="H129" s="1"/>
      <c r="I129" s="15"/>
    </row>
    <row r="130" ht="14.17322826385498" customHeight="1">
      <c r="A130" s="16"/>
      <c r="B130" s="17"/>
      <c r="C130" s="17"/>
      <c r="D130" s="18"/>
      <c r="E130" s="1"/>
      <c r="F130" s="16"/>
      <c r="G130" s="17"/>
      <c r="H130" s="17"/>
      <c r="I130" s="18"/>
    </row>
    <row r="131" ht="14.17322826385498" customHeight="1">
      <c r="A131" s="11" t="str">
        <f>Darabok!A32</f>
        <v>KI12-TV02S-09</v>
      </c>
      <c r="B131" s="12"/>
      <c r="C131" s="12"/>
      <c r="D131" s="13"/>
      <c r="E131" s="1"/>
      <c r="F131" s="11" t="str">
        <f>Darabok!A33</f>
        <v>KI12-TV02S-10</v>
      </c>
      <c r="G131" s="12"/>
      <c r="H131" s="12"/>
      <c r="I131" s="13"/>
    </row>
    <row r="132" ht="14.17322826385498" customHeight="1">
      <c r="A132" s="14" t="str">
        <v>R13 / TERV</v>
      </c>
      <c r="B132" s="1"/>
      <c r="C132" s="1"/>
      <c r="D132" s="15"/>
      <c r="E132" s="1"/>
      <c r="F132" s="14" t="str">
        <v>R13 / TERV</v>
      </c>
      <c r="G132" s="1"/>
      <c r="H132" s="1"/>
      <c r="I132" s="15"/>
    </row>
    <row r="133" ht="14.17322826385498" customHeight="1">
      <c r="A133" s="14" t="str">
        <f>Darabok!C32&amp;" x "&amp;Darabok!D32&amp;" x "&amp;Darabok!E32&amp;" mm"</f>
        <v>382 x 382 x 18 mm</v>
      </c>
      <c r="B133" s="1"/>
      <c r="C133" s="1"/>
      <c r="D133" s="15"/>
      <c r="E133" s="1"/>
      <c r="F133" s="14" t="str">
        <f>Darabok!C33&amp;" x "&amp;Darabok!D33&amp;" x "&amp;Darabok!E33&amp;" mm"</f>
        <v>382 x 382 x 18 mm</v>
      </c>
      <c r="G133" s="1"/>
      <c r="H133" s="1"/>
      <c r="I133" s="15"/>
    </row>
    <row r="134" ht="14.17322826385498" customHeight="1">
      <c r="A134" s="14" t="str">
        <f>Darabok!F32</f>
        <v>M03</v>
      </c>
      <c r="B134" s="1"/>
      <c r="C134" s="1"/>
      <c r="D134" s="15"/>
      <c r="E134" s="1"/>
      <c r="F134" s="14" t="str">
        <f>Darabok!F33</f>
        <v>M03</v>
      </c>
      <c r="G134" s="1"/>
      <c r="H134" s="1"/>
      <c r="I134" s="15"/>
    </row>
    <row r="135" ht="14.17322826385498" customHeight="1">
      <c r="A135" s="14" t="str">
        <v>A/B: rajz szerint; nem gépi tájoló</v>
      </c>
      <c r="B135" s="1"/>
      <c r="C135" s="1"/>
      <c r="D135" s="15"/>
      <c r="E135" s="1"/>
      <c r="F135" s="14" t="str">
        <v>A/B: rajz szerint; nem gépi tájoló</v>
      </c>
      <c r="G135" s="1"/>
      <c r="H135" s="1"/>
      <c r="I135" s="15"/>
    </row>
    <row r="136" ht="14.17322826385498" customHeight="1">
      <c r="A136" s="14" t="str">
        <f>"C elkod: "&amp;Darabok!P32</f>
        <v>C elkod: NYITOTT</v>
      </c>
      <c r="B136" s="1"/>
      <c r="C136" s="1"/>
      <c r="D136" s="15"/>
      <c r="E136" s="1"/>
      <c r="F136" s="14" t="str">
        <f>"C elkod: "&amp;Darabok!P33</f>
        <v>C elkod: NYITOTT</v>
      </c>
      <c r="G136" s="1"/>
      <c r="H136" s="1"/>
      <c r="I136" s="15"/>
    </row>
    <row r="137" ht="14.17322826385498" customHeight="1">
      <c r="A137" s="14" t="str">
        <v>AKTÍV MPR-TERV / NEM GYÁRTÁSI KIADÁS</v>
      </c>
      <c r="B137" s="1"/>
      <c r="C137" s="1"/>
      <c r="D137" s="15"/>
      <c r="E137" s="1"/>
      <c r="F137" s="14" t="str">
        <v>AKTÍV MPR-TERV / NEM GYÁRTÁSI KIADÁS</v>
      </c>
      <c r="G137" s="1"/>
      <c r="H137" s="1"/>
      <c r="I137" s="15"/>
    </row>
    <row r="138" ht="14.17322826385498" customHeight="1">
      <c r="A138" s="14" t="str">
        <f>Darabok!S32</f>
        <v>R13:KI12-TV02S-09</v>
      </c>
      <c r="B138" s="1"/>
      <c r="C138" s="1"/>
      <c r="D138" s="15"/>
      <c r="E138" s="1"/>
      <c r="F138" s="14" t="str">
        <f>Darabok!S33</f>
        <v>R13:KI12-TV02S-10</v>
      </c>
      <c r="G138" s="1"/>
      <c r="H138" s="1"/>
      <c r="I138" s="15"/>
    </row>
    <row r="139" ht="14.17322826385498" customHeight="1">
      <c r="A139" s="14" t="str">
        <v>PDF-címkén gépi vonalkód is szerepel</v>
      </c>
      <c r="B139" s="1"/>
      <c r="C139" s="1"/>
      <c r="D139" s="15"/>
      <c r="E139" s="1"/>
      <c r="F139" s="14" t="str">
        <v>PDF-címkén gépi vonalkód is szerepel</v>
      </c>
      <c r="G139" s="1"/>
      <c r="H139" s="1"/>
      <c r="I139" s="15"/>
    </row>
    <row r="140" ht="14.17322826385498" customHeight="1">
      <c r="A140" s="16"/>
      <c r="B140" s="17"/>
      <c r="C140" s="17"/>
      <c r="D140" s="18"/>
      <c r="E140" s="1"/>
      <c r="F140" s="16"/>
      <c r="G140" s="17"/>
      <c r="H140" s="17"/>
      <c r="I140" s="18"/>
    </row>
    <row r="141" ht="14.17322826385498" customHeight="1">
      <c r="A141" s="11" t="str">
        <f>Darabok!A34</f>
        <v>KI12-TV02T1-01</v>
      </c>
      <c r="B141" s="12"/>
      <c r="C141" s="12"/>
      <c r="D141" s="13"/>
      <c r="E141" s="1"/>
      <c r="F141" s="11" t="str">
        <f>Darabok!A35</f>
        <v>KI12-TV02T2-01</v>
      </c>
      <c r="G141" s="12"/>
      <c r="H141" s="12"/>
      <c r="I141" s="13"/>
    </row>
    <row r="142" ht="14.17322826385498" customHeight="1">
      <c r="A142" s="14" t="str">
        <v>R13 / TERV</v>
      </c>
      <c r="B142" s="1"/>
      <c r="C142" s="1"/>
      <c r="D142" s="15"/>
      <c r="E142" s="1"/>
      <c r="F142" s="14" t="str">
        <v>R13 / TERV</v>
      </c>
      <c r="G142" s="1"/>
      <c r="H142" s="1"/>
      <c r="I142" s="15"/>
    </row>
    <row r="143" ht="14.17322826385498" customHeight="1">
      <c r="A143" s="14" t="str">
        <f>Darabok!C34&amp;" x "&amp;Darabok!D34&amp;" x "&amp;Darabok!E34&amp;" mm"</f>
        <v>684 x 382 x 18 mm</v>
      </c>
      <c r="B143" s="1"/>
      <c r="C143" s="1"/>
      <c r="D143" s="15"/>
      <c r="E143" s="1"/>
      <c r="F143" s="14" t="str">
        <f>Darabok!C35&amp;" x "&amp;Darabok!D35&amp;" x "&amp;Darabok!E35&amp;" mm"</f>
        <v>654 x 382 x 18 mm</v>
      </c>
      <c r="G143" s="1"/>
      <c r="H143" s="1"/>
      <c r="I143" s="15"/>
    </row>
    <row r="144" ht="14.17322826385498" customHeight="1">
      <c r="A144" s="14" t="str">
        <f>Darabok!F34</f>
        <v>M03</v>
      </c>
      <c r="B144" s="1"/>
      <c r="C144" s="1"/>
      <c r="D144" s="15"/>
      <c r="E144" s="1"/>
      <c r="F144" s="14" t="str">
        <f>Darabok!F35</f>
        <v>M03</v>
      </c>
      <c r="G144" s="1"/>
      <c r="H144" s="1"/>
      <c r="I144" s="15"/>
    </row>
    <row r="145" ht="14.17322826385498" customHeight="1">
      <c r="A145" s="14" t="str">
        <v>A/B: rajz szerint; nem gépi tájoló</v>
      </c>
      <c r="B145" s="1"/>
      <c r="C145" s="1"/>
      <c r="D145" s="15"/>
      <c r="E145" s="1"/>
      <c r="F145" s="14" t="str">
        <v>A/B: rajz szerint; nem gépi tájoló</v>
      </c>
      <c r="G145" s="1"/>
      <c r="H145" s="1"/>
      <c r="I145" s="15"/>
    </row>
    <row r="146" ht="14.17322826385498" customHeight="1">
      <c r="A146" s="14" t="str">
        <f>"C elkod: "&amp;Darabok!P34</f>
        <v>C elkod: NYITOTT</v>
      </c>
      <c r="B146" s="1"/>
      <c r="C146" s="1"/>
      <c r="D146" s="15"/>
      <c r="E146" s="1"/>
      <c r="F146" s="14" t="str">
        <f>"C elkod: "&amp;Darabok!P35</f>
        <v>C elkod: NYITOTT</v>
      </c>
      <c r="G146" s="1"/>
      <c r="H146" s="1"/>
      <c r="I146" s="15"/>
    </row>
    <row r="147" ht="14.17322826385498" customHeight="1">
      <c r="A147" s="14" t="str">
        <v>AKTÍV MPR-TERV / NEM GYÁRTÁSI KIADÁS</v>
      </c>
      <c r="B147" s="1"/>
      <c r="C147" s="1"/>
      <c r="D147" s="15"/>
      <c r="E147" s="1"/>
      <c r="F147" s="14" t="str">
        <v>AKTÍV MPR-TERV / NEM GYÁRTÁSI KIADÁS</v>
      </c>
      <c r="G147" s="1"/>
      <c r="H147" s="1"/>
      <c r="I147" s="15"/>
    </row>
    <row r="148" ht="14.17322826385498" customHeight="1">
      <c r="A148" s="14" t="str">
        <f>Darabok!S34</f>
        <v>R13:KI12-TV02T1-01</v>
      </c>
      <c r="B148" s="1"/>
      <c r="C148" s="1"/>
      <c r="D148" s="15"/>
      <c r="E148" s="1"/>
      <c r="F148" s="14" t="str">
        <f>Darabok!S35</f>
        <v>R13:KI12-TV02T2-01</v>
      </c>
      <c r="G148" s="1"/>
      <c r="H148" s="1"/>
      <c r="I148" s="15"/>
    </row>
    <row r="149" ht="14.17322826385498" customHeight="1">
      <c r="A149" s="14" t="str">
        <v>PDF-címkén gépi vonalkód is szerepel</v>
      </c>
      <c r="B149" s="1"/>
      <c r="C149" s="1"/>
      <c r="D149" s="15"/>
      <c r="E149" s="1"/>
      <c r="F149" s="14" t="str">
        <v>PDF-címkén gépi vonalkód is szerepel</v>
      </c>
      <c r="G149" s="1"/>
      <c r="H149" s="1"/>
      <c r="I149" s="15"/>
    </row>
    <row r="150" ht="14.17322826385498" customHeight="1">
      <c r="A150" s="16"/>
      <c r="B150" s="17"/>
      <c r="C150" s="17"/>
      <c r="D150" s="18"/>
      <c r="E150" s="1"/>
      <c r="F150" s="16"/>
      <c r="G150" s="17"/>
      <c r="H150" s="17"/>
      <c r="I150" s="18"/>
    </row>
    <row r="151" ht="14.17322826385498" customHeight="1">
      <c r="A151" s="11" t="str">
        <f>Darabok!A36</f>
        <v>KI12-TV02T2-02</v>
      </c>
      <c r="B151" s="12"/>
      <c r="C151" s="12"/>
      <c r="D151" s="13"/>
      <c r="E151" s="1"/>
      <c r="F151" s="11" t="str">
        <f>Darabok!A37</f>
        <v>KI12-TV02T2-03</v>
      </c>
      <c r="G151" s="12"/>
      <c r="H151" s="12"/>
      <c r="I151" s="13"/>
    </row>
    <row r="152" ht="14.17322826385498" customHeight="1">
      <c r="A152" s="14" t="str">
        <v>R13 / TERV</v>
      </c>
      <c r="B152" s="1"/>
      <c r="C152" s="1"/>
      <c r="D152" s="15"/>
      <c r="E152" s="1"/>
      <c r="F152" s="14" t="str">
        <v>R13 / TERV</v>
      </c>
      <c r="G152" s="1"/>
      <c r="H152" s="1"/>
      <c r="I152" s="15"/>
    </row>
    <row r="153" ht="14.17322826385498" customHeight="1">
      <c r="A153" s="14" t="str">
        <f>Darabok!C36&amp;" x "&amp;Darabok!D36&amp;" x "&amp;Darabok!E36&amp;" mm"</f>
        <v>654 x 382 x 18 mm</v>
      </c>
      <c r="B153" s="1"/>
      <c r="C153" s="1"/>
      <c r="D153" s="15"/>
      <c r="E153" s="1"/>
      <c r="F153" s="14" t="str">
        <f>Darabok!C37&amp;" x "&amp;Darabok!D37&amp;" x "&amp;Darabok!E37&amp;" mm"</f>
        <v>654 x 382 x 18 mm</v>
      </c>
      <c r="G153" s="1"/>
      <c r="H153" s="1"/>
      <c r="I153" s="15"/>
    </row>
    <row r="154" ht="14.17322826385498" customHeight="1">
      <c r="A154" s="14" t="str">
        <f>Darabok!F36</f>
        <v>M03</v>
      </c>
      <c r="B154" s="1"/>
      <c r="C154" s="1"/>
      <c r="D154" s="15"/>
      <c r="E154" s="1"/>
      <c r="F154" s="14" t="str">
        <f>Darabok!F37</f>
        <v>M03</v>
      </c>
      <c r="G154" s="1"/>
      <c r="H154" s="1"/>
      <c r="I154" s="15"/>
    </row>
    <row r="155" ht="14.17322826385498" customHeight="1">
      <c r="A155" s="14" t="str">
        <v>A/B: rajz szerint; nem gépi tájoló</v>
      </c>
      <c r="B155" s="1"/>
      <c r="C155" s="1"/>
      <c r="D155" s="15"/>
      <c r="E155" s="1"/>
      <c r="F155" s="14" t="str">
        <v>A/B: rajz szerint; nem gépi tájoló</v>
      </c>
      <c r="G155" s="1"/>
      <c r="H155" s="1"/>
      <c r="I155" s="15"/>
    </row>
    <row r="156" ht="14.17322826385498" customHeight="1">
      <c r="A156" s="14" t="str">
        <f>"C elkod: "&amp;Darabok!P36</f>
        <v>C elkod: NYITOTT</v>
      </c>
      <c r="B156" s="1"/>
      <c r="C156" s="1"/>
      <c r="D156" s="15"/>
      <c r="E156" s="1"/>
      <c r="F156" s="14" t="str">
        <f>"C elkod: "&amp;Darabok!P37</f>
        <v>C elkod: NYITOTT</v>
      </c>
      <c r="G156" s="1"/>
      <c r="H156" s="1"/>
      <c r="I156" s="15"/>
    </row>
    <row r="157" ht="14.17322826385498" customHeight="1">
      <c r="A157" s="14" t="str">
        <v>AKTÍV MPR-TERV / NEM GYÁRTÁSI KIADÁS</v>
      </c>
      <c r="B157" s="1"/>
      <c r="C157" s="1"/>
      <c r="D157" s="15"/>
      <c r="E157" s="1"/>
      <c r="F157" s="14" t="str">
        <v>AKTÍV MPR-TERV / NEM GYÁRTÁSI KIADÁS</v>
      </c>
      <c r="G157" s="1"/>
      <c r="H157" s="1"/>
      <c r="I157" s="15"/>
    </row>
    <row r="158" ht="14.17322826385498" customHeight="1">
      <c r="A158" s="14" t="str">
        <f>Darabok!S36</f>
        <v>R13:KI12-TV02T2-02</v>
      </c>
      <c r="B158" s="1"/>
      <c r="C158" s="1"/>
      <c r="D158" s="15"/>
      <c r="E158" s="1"/>
      <c r="F158" s="14" t="str">
        <f>Darabok!S37</f>
        <v>R13:KI12-TV02T2-03</v>
      </c>
      <c r="G158" s="1"/>
      <c r="H158" s="1"/>
      <c r="I158" s="15"/>
    </row>
    <row r="159" ht="14.17322826385498" customHeight="1">
      <c r="A159" s="14" t="str">
        <v>PDF-címkén gépi vonalkód is szerepel</v>
      </c>
      <c r="B159" s="1"/>
      <c r="C159" s="1"/>
      <c r="D159" s="15"/>
      <c r="E159" s="1"/>
      <c r="F159" s="14" t="str">
        <v>PDF-címkén gépi vonalkód is szerepel</v>
      </c>
      <c r="G159" s="1"/>
      <c r="H159" s="1"/>
      <c r="I159" s="15"/>
    </row>
    <row r="160" ht="14.17322826385498" customHeight="1">
      <c r="A160" s="16"/>
      <c r="B160" s="17"/>
      <c r="C160" s="17"/>
      <c r="D160" s="18"/>
      <c r="E160" s="1"/>
      <c r="F160" s="16"/>
      <c r="G160" s="17"/>
      <c r="H160" s="17"/>
      <c r="I160" s="18"/>
    </row>
    <row r="161" ht="14.17322826385498" customHeight="1">
      <c r="A161" s="11" t="str">
        <f>Darabok!A38</f>
        <v>KI12-TV02T2-04</v>
      </c>
      <c r="B161" s="12"/>
      <c r="C161" s="12"/>
      <c r="D161" s="13"/>
      <c r="E161" s="1"/>
      <c r="F161" s="11" t="str">
        <f>Darabok!A39</f>
        <v>KI12-TV02P1-01</v>
      </c>
      <c r="G161" s="12"/>
      <c r="H161" s="12"/>
      <c r="I161" s="13"/>
    </row>
    <row r="162" ht="14.17322826385498" customHeight="1">
      <c r="A162" s="14" t="str">
        <v>R13 / TERV</v>
      </c>
      <c r="B162" s="1"/>
      <c r="C162" s="1"/>
      <c r="D162" s="15"/>
      <c r="E162" s="1"/>
      <c r="F162" s="14" t="str">
        <v>R13 / TERV</v>
      </c>
      <c r="G162" s="1"/>
      <c r="H162" s="1"/>
      <c r="I162" s="15"/>
    </row>
    <row r="163" ht="14.17322826385498" customHeight="1">
      <c r="A163" s="14" t="str">
        <f>Darabok!C38&amp;" x "&amp;Darabok!D38&amp;" x "&amp;Darabok!E38&amp;" mm"</f>
        <v>654 x 382 x 18 mm</v>
      </c>
      <c r="B163" s="1"/>
      <c r="C163" s="1"/>
      <c r="D163" s="15"/>
      <c r="E163" s="1"/>
      <c r="F163" s="14" t="str">
        <f>Darabok!C39&amp;" x "&amp;Darabok!D39&amp;" x "&amp;Darabok!E39&amp;" mm"</f>
        <v>682 x 320 x 18 mm</v>
      </c>
      <c r="G163" s="1"/>
      <c r="H163" s="1"/>
      <c r="I163" s="15"/>
    </row>
    <row r="164" ht="14.17322826385498" customHeight="1">
      <c r="A164" s="14" t="str">
        <f>Darabok!F38</f>
        <v>M03</v>
      </c>
      <c r="B164" s="1"/>
      <c r="C164" s="1"/>
      <c r="D164" s="15"/>
      <c r="E164" s="1"/>
      <c r="F164" s="14" t="str">
        <f>Darabok!F39</f>
        <v>M03</v>
      </c>
      <c r="G164" s="1"/>
      <c r="H164" s="1"/>
      <c r="I164" s="15"/>
    </row>
    <row r="165" ht="14.17322826385498" customHeight="1">
      <c r="A165" s="14" t="str">
        <v>A/B: rajz szerint; nem gépi tájoló</v>
      </c>
      <c r="B165" s="1"/>
      <c r="C165" s="1"/>
      <c r="D165" s="15"/>
      <c r="E165" s="1"/>
      <c r="F165" s="14" t="str">
        <v>A/B: rajz szerint; nem gépi tájoló</v>
      </c>
      <c r="G165" s="1"/>
      <c r="H165" s="1"/>
      <c r="I165" s="15"/>
    </row>
    <row r="166" ht="14.17322826385498" customHeight="1">
      <c r="A166" s="14" t="str">
        <f>"C elkod: "&amp;Darabok!P38</f>
        <v>C elkod: NYITOTT</v>
      </c>
      <c r="B166" s="1"/>
      <c r="C166" s="1"/>
      <c r="D166" s="15"/>
      <c r="E166" s="1"/>
      <c r="F166" s="14" t="str">
        <f>"C elkod: "&amp;Darabok!P39</f>
        <v>C elkod: NYITOTT</v>
      </c>
      <c r="G166" s="1"/>
      <c r="H166" s="1"/>
      <c r="I166" s="15"/>
    </row>
    <row r="167" ht="14.17322826385498" customHeight="1">
      <c r="A167" s="14" t="str">
        <v>AKTÍV MPR-TERV / NEM GYÁRTÁSI KIADÁS</v>
      </c>
      <c r="B167" s="1"/>
      <c r="C167" s="1"/>
      <c r="D167" s="15"/>
      <c r="E167" s="1"/>
      <c r="F167" s="14" t="str">
        <v>AKTÍV MPR-TERV / NEM GYÁRTÁSI KIADÁS</v>
      </c>
      <c r="G167" s="1"/>
      <c r="H167" s="1"/>
      <c r="I167" s="15"/>
    </row>
    <row r="168" ht="14.17322826385498" customHeight="1">
      <c r="A168" s="14" t="str">
        <f>Darabok!S38</f>
        <v>R13:KI12-TV02T2-04</v>
      </c>
      <c r="B168" s="1"/>
      <c r="C168" s="1"/>
      <c r="D168" s="15"/>
      <c r="E168" s="1"/>
      <c r="F168" s="14" t="str">
        <f>Darabok!S39</f>
        <v>R13:KI12-TV02P1-01</v>
      </c>
      <c r="G168" s="1"/>
      <c r="H168" s="1"/>
      <c r="I168" s="15"/>
    </row>
    <row r="169" ht="14.17322826385498" customHeight="1">
      <c r="A169" s="14" t="str">
        <v>PDF-címkén gépi vonalkód is szerepel</v>
      </c>
      <c r="B169" s="1"/>
      <c r="C169" s="1"/>
      <c r="D169" s="15"/>
      <c r="E169" s="1"/>
      <c r="F169" s="14" t="str">
        <v>PDF-címkén gépi vonalkód is szerepel</v>
      </c>
      <c r="G169" s="1"/>
      <c r="H169" s="1"/>
      <c r="I169" s="15"/>
    </row>
    <row r="170" ht="14.17322826385498" customHeight="1">
      <c r="A170" s="16"/>
      <c r="B170" s="17"/>
      <c r="C170" s="17"/>
      <c r="D170" s="18"/>
      <c r="E170" s="1"/>
      <c r="F170" s="16"/>
      <c r="G170" s="17"/>
      <c r="H170" s="17"/>
      <c r="I170" s="18"/>
    </row>
    <row r="171" ht="14.17322826385498" customHeight="1">
      <c r="A171" s="11" t="str">
        <f>Darabok!A40</f>
        <v>KI12-TV02P2-01</v>
      </c>
      <c r="B171" s="12"/>
      <c r="C171" s="12"/>
      <c r="D171" s="13"/>
      <c r="E171" s="1"/>
      <c r="F171" s="11" t="str">
        <f>Darabok!A41</f>
        <v>KI12-TV02P2-02</v>
      </c>
      <c r="G171" s="12"/>
      <c r="H171" s="12"/>
      <c r="I171" s="13"/>
    </row>
    <row r="172" ht="14.17322826385498" customHeight="1">
      <c r="A172" s="14" t="str">
        <v>R13 / TERV</v>
      </c>
      <c r="B172" s="1"/>
      <c r="C172" s="1"/>
      <c r="D172" s="15"/>
      <c r="E172" s="1"/>
      <c r="F172" s="14" t="str">
        <v>R13 / TERV</v>
      </c>
      <c r="G172" s="1"/>
      <c r="H172" s="1"/>
      <c r="I172" s="15"/>
    </row>
    <row r="173" ht="14.17322826385498" customHeight="1">
      <c r="A173" s="14" t="str">
        <f>Darabok!C40&amp;" x "&amp;Darabok!D40&amp;" x "&amp;Darabok!E40&amp;" mm"</f>
        <v>652 x 320 x 18 mm</v>
      </c>
      <c r="B173" s="1"/>
      <c r="C173" s="1"/>
      <c r="D173" s="15"/>
      <c r="E173" s="1"/>
      <c r="F173" s="14" t="str">
        <f>Darabok!C41&amp;" x "&amp;Darabok!D41&amp;" x "&amp;Darabok!E41&amp;" mm"</f>
        <v>652 x 320 x 18 mm</v>
      </c>
      <c r="G173" s="1"/>
      <c r="H173" s="1"/>
      <c r="I173" s="15"/>
    </row>
    <row r="174" ht="14.17322826385498" customHeight="1">
      <c r="A174" s="14" t="str">
        <f>Darabok!F40</f>
        <v>M03</v>
      </c>
      <c r="B174" s="1"/>
      <c r="C174" s="1"/>
      <c r="D174" s="15"/>
      <c r="E174" s="1"/>
      <c r="F174" s="14" t="str">
        <f>Darabok!F41</f>
        <v>M03</v>
      </c>
      <c r="G174" s="1"/>
      <c r="H174" s="1"/>
      <c r="I174" s="15"/>
    </row>
    <row r="175" ht="14.17322826385498" customHeight="1">
      <c r="A175" s="14" t="str">
        <v>A/B: rajz szerint; nem gépi tájoló</v>
      </c>
      <c r="B175" s="1"/>
      <c r="C175" s="1"/>
      <c r="D175" s="15"/>
      <c r="E175" s="1"/>
      <c r="F175" s="14" t="str">
        <v>A/B: rajz szerint; nem gépi tájoló</v>
      </c>
      <c r="G175" s="1"/>
      <c r="H175" s="1"/>
      <c r="I175" s="15"/>
    </row>
    <row r="176" ht="14.17322826385498" customHeight="1">
      <c r="A176" s="14" t="str">
        <f>"C elkod: "&amp;Darabok!P40</f>
        <v>C elkod: NYITOTT</v>
      </c>
      <c r="B176" s="1"/>
      <c r="C176" s="1"/>
      <c r="D176" s="15"/>
      <c r="E176" s="1"/>
      <c r="F176" s="14" t="str">
        <f>"C elkod: "&amp;Darabok!P41</f>
        <v>C elkod: NYITOTT</v>
      </c>
      <c r="G176" s="1"/>
      <c r="H176" s="1"/>
      <c r="I176" s="15"/>
    </row>
    <row r="177" ht="14.17322826385498" customHeight="1">
      <c r="A177" s="14" t="str">
        <v>AKTÍV MPR-TERV / NEM GYÁRTÁSI KIADÁS</v>
      </c>
      <c r="B177" s="1"/>
      <c r="C177" s="1"/>
      <c r="D177" s="15"/>
      <c r="E177" s="1"/>
      <c r="F177" s="14" t="str">
        <v>AKTÍV MPR-TERV / NEM GYÁRTÁSI KIADÁS</v>
      </c>
      <c r="G177" s="1"/>
      <c r="H177" s="1"/>
      <c r="I177" s="15"/>
    </row>
    <row r="178" ht="14.17322826385498" customHeight="1">
      <c r="A178" s="14" t="str">
        <f>Darabok!S40</f>
        <v>R13:KI12-TV02P2-01</v>
      </c>
      <c r="B178" s="1"/>
      <c r="C178" s="1"/>
      <c r="D178" s="15"/>
      <c r="E178" s="1"/>
      <c r="F178" s="14" t="str">
        <f>Darabok!S41</f>
        <v>R13:KI12-TV02P2-02</v>
      </c>
      <c r="G178" s="1"/>
      <c r="H178" s="1"/>
      <c r="I178" s="15"/>
    </row>
    <row r="179" ht="14.17322826385498" customHeight="1">
      <c r="A179" s="14" t="str">
        <v>PDF-címkén gépi vonalkód is szerepel</v>
      </c>
      <c r="B179" s="1"/>
      <c r="C179" s="1"/>
      <c r="D179" s="15"/>
      <c r="E179" s="1"/>
      <c r="F179" s="14" t="str">
        <v>PDF-címkén gépi vonalkód is szerepel</v>
      </c>
      <c r="G179" s="1"/>
      <c r="H179" s="1"/>
      <c r="I179" s="15"/>
    </row>
    <row r="180" ht="14.17322826385498" customHeight="1">
      <c r="A180" s="16"/>
      <c r="B180" s="17"/>
      <c r="C180" s="17"/>
      <c r="D180" s="18"/>
      <c r="E180" s="1"/>
      <c r="F180" s="16"/>
      <c r="G180" s="17"/>
      <c r="H180" s="17"/>
      <c r="I180" s="18"/>
    </row>
    <row r="181" ht="14.17322826385498" customHeight="1">
      <c r="A181" s="11" t="str">
        <f>Darabok!A42</f>
        <v>KI12-TV02P2-03</v>
      </c>
      <c r="B181" s="12"/>
      <c r="C181" s="12"/>
      <c r="D181" s="13"/>
      <c r="E181" s="1"/>
      <c r="F181" s="11" t="str">
        <f>Darabok!A43</f>
        <v>KI12-TV02F1-01</v>
      </c>
      <c r="G181" s="12"/>
      <c r="H181" s="12"/>
      <c r="I181" s="13"/>
    </row>
    <row r="182" ht="14.17322826385498" customHeight="1">
      <c r="A182" s="14" t="str">
        <v>R13 / TERV</v>
      </c>
      <c r="B182" s="1"/>
      <c r="C182" s="1"/>
      <c r="D182" s="15"/>
      <c r="E182" s="1"/>
      <c r="F182" s="14" t="str">
        <v>R13 / TERV</v>
      </c>
      <c r="G182" s="1"/>
      <c r="H182" s="1"/>
      <c r="I182" s="15"/>
    </row>
    <row r="183" ht="14.17322826385498" customHeight="1">
      <c r="A183" s="14" t="str">
        <f>Darabok!C42&amp;" x "&amp;Darabok!D42&amp;" x "&amp;Darabok!E42&amp;" mm"</f>
        <v>652 x 320 x 18 mm</v>
      </c>
      <c r="B183" s="1"/>
      <c r="C183" s="1"/>
      <c r="D183" s="15"/>
      <c r="E183" s="1"/>
      <c r="F183" s="14" t="str">
        <f>Darabok!C43&amp;" x "&amp;Darabok!D43&amp;" x "&amp;Darabok!E43&amp;" mm"</f>
        <v>717 x 397 x 18 mm</v>
      </c>
      <c r="G183" s="1"/>
      <c r="H183" s="1"/>
      <c r="I183" s="15"/>
    </row>
    <row r="184" ht="14.17322826385498" customHeight="1">
      <c r="A184" s="14" t="str">
        <f>Darabok!F42</f>
        <v>M03</v>
      </c>
      <c r="B184" s="1"/>
      <c r="C184" s="1"/>
      <c r="D184" s="15"/>
      <c r="E184" s="1"/>
      <c r="F184" s="14" t="str">
        <f>Darabok!F43</f>
        <v>M01</v>
      </c>
      <c r="G184" s="1"/>
      <c r="H184" s="1"/>
      <c r="I184" s="15"/>
    </row>
    <row r="185" ht="14.17322826385498" customHeight="1">
      <c r="A185" s="14" t="str">
        <v>A/B: rajz szerint; nem gépi tájoló</v>
      </c>
      <c r="B185" s="1"/>
      <c r="C185" s="1"/>
      <c r="D185" s="15"/>
      <c r="E185" s="1"/>
      <c r="F185" s="14" t="str">
        <v>A/B: rajz szerint; nem gépi tájoló</v>
      </c>
      <c r="G185" s="1"/>
      <c r="H185" s="1"/>
      <c r="I185" s="15"/>
    </row>
    <row r="186" ht="14.17322826385498" customHeight="1">
      <c r="A186" s="14" t="str">
        <f>"C elkod: "&amp;Darabok!P42</f>
        <v>C elkod: NYITOTT</v>
      </c>
      <c r="B186" s="1"/>
      <c r="C186" s="1"/>
      <c r="D186" s="15"/>
      <c r="E186" s="1"/>
      <c r="F186" s="14" t="str">
        <f>"C elkod: "&amp;Darabok!P43</f>
        <v>C elkod: NYITOTT</v>
      </c>
      <c r="G186" s="1"/>
      <c r="H186" s="1"/>
      <c r="I186" s="15"/>
    </row>
    <row r="187" ht="14.17322826385498" customHeight="1">
      <c r="A187" s="14" t="str">
        <v>AKTÍV MPR-TERV / NEM GYÁRTÁSI KIADÁS</v>
      </c>
      <c r="B187" s="1"/>
      <c r="C187" s="1"/>
      <c r="D187" s="15"/>
      <c r="E187" s="1"/>
      <c r="F187" s="14" t="str">
        <v>AKTÍV MPR-TERV / NEM GYÁRTÁSI KIADÁS</v>
      </c>
      <c r="G187" s="1"/>
      <c r="H187" s="1"/>
      <c r="I187" s="15"/>
    </row>
    <row r="188" ht="14.17322826385498" customHeight="1">
      <c r="A188" s="14" t="str">
        <f>Darabok!S42</f>
        <v>R13:KI12-TV02P2-03</v>
      </c>
      <c r="B188" s="1"/>
      <c r="C188" s="1"/>
      <c r="D188" s="15"/>
      <c r="E188" s="1"/>
      <c r="F188" s="14" t="str">
        <f>Darabok!S43</f>
        <v>R13:KI12-TV02F1-01</v>
      </c>
      <c r="G188" s="1"/>
      <c r="H188" s="1"/>
      <c r="I188" s="15"/>
    </row>
    <row r="189" ht="14.17322826385498" customHeight="1">
      <c r="A189" s="14" t="str">
        <v>PDF-címkén gépi vonalkód is szerepel</v>
      </c>
      <c r="B189" s="1"/>
      <c r="C189" s="1"/>
      <c r="D189" s="15"/>
      <c r="E189" s="1"/>
      <c r="F189" s="14" t="str">
        <v>PDF-címkén gépi vonalkód is szerepel</v>
      </c>
      <c r="G189" s="1"/>
      <c r="H189" s="1"/>
      <c r="I189" s="15"/>
    </row>
    <row r="190" ht="14.17322826385498" customHeight="1">
      <c r="A190" s="16"/>
      <c r="B190" s="17"/>
      <c r="C190" s="17"/>
      <c r="D190" s="18"/>
      <c r="E190" s="1"/>
      <c r="F190" s="16"/>
      <c r="G190" s="17"/>
      <c r="H190" s="17"/>
      <c r="I190" s="18"/>
    </row>
    <row r="191" ht="14.17322826385498" customHeight="1">
      <c r="A191" s="11" t="str">
        <f>Darabok!A44</f>
        <v>KI12-TV02F2-01</v>
      </c>
      <c r="B191" s="12"/>
      <c r="C191" s="12"/>
      <c r="D191" s="13"/>
      <c r="E191" s="1"/>
      <c r="F191" s="11" t="str">
        <f>Darabok!A45</f>
        <v>KI12-TV02F2-02</v>
      </c>
      <c r="G191" s="12"/>
      <c r="H191" s="12"/>
      <c r="I191" s="13"/>
    </row>
    <row r="192" ht="14.17322826385498" customHeight="1">
      <c r="A192" s="14" t="str">
        <v>R13 / TERV</v>
      </c>
      <c r="B192" s="1"/>
      <c r="C192" s="1"/>
      <c r="D192" s="15"/>
      <c r="E192" s="1"/>
      <c r="F192" s="14" t="str">
        <v>R13 / TERV</v>
      </c>
      <c r="G192" s="1"/>
      <c r="H192" s="1"/>
      <c r="I192" s="15"/>
    </row>
    <row r="193" ht="14.17322826385498" customHeight="1">
      <c r="A193" s="14" t="str">
        <f>Darabok!C44&amp;" x "&amp;Darabok!D44&amp;" x "&amp;Darabok!E44&amp;" mm"</f>
        <v>687 x 397 x 18 mm</v>
      </c>
      <c r="B193" s="1"/>
      <c r="C193" s="1"/>
      <c r="D193" s="15"/>
      <c r="E193" s="1"/>
      <c r="F193" s="14" t="str">
        <f>Darabok!C45&amp;" x "&amp;Darabok!D45&amp;" x "&amp;Darabok!E45&amp;" mm"</f>
        <v>687 x 397 x 18 mm</v>
      </c>
      <c r="G193" s="1"/>
      <c r="H193" s="1"/>
      <c r="I193" s="15"/>
    </row>
    <row r="194" ht="14.17322826385498" customHeight="1">
      <c r="A194" s="14" t="str">
        <f>Darabok!F44</f>
        <v>M01</v>
      </c>
      <c r="B194" s="1"/>
      <c r="C194" s="1"/>
      <c r="D194" s="15"/>
      <c r="E194" s="1"/>
      <c r="F194" s="14" t="str">
        <f>Darabok!F45</f>
        <v>M01</v>
      </c>
      <c r="G194" s="1"/>
      <c r="H194" s="1"/>
      <c r="I194" s="15"/>
    </row>
    <row r="195" ht="14.17322826385498" customHeight="1">
      <c r="A195" s="14" t="str">
        <v>A/B: rajz szerint; nem gépi tájoló</v>
      </c>
      <c r="B195" s="1"/>
      <c r="C195" s="1"/>
      <c r="D195" s="15"/>
      <c r="E195" s="1"/>
      <c r="F195" s="14" t="str">
        <v>A/B: rajz szerint; nem gépi tájoló</v>
      </c>
      <c r="G195" s="1"/>
      <c r="H195" s="1"/>
      <c r="I195" s="15"/>
    </row>
    <row r="196" ht="14.17322826385498" customHeight="1">
      <c r="A196" s="14" t="str">
        <f>"C elkod: "&amp;Darabok!P44</f>
        <v>C elkod: NYITOTT</v>
      </c>
      <c r="B196" s="1"/>
      <c r="C196" s="1"/>
      <c r="D196" s="15"/>
      <c r="E196" s="1"/>
      <c r="F196" s="14" t="str">
        <f>"C elkod: "&amp;Darabok!P45</f>
        <v>C elkod: NYITOTT</v>
      </c>
      <c r="G196" s="1"/>
      <c r="H196" s="1"/>
      <c r="I196" s="15"/>
    </row>
    <row r="197" ht="14.17322826385498" customHeight="1">
      <c r="A197" s="14" t="str">
        <v>AKTÍV MPR-TERV / NEM GYÁRTÁSI KIADÁS</v>
      </c>
      <c r="B197" s="1"/>
      <c r="C197" s="1"/>
      <c r="D197" s="15"/>
      <c r="E197" s="1"/>
      <c r="F197" s="14" t="str">
        <v>AKTÍV MPR-TERV / NEM GYÁRTÁSI KIADÁS</v>
      </c>
      <c r="G197" s="1"/>
      <c r="H197" s="1"/>
      <c r="I197" s="15"/>
    </row>
    <row r="198" ht="14.17322826385498" customHeight="1">
      <c r="A198" s="14" t="str">
        <f>Darabok!S44</f>
        <v>R13:KI12-TV02F2-01</v>
      </c>
      <c r="B198" s="1"/>
      <c r="C198" s="1"/>
      <c r="D198" s="15"/>
      <c r="E198" s="1"/>
      <c r="F198" s="14" t="str">
        <f>Darabok!S45</f>
        <v>R13:KI12-TV02F2-02</v>
      </c>
      <c r="G198" s="1"/>
      <c r="H198" s="1"/>
      <c r="I198" s="15"/>
    </row>
    <row r="199" ht="14.17322826385498" customHeight="1">
      <c r="A199" s="14" t="str">
        <v>PDF-címkén gépi vonalkód is szerepel</v>
      </c>
      <c r="B199" s="1"/>
      <c r="C199" s="1"/>
      <c r="D199" s="15"/>
      <c r="E199" s="1"/>
      <c r="F199" s="14" t="str">
        <v>PDF-címkén gépi vonalkód is szerepel</v>
      </c>
      <c r="G199" s="1"/>
      <c r="H199" s="1"/>
      <c r="I199" s="15"/>
    </row>
    <row r="200" ht="14.17322826385498" customHeight="1">
      <c r="A200" s="16"/>
      <c r="B200" s="17"/>
      <c r="C200" s="17"/>
      <c r="D200" s="18"/>
      <c r="E200" s="1"/>
      <c r="F200" s="16"/>
      <c r="G200" s="17"/>
      <c r="H200" s="17"/>
      <c r="I200" s="18"/>
    </row>
    <row r="201" ht="14.17322826385498" customHeight="1">
      <c r="A201" s="11" t="str">
        <f>Darabok!A46</f>
        <v>KI12-TV02F2-03</v>
      </c>
      <c r="B201" s="12"/>
      <c r="C201" s="12"/>
      <c r="D201" s="13"/>
      <c r="E201" s="1"/>
      <c r="F201" s="11" t="str">
        <f>Darabok!A47</f>
        <v>KI12-TV02F2-04</v>
      </c>
      <c r="G201" s="12"/>
      <c r="H201" s="12"/>
      <c r="I201" s="13"/>
    </row>
    <row r="202" ht="14.17322826385498" customHeight="1">
      <c r="A202" s="14" t="str">
        <v>R13 / TERV</v>
      </c>
      <c r="B202" s="1"/>
      <c r="C202" s="1"/>
      <c r="D202" s="15"/>
      <c r="E202" s="1"/>
      <c r="F202" s="14" t="str">
        <v>R13 / TERV</v>
      </c>
      <c r="G202" s="1"/>
      <c r="H202" s="1"/>
      <c r="I202" s="15"/>
    </row>
    <row r="203" ht="14.17322826385498" customHeight="1">
      <c r="A203" s="14" t="str">
        <f>Darabok!C46&amp;" x "&amp;Darabok!D46&amp;" x "&amp;Darabok!E46&amp;" mm"</f>
        <v>687 x 397 x 18 mm</v>
      </c>
      <c r="B203" s="1"/>
      <c r="C203" s="1"/>
      <c r="D203" s="15"/>
      <c r="E203" s="1"/>
      <c r="F203" s="14" t="str">
        <f>Darabok!C47&amp;" x "&amp;Darabok!D47&amp;" x "&amp;Darabok!E47&amp;" mm"</f>
        <v>687 x 397 x 18 mm</v>
      </c>
      <c r="G203" s="1"/>
      <c r="H203" s="1"/>
      <c r="I203" s="15"/>
    </row>
    <row r="204" ht="14.17322826385498" customHeight="1">
      <c r="A204" s="14" t="str">
        <f>Darabok!F46</f>
        <v>M01</v>
      </c>
      <c r="B204" s="1"/>
      <c r="C204" s="1"/>
      <c r="D204" s="15"/>
      <c r="E204" s="1"/>
      <c r="F204" s="14" t="str">
        <f>Darabok!F47</f>
        <v>M01</v>
      </c>
      <c r="G204" s="1"/>
      <c r="H204" s="1"/>
      <c r="I204" s="15"/>
    </row>
    <row r="205" ht="14.17322826385498" customHeight="1">
      <c r="A205" s="14" t="str">
        <v>A/B: rajz szerint; nem gépi tájoló</v>
      </c>
      <c r="B205" s="1"/>
      <c r="C205" s="1"/>
      <c r="D205" s="15"/>
      <c r="E205" s="1"/>
      <c r="F205" s="14" t="str">
        <v>A/B: rajz szerint; nem gépi tájoló</v>
      </c>
      <c r="G205" s="1"/>
      <c r="H205" s="1"/>
      <c r="I205" s="15"/>
    </row>
    <row r="206" ht="14.17322826385498" customHeight="1">
      <c r="A206" s="14" t="str">
        <f>"C elkod: "&amp;Darabok!P46</f>
        <v>C elkod: NYITOTT</v>
      </c>
      <c r="B206" s="1"/>
      <c r="C206" s="1"/>
      <c r="D206" s="15"/>
      <c r="E206" s="1"/>
      <c r="F206" s="14" t="str">
        <f>"C elkod: "&amp;Darabok!P47</f>
        <v>C elkod: NYITOTT</v>
      </c>
      <c r="G206" s="1"/>
      <c r="H206" s="1"/>
      <c r="I206" s="15"/>
    </row>
    <row r="207" ht="14.17322826385498" customHeight="1">
      <c r="A207" s="14" t="str">
        <v>AKTÍV MPR-TERV / NEM GYÁRTÁSI KIADÁS</v>
      </c>
      <c r="B207" s="1"/>
      <c r="C207" s="1"/>
      <c r="D207" s="15"/>
      <c r="E207" s="1"/>
      <c r="F207" s="14" t="str">
        <v>AKTÍV MPR-TERV / NEM GYÁRTÁSI KIADÁS</v>
      </c>
      <c r="G207" s="1"/>
      <c r="H207" s="1"/>
      <c r="I207" s="15"/>
    </row>
    <row r="208" ht="14.17322826385498" customHeight="1">
      <c r="A208" s="14" t="str">
        <f>Darabok!S46</f>
        <v>R13:KI12-TV02F2-03</v>
      </c>
      <c r="B208" s="1"/>
      <c r="C208" s="1"/>
      <c r="D208" s="15"/>
      <c r="E208" s="1"/>
      <c r="F208" s="14" t="str">
        <f>Darabok!S47</f>
        <v>R13:KI12-TV02F2-04</v>
      </c>
      <c r="G208" s="1"/>
      <c r="H208" s="1"/>
      <c r="I208" s="15"/>
    </row>
    <row r="209" ht="14.17322826385498" customHeight="1">
      <c r="A209" s="14" t="str">
        <v>PDF-címkén gépi vonalkód is szerepel</v>
      </c>
      <c r="B209" s="1"/>
      <c r="C209" s="1"/>
      <c r="D209" s="15"/>
      <c r="E209" s="1"/>
      <c r="F209" s="14" t="str">
        <v>PDF-címkén gépi vonalkód is szerepel</v>
      </c>
      <c r="G209" s="1"/>
      <c r="H209" s="1"/>
      <c r="I209" s="15"/>
    </row>
    <row r="210" ht="14.17322826385498" customHeight="1">
      <c r="A210" s="16"/>
      <c r="B210" s="17"/>
      <c r="C210" s="17"/>
      <c r="D210" s="18"/>
      <c r="E210" s="1"/>
      <c r="F210" s="16"/>
      <c r="G210" s="17"/>
      <c r="H210" s="17"/>
      <c r="I210" s="18"/>
    </row>
    <row r="211" ht="14.17322826385498" customHeight="1">
      <c r="A211" s="11" t="str">
        <f>Darabok!A48</f>
        <v>KI12-TV02H1-01</v>
      </c>
      <c r="B211" s="12"/>
      <c r="C211" s="12"/>
      <c r="D211" s="13"/>
      <c r="E211" s="1"/>
      <c r="F211" s="11" t="str">
        <f>Darabok!A49</f>
        <v>KI12-TV02H2-01</v>
      </c>
      <c r="G211" s="12"/>
      <c r="H211" s="12"/>
      <c r="I211" s="13"/>
    </row>
    <row r="212" ht="14.17322826385498" customHeight="1">
      <c r="A212" s="14" t="str">
        <v>R13 / TERV</v>
      </c>
      <c r="B212" s="1"/>
      <c r="C212" s="1"/>
      <c r="D212" s="15"/>
      <c r="E212" s="1"/>
      <c r="F212" s="14" t="str">
        <v>R13 / TERV</v>
      </c>
      <c r="G212" s="1"/>
      <c r="H212" s="1"/>
      <c r="I212" s="15"/>
    </row>
    <row r="213" ht="14.17322826385498" customHeight="1">
      <c r="A213" s="14" t="str">
        <f>Darabok!C48&amp;" x "&amp;Darabok!D48&amp;" x "&amp;Darabok!E48&amp;" mm"</f>
        <v>684 x 364 x 8 mm</v>
      </c>
      <c r="B213" s="1"/>
      <c r="C213" s="1"/>
      <c r="D213" s="15"/>
      <c r="E213" s="1"/>
      <c r="F213" s="14" t="str">
        <f>Darabok!C49&amp;" x "&amp;Darabok!D49&amp;" x "&amp;Darabok!E49&amp;" mm"</f>
        <v>654 x 364 x 8 mm</v>
      </c>
      <c r="G213" s="1"/>
      <c r="H213" s="1"/>
      <c r="I213" s="15"/>
    </row>
    <row r="214" ht="14.17322826385498" customHeight="1">
      <c r="A214" s="14" t="str">
        <f>Darabok!F48</f>
        <v>M03</v>
      </c>
      <c r="B214" s="1"/>
      <c r="C214" s="1"/>
      <c r="D214" s="15"/>
      <c r="E214" s="1"/>
      <c r="F214" s="14" t="str">
        <f>Darabok!F49</f>
        <v>M03</v>
      </c>
      <c r="G214" s="1"/>
      <c r="H214" s="1"/>
      <c r="I214" s="15"/>
    </row>
    <row r="215" ht="14.17322826385498" customHeight="1">
      <c r="A215" s="14" t="str">
        <v>A/B: rajz szerint; nem gépi tájoló</v>
      </c>
      <c r="B215" s="1"/>
      <c r="C215" s="1"/>
      <c r="D215" s="15"/>
      <c r="E215" s="1"/>
      <c r="F215" s="14" t="str">
        <v>A/B: rajz szerint; nem gépi tájoló</v>
      </c>
      <c r="G215" s="1"/>
      <c r="H215" s="1"/>
      <c r="I215" s="15"/>
    </row>
    <row r="216" ht="14.17322826385498" customHeight="1">
      <c r="A216" s="14" t="str">
        <f>"C elkod: "&amp;Darabok!P48</f>
        <v>C elkod: NYITOTT</v>
      </c>
      <c r="B216" s="1"/>
      <c r="C216" s="1"/>
      <c r="D216" s="15"/>
      <c r="E216" s="1"/>
      <c r="F216" s="14" t="str">
        <f>"C elkod: "&amp;Darabok!P49</f>
        <v>C elkod: NYITOTT</v>
      </c>
      <c r="G216" s="1"/>
      <c r="H216" s="1"/>
      <c r="I216" s="15"/>
    </row>
    <row r="217" ht="14.17322826385498" customHeight="1">
      <c r="A217" s="14" t="str">
        <v>AKTÍV MPR-TERV / NEM GYÁRTÁSI KIADÁS</v>
      </c>
      <c r="B217" s="1"/>
      <c r="C217" s="1"/>
      <c r="D217" s="15"/>
      <c r="E217" s="1"/>
      <c r="F217" s="14" t="str">
        <v>AKTÍV MPR-TERV / NEM GYÁRTÁSI KIADÁS</v>
      </c>
      <c r="G217" s="1"/>
      <c r="H217" s="1"/>
      <c r="I217" s="15"/>
    </row>
    <row r="218" ht="14.17322826385498" customHeight="1">
      <c r="A218" s="14" t="str">
        <f>Darabok!S48</f>
        <v>R13:KI12-TV02H1-01</v>
      </c>
      <c r="B218" s="1"/>
      <c r="C218" s="1"/>
      <c r="D218" s="15"/>
      <c r="E218" s="1"/>
      <c r="F218" s="14" t="str">
        <f>Darabok!S49</f>
        <v>R13:KI12-TV02H2-01</v>
      </c>
      <c r="G218" s="1"/>
      <c r="H218" s="1"/>
      <c r="I218" s="15"/>
    </row>
    <row r="219" ht="14.17322826385498" customHeight="1">
      <c r="A219" s="14" t="str">
        <v>PDF-címkén gépi vonalkód is szerepel</v>
      </c>
      <c r="B219" s="1"/>
      <c r="C219" s="1"/>
      <c r="D219" s="15"/>
      <c r="E219" s="1"/>
      <c r="F219" s="14" t="str">
        <v>PDF-címkén gépi vonalkód is szerepel</v>
      </c>
      <c r="G219" s="1"/>
      <c r="H219" s="1"/>
      <c r="I219" s="15"/>
    </row>
    <row r="220" ht="14.17322826385498" customHeight="1">
      <c r="A220" s="16"/>
      <c r="B220" s="17"/>
      <c r="C220" s="17"/>
      <c r="D220" s="18"/>
      <c r="E220" s="1"/>
      <c r="F220" s="16"/>
      <c r="G220" s="17"/>
      <c r="H220" s="17"/>
      <c r="I220" s="18"/>
    </row>
    <row r="221" ht="14.17322826385498" customHeight="1">
      <c r="A221" s="11" t="str">
        <f>Darabok!A50</f>
        <v>KI12-TV02H2-02</v>
      </c>
      <c r="B221" s="12"/>
      <c r="C221" s="12"/>
      <c r="D221" s="13"/>
      <c r="E221" s="1"/>
      <c r="F221" s="11" t="str">
        <f>Darabok!A51</f>
        <v>KI12-TV02H2-03</v>
      </c>
      <c r="G221" s="12"/>
      <c r="H221" s="12"/>
      <c r="I221" s="13"/>
    </row>
    <row r="222" ht="14.17322826385498" customHeight="1">
      <c r="A222" s="14" t="str">
        <v>R13 / TERV</v>
      </c>
      <c r="B222" s="1"/>
      <c r="C222" s="1"/>
      <c r="D222" s="15"/>
      <c r="E222" s="1"/>
      <c r="F222" s="14" t="str">
        <v>R13 / TERV</v>
      </c>
      <c r="G222" s="1"/>
      <c r="H222" s="1"/>
      <c r="I222" s="15"/>
    </row>
    <row r="223" ht="14.17322826385498" customHeight="1">
      <c r="A223" s="14" t="str">
        <f>Darabok!C50&amp;" x "&amp;Darabok!D50&amp;" x "&amp;Darabok!E50&amp;" mm"</f>
        <v>654 x 364 x 8 mm</v>
      </c>
      <c r="B223" s="1"/>
      <c r="C223" s="1"/>
      <c r="D223" s="15"/>
      <c r="E223" s="1"/>
      <c r="F223" s="14" t="str">
        <f>Darabok!C51&amp;" x "&amp;Darabok!D51&amp;" x "&amp;Darabok!E51&amp;" mm"</f>
        <v>654 x 364 x 8 mm</v>
      </c>
      <c r="G223" s="1"/>
      <c r="H223" s="1"/>
      <c r="I223" s="15"/>
    </row>
    <row r="224" ht="14.17322826385498" customHeight="1">
      <c r="A224" s="14" t="str">
        <f>Darabok!F50</f>
        <v>M03</v>
      </c>
      <c r="B224" s="1"/>
      <c r="C224" s="1"/>
      <c r="D224" s="15"/>
      <c r="E224" s="1"/>
      <c r="F224" s="14" t="str">
        <f>Darabok!F51</f>
        <v>M03</v>
      </c>
      <c r="G224" s="1"/>
      <c r="H224" s="1"/>
      <c r="I224" s="15"/>
    </row>
    <row r="225" ht="14.17322826385498" customHeight="1">
      <c r="A225" s="14" t="str">
        <v>A/B: rajz szerint; nem gépi tájoló</v>
      </c>
      <c r="B225" s="1"/>
      <c r="C225" s="1"/>
      <c r="D225" s="15"/>
      <c r="E225" s="1"/>
      <c r="F225" s="14" t="str">
        <v>A/B: rajz szerint; nem gépi tájoló</v>
      </c>
      <c r="G225" s="1"/>
      <c r="H225" s="1"/>
      <c r="I225" s="15"/>
    </row>
    <row r="226" ht="14.17322826385498" customHeight="1">
      <c r="A226" s="14" t="str">
        <f>"C elkod: "&amp;Darabok!P50</f>
        <v>C elkod: NYITOTT</v>
      </c>
      <c r="B226" s="1"/>
      <c r="C226" s="1"/>
      <c r="D226" s="15"/>
      <c r="E226" s="1"/>
      <c r="F226" s="14" t="str">
        <f>"C elkod: "&amp;Darabok!P51</f>
        <v>C elkod: NYITOTT</v>
      </c>
      <c r="G226" s="1"/>
      <c r="H226" s="1"/>
      <c r="I226" s="15"/>
    </row>
    <row r="227" ht="14.17322826385498" customHeight="1">
      <c r="A227" s="14" t="str">
        <v>AKTÍV MPR-TERV / NEM GYÁRTÁSI KIADÁS</v>
      </c>
      <c r="B227" s="1"/>
      <c r="C227" s="1"/>
      <c r="D227" s="15"/>
      <c r="E227" s="1"/>
      <c r="F227" s="14" t="str">
        <v>AKTÍV MPR-TERV / NEM GYÁRTÁSI KIADÁS</v>
      </c>
      <c r="G227" s="1"/>
      <c r="H227" s="1"/>
      <c r="I227" s="15"/>
    </row>
    <row r="228" ht="14.17322826385498" customHeight="1">
      <c r="A228" s="14" t="str">
        <f>Darabok!S50</f>
        <v>R13:KI12-TV02H2-02</v>
      </c>
      <c r="B228" s="1"/>
      <c r="C228" s="1"/>
      <c r="D228" s="15"/>
      <c r="E228" s="1"/>
      <c r="F228" s="14" t="str">
        <f>Darabok!S51</f>
        <v>R13:KI12-TV02H2-03</v>
      </c>
      <c r="G228" s="1"/>
      <c r="H228" s="1"/>
      <c r="I228" s="15"/>
    </row>
    <row r="229" ht="14.17322826385498" customHeight="1">
      <c r="A229" s="14" t="str">
        <v>PDF-címkén gépi vonalkód is szerepel</v>
      </c>
      <c r="B229" s="1"/>
      <c r="C229" s="1"/>
      <c r="D229" s="15"/>
      <c r="E229" s="1"/>
      <c r="F229" s="14" t="str">
        <v>PDF-címkén gépi vonalkód is szerepel</v>
      </c>
      <c r="G229" s="1"/>
      <c r="H229" s="1"/>
      <c r="I229" s="15"/>
    </row>
    <row r="230" ht="14.17322826385498" customHeight="1">
      <c r="A230" s="16"/>
      <c r="B230" s="17"/>
      <c r="C230" s="17"/>
      <c r="D230" s="18"/>
      <c r="E230" s="1"/>
      <c r="F230" s="16"/>
      <c r="G230" s="17"/>
      <c r="H230" s="17"/>
      <c r="I230" s="18"/>
    </row>
    <row r="231" ht="14.17322826385498" customHeight="1">
      <c r="A231" s="11" t="str">
        <f>Darabok!A52</f>
        <v>KI12-TV02H2-04</v>
      </c>
      <c r="B231" s="12"/>
      <c r="C231" s="12"/>
      <c r="D231" s="13"/>
      <c r="E231" s="1"/>
      <c r="F231" s="11" t="str">
        <f>Darabok!A53</f>
        <v>KI12-TV02CAP-01</v>
      </c>
      <c r="G231" s="12"/>
      <c r="H231" s="12"/>
      <c r="I231" s="13"/>
    </row>
    <row r="232" ht="14.17322826385498" customHeight="1">
      <c r="A232" s="14" t="str">
        <v>R13 / TERV</v>
      </c>
      <c r="B232" s="1"/>
      <c r="C232" s="1"/>
      <c r="D232" s="15"/>
      <c r="E232" s="1"/>
      <c r="F232" s="14" t="str">
        <v>R13 / TERV</v>
      </c>
      <c r="G232" s="1"/>
      <c r="H232" s="1"/>
      <c r="I232" s="15"/>
    </row>
    <row r="233" ht="14.17322826385498" customHeight="1">
      <c r="A233" s="14" t="str">
        <f>Darabok!C52&amp;" x "&amp;Darabok!D52&amp;" x "&amp;Darabok!E52&amp;" mm"</f>
        <v>654 x 364 x 8 mm</v>
      </c>
      <c r="B233" s="1"/>
      <c r="C233" s="1"/>
      <c r="D233" s="15"/>
      <c r="E233" s="1"/>
      <c r="F233" s="14" t="str">
        <f>Darabok!C53&amp;" x "&amp;Darabok!D53&amp;" x "&amp;Darabok!E53&amp;" mm"</f>
        <v>3600 x 382 x 18 mm</v>
      </c>
      <c r="G233" s="1"/>
      <c r="H233" s="1"/>
      <c r="I233" s="15"/>
    </row>
    <row r="234" ht="14.17322826385498" customHeight="1">
      <c r="A234" s="14" t="str">
        <f>Darabok!F52</f>
        <v>M03</v>
      </c>
      <c r="B234" s="1"/>
      <c r="C234" s="1"/>
      <c r="D234" s="15"/>
      <c r="E234" s="1"/>
      <c r="F234" s="14" t="str">
        <f>Darabok!F53</f>
        <v>M01</v>
      </c>
      <c r="G234" s="1"/>
      <c r="H234" s="1"/>
      <c r="I234" s="15"/>
    </row>
    <row r="235" ht="14.17322826385498" customHeight="1">
      <c r="A235" s="14" t="str">
        <v>A/B: rajz szerint; nem gépi tájoló</v>
      </c>
      <c r="B235" s="1"/>
      <c r="C235" s="1"/>
      <c r="D235" s="15"/>
      <c r="E235" s="1"/>
      <c r="F235" s="14" t="str">
        <v>A/B: rajz szerint; nem gépi tájoló</v>
      </c>
      <c r="G235" s="1"/>
      <c r="H235" s="1"/>
      <c r="I235" s="15"/>
    </row>
    <row r="236" ht="14.17322826385498" customHeight="1">
      <c r="A236" s="14" t="str">
        <f>"C elkod: "&amp;Darabok!P52</f>
        <v>C elkod: NYITOTT</v>
      </c>
      <c r="B236" s="1"/>
      <c r="C236" s="1"/>
      <c r="D236" s="15"/>
      <c r="E236" s="1"/>
      <c r="F236" s="14" t="str">
        <f>"C elkod: "&amp;Darabok!P53</f>
        <v>C elkod: NYITOTT</v>
      </c>
      <c r="G236" s="1"/>
      <c r="H236" s="1"/>
      <c r="I236" s="15"/>
    </row>
    <row r="237" ht="14.17322826385498" customHeight="1">
      <c r="A237" s="14" t="str">
        <v>AKTÍV MPR-TERV / NEM GYÁRTÁSI KIADÁS</v>
      </c>
      <c r="B237" s="1"/>
      <c r="C237" s="1"/>
      <c r="D237" s="15"/>
      <c r="E237" s="1"/>
      <c r="F237" s="14" t="str">
        <v>AKTÍV MPR-TERV / NEM GYÁRTÁSI KIADÁS</v>
      </c>
      <c r="G237" s="1"/>
      <c r="H237" s="1"/>
      <c r="I237" s="15"/>
    </row>
    <row r="238" ht="14.17322826385498" customHeight="1">
      <c r="A238" s="14" t="str">
        <f>Darabok!S52</f>
        <v>R13:KI12-TV02H2-04</v>
      </c>
      <c r="B238" s="1"/>
      <c r="C238" s="1"/>
      <c r="D238" s="15"/>
      <c r="E238" s="1"/>
      <c r="F238" s="14" t="str">
        <f>Darabok!S53</f>
        <v>R13:KI12-TV02CAP-01</v>
      </c>
      <c r="G238" s="1"/>
      <c r="H238" s="1"/>
      <c r="I238" s="15"/>
    </row>
    <row r="239" ht="14.17322826385498" customHeight="1">
      <c r="A239" s="14" t="str">
        <v>PDF-címkén gépi vonalkód is szerepel</v>
      </c>
      <c r="B239" s="1"/>
      <c r="C239" s="1"/>
      <c r="D239" s="15"/>
      <c r="E239" s="1"/>
      <c r="F239" s="14" t="str">
        <v>PDF-címkén gépi vonalkód is szerepel</v>
      </c>
      <c r="G239" s="1"/>
      <c r="H239" s="1"/>
      <c r="I239" s="15"/>
    </row>
    <row r="240" ht="14.17322826385498" customHeight="1">
      <c r="A240" s="16"/>
      <c r="B240" s="17"/>
      <c r="C240" s="17"/>
      <c r="D240" s="18"/>
      <c r="E240" s="1"/>
      <c r="F240" s="16"/>
      <c r="G240" s="17"/>
      <c r="H240" s="17"/>
      <c r="I240" s="18"/>
    </row>
    <row r="241" ht="14.17322826385498" customHeight="1">
      <c r="A241" s="11" t="str">
        <f>Darabok!A54</f>
        <v>KI12-TV03P-01</v>
      </c>
      <c r="B241" s="12"/>
      <c r="C241" s="12"/>
      <c r="D241" s="13"/>
      <c r="E241" s="1"/>
      <c r="F241" s="11" t="str">
        <f>Darabok!A55</f>
        <v>KI12-TV03P-02</v>
      </c>
      <c r="G241" s="12"/>
      <c r="H241" s="12"/>
      <c r="I241" s="13"/>
    </row>
    <row r="242" ht="14.17322826385498" customHeight="1">
      <c r="A242" s="14" t="str">
        <v>R13 / TERV</v>
      </c>
      <c r="B242" s="1"/>
      <c r="C242" s="1"/>
      <c r="D242" s="15"/>
      <c r="E242" s="1"/>
      <c r="F242" s="14" t="str">
        <v>R13 / TERV</v>
      </c>
      <c r="G242" s="1"/>
      <c r="H242" s="1"/>
      <c r="I242" s="15"/>
    </row>
    <row r="243" ht="14.17322826385498" customHeight="1">
      <c r="A243" s="14" t="str">
        <f>Darabok!C54&amp;" x "&amp;Darabok!D54&amp;" x "&amp;Darabok!E54&amp;" mm"</f>
        <v>2330 x 687 x 18 mm</v>
      </c>
      <c r="B243" s="1"/>
      <c r="C243" s="1"/>
      <c r="D243" s="15"/>
      <c r="E243" s="1"/>
      <c r="F243" s="14" t="str">
        <f>Darabok!C55&amp;" x "&amp;Darabok!D55&amp;" x "&amp;Darabok!E55&amp;" mm"</f>
        <v>2330 x 687 x 18 mm</v>
      </c>
      <c r="G243" s="1"/>
      <c r="H243" s="1"/>
      <c r="I243" s="15"/>
    </row>
    <row r="244" ht="14.17322826385498" customHeight="1">
      <c r="A244" s="14" t="str">
        <f>Darabok!F54</f>
        <v>M02</v>
      </c>
      <c r="B244" s="1"/>
      <c r="C244" s="1"/>
      <c r="D244" s="15"/>
      <c r="E244" s="1"/>
      <c r="F244" s="14" t="str">
        <f>Darabok!F55</f>
        <v>M02</v>
      </c>
      <c r="G244" s="1"/>
      <c r="H244" s="1"/>
      <c r="I244" s="15"/>
    </row>
    <row r="245" ht="14.17322826385498" customHeight="1">
      <c r="A245" s="14" t="str">
        <v>A/B: rajz szerint; nem gépi tájoló</v>
      </c>
      <c r="B245" s="1"/>
      <c r="C245" s="1"/>
      <c r="D245" s="15"/>
      <c r="E245" s="1"/>
      <c r="F245" s="14" t="str">
        <v>A/B: rajz szerint; nem gépi tájoló</v>
      </c>
      <c r="G245" s="1"/>
      <c r="H245" s="1"/>
      <c r="I245" s="15"/>
    </row>
    <row r="246" ht="14.17322826385498" customHeight="1">
      <c r="A246" s="14" t="str">
        <f>"C elkod: "&amp;Darabok!P54</f>
        <v>C elkod: NYITOTT</v>
      </c>
      <c r="B246" s="1"/>
      <c r="C246" s="1"/>
      <c r="D246" s="15"/>
      <c r="E246" s="1"/>
      <c r="F246" s="14" t="str">
        <f>"C elkod: "&amp;Darabok!P55</f>
        <v>C elkod: NYITOTT</v>
      </c>
      <c r="G246" s="1"/>
      <c r="H246" s="1"/>
      <c r="I246" s="15"/>
    </row>
    <row r="247" ht="14.17322826385498" customHeight="1">
      <c r="A247" s="14" t="str">
        <v>AKTÍV MPR-TERV / NEM GYÁRTÁSI KIADÁS</v>
      </c>
      <c r="B247" s="1"/>
      <c r="C247" s="1"/>
      <c r="D247" s="15"/>
      <c r="E247" s="1"/>
      <c r="F247" s="14" t="str">
        <v>AKTÍV MPR-TERV / NEM GYÁRTÁSI KIADÁS</v>
      </c>
      <c r="G247" s="1"/>
      <c r="H247" s="1"/>
      <c r="I247" s="15"/>
    </row>
    <row r="248" ht="14.17322826385498" customHeight="1">
      <c r="A248" s="14" t="str">
        <f>Darabok!S54</f>
        <v>R13:KI12-TV03P-01</v>
      </c>
      <c r="B248" s="1"/>
      <c r="C248" s="1"/>
      <c r="D248" s="15"/>
      <c r="E248" s="1"/>
      <c r="F248" s="14" t="str">
        <f>Darabok!S55</f>
        <v>R13:KI12-TV03P-02</v>
      </c>
      <c r="G248" s="1"/>
      <c r="H248" s="1"/>
      <c r="I248" s="15"/>
    </row>
    <row r="249" ht="14.17322826385498" customHeight="1">
      <c r="A249" s="14" t="str">
        <v>PDF-címkén gépi vonalkód is szerepel</v>
      </c>
      <c r="B249" s="1"/>
      <c r="C249" s="1"/>
      <c r="D249" s="15"/>
      <c r="E249" s="1"/>
      <c r="F249" s="14" t="str">
        <v>PDF-címkén gépi vonalkód is szerepel</v>
      </c>
      <c r="G249" s="1"/>
      <c r="H249" s="1"/>
      <c r="I249" s="15"/>
    </row>
    <row r="250" ht="14.17322826385498" customHeight="1">
      <c r="A250" s="16"/>
      <c r="B250" s="17"/>
      <c r="C250" s="17"/>
      <c r="D250" s="18"/>
      <c r="E250" s="1"/>
      <c r="F250" s="16"/>
      <c r="G250" s="17"/>
      <c r="H250" s="17"/>
      <c r="I250" s="18"/>
    </row>
    <row r="251" ht="14.17322826385498" customHeight="1">
      <c r="A251" s="11" t="str">
        <f>Darabok!A56</f>
        <v>KI12-TV03P-03</v>
      </c>
      <c r="B251" s="12"/>
      <c r="C251" s="12"/>
      <c r="D251" s="13"/>
      <c r="E251" s="1"/>
      <c r="F251" s="11" t="str">
        <f>Darabok!A57</f>
        <v>KI12-TV03P-04</v>
      </c>
      <c r="G251" s="12"/>
      <c r="H251" s="12"/>
      <c r="I251" s="13"/>
    </row>
    <row r="252" ht="14.17322826385498" customHeight="1">
      <c r="A252" s="14" t="str">
        <v>R13 / TERV</v>
      </c>
      <c r="B252" s="1"/>
      <c r="C252" s="1"/>
      <c r="D252" s="15"/>
      <c r="E252" s="1"/>
      <c r="F252" s="14" t="str">
        <v>R13 / TERV</v>
      </c>
      <c r="G252" s="1"/>
      <c r="H252" s="1"/>
      <c r="I252" s="15"/>
    </row>
    <row r="253" ht="14.17322826385498" customHeight="1">
      <c r="A253" s="14" t="str">
        <f>Darabok!C56&amp;" x "&amp;Darabok!D56&amp;" x "&amp;Darabok!E56&amp;" mm"</f>
        <v>2330 x 687 x 18 mm</v>
      </c>
      <c r="B253" s="1"/>
      <c r="C253" s="1"/>
      <c r="D253" s="15"/>
      <c r="E253" s="1"/>
      <c r="F253" s="14" t="str">
        <f>Darabok!C57&amp;" x "&amp;Darabok!D57&amp;" x "&amp;Darabok!E57&amp;" mm"</f>
        <v>2330 x 687 x 18 mm</v>
      </c>
      <c r="G253" s="1"/>
      <c r="H253" s="1"/>
      <c r="I253" s="15"/>
    </row>
    <row r="254" ht="14.17322826385498" customHeight="1">
      <c r="A254" s="14" t="str">
        <f>Darabok!F56</f>
        <v>M02</v>
      </c>
      <c r="B254" s="1"/>
      <c r="C254" s="1"/>
      <c r="D254" s="15"/>
      <c r="E254" s="1"/>
      <c r="F254" s="14" t="str">
        <f>Darabok!F57</f>
        <v>M02</v>
      </c>
      <c r="G254" s="1"/>
      <c r="H254" s="1"/>
      <c r="I254" s="15"/>
    </row>
    <row r="255" ht="14.17322826385498" customHeight="1">
      <c r="A255" s="14" t="str">
        <v>A/B: rajz szerint; nem gépi tájoló</v>
      </c>
      <c r="B255" s="1"/>
      <c r="C255" s="1"/>
      <c r="D255" s="15"/>
      <c r="E255" s="1"/>
      <c r="F255" s="14" t="str">
        <v>A/B: rajz szerint; nem gépi tájoló</v>
      </c>
      <c r="G255" s="1"/>
      <c r="H255" s="1"/>
      <c r="I255" s="15"/>
    </row>
    <row r="256" ht="14.17322826385498" customHeight="1">
      <c r="A256" s="14" t="str">
        <f>"C elkod: "&amp;Darabok!P56</f>
        <v>C elkod: NYITOTT</v>
      </c>
      <c r="B256" s="1"/>
      <c r="C256" s="1"/>
      <c r="D256" s="15"/>
      <c r="E256" s="1"/>
      <c r="F256" s="14" t="str">
        <f>"C elkod: "&amp;Darabok!P57</f>
        <v>C elkod: NYITOTT</v>
      </c>
      <c r="G256" s="1"/>
      <c r="H256" s="1"/>
      <c r="I256" s="15"/>
    </row>
    <row r="257" ht="14.17322826385498" customHeight="1">
      <c r="A257" s="14" t="str">
        <v>AKTÍV MPR-TERV / NEM GYÁRTÁSI KIADÁS</v>
      </c>
      <c r="B257" s="1"/>
      <c r="C257" s="1"/>
      <c r="D257" s="15"/>
      <c r="E257" s="1"/>
      <c r="F257" s="14" t="str">
        <v>AKTÍV MPR-TERV / NEM GYÁRTÁSI KIADÁS</v>
      </c>
      <c r="G257" s="1"/>
      <c r="H257" s="1"/>
      <c r="I257" s="15"/>
    </row>
    <row r="258" ht="14.17322826385498" customHeight="1">
      <c r="A258" s="14" t="str">
        <f>Darabok!S56</f>
        <v>R13:KI12-TV03P-03</v>
      </c>
      <c r="B258" s="1"/>
      <c r="C258" s="1"/>
      <c r="D258" s="15"/>
      <c r="E258" s="1"/>
      <c r="F258" s="14" t="str">
        <f>Darabok!S57</f>
        <v>R13:KI12-TV03P-04</v>
      </c>
      <c r="G258" s="1"/>
      <c r="H258" s="1"/>
      <c r="I258" s="15"/>
    </row>
    <row r="259" ht="14.17322826385498" customHeight="1">
      <c r="A259" s="14" t="str">
        <v>PDF-címkén gépi vonalkód is szerepel</v>
      </c>
      <c r="B259" s="1"/>
      <c r="C259" s="1"/>
      <c r="D259" s="15"/>
      <c r="E259" s="1"/>
      <c r="F259" s="14" t="str">
        <v>PDF-címkén gépi vonalkód is szerepel</v>
      </c>
      <c r="G259" s="1"/>
      <c r="H259" s="1"/>
      <c r="I259" s="15"/>
    </row>
    <row r="260" ht="14.17322826385498" customHeight="1">
      <c r="A260" s="16"/>
      <c r="B260" s="17"/>
      <c r="C260" s="17"/>
      <c r="D260" s="18"/>
      <c r="E260" s="1"/>
      <c r="F260" s="16"/>
      <c r="G260" s="17"/>
      <c r="H260" s="17"/>
      <c r="I260" s="18"/>
    </row>
    <row r="261" ht="14.17322826385498" customHeight="1">
      <c r="A261" s="11" t="str">
        <f>Darabok!A58</f>
        <v>KI12-GAP-01</v>
      </c>
      <c r="B261" s="12"/>
      <c r="C261" s="12"/>
      <c r="D261" s="13"/>
      <c r="E261" s="1"/>
      <c r="F261" s="11" t="str">
        <f>Darabok!A59</f>
        <v>KI13-GAP-LOW-01</v>
      </c>
      <c r="G261" s="12"/>
      <c r="H261" s="12"/>
      <c r="I261" s="13"/>
    </row>
    <row r="262" ht="14.17322826385498" customHeight="1">
      <c r="A262" s="14" t="str">
        <v>R13 / TERV</v>
      </c>
      <c r="B262" s="1"/>
      <c r="C262" s="1"/>
      <c r="D262" s="15"/>
      <c r="E262" s="1"/>
      <c r="F262" s="14" t="str">
        <v>R13 / TERV</v>
      </c>
      <c r="G262" s="1"/>
      <c r="H262" s="1"/>
      <c r="I262" s="15"/>
    </row>
    <row r="263" ht="14.17322826385498" customHeight="1">
      <c r="A263" s="14" t="str">
        <f>Darabok!C58&amp;" x "&amp;Darabok!D58&amp;" x "&amp;Darabok!E58&amp;" mm"</f>
        <v>2330 x 120 x 18 mm</v>
      </c>
      <c r="B263" s="1"/>
      <c r="C263" s="1"/>
      <c r="D263" s="15"/>
      <c r="E263" s="1"/>
      <c r="F263" s="14" t="str">
        <f>Darabok!C59&amp;" x "&amp;Darabok!D59&amp;" x "&amp;Darabok!E59&amp;" mm"</f>
        <v>380 x 117 x 18 mm</v>
      </c>
      <c r="G263" s="1"/>
      <c r="H263" s="1"/>
      <c r="I263" s="15"/>
    </row>
    <row r="264" ht="14.17322826385498" customHeight="1">
      <c r="A264" s="14" t="str">
        <f>Darabok!F58</f>
        <v>M01</v>
      </c>
      <c r="B264" s="1"/>
      <c r="C264" s="1"/>
      <c r="D264" s="15"/>
      <c r="E264" s="1"/>
      <c r="F264" s="14" t="str">
        <f>Darabok!F59</f>
        <v>M01</v>
      </c>
      <c r="G264" s="1"/>
      <c r="H264" s="1"/>
      <c r="I264" s="15"/>
    </row>
    <row r="265" ht="14.17322826385498" customHeight="1">
      <c r="A265" s="14" t="str">
        <v>A/B: rajz szerint; nem gépi tájoló</v>
      </c>
      <c r="B265" s="1"/>
      <c r="C265" s="1"/>
      <c r="D265" s="15"/>
      <c r="E265" s="1"/>
      <c r="F265" s="14" t="str">
        <v>A/B: rajz szerint; nem gépi tájoló</v>
      </c>
      <c r="G265" s="1"/>
      <c r="H265" s="1"/>
      <c r="I265" s="15"/>
    </row>
    <row r="266" ht="14.17322826385498" customHeight="1">
      <c r="A266" s="14" t="str">
        <f>"C elkod: "&amp;Darabok!P58</f>
        <v>C elkod: NYITOTT</v>
      </c>
      <c r="B266" s="1"/>
      <c r="C266" s="1"/>
      <c r="D266" s="15"/>
      <c r="E266" s="1"/>
      <c r="F266" s="14" t="str">
        <f>"C elkod: "&amp;Darabok!P59</f>
        <v>C elkod: NYITOTT</v>
      </c>
      <c r="G266" s="1"/>
      <c r="H266" s="1"/>
      <c r="I266" s="15"/>
    </row>
    <row r="267" ht="14.17322826385498" customHeight="1">
      <c r="A267" s="14" t="str">
        <v>AKTÍV MPR-TERV / NEM GYÁRTÁSI KIADÁS</v>
      </c>
      <c r="B267" s="1"/>
      <c r="C267" s="1"/>
      <c r="D267" s="15"/>
      <c r="E267" s="1"/>
      <c r="F267" s="14" t="str">
        <v>AKTÍV MPR-TERV / NEM GYÁRTÁSI KIADÁS</v>
      </c>
      <c r="G267" s="1"/>
      <c r="H267" s="1"/>
      <c r="I267" s="15"/>
    </row>
    <row r="268" ht="14.17322826385498" customHeight="1">
      <c r="A268" s="14" t="str">
        <f>Darabok!S58</f>
        <v>R13:KI12-GAP-01</v>
      </c>
      <c r="B268" s="1"/>
      <c r="C268" s="1"/>
      <c r="D268" s="15"/>
      <c r="E268" s="1"/>
      <c r="F268" s="14" t="str">
        <f>Darabok!S59</f>
        <v>R13:KI13-GAP-LOW-01</v>
      </c>
      <c r="G268" s="1"/>
      <c r="H268" s="1"/>
      <c r="I268" s="15"/>
    </row>
    <row r="269" ht="14.17322826385498" customHeight="1">
      <c r="A269" s="14" t="str">
        <v>PDF-címkén gépi vonalkód is szerepel</v>
      </c>
      <c r="B269" s="1"/>
      <c r="C269" s="1"/>
      <c r="D269" s="15"/>
      <c r="E269" s="1"/>
      <c r="F269" s="14" t="str">
        <v>PDF-címkén gépi vonalkód is szerepel</v>
      </c>
      <c r="G269" s="1"/>
      <c r="H269" s="1"/>
      <c r="I269" s="15"/>
    </row>
    <row r="270" ht="14.17322826385498" customHeight="1">
      <c r="A270" s="16"/>
      <c r="B270" s="17"/>
      <c r="C270" s="17"/>
      <c r="D270" s="18"/>
      <c r="E270" s="1"/>
      <c r="F270" s="16"/>
      <c r="G270" s="17"/>
      <c r="H270" s="17"/>
      <c r="I270" s="18"/>
    </row>
  </sheetData>
  <mergeCells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A10:D10"/>
    <mergeCell ref="F1:I1"/>
    <mergeCell ref="F2:I2"/>
    <mergeCell ref="F3:I3"/>
    <mergeCell ref="F4:I4"/>
    <mergeCell ref="F5:I5"/>
    <mergeCell ref="F6:I6"/>
    <mergeCell ref="F7:I7"/>
    <mergeCell ref="F8:I8"/>
    <mergeCell ref="F9:I9"/>
    <mergeCell ref="F10:I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F11:I11"/>
    <mergeCell ref="F12:I12"/>
    <mergeCell ref="F13:I13"/>
    <mergeCell ref="F14:I14"/>
    <mergeCell ref="F15:I15"/>
    <mergeCell ref="F16:I16"/>
    <mergeCell ref="F17:I17"/>
    <mergeCell ref="F18:I18"/>
    <mergeCell ref="F19:I19"/>
    <mergeCell ref="F20:I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F21:I21"/>
    <mergeCell ref="F22:I22"/>
    <mergeCell ref="F23:I23"/>
    <mergeCell ref="F24:I24"/>
    <mergeCell ref="F25:I25"/>
    <mergeCell ref="F26:I26"/>
    <mergeCell ref="F27:I27"/>
    <mergeCell ref="F28:I28"/>
    <mergeCell ref="F29:I29"/>
    <mergeCell ref="F30:I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F31:I31"/>
    <mergeCell ref="F32:I32"/>
    <mergeCell ref="F33:I33"/>
    <mergeCell ref="F34:I34"/>
    <mergeCell ref="F35:I35"/>
    <mergeCell ref="F36:I36"/>
    <mergeCell ref="F37:I37"/>
    <mergeCell ref="F38:I38"/>
    <mergeCell ref="F39:I39"/>
    <mergeCell ref="F40:I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F41:I41"/>
    <mergeCell ref="F42:I42"/>
    <mergeCell ref="F43:I43"/>
    <mergeCell ref="F44:I44"/>
    <mergeCell ref="F45:I45"/>
    <mergeCell ref="F46:I46"/>
    <mergeCell ref="F47:I47"/>
    <mergeCell ref="F48:I48"/>
    <mergeCell ref="F49:I49"/>
    <mergeCell ref="F50:I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F51:I51"/>
    <mergeCell ref="F52:I52"/>
    <mergeCell ref="F53:I53"/>
    <mergeCell ref="F54:I54"/>
    <mergeCell ref="F55:I55"/>
    <mergeCell ref="F56:I56"/>
    <mergeCell ref="F57:I57"/>
    <mergeCell ref="F58:I58"/>
    <mergeCell ref="F59:I59"/>
    <mergeCell ref="F60:I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F61:I61"/>
    <mergeCell ref="F62:I62"/>
    <mergeCell ref="F63:I63"/>
    <mergeCell ref="F64:I64"/>
    <mergeCell ref="F65:I65"/>
    <mergeCell ref="F66:I66"/>
    <mergeCell ref="F67:I67"/>
    <mergeCell ref="F68:I68"/>
    <mergeCell ref="F69:I69"/>
    <mergeCell ref="F70:I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F71:I71"/>
    <mergeCell ref="F72:I72"/>
    <mergeCell ref="F73:I73"/>
    <mergeCell ref="F74:I74"/>
    <mergeCell ref="F75:I75"/>
    <mergeCell ref="F76:I76"/>
    <mergeCell ref="F77:I77"/>
    <mergeCell ref="F78:I78"/>
    <mergeCell ref="F79:I79"/>
    <mergeCell ref="F80:I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F81:I81"/>
    <mergeCell ref="F82:I82"/>
    <mergeCell ref="F83:I83"/>
    <mergeCell ref="F84:I84"/>
    <mergeCell ref="F85:I85"/>
    <mergeCell ref="F86:I86"/>
    <mergeCell ref="F87:I87"/>
    <mergeCell ref="F88:I88"/>
    <mergeCell ref="F89:I89"/>
    <mergeCell ref="F90:I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F91:I91"/>
    <mergeCell ref="F92:I92"/>
    <mergeCell ref="F93:I93"/>
    <mergeCell ref="F94:I94"/>
    <mergeCell ref="F95:I95"/>
    <mergeCell ref="F96:I96"/>
    <mergeCell ref="F97:I97"/>
    <mergeCell ref="F98:I98"/>
    <mergeCell ref="F99:I99"/>
    <mergeCell ref="F100:I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F101:I101"/>
    <mergeCell ref="F102:I102"/>
    <mergeCell ref="F103:I103"/>
    <mergeCell ref="F104:I104"/>
    <mergeCell ref="F105:I105"/>
    <mergeCell ref="F106:I106"/>
    <mergeCell ref="F107:I107"/>
    <mergeCell ref="F108:I108"/>
    <mergeCell ref="F109:I109"/>
    <mergeCell ref="F110:I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F111:I111"/>
    <mergeCell ref="F112:I112"/>
    <mergeCell ref="F113:I113"/>
    <mergeCell ref="F114:I114"/>
    <mergeCell ref="F115:I115"/>
    <mergeCell ref="F116:I116"/>
    <mergeCell ref="F117:I117"/>
    <mergeCell ref="F118:I118"/>
    <mergeCell ref="F119:I119"/>
    <mergeCell ref="F120:I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F121:I121"/>
    <mergeCell ref="F122:I122"/>
    <mergeCell ref="F123:I123"/>
    <mergeCell ref="F124:I124"/>
    <mergeCell ref="F125:I125"/>
    <mergeCell ref="F126:I126"/>
    <mergeCell ref="F127:I127"/>
    <mergeCell ref="F128:I128"/>
    <mergeCell ref="F129:I129"/>
    <mergeCell ref="F130:I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F131:I131"/>
    <mergeCell ref="F132:I132"/>
    <mergeCell ref="F133:I133"/>
    <mergeCell ref="F134:I134"/>
    <mergeCell ref="F135:I135"/>
    <mergeCell ref="F136:I136"/>
    <mergeCell ref="F137:I137"/>
    <mergeCell ref="F138:I138"/>
    <mergeCell ref="F139:I139"/>
    <mergeCell ref="F140:I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F141:I141"/>
    <mergeCell ref="F142:I142"/>
    <mergeCell ref="F143:I143"/>
    <mergeCell ref="F144:I144"/>
    <mergeCell ref="F145:I145"/>
    <mergeCell ref="F146:I146"/>
    <mergeCell ref="F147:I147"/>
    <mergeCell ref="F148:I148"/>
    <mergeCell ref="F149:I149"/>
    <mergeCell ref="F150:I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F151:I151"/>
    <mergeCell ref="F152:I152"/>
    <mergeCell ref="F153:I153"/>
    <mergeCell ref="F154:I154"/>
    <mergeCell ref="F155:I155"/>
    <mergeCell ref="F156:I156"/>
    <mergeCell ref="F157:I157"/>
    <mergeCell ref="F158:I158"/>
    <mergeCell ref="F159:I159"/>
    <mergeCell ref="F160:I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F161:I161"/>
    <mergeCell ref="F162:I162"/>
    <mergeCell ref="F163:I163"/>
    <mergeCell ref="F164:I164"/>
    <mergeCell ref="F165:I165"/>
    <mergeCell ref="F166:I166"/>
    <mergeCell ref="F167:I167"/>
    <mergeCell ref="F168:I168"/>
    <mergeCell ref="F169:I169"/>
    <mergeCell ref="F170:I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F171:I171"/>
    <mergeCell ref="F172:I172"/>
    <mergeCell ref="F173:I173"/>
    <mergeCell ref="F174:I174"/>
    <mergeCell ref="F175:I175"/>
    <mergeCell ref="F176:I176"/>
    <mergeCell ref="F177:I177"/>
    <mergeCell ref="F178:I178"/>
    <mergeCell ref="F179:I179"/>
    <mergeCell ref="F180:I180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F181:I181"/>
    <mergeCell ref="F182:I182"/>
    <mergeCell ref="F183:I183"/>
    <mergeCell ref="F184:I184"/>
    <mergeCell ref="F185:I185"/>
    <mergeCell ref="F186:I186"/>
    <mergeCell ref="F187:I187"/>
    <mergeCell ref="F188:I188"/>
    <mergeCell ref="F189:I189"/>
    <mergeCell ref="F190:I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F191:I191"/>
    <mergeCell ref="F192:I192"/>
    <mergeCell ref="F193:I193"/>
    <mergeCell ref="F194:I194"/>
    <mergeCell ref="F195:I195"/>
    <mergeCell ref="F196:I196"/>
    <mergeCell ref="F197:I197"/>
    <mergeCell ref="F198:I198"/>
    <mergeCell ref="F199:I199"/>
    <mergeCell ref="F200:I200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F201:I201"/>
    <mergeCell ref="F202:I202"/>
    <mergeCell ref="F203:I203"/>
    <mergeCell ref="F204:I204"/>
    <mergeCell ref="F205:I205"/>
    <mergeCell ref="F206:I206"/>
    <mergeCell ref="F207:I207"/>
    <mergeCell ref="F208:I208"/>
    <mergeCell ref="F209:I209"/>
    <mergeCell ref="F210:I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F211:I211"/>
    <mergeCell ref="F212:I212"/>
    <mergeCell ref="F213:I213"/>
    <mergeCell ref="F214:I214"/>
    <mergeCell ref="F215:I215"/>
    <mergeCell ref="F216:I216"/>
    <mergeCell ref="F217:I217"/>
    <mergeCell ref="F218:I218"/>
    <mergeCell ref="F219:I219"/>
    <mergeCell ref="F220:I220"/>
    <mergeCell ref="A221:D221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F221:I221"/>
    <mergeCell ref="F222:I222"/>
    <mergeCell ref="F223:I223"/>
    <mergeCell ref="F224:I224"/>
    <mergeCell ref="F225:I225"/>
    <mergeCell ref="F226:I226"/>
    <mergeCell ref="F227:I227"/>
    <mergeCell ref="F228:I228"/>
    <mergeCell ref="F229:I229"/>
    <mergeCell ref="F230:I230"/>
    <mergeCell ref="A231:D231"/>
    <mergeCell ref="A232:D232"/>
    <mergeCell ref="A233:D233"/>
    <mergeCell ref="A234:D234"/>
    <mergeCell ref="A235:D235"/>
    <mergeCell ref="A236:D236"/>
    <mergeCell ref="A237:D237"/>
    <mergeCell ref="A238:D238"/>
    <mergeCell ref="A239:D239"/>
    <mergeCell ref="A240:D240"/>
    <mergeCell ref="F231:I231"/>
    <mergeCell ref="F232:I232"/>
    <mergeCell ref="F233:I233"/>
    <mergeCell ref="F234:I234"/>
    <mergeCell ref="F235:I235"/>
    <mergeCell ref="F236:I236"/>
    <mergeCell ref="F237:I237"/>
    <mergeCell ref="F238:I238"/>
    <mergeCell ref="F239:I239"/>
    <mergeCell ref="F240:I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F241:I241"/>
    <mergeCell ref="F242:I242"/>
    <mergeCell ref="F243:I243"/>
    <mergeCell ref="F244:I244"/>
    <mergeCell ref="F245:I245"/>
    <mergeCell ref="F246:I246"/>
    <mergeCell ref="F247:I247"/>
    <mergeCell ref="F248:I248"/>
    <mergeCell ref="F249:I249"/>
    <mergeCell ref="F250:I250"/>
    <mergeCell ref="A251:D251"/>
    <mergeCell ref="A252:D252"/>
    <mergeCell ref="A253:D253"/>
    <mergeCell ref="A254:D254"/>
    <mergeCell ref="A255:D255"/>
    <mergeCell ref="A256:D256"/>
    <mergeCell ref="A257:D257"/>
    <mergeCell ref="A258:D258"/>
    <mergeCell ref="A259:D259"/>
    <mergeCell ref="A260:D260"/>
    <mergeCell ref="F251:I251"/>
    <mergeCell ref="F252:I252"/>
    <mergeCell ref="F253:I253"/>
    <mergeCell ref="F254:I254"/>
    <mergeCell ref="F255:I255"/>
    <mergeCell ref="F256:I256"/>
    <mergeCell ref="F257:I257"/>
    <mergeCell ref="F258:I258"/>
    <mergeCell ref="F259:I259"/>
    <mergeCell ref="F260:I260"/>
    <mergeCell ref="A261:D261"/>
    <mergeCell ref="A262:D262"/>
    <mergeCell ref="A263:D263"/>
    <mergeCell ref="A264:D264"/>
    <mergeCell ref="A265:D265"/>
    <mergeCell ref="A266:D266"/>
    <mergeCell ref="A267:D267"/>
    <mergeCell ref="A268:D268"/>
    <mergeCell ref="A269:D269"/>
    <mergeCell ref="A270:D270"/>
    <mergeCell ref="F261:I261"/>
    <mergeCell ref="F262:I262"/>
    <mergeCell ref="F263:I263"/>
    <mergeCell ref="F264:I264"/>
    <mergeCell ref="F265:I265"/>
    <mergeCell ref="F266:I266"/>
    <mergeCell ref="F267:I267"/>
    <mergeCell ref="F268:I268"/>
    <mergeCell ref="F269:I269"/>
    <mergeCell ref="F270:I270"/>
  </mergeCells>
  <pageMargins left="0.1968503937007874" right="0.1968503937007874" top="0.9251968503937008" bottom="0.9251968503937008" header="0" footer="0"/>
  <pageSetup paperSize="9" orientation="portrait" scale="100"/>
  <rowBreaks count="5" manualBreakCount="5">
    <brk id="50" min="0" max="16383" man="1"/>
    <brk id="100" min="0" max="16383" man="1"/>
    <brk id="150" min="0" max="16383" man="1"/>
    <brk id="200" min="0" max="16383" man="1"/>
    <brk id="250" min="0" max="16383" man="1"/>
  </rowBreaks>
</worksheet>
</file>