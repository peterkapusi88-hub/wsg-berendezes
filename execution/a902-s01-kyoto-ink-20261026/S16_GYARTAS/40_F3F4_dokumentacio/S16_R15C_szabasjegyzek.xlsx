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zabásjegyzék" sheetId="1" state="visible" r:id="rId3"/>
    <sheet name="Anyag-összesítő" sheetId="2" state="visible" r:id="rId4"/>
    <sheet name="Vasalat" sheetId="3" state="visible" r:id="rId5"/>
    <sheet name="Furatok" sheetId="4" state="visible" r:id="rId6"/>
    <sheet name="Nyitott és jelmagyarázat" sheetId="5" state="visible" r:id="rId7"/>
    <sheet name="Anyagjavasla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Nyers = kész − élvastagság + előmarás + ráhagyás, a gyartasi_szabalyok_v1.json szerint (becslés, műhelyi megerősítésre).</t>
        </r>
      </text>
    </comment>
    <comment ref="AB1" authorId="0">
      <text>
        <r>
          <rPr>
            <sz val="10"/>
            <rFont val="Arial"/>
            <family val="2"/>
          </rPr>
          <t xml:space="preserve">Csak a V (ABS/élfólia) éleket számolja; F festett, L lakkozott, K kárpitozott él nem élzáró-anyag.</t>
        </r>
      </text>
    </comment>
  </commentList>
</comments>
</file>

<file path=xl/sharedStrings.xml><?xml version="1.0" encoding="utf-8"?>
<sst xmlns="http://schemas.openxmlformats.org/spreadsheetml/2006/main" count="5211" uniqueCount="923">
  <si>
    <t xml:space="preserve">Címke-ID (MPR alap)</t>
  </si>
  <si>
    <t xml:space="preserve">Megnevezés</t>
  </si>
  <si>
    <t xml:space="preserve">Modul</t>
  </si>
  <si>
    <t xml:space="preserve">Gyártási típus</t>
  </si>
  <si>
    <t xml:space="preserve">Anyag</t>
  </si>
  <si>
    <t xml:space="preserve">Anyag megnevezés</t>
  </si>
  <si>
    <t xml:space="preserve">Vastagság mm</t>
  </si>
  <si>
    <t xml:space="preserve">Kész hossz L</t>
  </si>
  <si>
    <t xml:space="preserve">Kész szél. W</t>
  </si>
  <si>
    <t xml:space="preserve">Élzárás előtt L</t>
  </si>
  <si>
    <t xml:space="preserve">Élzárás előtt W</t>
  </si>
  <si>
    <t xml:space="preserve">Nyers L</t>
  </si>
  <si>
    <t xml:space="preserve">Nyers W</t>
  </si>
  <si>
    <t xml:space="preserve">Db</t>
  </si>
  <si>
    <t xml:space="preserve">Szálirány</t>
  </si>
  <si>
    <t xml:space="preserve">A oldal</t>
  </si>
  <si>
    <t xml:space="preserve">E1</t>
  </si>
  <si>
    <t xml:space="preserve">E2</t>
  </si>
  <si>
    <t xml:space="preserve">E3</t>
  </si>
  <si>
    <t xml:space="preserve">E4</t>
  </si>
  <si>
    <t xml:space="preserve">Élanyag (élzárt élek)</t>
  </si>
  <si>
    <t xml:space="preserve">Ütköző élek</t>
  </si>
  <si>
    <t xml:space="preserve">Furat A</t>
  </si>
  <si>
    <t xml:space="preserve">Furat B</t>
  </si>
  <si>
    <t xml:space="preserve">Furat él</t>
  </si>
  <si>
    <t xml:space="preserve">MPR fájlok</t>
  </si>
  <si>
    <t xml:space="preserve">Felület m²</t>
  </si>
  <si>
    <t xml:space="preserve">Élzáró fm</t>
  </si>
  <si>
    <t xml:space="preserve">Nyitott / megjegyzés</t>
  </si>
  <si>
    <t xml:space="preserve">Élkód (asztalos-sorrend)</t>
  </si>
  <si>
    <t xml:space="preserve">DWG réteg-azonosító</t>
  </si>
  <si>
    <t xml:space="preserve">S16_D1-L</t>
  </si>
  <si>
    <t xml:space="preserve">D1 korpuszoldal</t>
  </si>
  <si>
    <t xml:space="preserve">D1</t>
  </si>
  <si>
    <t xml:space="preserve">LAP</t>
  </si>
  <si>
    <t xml:space="preserve">M01</t>
  </si>
  <si>
    <t xml:space="preserve">18 mm kétoldalt melaminos grafitszürke bútorlap</t>
  </si>
  <si>
    <t xml:space="preserve">–</t>
  </si>
  <si>
    <t xml:space="preserve">-X (bal)</t>
  </si>
  <si>
    <t xml:space="preserve">0</t>
  </si>
  <si>
    <t xml:space="preserve">V</t>
  </si>
  <si>
    <t xml:space="preserve">ABS 0,8 mm Egger U741 ST9 (dekoregyező)</t>
  </si>
  <si>
    <t xml:space="preserve">E1+E4</t>
  </si>
  <si>
    <t xml:space="preserve">S16_D1-L_A.mpr, S16_D1-L_B.mpr</t>
  </si>
  <si>
    <t xml:space="preserve">V000 (E2-E4-E1-E3)</t>
  </si>
  <si>
    <t xml:space="preserve">#16001</t>
  </si>
  <si>
    <t xml:space="preserve">S16_D1-R</t>
  </si>
  <si>
    <t xml:space="preserve">S16_D1-R_A.mpr</t>
  </si>
  <si>
    <t xml:space="preserve">#16002</t>
  </si>
  <si>
    <t xml:space="preserve">S16_D1-T</t>
  </si>
  <si>
    <t xml:space="preserve">D1 fenék/tető</t>
  </si>
  <si>
    <t xml:space="preserve">M02</t>
  </si>
  <si>
    <t xml:space="preserve">Szatén sötét barnásgrafit keret</t>
  </si>
  <si>
    <t xml:space="preserve">+Z (fent)</t>
  </si>
  <si>
    <t xml:space="preserve">F</t>
  </si>
  <si>
    <t xml:space="preserve">festett él (festett MDF)</t>
  </si>
  <si>
    <t xml:space="preserve">S16_D1-T_A.mpr</t>
  </si>
  <si>
    <t xml:space="preserve">FF00 (E1-E3-E2-E4)</t>
  </si>
  <si>
    <t xml:space="preserve">#16003</t>
  </si>
  <si>
    <t xml:space="preserve">S16_D1-BACK</t>
  </si>
  <si>
    <t xml:space="preserve">D1 bontható hát</t>
  </si>
  <si>
    <t xml:space="preserve">M08</t>
  </si>
  <si>
    <t xml:space="preserve">8 mm grafit hátlap</t>
  </si>
  <si>
    <t xml:space="preserve">+Y (elöl (szoba))</t>
  </si>
  <si>
    <t xml:space="preserve">0000 (E1-E3-E2-E4)</t>
  </si>
  <si>
    <t xml:space="preserve">#16004</t>
  </si>
  <si>
    <t xml:space="preserve">S16_D1-FRONT</t>
  </si>
  <si>
    <t xml:space="preserve">D1 egy magas front</t>
  </si>
  <si>
    <t xml:space="preserve">M03</t>
  </si>
  <si>
    <t xml:space="preserve">Füstös barnásszürke finom faerezet</t>
  </si>
  <si>
    <t xml:space="preserve">U</t>
  </si>
  <si>
    <t xml:space="preserve">ABS 2 mm Egger H1399 ST10 dekoregyező, R2 lekerekítés</t>
  </si>
  <si>
    <t xml:space="preserve">VVVV (E1-E3-E2-E4)</t>
  </si>
  <si>
    <t xml:space="preserve">#16005</t>
  </si>
  <si>
    <t xml:space="preserve">S16_D1-BOX-L</t>
  </si>
  <si>
    <t xml:space="preserve">D1 fiókoldal</t>
  </si>
  <si>
    <t xml:space="preserve">M07</t>
  </si>
  <si>
    <t xml:space="preserve">15 mm nyír rétegelt lemez, matt vízbázisú lakk</t>
  </si>
  <si>
    <t xml:space="preserve">L</t>
  </si>
  <si>
    <t xml:space="preserve">csiszolt + lakkozott látszó rétegelt él</t>
  </si>
  <si>
    <t xml:space="preserve">S16_D1-BOX-L_A.mpr</t>
  </si>
  <si>
    <t xml:space="preserve">LLLL (E1-E3-E2-E4)</t>
  </si>
  <si>
    <t xml:space="preserve">#16006</t>
  </si>
  <si>
    <t xml:space="preserve">S16_D1-BOX-R</t>
  </si>
  <si>
    <t xml:space="preserve">S16_D1-BOX-R_A.mpr</t>
  </si>
  <si>
    <t xml:space="preserve">#16007</t>
  </si>
  <si>
    <t xml:space="preserve">S16_D1-BOX-F</t>
  </si>
  <si>
    <t xml:space="preserve">D1 dobozelő/hát</t>
  </si>
  <si>
    <t xml:space="preserve">L000 (E3-E1-E2-E4)</t>
  </si>
  <si>
    <t xml:space="preserve">#16008</t>
  </si>
  <si>
    <t xml:space="preserve">S16_D1-BOX-H</t>
  </si>
  <si>
    <t xml:space="preserve">#16009</t>
  </si>
  <si>
    <t xml:space="preserve">S16_D1-BOX-B</t>
  </si>
  <si>
    <t xml:space="preserve">D1 fiókfenék</t>
  </si>
  <si>
    <t xml:space="preserve">LL00 (E1-E3-E2-E4)</t>
  </si>
  <si>
    <t xml:space="preserve">#16010</t>
  </si>
  <si>
    <t xml:space="preserve">S16_D2-L</t>
  </si>
  <si>
    <t xml:space="preserve">D2 korpuszoldal</t>
  </si>
  <si>
    <t xml:space="preserve">D2</t>
  </si>
  <si>
    <t xml:space="preserve">ABS 0,8 mm Egger U741 ST9 (dekoregyező); ABS 1 mm grafit / festett; ABS 1 mm, a látszó felső felület színében (exposed_top_finish)</t>
  </si>
  <si>
    <t xml:space="preserve">S16_D2-L_B.mpr</t>
  </si>
  <si>
    <t xml:space="preserve">V0VV (E2-E4-E1-E3)</t>
  </si>
  <si>
    <t xml:space="preserve">#16011</t>
  </si>
  <si>
    <t xml:space="preserve">S16_D2-R</t>
  </si>
  <si>
    <t xml:space="preserve">S16_D2-R_A.mpr</t>
  </si>
  <si>
    <t xml:space="preserve">#16012</t>
  </si>
  <si>
    <t xml:space="preserve">S16_D2-B</t>
  </si>
  <si>
    <t xml:space="preserve">D2 fenék/tető</t>
  </si>
  <si>
    <t xml:space="preserve">S16_D2-B_A.mpr</t>
  </si>
  <si>
    <t xml:space="preserve">V000 (E1-E3-E2-E4)</t>
  </si>
  <si>
    <t xml:space="preserve">#16013</t>
  </si>
  <si>
    <t xml:space="preserve">S16_D2-T</t>
  </si>
  <si>
    <t xml:space="preserve">S16_D2-T_A.mpr</t>
  </si>
  <si>
    <t xml:space="preserve">#16014</t>
  </si>
  <si>
    <t xml:space="preserve">S16_D2-BACK</t>
  </si>
  <si>
    <t xml:space="preserve">D2 bontható hát</t>
  </si>
  <si>
    <t xml:space="preserve">#16015</t>
  </si>
  <si>
    <t xml:space="preserve">S16_D2-FRONT</t>
  </si>
  <si>
    <t xml:space="preserve">D2 egy magas front</t>
  </si>
  <si>
    <t xml:space="preserve">#16016</t>
  </si>
  <si>
    <t xml:space="preserve">S16_D2-BOX-L</t>
  </si>
  <si>
    <t xml:space="preserve">D2 fiókoldal</t>
  </si>
  <si>
    <t xml:space="preserve">S16_D2-BOX-L_A.mpr</t>
  </si>
  <si>
    <t xml:space="preserve">#16017</t>
  </si>
  <si>
    <t xml:space="preserve">S16_D2-BOX-R</t>
  </si>
  <si>
    <t xml:space="preserve">S16_D2-BOX-R_A.mpr</t>
  </si>
  <si>
    <t xml:space="preserve">#16018</t>
  </si>
  <si>
    <t xml:space="preserve">S16_D2-BOX-F</t>
  </si>
  <si>
    <t xml:space="preserve">D2 dobozelő/hát</t>
  </si>
  <si>
    <t xml:space="preserve">#16019</t>
  </si>
  <si>
    <t xml:space="preserve">S16_D2-BOX-H</t>
  </si>
  <si>
    <t xml:space="preserve">#16020</t>
  </si>
  <si>
    <t xml:space="preserve">S16_D2-BOX-B</t>
  </si>
  <si>
    <t xml:space="preserve">D2 fiókfenék</t>
  </si>
  <si>
    <t xml:space="preserve">#16021</t>
  </si>
  <si>
    <t xml:space="preserve">S16_D3-L</t>
  </si>
  <si>
    <t xml:space="preserve">D3 korpuszoldal</t>
  </si>
  <si>
    <t xml:space="preserve">D3</t>
  </si>
  <si>
    <t xml:space="preserve">S16_D3-L_B.mpr</t>
  </si>
  <si>
    <t xml:space="preserve">#16022</t>
  </si>
  <si>
    <t xml:space="preserve">S16_D3-R</t>
  </si>
  <si>
    <t xml:space="preserve">S16_D3-R_A.mpr</t>
  </si>
  <si>
    <t xml:space="preserve">#16023</t>
  </si>
  <si>
    <t xml:space="preserve">S16_D3-B</t>
  </si>
  <si>
    <t xml:space="preserve">D3 fenék/tető</t>
  </si>
  <si>
    <t xml:space="preserve">S16_D3-B_A.mpr</t>
  </si>
  <si>
    <t xml:space="preserve">#16024</t>
  </si>
  <si>
    <t xml:space="preserve">S16_D3-T</t>
  </si>
  <si>
    <t xml:space="preserve">S16_D3-T_A.mpr</t>
  </si>
  <si>
    <t xml:space="preserve">#16025</t>
  </si>
  <si>
    <t xml:space="preserve">S16_D3-BACK</t>
  </si>
  <si>
    <t xml:space="preserve">D3 bontható hát</t>
  </si>
  <si>
    <t xml:space="preserve">#16026</t>
  </si>
  <si>
    <t xml:space="preserve">S16_D3-FRONT</t>
  </si>
  <si>
    <t xml:space="preserve">D3 egy magas front</t>
  </si>
  <si>
    <t xml:space="preserve">#16027</t>
  </si>
  <si>
    <t xml:space="preserve">S16_D3-BOX-L</t>
  </si>
  <si>
    <t xml:space="preserve">D3 fiókoldal</t>
  </si>
  <si>
    <t xml:space="preserve">S16_D3-BOX-L_A.mpr</t>
  </si>
  <si>
    <t xml:space="preserve">#16028</t>
  </si>
  <si>
    <t xml:space="preserve">S16_D3-BOX-R</t>
  </si>
  <si>
    <t xml:space="preserve">S16_D3-BOX-R_A.mpr</t>
  </si>
  <si>
    <t xml:space="preserve">#16029</t>
  </si>
  <si>
    <t xml:space="preserve">S16_D3-BOX-F</t>
  </si>
  <si>
    <t xml:space="preserve">D3 dobozelő/hát</t>
  </si>
  <si>
    <t xml:space="preserve">#16030</t>
  </si>
  <si>
    <t xml:space="preserve">S16_D3-BOX-H</t>
  </si>
  <si>
    <t xml:space="preserve">#16031</t>
  </si>
  <si>
    <t xml:space="preserve">S16_D3-BOX-B</t>
  </si>
  <si>
    <t xml:space="preserve">D3 fiókfenék</t>
  </si>
  <si>
    <t xml:space="preserve">#16032</t>
  </si>
  <si>
    <t xml:space="preserve">S16_D4-L</t>
  </si>
  <si>
    <t xml:space="preserve">D4 korpuszoldal</t>
  </si>
  <si>
    <t xml:space="preserve">D4</t>
  </si>
  <si>
    <t xml:space="preserve">S16_D4-L_B.mpr</t>
  </si>
  <si>
    <t xml:space="preserve">#16033</t>
  </si>
  <si>
    <t xml:space="preserve">S16_D4-R</t>
  </si>
  <si>
    <t xml:space="preserve">S16_D4-R_A.mpr</t>
  </si>
  <si>
    <t xml:space="preserve">#16034</t>
  </si>
  <si>
    <t xml:space="preserve">S16_D4-B</t>
  </si>
  <si>
    <t xml:space="preserve">D4 fenék/tető</t>
  </si>
  <si>
    <t xml:space="preserve">S16_D4-B_A.mpr</t>
  </si>
  <si>
    <t xml:space="preserve">#16035</t>
  </si>
  <si>
    <t xml:space="preserve">S16_D4-T</t>
  </si>
  <si>
    <t xml:space="preserve">S16_D4-T_A.mpr</t>
  </si>
  <si>
    <t xml:space="preserve">#16036</t>
  </si>
  <si>
    <t xml:space="preserve">S16_D4-BACK</t>
  </si>
  <si>
    <t xml:space="preserve">D4 bontható hát</t>
  </si>
  <si>
    <t xml:space="preserve">#16037</t>
  </si>
  <si>
    <t xml:space="preserve">S16_D4-FRONT</t>
  </si>
  <si>
    <t xml:space="preserve">D4 egy magas front</t>
  </si>
  <si>
    <t xml:space="preserve">#16038</t>
  </si>
  <si>
    <t xml:space="preserve">S16_D4-BOX-L</t>
  </si>
  <si>
    <t xml:space="preserve">D4 fiókoldal</t>
  </si>
  <si>
    <t xml:space="preserve">S16_D4-BOX-L_A.mpr</t>
  </si>
  <si>
    <t xml:space="preserve">#16039</t>
  </si>
  <si>
    <t xml:space="preserve">S16_D4-BOX-R</t>
  </si>
  <si>
    <t xml:space="preserve">S16_D4-BOX-R_A.mpr</t>
  </si>
  <si>
    <t xml:space="preserve">#16040</t>
  </si>
  <si>
    <t xml:space="preserve">S16_D4-BOX-F</t>
  </si>
  <si>
    <t xml:space="preserve">D4 dobozelő/hát</t>
  </si>
  <si>
    <t xml:space="preserve">#16041</t>
  </si>
  <si>
    <t xml:space="preserve">S16_D4-BOX-H</t>
  </si>
  <si>
    <t xml:space="preserve">#16042</t>
  </si>
  <si>
    <t xml:space="preserve">S16_D4-BOX-B</t>
  </si>
  <si>
    <t xml:space="preserve">D4 fiókfenék</t>
  </si>
  <si>
    <t xml:space="preserve">#16043</t>
  </si>
  <si>
    <t xml:space="preserve">S16_D5-L</t>
  </si>
  <si>
    <t xml:space="preserve">D5 korpuszoldal</t>
  </si>
  <si>
    <t xml:space="preserve">D5</t>
  </si>
  <si>
    <t xml:space="preserve">S16_D5-L_B.mpr</t>
  </si>
  <si>
    <t xml:space="preserve">#16044</t>
  </si>
  <si>
    <t xml:space="preserve">S16_D5-R</t>
  </si>
  <si>
    <t xml:space="preserve">S16_D5-R_A.mpr</t>
  </si>
  <si>
    <t xml:space="preserve">#16045</t>
  </si>
  <si>
    <t xml:space="preserve">S16_D5-B</t>
  </si>
  <si>
    <t xml:space="preserve">D5 fenék/tető</t>
  </si>
  <si>
    <t xml:space="preserve">S16_D5-B_A.mpr</t>
  </si>
  <si>
    <t xml:space="preserve">#16046</t>
  </si>
  <si>
    <t xml:space="preserve">S16_D5-T</t>
  </si>
  <si>
    <t xml:space="preserve">S16_D5-T_A.mpr</t>
  </si>
  <si>
    <t xml:space="preserve">#16047</t>
  </si>
  <si>
    <t xml:space="preserve">S16_D5-BACK</t>
  </si>
  <si>
    <t xml:space="preserve">D5 bontható hát</t>
  </si>
  <si>
    <t xml:space="preserve">#16048</t>
  </si>
  <si>
    <t xml:space="preserve">S16_D5-FRONT</t>
  </si>
  <si>
    <t xml:space="preserve">D5 egy magas front</t>
  </si>
  <si>
    <t xml:space="preserve">#16049</t>
  </si>
  <si>
    <t xml:space="preserve">S16_D5-BOX-L</t>
  </si>
  <si>
    <t xml:space="preserve">D5 fiókoldal</t>
  </si>
  <si>
    <t xml:space="preserve">S16_D5-BOX-L_A.mpr</t>
  </si>
  <si>
    <t xml:space="preserve">#16050</t>
  </si>
  <si>
    <t xml:space="preserve">S16_D5-BOX-R</t>
  </si>
  <si>
    <t xml:space="preserve">S16_D5-BOX-R_A.mpr</t>
  </si>
  <si>
    <t xml:space="preserve">#16051</t>
  </si>
  <si>
    <t xml:space="preserve">S16_D5-BOX-F</t>
  </si>
  <si>
    <t xml:space="preserve">D5 dobozelő/hát</t>
  </si>
  <si>
    <t xml:space="preserve">#16052</t>
  </si>
  <si>
    <t xml:space="preserve">S16_D5-BOX-H</t>
  </si>
  <si>
    <t xml:space="preserve">#16053</t>
  </si>
  <si>
    <t xml:space="preserve">S16_D5-BOX-B</t>
  </si>
  <si>
    <t xml:space="preserve">D5 fiókfenék</t>
  </si>
  <si>
    <t xml:space="preserve">#16054</t>
  </si>
  <si>
    <t xml:space="preserve">S16_D6-L</t>
  </si>
  <si>
    <t xml:space="preserve">D6 korpuszoldal</t>
  </si>
  <si>
    <t xml:space="preserve">D6</t>
  </si>
  <si>
    <t xml:space="preserve">S16_D6-L_B.mpr</t>
  </si>
  <si>
    <t xml:space="preserve">#16055</t>
  </si>
  <si>
    <t xml:space="preserve">S16_D6-R</t>
  </si>
  <si>
    <t xml:space="preserve">+X (jobb)</t>
  </si>
  <si>
    <t xml:space="preserve">S16_D6-R_A.mpr, S16_D6-R_B.mpr</t>
  </si>
  <si>
    <t xml:space="preserve">00FF (E1-E3-E4-E2)</t>
  </si>
  <si>
    <t xml:space="preserve">#16056</t>
  </si>
  <si>
    <t xml:space="preserve">S16_D6-B</t>
  </si>
  <si>
    <t xml:space="preserve">D6 fenék/tető</t>
  </si>
  <si>
    <t xml:space="preserve">S16_D6-B_A.mpr</t>
  </si>
  <si>
    <t xml:space="preserve">00V0 (E2-E4-E1-E3)</t>
  </si>
  <si>
    <t xml:space="preserve">#16057</t>
  </si>
  <si>
    <t xml:space="preserve">S16_D6-T</t>
  </si>
  <si>
    <t xml:space="preserve">S16_D6-T_A.mpr, S16_D6-T_B.mpr</t>
  </si>
  <si>
    <t xml:space="preserve">00FF (E2-E4-E1-E3)</t>
  </si>
  <si>
    <t xml:space="preserve">#16058</t>
  </si>
  <si>
    <t xml:space="preserve">S16_D6-BACK</t>
  </si>
  <si>
    <t xml:space="preserve">D6 bontható hát</t>
  </si>
  <si>
    <t xml:space="preserve">Kontúros alkatrész: az E1–E4 a befoglaló oldalait jelöli; ívelt élszakasz élzárása (min. rádiusz) műhelyi kérdés.</t>
  </si>
  <si>
    <t xml:space="preserve">#16059</t>
  </si>
  <si>
    <t xml:space="preserve">S16_D6-FRONT</t>
  </si>
  <si>
    <t xml:space="preserve">D6 egy magas front</t>
  </si>
  <si>
    <t xml:space="preserve">#16060</t>
  </si>
  <si>
    <t xml:space="preserve">S16_D6-BOX-L</t>
  </si>
  <si>
    <t xml:space="preserve">D6 fiókoldal</t>
  </si>
  <si>
    <t xml:space="preserve">S16_D6-BOX-L_A.mpr</t>
  </si>
  <si>
    <t xml:space="preserve">#16061</t>
  </si>
  <si>
    <t xml:space="preserve">S16_D6-BOX-R</t>
  </si>
  <si>
    <t xml:space="preserve">S16_D6-BOX-R_A.mpr</t>
  </si>
  <si>
    <t xml:space="preserve">#16062</t>
  </si>
  <si>
    <t xml:space="preserve">S16_D6-BOX-F</t>
  </si>
  <si>
    <t xml:space="preserve">D6 dobozelő/hát</t>
  </si>
  <si>
    <t xml:space="preserve">#16063</t>
  </si>
  <si>
    <t xml:space="preserve">S16_D6-BOX-H</t>
  </si>
  <si>
    <t xml:space="preserve">#16064</t>
  </si>
  <si>
    <t xml:space="preserve">S16_D6-BOX-B</t>
  </si>
  <si>
    <t xml:space="preserve">D6 fiókfenék</t>
  </si>
  <si>
    <t xml:space="preserve">#16065</t>
  </si>
  <si>
    <t xml:space="preserve">S16_T-L</t>
  </si>
  <si>
    <t xml:space="preserve">Torony oldallap</t>
  </si>
  <si>
    <t xml:space="preserve">TORONY</t>
  </si>
  <si>
    <t xml:space="preserve">S16_T-L_A.mpr, S16_T-L_B.mpr</t>
  </si>
  <si>
    <t xml:space="preserve">#16066</t>
  </si>
  <si>
    <t xml:space="preserve">S16_T-R</t>
  </si>
  <si>
    <t xml:space="preserve">S16_T-R_A.mpr, S16_T-R_B.mpr</t>
  </si>
  <si>
    <t xml:space="preserve">FF00 (E4-E2-E1-E3)</t>
  </si>
  <si>
    <t xml:space="preserve">#16067</t>
  </si>
  <si>
    <t xml:space="preserve">S16_T-B</t>
  </si>
  <si>
    <t xml:space="preserve">Torony fenék/tető</t>
  </si>
  <si>
    <t xml:space="preserve">S16_T-B_A.mpr, S16_T-B_B.mpr</t>
  </si>
  <si>
    <t xml:space="preserve">#16068</t>
  </si>
  <si>
    <t xml:space="preserve">S16_T-C</t>
  </si>
  <si>
    <t xml:space="preserve">Torony középosztó</t>
  </si>
  <si>
    <t xml:space="preserve">S16_T-C_A.mpr, S16_T-C_B.mpr</t>
  </si>
  <si>
    <t xml:space="preserve">#16069</t>
  </si>
  <si>
    <t xml:space="preserve">S16_T-L-S1</t>
  </si>
  <si>
    <t xml:space="preserve">Állítható polc</t>
  </si>
  <si>
    <t xml:space="preserve">#16070</t>
  </si>
  <si>
    <t xml:space="preserve">S16_T-L-S2</t>
  </si>
  <si>
    <t xml:space="preserve">#16071</t>
  </si>
  <si>
    <t xml:space="preserve">S16_T-L-S3</t>
  </si>
  <si>
    <t xml:space="preserve">#16072</t>
  </si>
  <si>
    <t xml:space="preserve">S16_T-L-S4</t>
  </si>
  <si>
    <t xml:space="preserve">#16073</t>
  </si>
  <si>
    <t xml:space="preserve">S16_T-L-S5</t>
  </si>
  <si>
    <t xml:space="preserve">#16074</t>
  </si>
  <si>
    <t xml:space="preserve">S16_T-L-BACK</t>
  </si>
  <si>
    <t xml:space="preserve">Bontható felső hát</t>
  </si>
  <si>
    <t xml:space="preserve">0000 (E2-E4-E1-E3)</t>
  </si>
  <si>
    <t xml:space="preserve">#16075</t>
  </si>
  <si>
    <t xml:space="preserve">S16_T-L-SERVICE</t>
  </si>
  <si>
    <t xml:space="preserve">Bontható alsó szervizfedél</t>
  </si>
  <si>
    <t xml:space="preserve">ABS 0,8 mm grafit (csak szervizfedél)</t>
  </si>
  <si>
    <t xml:space="preserve">#16076</t>
  </si>
  <si>
    <t xml:space="preserve">S16_T-R-S1</t>
  </si>
  <si>
    <t xml:space="preserve">#16077</t>
  </si>
  <si>
    <t xml:space="preserve">S16_T-R-S2</t>
  </si>
  <si>
    <t xml:space="preserve">#16078</t>
  </si>
  <si>
    <t xml:space="preserve">S16_T-R-S3</t>
  </si>
  <si>
    <t xml:space="preserve">#16079</t>
  </si>
  <si>
    <t xml:space="preserve">S16_T-R-S4</t>
  </si>
  <si>
    <t xml:space="preserve">#16080</t>
  </si>
  <si>
    <t xml:space="preserve">S16_T-R-S5</t>
  </si>
  <si>
    <t xml:space="preserve">#16081</t>
  </si>
  <si>
    <t xml:space="preserve">S16_T-R-BACK</t>
  </si>
  <si>
    <t xml:space="preserve">#16082</t>
  </si>
  <si>
    <t xml:space="preserve">S16_T-R-SERVICE</t>
  </si>
  <si>
    <t xml:space="preserve">#16083</t>
  </si>
  <si>
    <t xml:space="preserve">S16_T-DOOR-L</t>
  </si>
  <si>
    <t xml:space="preserve">Torony ajtó</t>
  </si>
  <si>
    <t xml:space="preserve">S16_T-DOOR-L_B.mpr</t>
  </si>
  <si>
    <t xml:space="preserve">VVVV (E2-E4-E1-E3)</t>
  </si>
  <si>
    <t xml:space="preserve">#16084</t>
  </si>
  <si>
    <t xml:space="preserve">S16_T-DOOR-R</t>
  </si>
  <si>
    <t xml:space="preserve">S16_T-DOOR-R_B.mpr</t>
  </si>
  <si>
    <t xml:space="preserve">#16085</t>
  </si>
  <si>
    <t xml:space="preserve">S16_TEXTILE</t>
  </si>
  <si>
    <t xml:space="preserve">Elefántcsont szövetbetét</t>
  </si>
  <si>
    <t xml:space="preserve">TEXTIL_BETET</t>
  </si>
  <si>
    <t xml:space="preserve">M05</t>
  </si>
  <si>
    <t xml:space="preserve">Elefántcsont–len színű valódi szövetbetét</t>
  </si>
  <si>
    <t xml:space="preserve">K</t>
  </si>
  <si>
    <t xml:space="preserve">kárpitozott / textil körbehajtva</t>
  </si>
  <si>
    <t xml:space="preserve">KKKK (E2-E4-E1-E3)</t>
  </si>
  <si>
    <t xml:space="preserve">#16086</t>
  </si>
  <si>
    <t xml:space="preserve">S16_BG-1</t>
  </si>
  <si>
    <t xml:space="preserve">Bontható szürke háttérpanel</t>
  </si>
  <si>
    <t xml:space="preserve">HATTER</t>
  </si>
  <si>
    <t xml:space="preserve">M04</t>
  </si>
  <si>
    <t xml:space="preserve">Meleg taupe finom textilhatású háttér</t>
  </si>
  <si>
    <t xml:space="preserve">#16087</t>
  </si>
  <si>
    <t xml:space="preserve">S16_BG-2</t>
  </si>
  <si>
    <t xml:space="preserve">#16088</t>
  </si>
  <si>
    <t xml:space="preserve">S16_BG-3</t>
  </si>
  <si>
    <t xml:space="preserve">#16089</t>
  </si>
  <si>
    <t xml:space="preserve">S16_BG-4</t>
  </si>
  <si>
    <t xml:space="preserve">#16090</t>
  </si>
  <si>
    <t xml:space="preserve">S16_BATTEN-1</t>
  </si>
  <si>
    <t xml:space="preserve">Háttér falsín</t>
  </si>
  <si>
    <t xml:space="preserve">M10</t>
  </si>
  <si>
    <t xml:space="preserve">8 mm MDF léc (rejtett háttér-távtartó)</t>
  </si>
  <si>
    <t xml:space="preserve">#16091</t>
  </si>
  <si>
    <t xml:space="preserve">S16_BATTEN-2</t>
  </si>
  <si>
    <t xml:space="preserve">#16092</t>
  </si>
  <si>
    <t xml:space="preserve">S16_BATTEN-3</t>
  </si>
  <si>
    <t xml:space="preserve">#16093</t>
  </si>
  <si>
    <t xml:space="preserve">S16_BATTEN-4</t>
  </si>
  <si>
    <t xml:space="preserve">#16094</t>
  </si>
  <si>
    <t xml:space="preserve">S16_BATTEN-5</t>
  </si>
  <si>
    <t xml:space="preserve">#16095</t>
  </si>
  <si>
    <t xml:space="preserve">S16_CURVE-T-TOP</t>
  </si>
  <si>
    <t xml:space="preserve">R100 rétegelt, íves toronysapka</t>
  </si>
  <si>
    <t xml:space="preserve">TORONY_KERET</t>
  </si>
  <si>
    <t xml:space="preserve">IVES_SZERELVENY</t>
  </si>
  <si>
    <t xml:space="preserve">S16_CURVE-T-TOP_A.mpr</t>
  </si>
  <si>
    <t xml:space="preserve">Összeállítás – a 2. fázisban lapalkatrészekre/rétegekre bontandó; nem egy darab lap. Kontúros alkatrész: az E1–E4 a befoglaló oldalait jelöli; ívelt élszakasz élzárása (min. rádiusz) műhelyi kérdés.</t>
  </si>
  <si>
    <t xml:space="preserve">FFFF (E1-E3-E2-E4)</t>
  </si>
  <si>
    <t xml:space="preserve">#16096</t>
  </si>
  <si>
    <t xml:space="preserve">S16_FRAME-T-TOP</t>
  </si>
  <si>
    <t xml:space="preserve">R100 frontkeret záróelem</t>
  </si>
  <si>
    <t xml:space="preserve">S16_FRAME-T-TOP_A.mpr</t>
  </si>
  <si>
    <t xml:space="preserve">#16097</t>
  </si>
  <si>
    <t xml:space="preserve">S16_CURVE-T-BOT</t>
  </si>
  <si>
    <t xml:space="preserve">ABS 1 mm grafit / festett; festett él (festett MDF)</t>
  </si>
  <si>
    <t xml:space="preserve">S16_CURVE-T-BOT_A.mpr</t>
  </si>
  <si>
    <t xml:space="preserve">FFF0 (E1-E3-E4-E2)</t>
  </si>
  <si>
    <t xml:space="preserve">#16098</t>
  </si>
  <si>
    <t xml:space="preserve">S16_FRAME-T-BOT</t>
  </si>
  <si>
    <t xml:space="preserve">S16_FRAME-T-BOT_A.mpr</t>
  </si>
  <si>
    <t xml:space="preserve">#16099</t>
  </si>
  <si>
    <t xml:space="preserve">S16_FRAME-T-L</t>
  </si>
  <si>
    <t xml:space="preserve">Torony fix függőleges keret</t>
  </si>
  <si>
    <t xml:space="preserve">S16_FRAME-T-L_A.mpr</t>
  </si>
  <si>
    <t xml:space="preserve">FF00 (E2-E4-E1-E3)</t>
  </si>
  <si>
    <t xml:space="preserve">#16100</t>
  </si>
  <si>
    <t xml:space="preserve">S16_FRAME-T-R</t>
  </si>
  <si>
    <t xml:space="preserve">S16_FRAME-T-R_A.mpr</t>
  </si>
  <si>
    <t xml:space="preserve">#16101</t>
  </si>
  <si>
    <t xml:space="preserve">S16_FRAME-T-MID</t>
  </si>
  <si>
    <t xml:space="preserve">Torony fiók feletti fix osztó</t>
  </si>
  <si>
    <t xml:space="preserve">S16_FRAME-T-MID_A.mpr</t>
  </si>
  <si>
    <t xml:space="preserve">#16102</t>
  </si>
  <si>
    <t xml:space="preserve">S16_FRAME-B-LOW-1</t>
  </si>
  <si>
    <t xml:space="preserve">Alsó fix keret, jobb végén R80</t>
  </si>
  <si>
    <t xml:space="preserve">ALSO_KERET</t>
  </si>
  <si>
    <t xml:space="preserve">S16_FRAME-B-LOW-1_A.mpr</t>
  </si>
  <si>
    <t xml:space="preserve">#16103</t>
  </si>
  <si>
    <t xml:space="preserve">S16_FRAME-B-LOW-2</t>
  </si>
  <si>
    <t xml:space="preserve">S16_FRAME-B-LOW-2_A.mpr</t>
  </si>
  <si>
    <t xml:space="preserve">#16104</t>
  </si>
  <si>
    <t xml:space="preserve">S16_FRAME-B-LOW-3</t>
  </si>
  <si>
    <t xml:space="preserve">S16_FRAME-B-LOW-3_A.mpr</t>
  </si>
  <si>
    <t xml:space="preserve">#16105</t>
  </si>
  <si>
    <t xml:space="preserve">S16_FRAME-B-HIGH-1</t>
  </si>
  <si>
    <t xml:space="preserve">S16_FRAME-B-HIGH-1_A.mpr</t>
  </si>
  <si>
    <t xml:space="preserve">#16106</t>
  </si>
  <si>
    <t xml:space="preserve">S16_FRAME-B-HIGH-2</t>
  </si>
  <si>
    <t xml:space="preserve">S16_FRAME-B-HIGH-2_A.mpr</t>
  </si>
  <si>
    <t xml:space="preserve">#16107</t>
  </si>
  <si>
    <t xml:space="preserve">S16_FRAME-B-HIGH-3</t>
  </si>
  <si>
    <t xml:space="preserve">S16_FRAME-B-HIGH-3_A.mpr</t>
  </si>
  <si>
    <t xml:space="preserve">#16108</t>
  </si>
  <si>
    <t xml:space="preserve">S16_FRAME-B-TOP</t>
  </si>
  <si>
    <t xml:space="preserve">R80 alsó jobb sarok</t>
  </si>
  <si>
    <t xml:space="preserve">S16_FRAME-B-TOP_A.mpr</t>
  </si>
  <si>
    <t xml:space="preserve">#16109</t>
  </si>
  <si>
    <t xml:space="preserve">S16_CURVE-B-TOP</t>
  </si>
  <si>
    <t xml:space="preserve">R80 laminált alsó jobb sarok</t>
  </si>
  <si>
    <t xml:space="preserve">S16_CURVE-B-TOP_A.mpr</t>
  </si>
  <si>
    <t xml:space="preserve">#16110</t>
  </si>
  <si>
    <t xml:space="preserve">S16_FRAME-B-BOT</t>
  </si>
  <si>
    <t xml:space="preserve">S16_FRAME-B-BOT_A.mpr</t>
  </si>
  <si>
    <t xml:space="preserve">#16111</t>
  </si>
  <si>
    <t xml:space="preserve">S16_CURVE-B-BOT</t>
  </si>
  <si>
    <t xml:space="preserve">S16_CURVE-B-BOT_A.mpr</t>
  </si>
  <si>
    <t xml:space="preserve">#16112</t>
  </si>
  <si>
    <t xml:space="preserve">S16_FRAME-B-R</t>
  </si>
  <si>
    <t xml:space="preserve">Alsó jobb fix keret</t>
  </si>
  <si>
    <t xml:space="preserve">S16_FRAME-B-R_A.mpr</t>
  </si>
  <si>
    <t xml:space="preserve">#16113</t>
  </si>
  <si>
    <t xml:space="preserve">S16_TV-SPACER-1</t>
  </si>
  <si>
    <t xml:space="preserve">TV réteg távtartó</t>
  </si>
  <si>
    <t xml:space="preserve">TV</t>
  </si>
  <si>
    <t xml:space="preserve">OSSZEALLITAS</t>
  </si>
  <si>
    <t xml:space="preserve">Összeállítás – a 2. fázisban lapalkatrészekre/rétegekre bontandó; nem egy darab lap.</t>
  </si>
  <si>
    <t xml:space="preserve">#16114</t>
  </si>
  <si>
    <t xml:space="preserve">S16_TV-SPACER-2</t>
  </si>
  <si>
    <t xml:space="preserve">#16115</t>
  </si>
  <si>
    <t xml:space="preserve">S16_T-LOW-DIV</t>
  </si>
  <si>
    <t xml:space="preserve">Bal alsó rekesz jobb oldala</t>
  </si>
  <si>
    <t xml:space="preserve">S16_T-LOW-DIV_A.mpr, S16_T-LOW-DIV_B.mpr</t>
  </si>
  <si>
    <t xml:space="preserve">#16116</t>
  </si>
  <si>
    <t xml:space="preserve">S16_T-LOW-BACK</t>
  </si>
  <si>
    <t xml:space="preserve">Bal alsó rekesz bontható háta</t>
  </si>
  <si>
    <t xml:space="preserve">#16117</t>
  </si>
  <si>
    <t xml:space="preserve">S16_T-DOOR-L-BACK</t>
  </si>
  <si>
    <t xml:space="preserve">Süllyesztett ajtóbetét hátlap</t>
  </si>
  <si>
    <t xml:space="preserve">M11</t>
  </si>
  <si>
    <t xml:space="preserve">12 mm festett MDF (M02 színben)</t>
  </si>
  <si>
    <t xml:space="preserve">FFFF (E2-E4-E1-E3)</t>
  </si>
  <si>
    <t xml:space="preserve">#16118</t>
  </si>
  <si>
    <t xml:space="preserve">S16_TV-FIELD</t>
  </si>
  <si>
    <t xml:space="preserve">Egybefüggő íves TV-mező</t>
  </si>
  <si>
    <t xml:space="preserve">Anyagkivitel döntés: faerezetes lap egy darabból, VÍZSZINTES erezet (a fiókfrontokkal azonos irány) (Péter, 2026-10-30 12:49 – vízszintes erezet (felülírja a 12:43-as függőlegest; GOAL.md 7.)). Nyitott: dekor/termék és tényleges táblaméret; az R14 renderek még függőleges erezetet mutatnak. Kontúros alkatrész: az E1–E4 a befoglaló oldalait jelöli; ívelt élszakasz élzárása (min. rádiusz) műhelyi kérdés.</t>
  </si>
  <si>
    <t xml:space="preserve">VVVV (E3-E1-E2-E4)</t>
  </si>
  <si>
    <t xml:space="preserve">#16119</t>
  </si>
  <si>
    <t xml:space="preserve">S16_BG-FINISH</t>
  </si>
  <si>
    <t xml:space="preserve">Folytonos háttérburkolati réteg</t>
  </si>
  <si>
    <t xml:space="preserve">BURKOLAT_RETEG</t>
  </si>
  <si>
    <t xml:space="preserve">#16120</t>
  </si>
  <si>
    <t xml:space="preserve">S16_TOP-WASH-COVER</t>
  </si>
  <si>
    <t xml:space="preserve">Fénytakaró / tálca (TOP-WASH-COVER)</t>
  </si>
  <si>
    <t xml:space="preserve">EGYEB</t>
  </si>
  <si>
    <t xml:space="preserve">FENYTAKARO</t>
  </si>
  <si>
    <t xml:space="preserve">M12</t>
  </si>
  <si>
    <t xml:space="preserve">Fénytakaró / tálca / baffle profil – termék kiválasztandó</t>
  </si>
  <si>
    <t xml:space="preserve">#16121</t>
  </si>
  <si>
    <t xml:space="preserve">S16_TOP-WASH-BAFFLE</t>
  </si>
  <si>
    <t xml:space="preserve">Fénytakaró / tálca (TOP-WASH-BAFFLE)</t>
  </si>
  <si>
    <t xml:space="preserve">#16122</t>
  </si>
  <si>
    <t xml:space="preserve">S16_TOP-WASH-HIDDEN-END</t>
  </si>
  <si>
    <t xml:space="preserve">Fénytakaró / tálca (TOP-WASH-HIDDEN-END)</t>
  </si>
  <si>
    <t xml:space="preserve">#16123</t>
  </si>
  <si>
    <t xml:space="preserve">S16_UPLIGHT-TRAY</t>
  </si>
  <si>
    <t xml:space="preserve">Fénytakaró / tálca (UPLIGHT-TRAY)</t>
  </si>
  <si>
    <t xml:space="preserve">#16124</t>
  </si>
  <si>
    <t xml:space="preserve">S16_UPLIGHT-FRONT-VISOR</t>
  </si>
  <si>
    <t xml:space="preserve">Fénytakaró / tálca (UPLIGHT-FRONT-VISOR)</t>
  </si>
  <si>
    <t xml:space="preserve">#16125</t>
  </si>
  <si>
    <t xml:space="preserve">S16_UPLIGHT-REAR-VISOR</t>
  </si>
  <si>
    <t xml:space="preserve">Fénytakaró / tálca (UPLIGHT-REAR-VISOR)</t>
  </si>
  <si>
    <t xml:space="preserve">#16126</t>
  </si>
  <si>
    <t xml:space="preserve">S16_DECK-CONTINUOUS-COVER</t>
  </si>
  <si>
    <t xml:space="preserve">Fénytakaró / tálca (DECK-CONTINUOUS-COVER)</t>
  </si>
  <si>
    <t xml:space="preserve">#16127</t>
  </si>
  <si>
    <t xml:space="preserve">S16_DECK-CONTINUOUS-BAFFLE</t>
  </si>
  <si>
    <t xml:space="preserve">Fénytakaró / tálca (DECK-CONTINUOUS-BAFFLE)</t>
  </si>
  <si>
    <t xml:space="preserve">#16128</t>
  </si>
  <si>
    <t xml:space="preserve">S16_LOW-INTERNAL-LIGHT-VISOR</t>
  </si>
  <si>
    <t xml:space="preserve">Fénytakaró / tálca (LOW-INTERNAL-LIGHT-VISOR)</t>
  </si>
  <si>
    <t xml:space="preserve">#16129</t>
  </si>
  <si>
    <t xml:space="preserve">Összesen:</t>
  </si>
  <si>
    <t xml:space="preserve">Darab</t>
  </si>
  <si>
    <t xml:space="preserve">Élzáró fm (V)</t>
  </si>
  <si>
    <t xml:space="preserve">Tábla m² (becslés)</t>
  </si>
  <si>
    <t xml:space="preserve">Hulladék % (becslés)</t>
  </si>
  <si>
    <t xml:space="preserve">Tábla db (becslés)</t>
  </si>
  <si>
    <t xml:space="preserve">Feltételezés: tábla 2800×2070 mm = 5,796 m², hulladék 20 % – becslés, termék nincs kiválasztva (kék = módosítható). M05 szövet és M12 fénytakaró nem táblaanyag (0 = nem számol).</t>
  </si>
  <si>
    <t xml:space="preserve">Tétel</t>
  </si>
  <si>
    <t xml:space="preserve">Cikkszám / megnevezés</t>
  </si>
  <si>
    <t xml:space="preserve">Forrás</t>
  </si>
  <si>
    <t xml:space="preserve">Státusz</t>
  </si>
  <si>
    <t xml:space="preserve">760H3000S</t>
  </si>
  <si>
    <t xml:space="preserve">Blum MOVENTO 760H3000S sínpár NL300 (csavarozva, sablon T65.1600.01)</t>
  </si>
  <si>
    <t xml:space="preserve">f2b_vasalat.py – geometriából</t>
  </si>
  <si>
    <t xml:space="preserve">TERVI – típus/variáns műhelyi megerősítésre</t>
  </si>
  <si>
    <t xml:space="preserve">MINIFIX_15</t>
  </si>
  <si>
    <t xml:space="preserve">Häfele Minifix 15 ház 262.26.174 + csap (GEN_MFX_BOLT_24x5)</t>
  </si>
  <si>
    <t xml:space="preserve">PANT_CLIPTOP_110</t>
  </si>
  <si>
    <t xml:space="preserve">Blum CLIP top 110° rugó nélküli, inset, csavaros 70T3750</t>
  </si>
  <si>
    <t xml:space="preserve">POLCTARTO</t>
  </si>
  <si>
    <t xml:space="preserve">polctartó Ø5 csap – cikkszám az asztalostól (a de_11090 az etalonban konfirmát-jelölő)</t>
  </si>
  <si>
    <t xml:space="preserve">SZINKRON</t>
  </si>
  <si>
    <t xml:space="preserve">T60.1125W + 2×T60.000D – szinkronrúd vágási méret: 122 mm</t>
  </si>
  <si>
    <t xml:space="preserve">T51.7601</t>
  </si>
  <si>
    <t xml:space="preserve">Blum MOVENTO frontrögzítő pár T51.7601 (sablonnal előfúrva Ø2,5×10, 75°)</t>
  </si>
  <si>
    <t xml:space="preserve">TIP-ON</t>
  </si>
  <si>
    <t xml:space="preserve">Blum TIP-ON BLUMOTION T60L7040 S0 (szerszám nélkül a sínre)</t>
  </si>
  <si>
    <t xml:space="preserve">TIPLI_D6x30</t>
  </si>
  <si>
    <t xml:space="preserve">Ø6×30 bordás bükk tipli (él-él)</t>
  </si>
  <si>
    <t xml:space="preserve">TIPLI_D8x35</t>
  </si>
  <si>
    <t xml:space="preserve">Ø8×35 bordás tipli (etalon: CONNOBJ_DOWEL_D8_L35_13-24)</t>
  </si>
  <si>
    <t xml:space="preserve">PANT talplemez</t>
  </si>
  <si>
    <t xml:space="preserve">Blum CLIP talplemez 0 mm 177H3100E</t>
  </si>
  <si>
    <t xml:space="preserve">f2b_vasalat.py</t>
  </si>
  <si>
    <t xml:space="preserve">TERVI</t>
  </si>
  <si>
    <t xml:space="preserve">Címke-ID</t>
  </si>
  <si>
    <t xml:space="preserve">#</t>
  </si>
  <si>
    <t xml:space="preserve">Oldal / él</t>
  </si>
  <si>
    <t xml:space="preserve">X (U) mm</t>
  </si>
  <si>
    <t xml:space="preserve">Y (V) mm</t>
  </si>
  <si>
    <t xml:space="preserve">Z (N) mm</t>
  </si>
  <si>
    <t xml:space="preserve">Ø mm</t>
  </si>
  <si>
    <t xml:space="preserve">Mélység mm</t>
  </si>
  <si>
    <t xml:space="preserve">Funkció</t>
  </si>
  <si>
    <t xml:space="preserve">Kapcsolat</t>
  </si>
  <si>
    <t xml:space="preserve">MPR</t>
  </si>
  <si>
    <t xml:space="preserve">TIPLI_EL</t>
  </si>
  <si>
    <t xml:space="preserve">D1-L:E1:CURVE-T-BOT:0</t>
  </si>
  <si>
    <t xml:space="preserve">S16_D1-L_A.mpr</t>
  </si>
  <si>
    <t xml:space="preserve">D1-L:E1:CURVE-T-BOT:1</t>
  </si>
  <si>
    <t xml:space="preserve">D1-L:E1:CURVE-T-BOT:2</t>
  </si>
  <si>
    <t xml:space="preserve">B</t>
  </si>
  <si>
    <t xml:space="preserve">MINIFIX_HAZ</t>
  </si>
  <si>
    <t xml:space="preserve">D1-L:E1:CURVE-T-BOT:MF0</t>
  </si>
  <si>
    <t xml:space="preserve">S16_D1-L_B.mpr</t>
  </si>
  <si>
    <t xml:space="preserve">MINIFIX_CSATORNA</t>
  </si>
  <si>
    <t xml:space="preserve">D1-L:E1:CURVE-T-BOT:MF1</t>
  </si>
  <si>
    <t xml:space="preserve">D1-L:E3:T-B:0</t>
  </si>
  <si>
    <t xml:space="preserve">D1-L:E3:T-B:1</t>
  </si>
  <si>
    <t xml:space="preserve">D1-L:E3:T-B:2</t>
  </si>
  <si>
    <t xml:space="preserve">TIPLI_LAP</t>
  </si>
  <si>
    <t xml:space="preserve">D1-T:E4:D1-L:0</t>
  </si>
  <si>
    <t xml:space="preserve">D1-T:E4:D1-L:1</t>
  </si>
  <si>
    <t xml:space="preserve">D1-T:E4:D1-L:2</t>
  </si>
  <si>
    <t xml:space="preserve">MOVENTO_SIN_JELOLO</t>
  </si>
  <si>
    <t xml:space="preserve">D1:SIN:D1-L:0</t>
  </si>
  <si>
    <t xml:space="preserve">D1:SIN:D1-L:1</t>
  </si>
  <si>
    <t xml:space="preserve">D1:SIN:D1-L:2</t>
  </si>
  <si>
    <t xml:space="preserve">D1-R:E1:CURVE-T-BOT:0</t>
  </si>
  <si>
    <t xml:space="preserve">D1-R:E1:CURVE-T-BOT:1</t>
  </si>
  <si>
    <t xml:space="preserve">D1-R:E1:CURVE-T-BOT:2</t>
  </si>
  <si>
    <t xml:space="preserve">A</t>
  </si>
  <si>
    <t xml:space="preserve">D1-R:E1:CURVE-T-BOT:MF0</t>
  </si>
  <si>
    <t xml:space="preserve">D1-R:E1:CURVE-T-BOT:MF1</t>
  </si>
  <si>
    <t xml:space="preserve">D1-R:E3:T-R:EE0</t>
  </si>
  <si>
    <t xml:space="preserve">D1-R:E3:T-R:EE1</t>
  </si>
  <si>
    <t xml:space="preserve">D1-R:E3:T-R:EE2</t>
  </si>
  <si>
    <t xml:space="preserve">D1-T:E2:D1-R:0</t>
  </si>
  <si>
    <t xml:space="preserve">D1-T:E2:D1-R:1</t>
  </si>
  <si>
    <t xml:space="preserve">D1-T:E2:D1-R:2</t>
  </si>
  <si>
    <t xml:space="preserve">D1:SIN:D1-R:0</t>
  </si>
  <si>
    <t xml:space="preserve">D1:SIN:D1-R:1</t>
  </si>
  <si>
    <t xml:space="preserve">D1:SIN:D1-R:2</t>
  </si>
  <si>
    <t xml:space="preserve">MOVENTO_HOROG</t>
  </si>
  <si>
    <t xml:space="preserve">D1:HOROG:D1-BOX-L</t>
  </si>
  <si>
    <t xml:space="preserve">D1:HOROG:D1-BOX-R</t>
  </si>
  <si>
    <t xml:space="preserve">D2-B:E4:D2-L:0</t>
  </si>
  <si>
    <t xml:space="preserve">D2-B:E4:D2-L:1</t>
  </si>
  <si>
    <t xml:space="preserve">D2-B:E4:D2-L:2</t>
  </si>
  <si>
    <t xml:space="preserve">D2-T:E4:D2-L:0</t>
  </si>
  <si>
    <t xml:space="preserve">D2-T:E4:D2-L:1</t>
  </si>
  <si>
    <t xml:space="preserve">D2-T:E4:D2-L:2</t>
  </si>
  <si>
    <t xml:space="preserve">D2:SIN:D2-L:0</t>
  </si>
  <si>
    <t xml:space="preserve">D2:SIN:D2-L:1</t>
  </si>
  <si>
    <t xml:space="preserve">D2:SIN:D2-L:2</t>
  </si>
  <si>
    <t xml:space="preserve">D2-B:E2:D2-R:0</t>
  </si>
  <si>
    <t xml:space="preserve">D2-B:E2:D2-R:1</t>
  </si>
  <si>
    <t xml:space="preserve">D2-B:E2:D2-R:2</t>
  </si>
  <si>
    <t xml:space="preserve">D2-T:E2:D2-R:0</t>
  </si>
  <si>
    <t xml:space="preserve">D2-T:E2:D2-R:1</t>
  </si>
  <si>
    <t xml:space="preserve">D2-T:E2:D2-R:2</t>
  </si>
  <si>
    <t xml:space="preserve">D2:SIN:D2-R:0</t>
  </si>
  <si>
    <t xml:space="preserve">D2:SIN:D2-R:1</t>
  </si>
  <si>
    <t xml:space="preserve">D2:SIN:D2-R:2</t>
  </si>
  <si>
    <t xml:space="preserve">D2:HOROG:D2-BOX-L</t>
  </si>
  <si>
    <t xml:space="preserve">D2:HOROG:D2-BOX-R</t>
  </si>
  <si>
    <t xml:space="preserve">D3-B:E4:D3-L:0</t>
  </si>
  <si>
    <t xml:space="preserve">D3-B:E4:D3-L:1</t>
  </si>
  <si>
    <t xml:space="preserve">D3-B:E4:D3-L:2</t>
  </si>
  <si>
    <t xml:space="preserve">D3-T:E4:D3-L:0</t>
  </si>
  <si>
    <t xml:space="preserve">D3-T:E4:D3-L:1</t>
  </si>
  <si>
    <t xml:space="preserve">D3-T:E4:D3-L:2</t>
  </si>
  <si>
    <t xml:space="preserve">D3:SIN:D3-L:0</t>
  </si>
  <si>
    <t xml:space="preserve">D3:SIN:D3-L:1</t>
  </si>
  <si>
    <t xml:space="preserve">D3:SIN:D3-L:2</t>
  </si>
  <si>
    <t xml:space="preserve">D3-B:E2:D3-R:0</t>
  </si>
  <si>
    <t xml:space="preserve">D3-B:E2:D3-R:1</t>
  </si>
  <si>
    <t xml:space="preserve">D3-B:E2:D3-R:2</t>
  </si>
  <si>
    <t xml:space="preserve">D3-T:E2:D3-R:0</t>
  </si>
  <si>
    <t xml:space="preserve">D3-T:E2:D3-R:1</t>
  </si>
  <si>
    <t xml:space="preserve">D3-T:E2:D3-R:2</t>
  </si>
  <si>
    <t xml:space="preserve">D3:SIN:D3-R:0</t>
  </si>
  <si>
    <t xml:space="preserve">D3:SIN:D3-R:1</t>
  </si>
  <si>
    <t xml:space="preserve">D3:SIN:D3-R:2</t>
  </si>
  <si>
    <t xml:space="preserve">D3:HOROG:D3-BOX-L</t>
  </si>
  <si>
    <t xml:space="preserve">D3:HOROG:D3-BOX-R</t>
  </si>
  <si>
    <t xml:space="preserve">D4-B:E4:D4-L:0</t>
  </si>
  <si>
    <t xml:space="preserve">D4-B:E4:D4-L:1</t>
  </si>
  <si>
    <t xml:space="preserve">D4-B:E4:D4-L:2</t>
  </si>
  <si>
    <t xml:space="preserve">D4-T:E4:D4-L:0</t>
  </si>
  <si>
    <t xml:space="preserve">D4-T:E4:D4-L:1</t>
  </si>
  <si>
    <t xml:space="preserve">D4-T:E4:D4-L:2</t>
  </si>
  <si>
    <t xml:space="preserve">D4:SIN:D4-L:0</t>
  </si>
  <si>
    <t xml:space="preserve">D4:SIN:D4-L:1</t>
  </si>
  <si>
    <t xml:space="preserve">D4:SIN:D4-L:2</t>
  </si>
  <si>
    <t xml:space="preserve">D4-B:E2:D4-R:0</t>
  </si>
  <si>
    <t xml:space="preserve">D4-B:E2:D4-R:1</t>
  </si>
  <si>
    <t xml:space="preserve">D4-B:E2:D4-R:2</t>
  </si>
  <si>
    <t xml:space="preserve">D4-T:E2:D4-R:0</t>
  </si>
  <si>
    <t xml:space="preserve">D4-T:E2:D4-R:1</t>
  </si>
  <si>
    <t xml:space="preserve">D4-T:E2:D4-R:2</t>
  </si>
  <si>
    <t xml:space="preserve">D4:SIN:D4-R:0</t>
  </si>
  <si>
    <t xml:space="preserve">D4:SIN:D4-R:1</t>
  </si>
  <si>
    <t xml:space="preserve">D4:SIN:D4-R:2</t>
  </si>
  <si>
    <t xml:space="preserve">D4:HOROG:D4-BOX-L</t>
  </si>
  <si>
    <t xml:space="preserve">D4:HOROG:D4-BOX-R</t>
  </si>
  <si>
    <t xml:space="preserve">D5-B:E4:D5-L:0</t>
  </si>
  <si>
    <t xml:space="preserve">D5-B:E4:D5-L:1</t>
  </si>
  <si>
    <t xml:space="preserve">D5-B:E4:D5-L:2</t>
  </si>
  <si>
    <t xml:space="preserve">D5-T:E4:D5-L:0</t>
  </si>
  <si>
    <t xml:space="preserve">D5-T:E4:D5-L:1</t>
  </si>
  <si>
    <t xml:space="preserve">D5-T:E4:D5-L:2</t>
  </si>
  <si>
    <t xml:space="preserve">D5:SIN:D5-L:0</t>
  </si>
  <si>
    <t xml:space="preserve">D5:SIN:D5-L:1</t>
  </si>
  <si>
    <t xml:space="preserve">D5:SIN:D5-L:2</t>
  </si>
  <si>
    <t xml:space="preserve">D5-B:E2:D5-R:0</t>
  </si>
  <si>
    <t xml:space="preserve">D5-B:E2:D5-R:1</t>
  </si>
  <si>
    <t xml:space="preserve">D5-B:E2:D5-R:2</t>
  </si>
  <si>
    <t xml:space="preserve">D5-T:E2:D5-R:0</t>
  </si>
  <si>
    <t xml:space="preserve">D5-T:E2:D5-R:1</t>
  </si>
  <si>
    <t xml:space="preserve">D5-T:E2:D5-R:2</t>
  </si>
  <si>
    <t xml:space="preserve">D5:SIN:D5-R:0</t>
  </si>
  <si>
    <t xml:space="preserve">D5:SIN:D5-R:1</t>
  </si>
  <si>
    <t xml:space="preserve">D5:SIN:D5-R:2</t>
  </si>
  <si>
    <t xml:space="preserve">D5:HOROG:D5-BOX-L</t>
  </si>
  <si>
    <t xml:space="preserve">D5:HOROG:D5-BOX-R</t>
  </si>
  <si>
    <t xml:space="preserve">D6-B:E4:D6-L:0</t>
  </si>
  <si>
    <t xml:space="preserve">D6-B:E4:D6-L:1</t>
  </si>
  <si>
    <t xml:space="preserve">D6-B:E4:D6-L:2</t>
  </si>
  <si>
    <t xml:space="preserve">D6-T:E4:D6-L:0</t>
  </si>
  <si>
    <t xml:space="preserve">D6-T:E4:D6-L:1</t>
  </si>
  <si>
    <t xml:space="preserve">D6-T:E4:D6-L:2</t>
  </si>
  <si>
    <t xml:space="preserve">D6:SIN:D6-L:0</t>
  </si>
  <si>
    <t xml:space="preserve">D6:SIN:D6-L:1</t>
  </si>
  <si>
    <t xml:space="preserve">D6:SIN:D6-L:2</t>
  </si>
  <si>
    <t xml:space="preserve">D6-R:E1:CURVE-B-BOT:0</t>
  </si>
  <si>
    <t xml:space="preserve">S16_D6-R_A.mpr</t>
  </si>
  <si>
    <t xml:space="preserve">D6-R:E1:CURVE-B-BOT:1</t>
  </si>
  <si>
    <t xml:space="preserve">D6-R:E1:CURVE-B-BOT:2</t>
  </si>
  <si>
    <t xml:space="preserve">D6-R:E1:CURVE-B-BOT:MF0</t>
  </si>
  <si>
    <t xml:space="preserve">S16_D6-R_B.mpr</t>
  </si>
  <si>
    <t xml:space="preserve">D6-R:E1:CURVE-B-BOT:MF1</t>
  </si>
  <si>
    <t xml:space="preserve">D6-R:E3:CURVE-B-TOP:0</t>
  </si>
  <si>
    <t xml:space="preserve">D6-R:E3:CURVE-B-TOP:1</t>
  </si>
  <si>
    <t xml:space="preserve">D6-R:E3:CURVE-B-TOP:2</t>
  </si>
  <si>
    <t xml:space="preserve">D6-R:E3:CURVE-B-TOP:MF0</t>
  </si>
  <si>
    <t xml:space="preserve">D6-R:E3:CURVE-B-TOP:MF1</t>
  </si>
  <si>
    <t xml:space="preserve">D6:SIN:D6-R:0</t>
  </si>
  <si>
    <t xml:space="preserve">D6:SIN:D6-R:1</t>
  </si>
  <si>
    <t xml:space="preserve">D6:SIN:D6-R:2</t>
  </si>
  <si>
    <t xml:space="preserve">D6-B:E2:CURVE-B-BOT:0</t>
  </si>
  <si>
    <t xml:space="preserve">D6-B:E2:CURVE-B-BOT:1</t>
  </si>
  <si>
    <t xml:space="preserve">D6-B:E2:CURVE-B-BOT:2</t>
  </si>
  <si>
    <t xml:space="preserve">D6-B:E2:CURVE-B-BOT:MF0</t>
  </si>
  <si>
    <t xml:space="preserve">D6-B:E2:CURVE-B-BOT:MF1</t>
  </si>
  <si>
    <t xml:space="preserve">D6-T:E2:CURVE-B-TOP:0</t>
  </si>
  <si>
    <t xml:space="preserve">S16_D6-T_A.mpr</t>
  </si>
  <si>
    <t xml:space="preserve">D6-T:E2:CURVE-B-TOP:1</t>
  </si>
  <si>
    <t xml:space="preserve">D6-T:E2:CURVE-B-TOP:2</t>
  </si>
  <si>
    <t xml:space="preserve">D6-T:E2:CURVE-B-TOP:MF0</t>
  </si>
  <si>
    <t xml:space="preserve">S16_D6-T_B.mpr</t>
  </si>
  <si>
    <t xml:space="preserve">D6-T:E2:CURVE-B-TOP:MF1</t>
  </si>
  <si>
    <t xml:space="preserve">D6:HOROG:D6-BOX-L</t>
  </si>
  <si>
    <t xml:space="preserve">D6:HOROG:D6-BOX-R</t>
  </si>
  <si>
    <t xml:space="preserve">T-L:E1:CURVE-T-BOT:0</t>
  </si>
  <si>
    <t xml:space="preserve">S16_T-L_A.mpr</t>
  </si>
  <si>
    <t xml:space="preserve">T-L:E1:CURVE-T-BOT:1</t>
  </si>
  <si>
    <t xml:space="preserve">T-L:E1:CURVE-T-BOT:2</t>
  </si>
  <si>
    <t xml:space="preserve">T-L:E1:CURVE-T-BOT:MF0</t>
  </si>
  <si>
    <t xml:space="preserve">S16_T-L_B.mpr</t>
  </si>
  <si>
    <t xml:space="preserve">T-L:E1:CURVE-T-BOT:MF1</t>
  </si>
  <si>
    <t xml:space="preserve">T-L:E3:CURVE-T-TOP:0</t>
  </si>
  <si>
    <t xml:space="preserve">T-L:E3:CURVE-T-TOP:1</t>
  </si>
  <si>
    <t xml:space="preserve">T-L:E3:CURVE-T-TOP:2</t>
  </si>
  <si>
    <t xml:space="preserve">T-L:E3:CURVE-T-TOP:MF0</t>
  </si>
  <si>
    <t xml:space="preserve">T-L:E3:CURVE-T-TOP:MF1</t>
  </si>
  <si>
    <t xml:space="preserve">T-B:E4:T-L:0</t>
  </si>
  <si>
    <t xml:space="preserve">T-B:E4:T-L:1</t>
  </si>
  <si>
    <t xml:space="preserve">T-B:E4:T-L:2</t>
  </si>
  <si>
    <t xml:space="preserve">T-L-S1</t>
  </si>
  <si>
    <t xml:space="preserve">T-L-S2</t>
  </si>
  <si>
    <t xml:space="preserve">T-L-S3</t>
  </si>
  <si>
    <t xml:space="preserve">T-L-S4</t>
  </si>
  <si>
    <t xml:space="preserve">T-L-S5</t>
  </si>
  <si>
    <t xml:space="preserve">PANTTALP</t>
  </si>
  <si>
    <t xml:space="preserve">T-DOOR-L:PANT:0</t>
  </si>
  <si>
    <t xml:space="preserve">T-DOOR-L:PANT:1</t>
  </si>
  <si>
    <t xml:space="preserve">T-DOOR-L:PANT:2</t>
  </si>
  <si>
    <t xml:space="preserve">T-DOOR-L:PANT:3</t>
  </si>
  <si>
    <t xml:space="preserve">T-DOOR-L:PANT:4</t>
  </si>
  <si>
    <t xml:space="preserve">T-DOOR-L:PANT:5</t>
  </si>
  <si>
    <t xml:space="preserve">S16_T-R_A.mpr</t>
  </si>
  <si>
    <t xml:space="preserve">T-R:E3:CURVE-T-TOP:0</t>
  </si>
  <si>
    <t xml:space="preserve">T-R:E3:CURVE-T-TOP:1</t>
  </si>
  <si>
    <t xml:space="preserve">T-R:E3:CURVE-T-TOP:2</t>
  </si>
  <si>
    <t xml:space="preserve">T-R:E3:CURVE-T-TOP:MF0</t>
  </si>
  <si>
    <t xml:space="preserve">S16_T-R_B.mpr</t>
  </si>
  <si>
    <t xml:space="preserve">T-R:E3:CURVE-T-TOP:MF1</t>
  </si>
  <si>
    <t xml:space="preserve">T-B:E2:T-R:0</t>
  </si>
  <si>
    <t xml:space="preserve">T-B:E2:T-R:1</t>
  </si>
  <si>
    <t xml:space="preserve">T-B:E2:T-R:2</t>
  </si>
  <si>
    <t xml:space="preserve">T-R-S1</t>
  </si>
  <si>
    <t xml:space="preserve">T-R-S2</t>
  </si>
  <si>
    <t xml:space="preserve">T-R-S3</t>
  </si>
  <si>
    <t xml:space="preserve">T-R-S4</t>
  </si>
  <si>
    <t xml:space="preserve">T-R-S5</t>
  </si>
  <si>
    <t xml:space="preserve">T-DOOR-R:PANT:0</t>
  </si>
  <si>
    <t xml:space="preserve">T-DOOR-R:PANT:1</t>
  </si>
  <si>
    <t xml:space="preserve">T-DOOR-R:PANT:2</t>
  </si>
  <si>
    <t xml:space="preserve">T-DOOR-R:PANT:3</t>
  </si>
  <si>
    <t xml:space="preserve">T-DOOR-R:PANT:4</t>
  </si>
  <si>
    <t xml:space="preserve">S16_T-B_B.mpr</t>
  </si>
  <si>
    <t xml:space="preserve">S16_T-B_A.mpr</t>
  </si>
  <si>
    <t xml:space="preserve">T-C:E1:T-B:0</t>
  </si>
  <si>
    <t xml:space="preserve">T-C:E1:T-B:1</t>
  </si>
  <si>
    <t xml:space="preserve">T-C:E1:T-B:2</t>
  </si>
  <si>
    <t xml:space="preserve">T-LOW-DIV:E3:T-B:0</t>
  </si>
  <si>
    <t xml:space="preserve">T-LOW-DIV:E3:T-B:1</t>
  </si>
  <si>
    <t xml:space="preserve">T-LOW-DIV:E3:T-B:2</t>
  </si>
  <si>
    <t xml:space="preserve">S16_T-C_A.mpr</t>
  </si>
  <si>
    <t xml:space="preserve">T-C:E3:CURVE-T-TOP:0</t>
  </si>
  <si>
    <t xml:space="preserve">T-C:E3:CURVE-T-TOP:1</t>
  </si>
  <si>
    <t xml:space="preserve">T-C:E3:CURVE-T-TOP:2</t>
  </si>
  <si>
    <t xml:space="preserve">T-C:E3:CURVE-T-TOP:MF0</t>
  </si>
  <si>
    <t xml:space="preserve">T-C:E3:CURVE-T-TOP:MF1</t>
  </si>
  <si>
    <t xml:space="preserve">S16_T-C_B.mpr</t>
  </si>
  <si>
    <t xml:space="preserve">PANTKEHELY</t>
  </si>
  <si>
    <t xml:space="preserve">PANT_DUBEL</t>
  </si>
  <si>
    <t xml:space="preserve">MINIFIX_CSAP</t>
  </si>
  <si>
    <t xml:space="preserve">FRAME-T-L:E3:FRAME-T-TOP:EE0</t>
  </si>
  <si>
    <t xml:space="preserve">FRAME-T-R:E3:FRAME-T-TOP:EE0</t>
  </si>
  <si>
    <t xml:space="preserve">T-LOW-DIV:E1:CURVE-T-BOT:0</t>
  </si>
  <si>
    <t xml:space="preserve">T-LOW-DIV:E1:CURVE-T-BOT:1</t>
  </si>
  <si>
    <t xml:space="preserve">T-LOW-DIV:E1:CURVE-T-BOT:2</t>
  </si>
  <si>
    <t xml:space="preserve">T-LOW-DIV:E1:CURVE-T-BOT:MF0</t>
  </si>
  <si>
    <t xml:space="preserve">T-LOW-DIV:E1:CURVE-T-BOT:MF1</t>
  </si>
  <si>
    <t xml:space="preserve">FRAME-T-L:E1:FRAME-T-BOT:EE0</t>
  </si>
  <si>
    <t xml:space="preserve">FRAME-B-LOW-1:E4:FRAME-T-BOT:EE0</t>
  </si>
  <si>
    <t xml:space="preserve">FRAME-T-R:E1:FRAME-T-MID:EE0</t>
  </si>
  <si>
    <t xml:space="preserve">FRAME-T-MID:E2:FRAME-B-HIGH-1:EE0</t>
  </si>
  <si>
    <t xml:space="preserve">FRAME-B-LOW-1:E2:FRAME-B-LOW-2:EE0</t>
  </si>
  <si>
    <t xml:space="preserve">FRAME-B-LOW-2:E2:FRAME-B-LOW-3:EE0</t>
  </si>
  <si>
    <t xml:space="preserve">FRAME-B-LOW-3:E2:FRAME-B-BOT:EE0</t>
  </si>
  <si>
    <t xml:space="preserve">FRAME-B-HIGH-1:E2:FRAME-B-HIGH-2:EE0</t>
  </si>
  <si>
    <t xml:space="preserve">FRAME-B-HIGH-2:E2:FRAME-B-HIGH-3:EE0</t>
  </si>
  <si>
    <t xml:space="preserve">FRAME-B-HIGH-3:E2:FRAME-B-TOP:EE0</t>
  </si>
  <si>
    <t xml:space="preserve">FRAME-B-R:E3:FRAME-B-TOP:EE0</t>
  </si>
  <si>
    <t xml:space="preserve">FRAME-B-R:E1:FRAME-B-BOT:EE0</t>
  </si>
  <si>
    <t xml:space="preserve">S16_T-LOW-DIV_A.mpr</t>
  </si>
  <si>
    <t xml:space="preserve">S16_T-LOW-DIV_B.mpr</t>
  </si>
  <si>
    <t xml:space="preserve">STÁTUSZ</t>
  </si>
  <si>
    <t xml:space="preserve">TERVI – NEM GYÁRTÁSI KIADÁS · S16-R15C-GY-v1 · 2026-10-30</t>
  </si>
  <si>
    <t xml:space="preserve">Koordináták</t>
  </si>
  <si>
    <t xml:space="preserve">X = helyi U (hossz), Y = helyi V (szélesség), az A oldal felől nézve; 0,0 = E1+E4 sarok (javasolt gépi ütköző).</t>
  </si>
  <si>
    <t xml:space="preserve">Él-kód</t>
  </si>
  <si>
    <t xml:space="preserve">E1-E2-E3-E4 sorrend (E1 alsó, E2 jobb, E3 felső, E4 bal az A oldal felől). V = élzárt (ABS), F = festett, L = lakkozott, K = kárpitozott, 0 = nincs.</t>
  </si>
  <si>
    <t xml:space="preserve">Asztalos konvenció</t>
  </si>
  <si>
    <t xml:space="preserve">Az etalon él-kódjának (pl. V0VV) sorrendje és az 'A' jel jelentése még nincs megerősítve – a válasz után átállítható.</t>
  </si>
  <si>
    <t xml:space="preserve">woodWOP TERVEZET (VERSION 4.0 formátum, csak furatok). Gépre kész csak az asztalos minta-MPR-je, szerszámtáblája és próbadarab után.</t>
  </si>
  <si>
    <t xml:space="preserve">Asztalos él-kód</t>
  </si>
  <si>
    <t xml:space="preserve">A DWG rétegnevében és a Szabásjegyzék 'Élkód (asztalos)' oszlopában: hossz-él 1 (látszó) – hossz-él 2 – szél-él 1 – szél-él 2, a coo1.dwg mintájára. FELTEVÉS, az asztalos megerősítéséig.</t>
  </si>
  <si>
    <t xml:space="preserve">Pánt (S16)</t>
  </si>
  <si>
    <t xml:space="preserve">R15B: bal toronyajtó keretszára 50/50 mm → Blum 70T3750 (rugó nélküli inset, TIP-ON) + 177H3100E, B = 3 mm. Péter 2026-10-30 megbízásából Claude döntése, visszafordítható.</t>
  </si>
  <si>
    <t xml:space="preserve">Nyitott</t>
  </si>
  <si>
    <t xml:space="preserve">Lapanyag/dekor termék és táblaméret; élzáró vastagság és előmarás; polctartó típus; fiók sín furatképe; LED-profilok; helyszíni felmérés.</t>
  </si>
  <si>
    <t xml:space="preserve">Anyagkód</t>
  </si>
  <si>
    <t xml:space="preserve">Gyártó</t>
  </si>
  <si>
    <t xml:space="preserve">Termékkód</t>
  </si>
  <si>
    <t xml:space="preserve">Név</t>
  </si>
  <si>
    <t xml:space="preserve">Felület</t>
  </si>
  <si>
    <t xml:space="preserve">Táblaméret</t>
  </si>
  <si>
    <t xml:space="preserve">Élzáró (ABS)</t>
  </si>
  <si>
    <t xml:space="preserve">Forgalmazó</t>
  </si>
  <si>
    <t xml:space="preserve">Ár</t>
  </si>
  <si>
    <t xml:space="preserve">Ár egység / megjegyzés</t>
  </si>
  <si>
    <t xml:space="preserve">Ár dátuma</t>
  </si>
  <si>
    <t xml:space="preserve">Színegyezés</t>
  </si>
  <si>
    <t xml:space="preserve">Egger</t>
  </si>
  <si>
    <t xml:space="preserve">U741 ST9</t>
  </si>
  <si>
    <t xml:space="preserve">Lava Grey / Láva szürke (Eurodekor laminált forgácslap)</t>
  </si>
  <si>
    <t xml:space="preserve">ST9 Smoothtouch Matt</t>
  </si>
  <si>
    <t xml:space="preserve">18</t>
  </si>
  <si>
    <t xml:space="preserve">2800x2070</t>
  </si>
  <si>
    <t xml:space="preserve">Egger · ABS E_U741 ST9 – 0,8/23 mm (JAF cikksz. 24744/0741) vagy 2/23 mm (24721/0741)</t>
  </si>
  <si>
    <t xml:space="preserve">Lapp-fa Kft. (Budapest XVII. ker. telephely, készleten) / Fabuli Style / JAF Holz Hungária</t>
  </si>
  <si>
    <t xml:space="preserve">Ft/tábla nettó (Lapp-fa); Fabuli: 37 764 nettó / 47 960 bruttó/tábla; Fabuli él 0,8/23: 230 Ft bruttó (egység nincs kiírva, valószínűleg fm)</t>
  </si>
  <si>
    <t xml:space="preserve">2026-10-30</t>
  </si>
  <si>
    <t xml:space="preserve">Becslés: Egger saját referenciája NCS S 7005-Y20R (nagyon jó egyezés), RAL 7013 – meleg, vöröses grafit; #504942-höz a legközelebbi talált uni. 1 mm-es Egger ABS ehhez a dekorhoz nem látszott a forrásokban (csak 0,4/0,8/2 mm) – 0,8 vagy 2 mm-re kell dönteni, vagy Rehau/Ostermann 1 mm-es párost kérni.</t>
  </si>
  <si>
    <t xml:space="preserve">https://lapp-fa.hu/butorlap/u-741-st9-lava-szurke-18mm-2800x2070-154.html
https://fabuli.hu/butorlap-egger-uni-u741-st9-lava-szurke-2800x2070x18mm-7646
https://www.jafholz.hu/shop/Dekorativ-lapok/Laminalt-forgacslap/egger-eurodekor-laminalt-forgacslap-lava-szurke-u741-st9~p2204155
https://www.egger.com/en/interior/decor-detail/U741_9?country=GB</t>
  </si>
  <si>
    <t xml:space="preserve">JAVASLAT – mintával ellenőrizendő</t>
  </si>
  <si>
    <t xml:space="preserve">U748 ST9</t>
  </si>
  <si>
    <t xml:space="preserve">Truffle Brown / Trüffel barna</t>
  </si>
  <si>
    <t xml:space="preserve">Egger · ABS E_U748 ST9 – 0,8/23 mm vagy 2,0/23 mm</t>
  </si>
  <si>
    <t xml:space="preserve">Lapp-fa Kft. (készleten mindhárom telephelyen) / Fabuli Style</t>
  </si>
  <si>
    <t xml:space="preserve">Ft/tábla nettó (Lapp-fa); Fabuli: 33 819 nettó / 42 950 bruttó/tábla</t>
  </si>
  <si>
    <t xml:space="preserve">Becslés: Egger ref. NCS S 7005-Y50R – barnább, mint a cél; csak akkor, ha a grafit helyett barnásabb korpusz kell.</t>
  </si>
  <si>
    <t xml:space="preserve">https://lapp-fa.hu/butorlap/u-748-st9-truffel-18mm-2800x2070-344.html
https://fabuli.hu/butorlap-egger-uni-u748-st9-truffel-barna-2800x2070x18mm-7647
https://www.egger.com/en/interior/decor-detail/U748_9?country=GB</t>
  </si>
  <si>
    <t xml:space="preserve">Egger (hordozó) + IVM Chemicals / Milesi (festékrendszer)</t>
  </si>
  <si>
    <t xml:space="preserve">Egger MDF natúr 18 mm + Milesi LBR 30 2K PU fehér MDF-alapozó (edző LNB 42, 50%) + Milesi PU pigmentált fedőfesték szatén fokban, NCS-re keverve</t>
  </si>
  <si>
    <t xml:space="preserve">Szatén sötét barnásgrafit festett MDF keret</t>
  </si>
  <si>
    <t xml:space="preserve">2K PU, szatén (fényfok a festékrendszer adatlapja szerint, pl. 20–30 gloss – egyeztetendő)</t>
  </si>
  <si>
    <t xml:space="preserve">MDF: Lapp-fa Kft. (a forrás szerint jelenleg nincs készleten); festék: M.L.S. Magyarország Kft. (Milesi HU, 2310 Szigetszentmiklós, Sellő u. 8.)</t>
  </si>
  <si>
    <t xml:space="preserve">Ft/tábla (MDF) nettó; festék ár nincs nyilvános</t>
  </si>
  <si>
    <t xml:space="preserve">Szín becslés #332c26-ra: NCS S 8005-Y50R körül; RAL közelítés RAL 8019 (Szürkésbarna) – mindkettő saját becslés, nem gyártói adat. Festett minta (drawdown) MDF-en kötelező. A szatén fedőfesték pontos Milesi-cikkszáma a forgalmazótól kérendő (nyilvánosan nem találtam).</t>
  </si>
  <si>
    <t xml:space="preserve">https://lapp-fa.hu/mdf/mdf-egger-natur-18mm-2800x2070-141.html
https://www.milesi.hu/ipari-felhasznalok/component/pes/product/66?catid=2212
https://milesi.hu/lakossagi-felhasznalok</t>
  </si>
  <si>
    <t xml:space="preserve">Sayerlack (Sherwin-Williams) festékrendszer</t>
  </si>
  <si>
    <t xml:space="preserve">Sayerlack 2K PU pigmentált alapozó + fedő, NCS-re színezve – cikkszám a forgalmazótól</t>
  </si>
  <si>
    <t xml:space="preserve">Alternatív festékrendszer ugyanarra az Egger MDF 18 mm hordozóra</t>
  </si>
  <si>
    <t xml:space="preserve">2K PU szatén</t>
  </si>
  <si>
    <t xml:space="preserve">Mile Color Kft. (Sayerlack HU szerződött partner, Miskolc) / Lakgruppen</t>
  </si>
  <si>
    <t xml:space="preserve">ár nincs nyilvános; termékkód nem látszott a forrásban – csak a márka és forgalmazó igazolt. Az asztalos/fényező saját bevált rendszere is elfogadható, ha NCS-mintát ad.</t>
  </si>
  <si>
    <t xml:space="preserve">https://sayerlack.hu/
https://lakgruppen.hu/sayerlack/b/18</t>
  </si>
  <si>
    <t xml:space="preserve">H1399 ST10</t>
  </si>
  <si>
    <t xml:space="preserve">Truffle Brown Denver Oak / Trüffel barna Denver tölgy</t>
  </si>
  <si>
    <t xml:space="preserve">ST10 Deepskin Rough</t>
  </si>
  <si>
    <t xml:space="preserve">Egger · ABS H1399 ST10 (0,8 vagy 2 mm; pontos cikkszám a forgalmazótól)</t>
  </si>
  <si>
    <t xml:space="preserve">Lapp-fa Kft. (készleten mindhárom telephelyen) / Fabuli / Szabhatjuk.hu (1037 Bp., Csillaghegyi út 23.)</t>
  </si>
  <si>
    <t xml:space="preserve">Ft/tábla nettó (Lapp-fa)</t>
  </si>
  <si>
    <t xml:space="preserve">Becslés: Egger leírás szerint barna, meleg és hideg tónusok keveréke, finom erezet, kis görcsök, enyhe deszkahatás – a 'füstös barnásszürke' célhoz (#40362e) közel, de görcsös. Erezetirány: tábla hossza 2800 mm mentén fut; magas ajtók függőleges erezetéhez 2800 mm-es irány elég, vízszintes frontoknál a szabásterv ezt vegye figyelembe. Az ABS élhez az ST10 dekorpárt a forgalmazó erősítse meg.</t>
  </si>
  <si>
    <t xml:space="preserve">https://lapp-fa.hu/butorlap/h-1399-st10-truffelbarna-denver-tolgy-18mm-2800x2070-672.html
https://szabhatjuk.hu/termek/egger-h1399-st10-truffel-barna-denver-tolgy-butorlap/
https://www.egger.com/en/interior/decor-detail/H1399_10?country=GB</t>
  </si>
  <si>
    <t xml:space="preserve">H1199 ST12</t>
  </si>
  <si>
    <t xml:space="preserve">Black-Brown Thermo Oak / Sötétbarna Thermo tölgy</t>
  </si>
  <si>
    <t xml:space="preserve">ST12 Omnipore Matt</t>
  </si>
  <si>
    <t xml:space="preserve">Egger · ABS H1199 ST12 – 0,8/23 mm vagy 2,0/23 mm</t>
  </si>
  <si>
    <t xml:space="preserve">Fabuli Style (központi raktár, várható 2026-11-10)</t>
  </si>
  <si>
    <t xml:space="preserve">Ft/tábla bruttó (Fabuli; nettó 37 764); él 0,8/23: 290 Ft bruttó, 2,0/23: 400 Ft bruttó (egység nincs kiírva)</t>
  </si>
  <si>
    <t xml:space="preserve">Becslés: sötétebb, kevésbé szürke, mint a cél; nyugodtabb, görcs nélküli 'thermo' karakter. Szín-referenciát (NCS) nem találtam.</t>
  </si>
  <si>
    <t xml:space="preserve">https://fabuli.hu/butorlap-egger-fautanzat-h1199-st12-sotetbarna-thermo-tolgy-2800x2070x18mm-7690</t>
  </si>
  <si>
    <t xml:space="preserve">U740 ST9</t>
  </si>
  <si>
    <t xml:space="preserve">Dark Taupe / Sötét taupe</t>
  </si>
  <si>
    <t xml:space="preserve">ST9 Smoothtouch Matt (NEM textilhatású)</t>
  </si>
  <si>
    <t xml:space="preserve">Egger · ABS U740 ST9 (cikkszám a forgalmazótól)</t>
  </si>
  <si>
    <t xml:space="preserve">Szabhatjuk.hu (Budapest) – ár nem látszott</t>
  </si>
  <si>
    <t xml:space="preserve">ár nincs nyilvános. Becslés: Egger ref. NCS S 5005-Y20R – színben a legközelebbi talált meleg taupe a #706252-höz (a cél kissé sárgásabb/telítettebb), de a felület sima matt, nem textil. Ha a textilhatás fontosabb, lásd 2. jelölt.</t>
  </si>
  <si>
    <t xml:space="preserve">https://szabhatjuk.hu/termek/sotet-taupe-butorlap-egger-u740-st9/
https://www.egger.com/en/interior/decor-detail/U740_9?country=GB</t>
  </si>
  <si>
    <t xml:space="preserve">F416 ST10</t>
  </si>
  <si>
    <t xml:space="preserve">Beige Textile / Bézs textil</t>
  </si>
  <si>
    <t xml:space="preserve">ST10 Deepskin Rough – textil/szövet struktúra</t>
  </si>
  <si>
    <t xml:space="preserve">Egger · ABS E_F416 ST10 – 0,8/23 mm vagy 2,0/23 mm</t>
  </si>
  <si>
    <t xml:space="preserve">Fabuli Style (központi raktár, várható 2026-11-10) / JAF Holz / Szabhatjuk</t>
  </si>
  <si>
    <t xml:space="preserve">Ft/tábla bruttó (Fabuli; nettó 35 457); él 0,8/23: 280 Ft, 2,0/23: 400 Ft bruttó (egység nincs kiírva)</t>
  </si>
  <si>
    <t xml:space="preserve">Becslés: valódi textilhatás, de valószínűleg VILÁGOSABB a #706252-nél (NCS-ref. nem található) – csak mintával dönthető el. Sötét textil-alternatíva: Egger F433 ST10 Antracit len (túl hideg/sötét a célhoz).</t>
  </si>
  <si>
    <t xml:space="preserve">https://fabuli.hu/butorlap-egger-fantazia-f416-st10-bezs-textil-2800x2070x18mm-7761
https://www.jafholz.hu/shop/lap--lemez-termekek/dekorativ-lap/laminalt-forgacslap/egger-laminalt-forgacslap-textil-bezs-f416-st10~p6939089</t>
  </si>
  <si>
    <t xml:space="preserve">Kvadrat</t>
  </si>
  <si>
    <t xml:space="preserve">Hallingdal 65, szín 0200</t>
  </si>
  <si>
    <t xml:space="preserve">Hallingdal 65 – bézs/törtfehér melírozott gyapjú kárpitszövet</t>
  </si>
  <si>
    <t xml:space="preserve">szövött, 70% új gyapjú / 30% viszkóz, Martindale 100 000</t>
  </si>
  <si>
    <t xml:space="preserve">tekercs, szélesség 1300 mm</t>
  </si>
  <si>
    <t xml:space="preserve">Magyar Kvadrat-viszonteladó: paisley.hu (Kvadrat kollekciókat listáz; Hallingdal HU-készlet nem igazolt) – EU-webshop: etoffe.com</t>
  </si>
  <si>
    <t xml:space="preserve">EUR/fm nincs jelölve (etoffe.com, FR; jelenleg nincs készleten)</t>
  </si>
  <si>
    <t xml:space="preserve">Becslés: 0200 = bézs és törtfehér szálak keveréke – elefántcsont–len (#c7bca7) hangulathoz illik, pontos árnyalat csak mintával (Kvadrat minta ~4 EUR). Magyar ár nincs nyilvános. Kvadrat 0110 is jelölt lehet, adatát nem tudtam ellenőrizni.</t>
  </si>
  <si>
    <t xml:space="preserve">https://audocph.com/collections/hallingdal-65/products/hallingdal-65-0200
https://www.etoffe.com/en/furnishing-fabrics/11771-hallingdal-65-fabric-kvadrat.html
https://paisley.hu/kollekciok/fuggony-butorszovet-kollekciok/kvadrat-textil/kvadrat-san-0910-karpit-anyag-butorszovet</t>
  </si>
  <si>
    <t xml:space="preserve">ismeretlen (finn/balti nyír, gyártó nincs megnevezve a forrásban)</t>
  </si>
  <si>
    <t xml:space="preserve">Nyír rétegelt lemez 15 mm BB/WG, BFU-100 (DIN 68705), 11 réteg</t>
  </si>
  <si>
    <t xml:space="preserve">Nyír rétegelt lemez fiókdobozhoz</t>
  </si>
  <si>
    <t xml:space="preserve">mindkét oldal javított, csiszolt; matt vízbázisú lakk külön</t>
  </si>
  <si>
    <t xml:space="preserve">15</t>
  </si>
  <si>
    <t xml:space="preserve">2500x1250</t>
  </si>
  <si>
    <t xml:space="preserve">OKFT Faáruház (6750 Algyő; webes rendelés)</t>
  </si>
  <si>
    <t xml:space="preserve">Ft/tábla nincs jelölve a forrásban</t>
  </si>
  <si>
    <t xml:space="preserve">Látszó él (rétegzett nyír) – az élminőséget (hézag, foltok) mintával/első táblánál ellenőrizni. Gyártó (pl. Riga Wood/Koskisen) nem igazolt.</t>
  </si>
  <si>
    <t xml:space="preserve">https://www.okftfaaruhaz.hu/NYIR-RET-LEM-15mm-BB/WG-vizallo-2500x1250x15mm-BFU</t>
  </si>
  <si>
    <t xml:space="preserve">U961 ST2</t>
  </si>
  <si>
    <t xml:space="preserve">Graphite Grey – 8 mm kétoldalt melaminos forgácslap</t>
  </si>
  <si>
    <t xml:space="preserve">ST2 Smoothtouch Pearl</t>
  </si>
  <si>
    <t xml:space="preserve">8</t>
  </si>
  <si>
    <t xml:space="preserve">HU: nem találtam raktári 8 mm-es tételt (Fabuli a 18 mm-es U961 ST2-t 'NEM KAPHATÓ'-nak jelöli); Forest Hungary U961 ST7 18 mm-t listáz – 8 mm csak rendelésre, ellenőrizendő</t>
  </si>
  <si>
    <t xml:space="preserve">ár nincs nyilvános (HU). A 8 mm-es U961 ST2 létezése csak brit forgalmazónál látszott. Szín becslés: U961 valószínűleg sötétebb és hidegebb a #696c67-nél.</t>
  </si>
  <si>
    <t xml:space="preserve">https://www.lawcris.co.uk/2800mm-x-2070mm-x-8mm-u961-st2-graphite-grey-melamine-faced-chipboard-cmeu961st208
https://fabuli.hu/butorlap-egger-uni-u961-st2-grafit-szurke-2800x2070x18mm-7663
https://www.foresteu.com/laptermekek-es-tartozekaik/butorlap/egger-uni/20010961182-butorlap-egger-uni-u961-st7-grafit-szurke-2800x2070x18mm</t>
  </si>
  <si>
    <t xml:space="preserve">U963 ST9</t>
  </si>
  <si>
    <t xml:space="preserve">Diamond Grey / Gyémántszürke</t>
  </si>
  <si>
    <t xml:space="preserve">16, 18</t>
  </si>
  <si>
    <t xml:space="preserve">Egger · ABS U963 ST9 – 0,8/23 mm (JAF 24744/0963)</t>
  </si>
  <si>
    <t xml:space="preserve">JAF Holz Hungária (16 mm: 13113/0963; 18 mm: 13198/0963)</t>
  </si>
  <si>
    <t xml:space="preserve">ár nincs nyilvános (JAF bejelentkezéshez köti). ELTÉRÉS: 8 mm helyett 16 mm – csak akkor, ha a hátlap-horony/szerkezet átírható; HU-ban 8 mm-ben nem látszott. Szín becslés: középgrafit, a #696c67-hez valószínűleg közelebb, mint az U961.</t>
  </si>
  <si>
    <t xml:space="preserve">https://www.jafholz.hu/shop/lap--lemez-termekek/dekorativ-lap/laminalt-forgacslap/egger-eurodekor-laminalt-forgacslap-gyemantszurke-u963-st9~p12239867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</si>
</sst>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%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B35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B353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zabasjegyzek" displayName="Szabasjegyzek" ref="A1:AE130" headerRowCount="1" totalsRowCount="0" totalsRowShown="0">
  <autoFilter ref="A1:AE130"/>
  <tableColumns count="31">
    <tableColumn id="1" name="Címke-ID (MPR alap)"/>
    <tableColumn id="2" name="Megnevezés"/>
    <tableColumn id="3" name="Modul"/>
    <tableColumn id="4" name="Gyártási típus"/>
    <tableColumn id="5" name="Anyag"/>
    <tableColumn id="6" name="Anyag megnevezés"/>
    <tableColumn id="7" name="Vastagság mm"/>
    <tableColumn id="8" name="Kész hossz L"/>
    <tableColumn id="9" name="Kész szél. W"/>
    <tableColumn id="10" name="Élzárás előtt L"/>
    <tableColumn id="11" name="Élzárás előtt W"/>
    <tableColumn id="12" name="Nyers L"/>
    <tableColumn id="13" name="Nyers W"/>
    <tableColumn id="14" name="Db"/>
    <tableColumn id="15" name="Szálirány"/>
    <tableColumn id="16" name="A oldal"/>
    <tableColumn id="17" name="E1"/>
    <tableColumn id="18" name="E2"/>
    <tableColumn id="19" name="E3"/>
    <tableColumn id="20" name="E4"/>
    <tableColumn id="21" name="Élanyag (élzárt élek)"/>
    <tableColumn id="22" name="Ütköző élek"/>
    <tableColumn id="23" name="Furat A"/>
    <tableColumn id="24" name="Furat B"/>
    <tableColumn id="25" name="Furat él"/>
    <tableColumn id="26" name="MPR fájlok"/>
    <tableColumn id="27" name="Felület m²"/>
    <tableColumn id="28" name="Élzáró fm"/>
    <tableColumn id="29" name="Nyitott / megjegyzés"/>
    <tableColumn id="30" name="Élkód (asztalos-sorrend)"/>
    <tableColumn id="31" name="DWG réteg-azonosító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34"/>
    <col collapsed="false" customWidth="true" hidden="false" outlineLevel="0" max="9" min="7" style="0" width="9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4" min="14" style="0" width="5"/>
    <col collapsed="false" customWidth="true" hidden="false" outlineLevel="0" max="15" min="15" style="0" width="9"/>
    <col collapsed="false" customWidth="true" hidden="false" outlineLevel="0" max="16" min="16" style="0" width="10"/>
    <col collapsed="false" customWidth="true" hidden="false" outlineLevel="0" max="20" min="17" style="0" width="5"/>
    <col collapsed="false" customWidth="true" hidden="false" outlineLevel="0" max="21" min="21" style="0" width="30"/>
    <col collapsed="false" customWidth="true" hidden="false" outlineLevel="0" max="22" min="22" style="0" width="9"/>
    <col collapsed="false" customWidth="true" hidden="false" outlineLevel="0" max="25" min="23" style="0" width="7"/>
    <col collapsed="false" customWidth="true" hidden="false" outlineLevel="0" max="26" min="26" style="0" width="26"/>
    <col collapsed="false" customWidth="true" hidden="false" outlineLevel="0" max="28" min="27" style="0" width="9"/>
    <col collapsed="false" customWidth="true" hidden="false" outlineLevel="0" max="29" min="29" style="0" width="50"/>
    <col collapsed="false" customWidth="true" hidden="false" outlineLevel="0" max="30" min="30" style="0" width="14"/>
    <col collapsed="false" customWidth="true" hidden="false" outlineLevel="0" max="31" min="31" style="0" width="1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n">
        <v>18</v>
      </c>
      <c r="H2" s="2" t="n">
        <v>337</v>
      </c>
      <c r="I2" s="2" t="n">
        <v>402</v>
      </c>
      <c r="J2" s="2" t="n">
        <v>336.2</v>
      </c>
      <c r="K2" s="2" t="n">
        <v>402</v>
      </c>
      <c r="L2" s="2" t="n">
        <v>337.2</v>
      </c>
      <c r="M2" s="2" t="n">
        <v>402</v>
      </c>
      <c r="N2" s="2" t="n">
        <v>1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39</v>
      </c>
      <c r="T2" s="2" t="s">
        <v>39</v>
      </c>
      <c r="U2" s="2" t="s">
        <v>41</v>
      </c>
      <c r="V2" s="2" t="s">
        <v>42</v>
      </c>
      <c r="W2" s="2" t="n">
        <v>0</v>
      </c>
      <c r="X2" s="2" t="n">
        <v>8</v>
      </c>
      <c r="Y2" s="2" t="n">
        <v>8</v>
      </c>
      <c r="Z2" s="2" t="s">
        <v>43</v>
      </c>
      <c r="AA2" s="3" t="n">
        <f aca="false">H2*I2/1000000*N2</f>
        <v>0.135474</v>
      </c>
      <c r="AB2" s="3" t="n">
        <f aca="false">(IF(Q2="V",H2,0)+IF(S2="V",H2,0)+IF(R2="V",I2,0)+IF(T2="V",I2,0))/1000*N2</f>
        <v>0.402</v>
      </c>
      <c r="AC2" s="2"/>
      <c r="AD2" s="2" t="s">
        <v>44</v>
      </c>
      <c r="AE2" s="2" t="s">
        <v>45</v>
      </c>
    </row>
    <row r="3" customFormat="false" ht="15" hidden="false" customHeight="false" outlineLevel="0" collapsed="false">
      <c r="A3" s="2" t="s">
        <v>46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n">
        <v>18</v>
      </c>
      <c r="H3" s="2" t="n">
        <v>337</v>
      </c>
      <c r="I3" s="2" t="n">
        <v>402</v>
      </c>
      <c r="J3" s="2" t="n">
        <v>336.2</v>
      </c>
      <c r="K3" s="2" t="n">
        <v>402</v>
      </c>
      <c r="L3" s="2" t="n">
        <v>337.2</v>
      </c>
      <c r="M3" s="2" t="n">
        <v>402</v>
      </c>
      <c r="N3" s="2" t="n">
        <v>1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39</v>
      </c>
      <c r="T3" s="2" t="s">
        <v>39</v>
      </c>
      <c r="U3" s="2" t="s">
        <v>41</v>
      </c>
      <c r="V3" s="2" t="s">
        <v>42</v>
      </c>
      <c r="W3" s="2" t="n">
        <v>8</v>
      </c>
      <c r="X3" s="2" t="n">
        <v>0</v>
      </c>
      <c r="Y3" s="2" t="n">
        <v>8</v>
      </c>
      <c r="Z3" s="2" t="s">
        <v>47</v>
      </c>
      <c r="AA3" s="3" t="n">
        <f aca="false">H3*I3/1000000*N3</f>
        <v>0.135474</v>
      </c>
      <c r="AB3" s="3" t="n">
        <f aca="false">(IF(Q3="V",H3,0)+IF(S3="V",H3,0)+IF(R3="V",I3,0)+IF(T3="V",I3,0))/1000*N3</f>
        <v>0.402</v>
      </c>
      <c r="AC3" s="2"/>
      <c r="AD3" s="2" t="s">
        <v>44</v>
      </c>
      <c r="AE3" s="2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33</v>
      </c>
      <c r="D4" s="2" t="s">
        <v>34</v>
      </c>
      <c r="E4" s="2" t="s">
        <v>51</v>
      </c>
      <c r="F4" s="2" t="s">
        <v>52</v>
      </c>
      <c r="G4" s="2" t="n">
        <v>18</v>
      </c>
      <c r="H4" s="2" t="n">
        <v>399</v>
      </c>
      <c r="I4" s="2" t="n">
        <v>337</v>
      </c>
      <c r="J4" s="2" t="n">
        <v>399</v>
      </c>
      <c r="K4" s="2" t="n">
        <v>337</v>
      </c>
      <c r="L4" s="2" t="n">
        <v>409</v>
      </c>
      <c r="M4" s="2" t="n">
        <v>347</v>
      </c>
      <c r="N4" s="2" t="n">
        <v>1</v>
      </c>
      <c r="O4" s="2" t="s">
        <v>37</v>
      </c>
      <c r="P4" s="2" t="s">
        <v>53</v>
      </c>
      <c r="Q4" s="2" t="s">
        <v>54</v>
      </c>
      <c r="R4" s="2" t="s">
        <v>39</v>
      </c>
      <c r="S4" s="2" t="s">
        <v>54</v>
      </c>
      <c r="T4" s="2" t="s">
        <v>39</v>
      </c>
      <c r="U4" s="2" t="s">
        <v>55</v>
      </c>
      <c r="V4" s="2" t="s">
        <v>42</v>
      </c>
      <c r="W4" s="2" t="n">
        <v>0</v>
      </c>
      <c r="X4" s="2" t="n">
        <v>0</v>
      </c>
      <c r="Y4" s="2" t="n">
        <v>6</v>
      </c>
      <c r="Z4" s="2" t="s">
        <v>56</v>
      </c>
      <c r="AA4" s="3" t="n">
        <f aca="false">H4*I4/1000000*N4</f>
        <v>0.134463</v>
      </c>
      <c r="AB4" s="3" t="n">
        <f aca="false">(IF(Q4="V",H4,0)+IF(S4="V",H4,0)+IF(R4="V",I4,0)+IF(T4="V",I4,0))/1000*N4</f>
        <v>0</v>
      </c>
      <c r="AC4" s="2"/>
      <c r="AD4" s="2" t="s">
        <v>57</v>
      </c>
      <c r="AE4" s="2" t="s">
        <v>58</v>
      </c>
    </row>
    <row r="5" customFormat="false" ht="15" hidden="false" customHeight="false" outlineLevel="0" collapsed="false">
      <c r="A5" s="2" t="s">
        <v>59</v>
      </c>
      <c r="B5" s="2" t="s">
        <v>60</v>
      </c>
      <c r="C5" s="2" t="s">
        <v>33</v>
      </c>
      <c r="D5" s="2" t="s">
        <v>34</v>
      </c>
      <c r="E5" s="2" t="s">
        <v>61</v>
      </c>
      <c r="F5" s="2" t="s">
        <v>62</v>
      </c>
      <c r="G5" s="2" t="n">
        <v>8</v>
      </c>
      <c r="H5" s="2" t="n">
        <v>399</v>
      </c>
      <c r="I5" s="2" t="n">
        <v>384</v>
      </c>
      <c r="J5" s="2" t="n">
        <v>399</v>
      </c>
      <c r="K5" s="2" t="n">
        <v>384</v>
      </c>
      <c r="L5" s="2" t="n">
        <v>399</v>
      </c>
      <c r="M5" s="2" t="n">
        <v>384</v>
      </c>
      <c r="N5" s="2" t="n">
        <v>1</v>
      </c>
      <c r="O5" s="2" t="s">
        <v>37</v>
      </c>
      <c r="P5" s="2" t="s">
        <v>63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37</v>
      </c>
      <c r="V5" s="2" t="s">
        <v>42</v>
      </c>
      <c r="W5" s="2" t="n">
        <v>0</v>
      </c>
      <c r="X5" s="2" t="n">
        <v>0</v>
      </c>
      <c r="Y5" s="2" t="n">
        <v>0</v>
      </c>
      <c r="Z5" s="2" t="s">
        <v>37</v>
      </c>
      <c r="AA5" s="3" t="n">
        <f aca="false">H5*I5/1000000*N5</f>
        <v>0.153216</v>
      </c>
      <c r="AB5" s="3" t="n">
        <f aca="false">(IF(Q5="V",H5,0)+IF(S5="V",H5,0)+IF(R5="V",I5,0)+IF(T5="V",I5,0))/1000*N5</f>
        <v>0</v>
      </c>
      <c r="AC5" s="2"/>
      <c r="AD5" s="2" t="s">
        <v>64</v>
      </c>
      <c r="AE5" s="2" t="s">
        <v>65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 t="s">
        <v>33</v>
      </c>
      <c r="D6" s="2" t="s">
        <v>34</v>
      </c>
      <c r="E6" s="2" t="s">
        <v>68</v>
      </c>
      <c r="F6" s="2" t="s">
        <v>69</v>
      </c>
      <c r="G6" s="2" t="n">
        <v>18</v>
      </c>
      <c r="H6" s="2" t="n">
        <v>432</v>
      </c>
      <c r="I6" s="2" t="n">
        <v>378</v>
      </c>
      <c r="J6" s="2" t="n">
        <v>428</v>
      </c>
      <c r="K6" s="2" t="n">
        <v>374</v>
      </c>
      <c r="L6" s="2" t="n">
        <v>440</v>
      </c>
      <c r="M6" s="2" t="n">
        <v>386</v>
      </c>
      <c r="N6" s="2" t="n">
        <v>1</v>
      </c>
      <c r="O6" s="2" t="s">
        <v>70</v>
      </c>
      <c r="P6" s="2" t="s">
        <v>63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71</v>
      </c>
      <c r="V6" s="2" t="s">
        <v>42</v>
      </c>
      <c r="W6" s="2" t="n">
        <v>0</v>
      </c>
      <c r="X6" s="2" t="n">
        <v>0</v>
      </c>
      <c r="Y6" s="2" t="n">
        <v>0</v>
      </c>
      <c r="Z6" s="2" t="s">
        <v>37</v>
      </c>
      <c r="AA6" s="3" t="n">
        <f aca="false">H6*I6/1000000*N6</f>
        <v>0.163296</v>
      </c>
      <c r="AB6" s="3" t="n">
        <f aca="false">(IF(Q6="V",H6,0)+IF(S6="V",H6,0)+IF(R6="V",I6,0)+IF(T6="V",I6,0))/1000*N6</f>
        <v>1.62</v>
      </c>
      <c r="AC6" s="2"/>
      <c r="AD6" s="2" t="s">
        <v>72</v>
      </c>
      <c r="AE6" s="2" t="s">
        <v>73</v>
      </c>
    </row>
    <row r="7" customFormat="false" ht="15" hidden="false" customHeight="false" outlineLevel="0" collapsed="false">
      <c r="A7" s="2" t="s">
        <v>74</v>
      </c>
      <c r="B7" s="2" t="s">
        <v>75</v>
      </c>
      <c r="C7" s="2" t="s">
        <v>33</v>
      </c>
      <c r="D7" s="2" t="s">
        <v>34</v>
      </c>
      <c r="E7" s="2" t="s">
        <v>76</v>
      </c>
      <c r="F7" s="2" t="s">
        <v>77</v>
      </c>
      <c r="G7" s="2" t="n">
        <v>15</v>
      </c>
      <c r="H7" s="2" t="n">
        <v>290</v>
      </c>
      <c r="I7" s="2" t="n">
        <v>237</v>
      </c>
      <c r="J7" s="2" t="n">
        <v>290</v>
      </c>
      <c r="K7" s="2" t="n">
        <v>237</v>
      </c>
      <c r="L7" s="2" t="n">
        <v>290</v>
      </c>
      <c r="M7" s="2" t="n">
        <v>237</v>
      </c>
      <c r="N7" s="2" t="n">
        <v>1</v>
      </c>
      <c r="O7" s="2" t="s">
        <v>37</v>
      </c>
      <c r="P7" s="2" t="s">
        <v>38</v>
      </c>
      <c r="Q7" s="2" t="s">
        <v>78</v>
      </c>
      <c r="R7" s="2" t="s">
        <v>78</v>
      </c>
      <c r="S7" s="2" t="s">
        <v>78</v>
      </c>
      <c r="T7" s="2" t="s">
        <v>78</v>
      </c>
      <c r="U7" s="2" t="s">
        <v>79</v>
      </c>
      <c r="V7" s="2" t="s">
        <v>42</v>
      </c>
      <c r="W7" s="2" t="n">
        <v>0</v>
      </c>
      <c r="X7" s="2" t="n">
        <v>0</v>
      </c>
      <c r="Y7" s="2" t="n">
        <v>1</v>
      </c>
      <c r="Z7" s="2" t="s">
        <v>80</v>
      </c>
      <c r="AA7" s="3" t="n">
        <f aca="false">H7*I7/1000000*N7</f>
        <v>0.06873</v>
      </c>
      <c r="AB7" s="3" t="n">
        <f aca="false">(IF(Q7="V",H7,0)+IF(S7="V",H7,0)+IF(R7="V",I7,0)+IF(T7="V",I7,0))/1000*N7</f>
        <v>0</v>
      </c>
      <c r="AC7" s="2"/>
      <c r="AD7" s="2" t="s">
        <v>81</v>
      </c>
      <c r="AE7" s="2" t="s">
        <v>82</v>
      </c>
    </row>
    <row r="8" customFormat="false" ht="15" hidden="false" customHeight="false" outlineLevel="0" collapsed="false">
      <c r="A8" s="2" t="s">
        <v>83</v>
      </c>
      <c r="B8" s="2" t="s">
        <v>75</v>
      </c>
      <c r="C8" s="2" t="s">
        <v>33</v>
      </c>
      <c r="D8" s="2" t="s">
        <v>34</v>
      </c>
      <c r="E8" s="2" t="s">
        <v>76</v>
      </c>
      <c r="F8" s="2" t="s">
        <v>77</v>
      </c>
      <c r="G8" s="2" t="n">
        <v>15</v>
      </c>
      <c r="H8" s="2" t="n">
        <v>290</v>
      </c>
      <c r="I8" s="2" t="n">
        <v>237</v>
      </c>
      <c r="J8" s="2" t="n">
        <v>290</v>
      </c>
      <c r="K8" s="2" t="n">
        <v>237</v>
      </c>
      <c r="L8" s="2" t="n">
        <v>290</v>
      </c>
      <c r="M8" s="2" t="n">
        <v>237</v>
      </c>
      <c r="N8" s="2" t="n">
        <v>1</v>
      </c>
      <c r="O8" s="2" t="s">
        <v>37</v>
      </c>
      <c r="P8" s="2" t="s">
        <v>38</v>
      </c>
      <c r="Q8" s="2" t="s">
        <v>78</v>
      </c>
      <c r="R8" s="2" t="s">
        <v>78</v>
      </c>
      <c r="S8" s="2" t="s">
        <v>78</v>
      </c>
      <c r="T8" s="2" t="s">
        <v>78</v>
      </c>
      <c r="U8" s="2" t="s">
        <v>79</v>
      </c>
      <c r="V8" s="2" t="s">
        <v>42</v>
      </c>
      <c r="W8" s="2" t="n">
        <v>0</v>
      </c>
      <c r="X8" s="2" t="n">
        <v>0</v>
      </c>
      <c r="Y8" s="2" t="n">
        <v>1</v>
      </c>
      <c r="Z8" s="2" t="s">
        <v>84</v>
      </c>
      <c r="AA8" s="3" t="n">
        <f aca="false">H8*I8/1000000*N8</f>
        <v>0.06873</v>
      </c>
      <c r="AB8" s="3" t="n">
        <f aca="false">(IF(Q8="V",H8,0)+IF(S8="V",H8,0)+IF(R8="V",I8,0)+IF(T8="V",I8,0))/1000*N8</f>
        <v>0</v>
      </c>
      <c r="AC8" s="2"/>
      <c r="AD8" s="2" t="s">
        <v>81</v>
      </c>
      <c r="AE8" s="2" t="s">
        <v>85</v>
      </c>
    </row>
    <row r="9" customFormat="false" ht="15" hidden="false" customHeight="false" outlineLevel="0" collapsed="false">
      <c r="A9" s="2" t="s">
        <v>86</v>
      </c>
      <c r="B9" s="2" t="s">
        <v>87</v>
      </c>
      <c r="C9" s="2" t="s">
        <v>33</v>
      </c>
      <c r="D9" s="2" t="s">
        <v>34</v>
      </c>
      <c r="E9" s="2" t="s">
        <v>76</v>
      </c>
      <c r="F9" s="2" t="s">
        <v>77</v>
      </c>
      <c r="G9" s="2" t="n">
        <v>15</v>
      </c>
      <c r="H9" s="2" t="n">
        <v>357</v>
      </c>
      <c r="I9" s="2" t="n">
        <v>210</v>
      </c>
      <c r="J9" s="2" t="n">
        <v>357</v>
      </c>
      <c r="K9" s="2" t="n">
        <v>210</v>
      </c>
      <c r="L9" s="2" t="n">
        <v>357</v>
      </c>
      <c r="M9" s="2" t="n">
        <v>210</v>
      </c>
      <c r="N9" s="2" t="n">
        <v>1</v>
      </c>
      <c r="O9" s="2" t="s">
        <v>37</v>
      </c>
      <c r="P9" s="2" t="s">
        <v>63</v>
      </c>
      <c r="Q9" s="2" t="s">
        <v>39</v>
      </c>
      <c r="R9" s="2" t="s">
        <v>39</v>
      </c>
      <c r="S9" s="2" t="s">
        <v>78</v>
      </c>
      <c r="T9" s="2" t="s">
        <v>39</v>
      </c>
      <c r="U9" s="2" t="s">
        <v>79</v>
      </c>
      <c r="V9" s="2" t="s">
        <v>42</v>
      </c>
      <c r="W9" s="2" t="n">
        <v>0</v>
      </c>
      <c r="X9" s="2" t="n">
        <v>0</v>
      </c>
      <c r="Y9" s="2" t="n">
        <v>0</v>
      </c>
      <c r="Z9" s="2" t="s">
        <v>37</v>
      </c>
      <c r="AA9" s="3" t="n">
        <f aca="false">H9*I9/1000000*N9</f>
        <v>0.07497</v>
      </c>
      <c r="AB9" s="3" t="n">
        <f aca="false">(IF(Q9="V",H9,0)+IF(S9="V",H9,0)+IF(R9="V",I9,0)+IF(T9="V",I9,0))/1000*N9</f>
        <v>0</v>
      </c>
      <c r="AC9" s="2"/>
      <c r="AD9" s="2" t="s">
        <v>88</v>
      </c>
      <c r="AE9" s="2" t="s">
        <v>89</v>
      </c>
    </row>
    <row r="10" customFormat="false" ht="15" hidden="false" customHeight="false" outlineLevel="0" collapsed="false">
      <c r="A10" s="2" t="s">
        <v>90</v>
      </c>
      <c r="B10" s="2" t="s">
        <v>87</v>
      </c>
      <c r="C10" s="2" t="s">
        <v>33</v>
      </c>
      <c r="D10" s="2" t="s">
        <v>34</v>
      </c>
      <c r="E10" s="2" t="s">
        <v>76</v>
      </c>
      <c r="F10" s="2" t="s">
        <v>77</v>
      </c>
      <c r="G10" s="2" t="n">
        <v>15</v>
      </c>
      <c r="H10" s="2" t="n">
        <v>357</v>
      </c>
      <c r="I10" s="2" t="n">
        <v>210</v>
      </c>
      <c r="J10" s="2" t="n">
        <v>357</v>
      </c>
      <c r="K10" s="2" t="n">
        <v>210</v>
      </c>
      <c r="L10" s="2" t="n">
        <v>357</v>
      </c>
      <c r="M10" s="2" t="n">
        <v>210</v>
      </c>
      <c r="N10" s="2" t="n">
        <v>1</v>
      </c>
      <c r="O10" s="2" t="s">
        <v>37</v>
      </c>
      <c r="P10" s="2" t="s">
        <v>63</v>
      </c>
      <c r="Q10" s="2" t="s">
        <v>39</v>
      </c>
      <c r="R10" s="2" t="s">
        <v>39</v>
      </c>
      <c r="S10" s="2" t="s">
        <v>78</v>
      </c>
      <c r="T10" s="2" t="s">
        <v>39</v>
      </c>
      <c r="U10" s="2" t="s">
        <v>79</v>
      </c>
      <c r="V10" s="2" t="s">
        <v>42</v>
      </c>
      <c r="W10" s="2" t="n">
        <v>0</v>
      </c>
      <c r="X10" s="2" t="n">
        <v>0</v>
      </c>
      <c r="Y10" s="2" t="n">
        <v>0</v>
      </c>
      <c r="Z10" s="2" t="s">
        <v>37</v>
      </c>
      <c r="AA10" s="3" t="n">
        <f aca="false">H10*I10/1000000*N10</f>
        <v>0.07497</v>
      </c>
      <c r="AB10" s="3" t="n">
        <f aca="false">(IF(Q10="V",H10,0)+IF(S10="V",H10,0)+IF(R10="V",I10,0)+IF(T10="V",I10,0))/1000*N10</f>
        <v>0</v>
      </c>
      <c r="AC10" s="2"/>
      <c r="AD10" s="2" t="s">
        <v>88</v>
      </c>
      <c r="AE10" s="2" t="s">
        <v>91</v>
      </c>
    </row>
    <row r="11" customFormat="false" ht="15" hidden="false" customHeight="false" outlineLevel="0" collapsed="false">
      <c r="A11" s="2" t="s">
        <v>92</v>
      </c>
      <c r="B11" s="2" t="s">
        <v>93</v>
      </c>
      <c r="C11" s="2" t="s">
        <v>33</v>
      </c>
      <c r="D11" s="2" t="s">
        <v>34</v>
      </c>
      <c r="E11" s="2" t="s">
        <v>76</v>
      </c>
      <c r="F11" s="2" t="s">
        <v>77</v>
      </c>
      <c r="G11" s="2" t="n">
        <v>15</v>
      </c>
      <c r="H11" s="2" t="n">
        <v>357</v>
      </c>
      <c r="I11" s="2" t="n">
        <v>290</v>
      </c>
      <c r="J11" s="2" t="n">
        <v>357</v>
      </c>
      <c r="K11" s="2" t="n">
        <v>290</v>
      </c>
      <c r="L11" s="2" t="n">
        <v>357</v>
      </c>
      <c r="M11" s="2" t="n">
        <v>290</v>
      </c>
      <c r="N11" s="2" t="n">
        <v>1</v>
      </c>
      <c r="O11" s="2" t="s">
        <v>37</v>
      </c>
      <c r="P11" s="2" t="s">
        <v>53</v>
      </c>
      <c r="Q11" s="2" t="s">
        <v>78</v>
      </c>
      <c r="R11" s="2" t="s">
        <v>39</v>
      </c>
      <c r="S11" s="2" t="s">
        <v>78</v>
      </c>
      <c r="T11" s="2" t="s">
        <v>39</v>
      </c>
      <c r="U11" s="2" t="s">
        <v>79</v>
      </c>
      <c r="V11" s="2" t="s">
        <v>42</v>
      </c>
      <c r="W11" s="2" t="n">
        <v>0</v>
      </c>
      <c r="X11" s="2" t="n">
        <v>0</v>
      </c>
      <c r="Y11" s="2" t="n">
        <v>0</v>
      </c>
      <c r="Z11" s="2" t="s">
        <v>37</v>
      </c>
      <c r="AA11" s="3" t="n">
        <f aca="false">H11*I11/1000000*N11</f>
        <v>0.10353</v>
      </c>
      <c r="AB11" s="3" t="n">
        <f aca="false">(IF(Q11="V",H11,0)+IF(S11="V",H11,0)+IF(R11="V",I11,0)+IF(T11="V",I11,0))/1000*N11</f>
        <v>0</v>
      </c>
      <c r="AC11" s="2"/>
      <c r="AD11" s="2" t="s">
        <v>94</v>
      </c>
      <c r="AE11" s="2" t="s">
        <v>95</v>
      </c>
    </row>
    <row r="12" customFormat="false" ht="15" hidden="false" customHeight="false" outlineLevel="0" collapsed="false">
      <c r="A12" s="2" t="s">
        <v>96</v>
      </c>
      <c r="B12" s="2" t="s">
        <v>97</v>
      </c>
      <c r="C12" s="2" t="s">
        <v>98</v>
      </c>
      <c r="D12" s="2" t="s">
        <v>34</v>
      </c>
      <c r="E12" s="2" t="s">
        <v>35</v>
      </c>
      <c r="F12" s="2" t="s">
        <v>36</v>
      </c>
      <c r="G12" s="2" t="n">
        <v>18</v>
      </c>
      <c r="H12" s="2" t="n">
        <v>337</v>
      </c>
      <c r="I12" s="2" t="n">
        <v>420</v>
      </c>
      <c r="J12" s="2" t="n">
        <v>336.2</v>
      </c>
      <c r="K12" s="2" t="n">
        <v>418.4</v>
      </c>
      <c r="L12" s="2" t="n">
        <v>337.2</v>
      </c>
      <c r="M12" s="2" t="n">
        <v>420.4</v>
      </c>
      <c r="N12" s="2" t="n">
        <v>1</v>
      </c>
      <c r="O12" s="2" t="s">
        <v>37</v>
      </c>
      <c r="P12" s="2" t="s">
        <v>38</v>
      </c>
      <c r="Q12" s="2" t="s">
        <v>40</v>
      </c>
      <c r="R12" s="2" t="s">
        <v>40</v>
      </c>
      <c r="S12" s="2" t="s">
        <v>40</v>
      </c>
      <c r="T12" s="2" t="s">
        <v>39</v>
      </c>
      <c r="U12" s="2" t="s">
        <v>99</v>
      </c>
      <c r="V12" s="2" t="s">
        <v>42</v>
      </c>
      <c r="W12" s="2" t="n">
        <v>0</v>
      </c>
      <c r="X12" s="2" t="n">
        <v>9</v>
      </c>
      <c r="Y12" s="2" t="n">
        <v>0</v>
      </c>
      <c r="Z12" s="2" t="s">
        <v>100</v>
      </c>
      <c r="AA12" s="3" t="n">
        <f aca="false">H12*I12/1000000*N12</f>
        <v>0.14154</v>
      </c>
      <c r="AB12" s="3" t="n">
        <f aca="false">(IF(Q12="V",H12,0)+IF(S12="V",H12,0)+IF(R12="V",I12,0)+IF(T12="V",I12,0))/1000*N12</f>
        <v>1.094</v>
      </c>
      <c r="AC12" s="2"/>
      <c r="AD12" s="2" t="s">
        <v>101</v>
      </c>
      <c r="AE12" s="2" t="s">
        <v>102</v>
      </c>
    </row>
    <row r="13" customFormat="false" ht="15" hidden="false" customHeight="false" outlineLevel="0" collapsed="false">
      <c r="A13" s="2" t="s">
        <v>103</v>
      </c>
      <c r="B13" s="2" t="s">
        <v>97</v>
      </c>
      <c r="C13" s="2" t="s">
        <v>98</v>
      </c>
      <c r="D13" s="2" t="s">
        <v>34</v>
      </c>
      <c r="E13" s="2" t="s">
        <v>35</v>
      </c>
      <c r="F13" s="2" t="s">
        <v>36</v>
      </c>
      <c r="G13" s="2" t="n">
        <v>18</v>
      </c>
      <c r="H13" s="2" t="n">
        <v>337</v>
      </c>
      <c r="I13" s="2" t="n">
        <v>420</v>
      </c>
      <c r="J13" s="2" t="n">
        <v>336.2</v>
      </c>
      <c r="K13" s="2" t="n">
        <v>418.4</v>
      </c>
      <c r="L13" s="2" t="n">
        <v>337.2</v>
      </c>
      <c r="M13" s="2" t="n">
        <v>420.4</v>
      </c>
      <c r="N13" s="2" t="n">
        <v>1</v>
      </c>
      <c r="O13" s="2" t="s">
        <v>37</v>
      </c>
      <c r="P13" s="2" t="s">
        <v>38</v>
      </c>
      <c r="Q13" s="2" t="s">
        <v>40</v>
      </c>
      <c r="R13" s="2" t="s">
        <v>40</v>
      </c>
      <c r="S13" s="2" t="s">
        <v>40</v>
      </c>
      <c r="T13" s="2" t="s">
        <v>39</v>
      </c>
      <c r="U13" s="2" t="s">
        <v>99</v>
      </c>
      <c r="V13" s="2" t="s">
        <v>42</v>
      </c>
      <c r="W13" s="2" t="n">
        <v>9</v>
      </c>
      <c r="X13" s="2" t="n">
        <v>0</v>
      </c>
      <c r="Y13" s="2" t="n">
        <v>0</v>
      </c>
      <c r="Z13" s="2" t="s">
        <v>104</v>
      </c>
      <c r="AA13" s="3" t="n">
        <f aca="false">H13*I13/1000000*N13</f>
        <v>0.14154</v>
      </c>
      <c r="AB13" s="3" t="n">
        <f aca="false">(IF(Q13="V",H13,0)+IF(S13="V",H13,0)+IF(R13="V",I13,0)+IF(T13="V",I13,0))/1000*N13</f>
        <v>1.094</v>
      </c>
      <c r="AC13" s="2"/>
      <c r="AD13" s="2" t="s">
        <v>101</v>
      </c>
      <c r="AE13" s="2" t="s">
        <v>105</v>
      </c>
    </row>
    <row r="14" customFormat="false" ht="15" hidden="false" customHeight="false" outlineLevel="0" collapsed="false">
      <c r="A14" s="2" t="s">
        <v>106</v>
      </c>
      <c r="B14" s="2" t="s">
        <v>107</v>
      </c>
      <c r="C14" s="2" t="s">
        <v>98</v>
      </c>
      <c r="D14" s="2" t="s">
        <v>34</v>
      </c>
      <c r="E14" s="2" t="s">
        <v>35</v>
      </c>
      <c r="F14" s="2" t="s">
        <v>36</v>
      </c>
      <c r="G14" s="2" t="n">
        <v>18</v>
      </c>
      <c r="H14" s="2" t="n">
        <v>389</v>
      </c>
      <c r="I14" s="2" t="n">
        <v>337</v>
      </c>
      <c r="J14" s="2" t="n">
        <v>389</v>
      </c>
      <c r="K14" s="2" t="n">
        <v>336.2</v>
      </c>
      <c r="L14" s="2" t="n">
        <v>389</v>
      </c>
      <c r="M14" s="2" t="n">
        <v>337.2</v>
      </c>
      <c r="N14" s="2" t="n">
        <v>1</v>
      </c>
      <c r="O14" s="2" t="s">
        <v>37</v>
      </c>
      <c r="P14" s="2" t="s">
        <v>53</v>
      </c>
      <c r="Q14" s="2" t="s">
        <v>40</v>
      </c>
      <c r="R14" s="2" t="s">
        <v>39</v>
      </c>
      <c r="S14" s="2" t="s">
        <v>39</v>
      </c>
      <c r="T14" s="2" t="s">
        <v>39</v>
      </c>
      <c r="U14" s="2" t="s">
        <v>41</v>
      </c>
      <c r="V14" s="2" t="s">
        <v>42</v>
      </c>
      <c r="W14" s="2" t="n">
        <v>0</v>
      </c>
      <c r="X14" s="2" t="n">
        <v>0</v>
      </c>
      <c r="Y14" s="2" t="n">
        <v>6</v>
      </c>
      <c r="Z14" s="2" t="s">
        <v>108</v>
      </c>
      <c r="AA14" s="3" t="n">
        <f aca="false">H14*I14/1000000*N14</f>
        <v>0.131093</v>
      </c>
      <c r="AB14" s="3" t="n">
        <f aca="false">(IF(Q14="V",H14,0)+IF(S14="V",H14,0)+IF(R14="V",I14,0)+IF(T14="V",I14,0))/1000*N14</f>
        <v>0.389</v>
      </c>
      <c r="AC14" s="2"/>
      <c r="AD14" s="2" t="s">
        <v>109</v>
      </c>
      <c r="AE14" s="2" t="s">
        <v>110</v>
      </c>
    </row>
    <row r="15" customFormat="false" ht="15" hidden="false" customHeight="false" outlineLevel="0" collapsed="false">
      <c r="A15" s="2" t="s">
        <v>111</v>
      </c>
      <c r="B15" s="2" t="s">
        <v>107</v>
      </c>
      <c r="C15" s="2" t="s">
        <v>98</v>
      </c>
      <c r="D15" s="2" t="s">
        <v>34</v>
      </c>
      <c r="E15" s="2" t="s">
        <v>51</v>
      </c>
      <c r="F15" s="2" t="s">
        <v>52</v>
      </c>
      <c r="G15" s="2" t="n">
        <v>18</v>
      </c>
      <c r="H15" s="2" t="n">
        <v>389</v>
      </c>
      <c r="I15" s="2" t="n">
        <v>337</v>
      </c>
      <c r="J15" s="2" t="n">
        <v>389</v>
      </c>
      <c r="K15" s="2" t="n">
        <v>337</v>
      </c>
      <c r="L15" s="2" t="n">
        <v>399</v>
      </c>
      <c r="M15" s="2" t="n">
        <v>347</v>
      </c>
      <c r="N15" s="2" t="n">
        <v>1</v>
      </c>
      <c r="O15" s="2" t="s">
        <v>37</v>
      </c>
      <c r="P15" s="2" t="s">
        <v>53</v>
      </c>
      <c r="Q15" s="2" t="s">
        <v>54</v>
      </c>
      <c r="R15" s="2" t="s">
        <v>39</v>
      </c>
      <c r="S15" s="2" t="s">
        <v>54</v>
      </c>
      <c r="T15" s="2" t="s">
        <v>39</v>
      </c>
      <c r="U15" s="2" t="s">
        <v>55</v>
      </c>
      <c r="V15" s="2" t="s">
        <v>42</v>
      </c>
      <c r="W15" s="2" t="n">
        <v>0</v>
      </c>
      <c r="X15" s="2" t="n">
        <v>0</v>
      </c>
      <c r="Y15" s="2" t="n">
        <v>6</v>
      </c>
      <c r="Z15" s="2" t="s">
        <v>112</v>
      </c>
      <c r="AA15" s="3" t="n">
        <f aca="false">H15*I15/1000000*N15</f>
        <v>0.131093</v>
      </c>
      <c r="AB15" s="3" t="n">
        <f aca="false">(IF(Q15="V",H15,0)+IF(S15="V",H15,0)+IF(R15="V",I15,0)+IF(T15="V",I15,0))/1000*N15</f>
        <v>0</v>
      </c>
      <c r="AC15" s="2"/>
      <c r="AD15" s="2" t="s">
        <v>57</v>
      </c>
      <c r="AE15" s="2" t="s">
        <v>113</v>
      </c>
    </row>
    <row r="16" customFormat="false" ht="15" hidden="false" customHeight="false" outlineLevel="0" collapsed="false">
      <c r="A16" s="2" t="s">
        <v>114</v>
      </c>
      <c r="B16" s="2" t="s">
        <v>115</v>
      </c>
      <c r="C16" s="2" t="s">
        <v>98</v>
      </c>
      <c r="D16" s="2" t="s">
        <v>34</v>
      </c>
      <c r="E16" s="2" t="s">
        <v>61</v>
      </c>
      <c r="F16" s="2" t="s">
        <v>62</v>
      </c>
      <c r="G16" s="2" t="n">
        <v>8</v>
      </c>
      <c r="H16" s="2" t="n">
        <v>389</v>
      </c>
      <c r="I16" s="2" t="n">
        <v>384</v>
      </c>
      <c r="J16" s="2" t="n">
        <v>389</v>
      </c>
      <c r="K16" s="2" t="n">
        <v>384</v>
      </c>
      <c r="L16" s="2" t="n">
        <v>389</v>
      </c>
      <c r="M16" s="2" t="n">
        <v>384</v>
      </c>
      <c r="N16" s="2" t="n">
        <v>1</v>
      </c>
      <c r="O16" s="2" t="s">
        <v>37</v>
      </c>
      <c r="P16" s="2" t="s">
        <v>63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37</v>
      </c>
      <c r="V16" s="2" t="s">
        <v>42</v>
      </c>
      <c r="W16" s="2" t="n">
        <v>0</v>
      </c>
      <c r="X16" s="2" t="n">
        <v>0</v>
      </c>
      <c r="Y16" s="2" t="n">
        <v>0</v>
      </c>
      <c r="Z16" s="2" t="s">
        <v>37</v>
      </c>
      <c r="AA16" s="3" t="n">
        <f aca="false">H16*I16/1000000*N16</f>
        <v>0.149376</v>
      </c>
      <c r="AB16" s="3" t="n">
        <f aca="false">(IF(Q16="V",H16,0)+IF(S16="V",H16,0)+IF(R16="V",I16,0)+IF(T16="V",I16,0))/1000*N16</f>
        <v>0</v>
      </c>
      <c r="AC16" s="2"/>
      <c r="AD16" s="2" t="s">
        <v>64</v>
      </c>
      <c r="AE16" s="2" t="s">
        <v>116</v>
      </c>
    </row>
    <row r="17" customFormat="false" ht="15" hidden="false" customHeight="false" outlineLevel="0" collapsed="false">
      <c r="A17" s="2" t="s">
        <v>117</v>
      </c>
      <c r="B17" s="2" t="s">
        <v>118</v>
      </c>
      <c r="C17" s="2" t="s">
        <v>98</v>
      </c>
      <c r="D17" s="2" t="s">
        <v>34</v>
      </c>
      <c r="E17" s="2" t="s">
        <v>68</v>
      </c>
      <c r="F17" s="2" t="s">
        <v>69</v>
      </c>
      <c r="G17" s="2" t="n">
        <v>18</v>
      </c>
      <c r="H17" s="2" t="n">
        <v>422</v>
      </c>
      <c r="I17" s="2" t="n">
        <v>378</v>
      </c>
      <c r="J17" s="2" t="n">
        <v>418</v>
      </c>
      <c r="K17" s="2" t="n">
        <v>374</v>
      </c>
      <c r="L17" s="2" t="n">
        <v>430</v>
      </c>
      <c r="M17" s="2" t="n">
        <v>386</v>
      </c>
      <c r="N17" s="2" t="n">
        <v>1</v>
      </c>
      <c r="O17" s="2" t="s">
        <v>70</v>
      </c>
      <c r="P17" s="2" t="s">
        <v>63</v>
      </c>
      <c r="Q17" s="2" t="s">
        <v>40</v>
      </c>
      <c r="R17" s="2" t="s">
        <v>40</v>
      </c>
      <c r="S17" s="2" t="s">
        <v>40</v>
      </c>
      <c r="T17" s="2" t="s">
        <v>40</v>
      </c>
      <c r="U17" s="2" t="s">
        <v>71</v>
      </c>
      <c r="V17" s="2" t="s">
        <v>42</v>
      </c>
      <c r="W17" s="2" t="n">
        <v>0</v>
      </c>
      <c r="X17" s="2" t="n">
        <v>0</v>
      </c>
      <c r="Y17" s="2" t="n">
        <v>0</v>
      </c>
      <c r="Z17" s="2" t="s">
        <v>37</v>
      </c>
      <c r="AA17" s="3" t="n">
        <f aca="false">H17*I17/1000000*N17</f>
        <v>0.159516</v>
      </c>
      <c r="AB17" s="3" t="n">
        <f aca="false">(IF(Q17="V",H17,0)+IF(S17="V",H17,0)+IF(R17="V",I17,0)+IF(T17="V",I17,0))/1000*N17</f>
        <v>1.6</v>
      </c>
      <c r="AC17" s="2"/>
      <c r="AD17" s="2" t="s">
        <v>72</v>
      </c>
      <c r="AE17" s="2" t="s">
        <v>119</v>
      </c>
    </row>
    <row r="18" customFormat="false" ht="15" hidden="false" customHeight="false" outlineLevel="0" collapsed="false">
      <c r="A18" s="2" t="s">
        <v>120</v>
      </c>
      <c r="B18" s="2" t="s">
        <v>121</v>
      </c>
      <c r="C18" s="2" t="s">
        <v>98</v>
      </c>
      <c r="D18" s="2" t="s">
        <v>34</v>
      </c>
      <c r="E18" s="2" t="s">
        <v>76</v>
      </c>
      <c r="F18" s="2" t="s">
        <v>77</v>
      </c>
      <c r="G18" s="2" t="n">
        <v>15</v>
      </c>
      <c r="H18" s="2" t="n">
        <v>290</v>
      </c>
      <c r="I18" s="2" t="n">
        <v>237</v>
      </c>
      <c r="J18" s="2" t="n">
        <v>290</v>
      </c>
      <c r="K18" s="2" t="n">
        <v>237</v>
      </c>
      <c r="L18" s="2" t="n">
        <v>290</v>
      </c>
      <c r="M18" s="2" t="n">
        <v>237</v>
      </c>
      <c r="N18" s="2" t="n">
        <v>1</v>
      </c>
      <c r="O18" s="2" t="s">
        <v>37</v>
      </c>
      <c r="P18" s="2" t="s">
        <v>38</v>
      </c>
      <c r="Q18" s="2" t="s">
        <v>78</v>
      </c>
      <c r="R18" s="2" t="s">
        <v>78</v>
      </c>
      <c r="S18" s="2" t="s">
        <v>78</v>
      </c>
      <c r="T18" s="2" t="s">
        <v>78</v>
      </c>
      <c r="U18" s="2" t="s">
        <v>79</v>
      </c>
      <c r="V18" s="2" t="s">
        <v>42</v>
      </c>
      <c r="W18" s="2" t="n">
        <v>0</v>
      </c>
      <c r="X18" s="2" t="n">
        <v>0</v>
      </c>
      <c r="Y18" s="2" t="n">
        <v>1</v>
      </c>
      <c r="Z18" s="2" t="s">
        <v>122</v>
      </c>
      <c r="AA18" s="3" t="n">
        <f aca="false">H18*I18/1000000*N18</f>
        <v>0.06873</v>
      </c>
      <c r="AB18" s="3" t="n">
        <f aca="false">(IF(Q18="V",H18,0)+IF(S18="V",H18,0)+IF(R18="V",I18,0)+IF(T18="V",I18,0))/1000*N18</f>
        <v>0</v>
      </c>
      <c r="AC18" s="2"/>
      <c r="AD18" s="2" t="s">
        <v>81</v>
      </c>
      <c r="AE18" s="2" t="s">
        <v>123</v>
      </c>
    </row>
    <row r="19" customFormat="false" ht="15" hidden="false" customHeight="false" outlineLevel="0" collapsed="false">
      <c r="A19" s="2" t="s">
        <v>124</v>
      </c>
      <c r="B19" s="2" t="s">
        <v>121</v>
      </c>
      <c r="C19" s="2" t="s">
        <v>98</v>
      </c>
      <c r="D19" s="2" t="s">
        <v>34</v>
      </c>
      <c r="E19" s="2" t="s">
        <v>76</v>
      </c>
      <c r="F19" s="2" t="s">
        <v>77</v>
      </c>
      <c r="G19" s="2" t="n">
        <v>15</v>
      </c>
      <c r="H19" s="2" t="n">
        <v>290</v>
      </c>
      <c r="I19" s="2" t="n">
        <v>237</v>
      </c>
      <c r="J19" s="2" t="n">
        <v>290</v>
      </c>
      <c r="K19" s="2" t="n">
        <v>237</v>
      </c>
      <c r="L19" s="2" t="n">
        <v>290</v>
      </c>
      <c r="M19" s="2" t="n">
        <v>237</v>
      </c>
      <c r="N19" s="2" t="n">
        <v>1</v>
      </c>
      <c r="O19" s="2" t="s">
        <v>37</v>
      </c>
      <c r="P19" s="2" t="s">
        <v>38</v>
      </c>
      <c r="Q19" s="2" t="s">
        <v>78</v>
      </c>
      <c r="R19" s="2" t="s">
        <v>78</v>
      </c>
      <c r="S19" s="2" t="s">
        <v>78</v>
      </c>
      <c r="T19" s="2" t="s">
        <v>78</v>
      </c>
      <c r="U19" s="2" t="s">
        <v>79</v>
      </c>
      <c r="V19" s="2" t="s">
        <v>42</v>
      </c>
      <c r="W19" s="2" t="n">
        <v>0</v>
      </c>
      <c r="X19" s="2" t="n">
        <v>0</v>
      </c>
      <c r="Y19" s="2" t="n">
        <v>1</v>
      </c>
      <c r="Z19" s="2" t="s">
        <v>125</v>
      </c>
      <c r="AA19" s="3" t="n">
        <f aca="false">H19*I19/1000000*N19</f>
        <v>0.06873</v>
      </c>
      <c r="AB19" s="3" t="n">
        <f aca="false">(IF(Q19="V",H19,0)+IF(S19="V",H19,0)+IF(R19="V",I19,0)+IF(T19="V",I19,0))/1000*N19</f>
        <v>0</v>
      </c>
      <c r="AC19" s="2"/>
      <c r="AD19" s="2" t="s">
        <v>81</v>
      </c>
      <c r="AE19" s="2" t="s">
        <v>126</v>
      </c>
    </row>
    <row r="20" customFormat="false" ht="15" hidden="false" customHeight="false" outlineLevel="0" collapsed="false">
      <c r="A20" s="2" t="s">
        <v>127</v>
      </c>
      <c r="B20" s="2" t="s">
        <v>128</v>
      </c>
      <c r="C20" s="2" t="s">
        <v>98</v>
      </c>
      <c r="D20" s="2" t="s">
        <v>34</v>
      </c>
      <c r="E20" s="2" t="s">
        <v>76</v>
      </c>
      <c r="F20" s="2" t="s">
        <v>77</v>
      </c>
      <c r="G20" s="2" t="n">
        <v>15</v>
      </c>
      <c r="H20" s="2" t="n">
        <v>347</v>
      </c>
      <c r="I20" s="2" t="n">
        <v>210</v>
      </c>
      <c r="J20" s="2" t="n">
        <v>347</v>
      </c>
      <c r="K20" s="2" t="n">
        <v>210</v>
      </c>
      <c r="L20" s="2" t="n">
        <v>347</v>
      </c>
      <c r="M20" s="2" t="n">
        <v>210</v>
      </c>
      <c r="N20" s="2" t="n">
        <v>1</v>
      </c>
      <c r="O20" s="2" t="s">
        <v>37</v>
      </c>
      <c r="P20" s="2" t="s">
        <v>63</v>
      </c>
      <c r="Q20" s="2" t="s">
        <v>39</v>
      </c>
      <c r="R20" s="2" t="s">
        <v>39</v>
      </c>
      <c r="S20" s="2" t="s">
        <v>78</v>
      </c>
      <c r="T20" s="2" t="s">
        <v>39</v>
      </c>
      <c r="U20" s="2" t="s">
        <v>79</v>
      </c>
      <c r="V20" s="2" t="s">
        <v>42</v>
      </c>
      <c r="W20" s="2" t="n">
        <v>0</v>
      </c>
      <c r="X20" s="2" t="n">
        <v>0</v>
      </c>
      <c r="Y20" s="2" t="n">
        <v>0</v>
      </c>
      <c r="Z20" s="2" t="s">
        <v>37</v>
      </c>
      <c r="AA20" s="3" t="n">
        <f aca="false">H20*I20/1000000*N20</f>
        <v>0.07287</v>
      </c>
      <c r="AB20" s="3" t="n">
        <f aca="false">(IF(Q20="V",H20,0)+IF(S20="V",H20,0)+IF(R20="V",I20,0)+IF(T20="V",I20,0))/1000*N20</f>
        <v>0</v>
      </c>
      <c r="AC20" s="2"/>
      <c r="AD20" s="2" t="s">
        <v>88</v>
      </c>
      <c r="AE20" s="2" t="s">
        <v>129</v>
      </c>
    </row>
    <row r="21" customFormat="false" ht="15" hidden="false" customHeight="false" outlineLevel="0" collapsed="false">
      <c r="A21" s="2" t="s">
        <v>130</v>
      </c>
      <c r="B21" s="2" t="s">
        <v>128</v>
      </c>
      <c r="C21" s="2" t="s">
        <v>98</v>
      </c>
      <c r="D21" s="2" t="s">
        <v>34</v>
      </c>
      <c r="E21" s="2" t="s">
        <v>76</v>
      </c>
      <c r="F21" s="2" t="s">
        <v>77</v>
      </c>
      <c r="G21" s="2" t="n">
        <v>15</v>
      </c>
      <c r="H21" s="2" t="n">
        <v>347</v>
      </c>
      <c r="I21" s="2" t="n">
        <v>210</v>
      </c>
      <c r="J21" s="2" t="n">
        <v>347</v>
      </c>
      <c r="K21" s="2" t="n">
        <v>210</v>
      </c>
      <c r="L21" s="2" t="n">
        <v>347</v>
      </c>
      <c r="M21" s="2" t="n">
        <v>210</v>
      </c>
      <c r="N21" s="2" t="n">
        <v>1</v>
      </c>
      <c r="O21" s="2" t="s">
        <v>37</v>
      </c>
      <c r="P21" s="2" t="s">
        <v>63</v>
      </c>
      <c r="Q21" s="2" t="s">
        <v>39</v>
      </c>
      <c r="R21" s="2" t="s">
        <v>39</v>
      </c>
      <c r="S21" s="2" t="s">
        <v>78</v>
      </c>
      <c r="T21" s="2" t="s">
        <v>39</v>
      </c>
      <c r="U21" s="2" t="s">
        <v>79</v>
      </c>
      <c r="V21" s="2" t="s">
        <v>42</v>
      </c>
      <c r="W21" s="2" t="n">
        <v>0</v>
      </c>
      <c r="X21" s="2" t="n">
        <v>0</v>
      </c>
      <c r="Y21" s="2" t="n">
        <v>0</v>
      </c>
      <c r="Z21" s="2" t="s">
        <v>37</v>
      </c>
      <c r="AA21" s="3" t="n">
        <f aca="false">H21*I21/1000000*N21</f>
        <v>0.07287</v>
      </c>
      <c r="AB21" s="3" t="n">
        <f aca="false">(IF(Q21="V",H21,0)+IF(S21="V",H21,0)+IF(R21="V",I21,0)+IF(T21="V",I21,0))/1000*N21</f>
        <v>0</v>
      </c>
      <c r="AC21" s="2"/>
      <c r="AD21" s="2" t="s">
        <v>88</v>
      </c>
      <c r="AE21" s="2" t="s">
        <v>131</v>
      </c>
    </row>
    <row r="22" customFormat="false" ht="15" hidden="false" customHeight="false" outlineLevel="0" collapsed="false">
      <c r="A22" s="2" t="s">
        <v>132</v>
      </c>
      <c r="B22" s="2" t="s">
        <v>133</v>
      </c>
      <c r="C22" s="2" t="s">
        <v>98</v>
      </c>
      <c r="D22" s="2" t="s">
        <v>34</v>
      </c>
      <c r="E22" s="2" t="s">
        <v>76</v>
      </c>
      <c r="F22" s="2" t="s">
        <v>77</v>
      </c>
      <c r="G22" s="2" t="n">
        <v>15</v>
      </c>
      <c r="H22" s="2" t="n">
        <v>347</v>
      </c>
      <c r="I22" s="2" t="n">
        <v>290</v>
      </c>
      <c r="J22" s="2" t="n">
        <v>347</v>
      </c>
      <c r="K22" s="2" t="n">
        <v>290</v>
      </c>
      <c r="L22" s="2" t="n">
        <v>347</v>
      </c>
      <c r="M22" s="2" t="n">
        <v>290</v>
      </c>
      <c r="N22" s="2" t="n">
        <v>1</v>
      </c>
      <c r="O22" s="2" t="s">
        <v>37</v>
      </c>
      <c r="P22" s="2" t="s">
        <v>53</v>
      </c>
      <c r="Q22" s="2" t="s">
        <v>78</v>
      </c>
      <c r="R22" s="2" t="s">
        <v>39</v>
      </c>
      <c r="S22" s="2" t="s">
        <v>78</v>
      </c>
      <c r="T22" s="2" t="s">
        <v>39</v>
      </c>
      <c r="U22" s="2" t="s">
        <v>79</v>
      </c>
      <c r="V22" s="2" t="s">
        <v>42</v>
      </c>
      <c r="W22" s="2" t="n">
        <v>0</v>
      </c>
      <c r="X22" s="2" t="n">
        <v>0</v>
      </c>
      <c r="Y22" s="2" t="n">
        <v>0</v>
      </c>
      <c r="Z22" s="2" t="s">
        <v>37</v>
      </c>
      <c r="AA22" s="3" t="n">
        <f aca="false">H22*I22/1000000*N22</f>
        <v>0.10063</v>
      </c>
      <c r="AB22" s="3" t="n">
        <f aca="false">(IF(Q22="V",H22,0)+IF(S22="V",H22,0)+IF(R22="V",I22,0)+IF(T22="V",I22,0))/1000*N22</f>
        <v>0</v>
      </c>
      <c r="AC22" s="2"/>
      <c r="AD22" s="2" t="s">
        <v>94</v>
      </c>
      <c r="AE22" s="2" t="s">
        <v>134</v>
      </c>
    </row>
    <row r="23" customFormat="false" ht="15" hidden="false" customHeight="false" outlineLevel="0" collapsed="false">
      <c r="A23" s="2" t="s">
        <v>135</v>
      </c>
      <c r="B23" s="2" t="s">
        <v>136</v>
      </c>
      <c r="C23" s="2" t="s">
        <v>137</v>
      </c>
      <c r="D23" s="2" t="s">
        <v>34</v>
      </c>
      <c r="E23" s="2" t="s">
        <v>35</v>
      </c>
      <c r="F23" s="2" t="s">
        <v>36</v>
      </c>
      <c r="G23" s="2" t="n">
        <v>18</v>
      </c>
      <c r="H23" s="2" t="n">
        <v>337</v>
      </c>
      <c r="I23" s="2" t="n">
        <v>420</v>
      </c>
      <c r="J23" s="2" t="n">
        <v>336.2</v>
      </c>
      <c r="K23" s="2" t="n">
        <v>418.4</v>
      </c>
      <c r="L23" s="2" t="n">
        <v>337.2</v>
      </c>
      <c r="M23" s="2" t="n">
        <v>420.4</v>
      </c>
      <c r="N23" s="2" t="n">
        <v>1</v>
      </c>
      <c r="O23" s="2" t="s">
        <v>37</v>
      </c>
      <c r="P23" s="2" t="s">
        <v>38</v>
      </c>
      <c r="Q23" s="2" t="s">
        <v>40</v>
      </c>
      <c r="R23" s="2" t="s">
        <v>40</v>
      </c>
      <c r="S23" s="2" t="s">
        <v>40</v>
      </c>
      <c r="T23" s="2" t="s">
        <v>39</v>
      </c>
      <c r="U23" s="2" t="s">
        <v>99</v>
      </c>
      <c r="V23" s="2" t="s">
        <v>42</v>
      </c>
      <c r="W23" s="2" t="n">
        <v>0</v>
      </c>
      <c r="X23" s="2" t="n">
        <v>9</v>
      </c>
      <c r="Y23" s="2" t="n">
        <v>0</v>
      </c>
      <c r="Z23" s="2" t="s">
        <v>138</v>
      </c>
      <c r="AA23" s="3" t="n">
        <f aca="false">H23*I23/1000000*N23</f>
        <v>0.14154</v>
      </c>
      <c r="AB23" s="3" t="n">
        <f aca="false">(IF(Q23="V",H23,0)+IF(S23="V",H23,0)+IF(R23="V",I23,0)+IF(T23="V",I23,0))/1000*N23</f>
        <v>1.094</v>
      </c>
      <c r="AC23" s="2"/>
      <c r="AD23" s="2" t="s">
        <v>101</v>
      </c>
      <c r="AE23" s="2" t="s">
        <v>139</v>
      </c>
    </row>
    <row r="24" customFormat="false" ht="15" hidden="false" customHeight="false" outlineLevel="0" collapsed="false">
      <c r="A24" s="2" t="s">
        <v>140</v>
      </c>
      <c r="B24" s="2" t="s">
        <v>136</v>
      </c>
      <c r="C24" s="2" t="s">
        <v>137</v>
      </c>
      <c r="D24" s="2" t="s">
        <v>34</v>
      </c>
      <c r="E24" s="2" t="s">
        <v>35</v>
      </c>
      <c r="F24" s="2" t="s">
        <v>36</v>
      </c>
      <c r="G24" s="2" t="n">
        <v>18</v>
      </c>
      <c r="H24" s="2" t="n">
        <v>337</v>
      </c>
      <c r="I24" s="2" t="n">
        <v>420</v>
      </c>
      <c r="J24" s="2" t="n">
        <v>336.2</v>
      </c>
      <c r="K24" s="2" t="n">
        <v>418.4</v>
      </c>
      <c r="L24" s="2" t="n">
        <v>337.2</v>
      </c>
      <c r="M24" s="2" t="n">
        <v>420.4</v>
      </c>
      <c r="N24" s="2" t="n">
        <v>1</v>
      </c>
      <c r="O24" s="2" t="s">
        <v>37</v>
      </c>
      <c r="P24" s="2" t="s">
        <v>38</v>
      </c>
      <c r="Q24" s="2" t="s">
        <v>40</v>
      </c>
      <c r="R24" s="2" t="s">
        <v>40</v>
      </c>
      <c r="S24" s="2" t="s">
        <v>40</v>
      </c>
      <c r="T24" s="2" t="s">
        <v>39</v>
      </c>
      <c r="U24" s="2" t="s">
        <v>99</v>
      </c>
      <c r="V24" s="2" t="s">
        <v>42</v>
      </c>
      <c r="W24" s="2" t="n">
        <v>9</v>
      </c>
      <c r="X24" s="2" t="n">
        <v>0</v>
      </c>
      <c r="Y24" s="2" t="n">
        <v>0</v>
      </c>
      <c r="Z24" s="2" t="s">
        <v>141</v>
      </c>
      <c r="AA24" s="3" t="n">
        <f aca="false">H24*I24/1000000*N24</f>
        <v>0.14154</v>
      </c>
      <c r="AB24" s="3" t="n">
        <f aca="false">(IF(Q24="V",H24,0)+IF(S24="V",H24,0)+IF(R24="V",I24,0)+IF(T24="V",I24,0))/1000*N24</f>
        <v>1.094</v>
      </c>
      <c r="AC24" s="2"/>
      <c r="AD24" s="2" t="s">
        <v>101</v>
      </c>
      <c r="AE24" s="2" t="s">
        <v>142</v>
      </c>
    </row>
    <row r="25" customFormat="false" ht="15" hidden="false" customHeight="false" outlineLevel="0" collapsed="false">
      <c r="A25" s="2" t="s">
        <v>143</v>
      </c>
      <c r="B25" s="2" t="s">
        <v>144</v>
      </c>
      <c r="C25" s="2" t="s">
        <v>137</v>
      </c>
      <c r="D25" s="2" t="s">
        <v>34</v>
      </c>
      <c r="E25" s="2" t="s">
        <v>35</v>
      </c>
      <c r="F25" s="2" t="s">
        <v>36</v>
      </c>
      <c r="G25" s="2" t="n">
        <v>18</v>
      </c>
      <c r="H25" s="2" t="n">
        <v>389</v>
      </c>
      <c r="I25" s="2" t="n">
        <v>337</v>
      </c>
      <c r="J25" s="2" t="n">
        <v>389</v>
      </c>
      <c r="K25" s="2" t="n">
        <v>336.2</v>
      </c>
      <c r="L25" s="2" t="n">
        <v>389</v>
      </c>
      <c r="M25" s="2" t="n">
        <v>337.2</v>
      </c>
      <c r="N25" s="2" t="n">
        <v>1</v>
      </c>
      <c r="O25" s="2" t="s">
        <v>37</v>
      </c>
      <c r="P25" s="2" t="s">
        <v>53</v>
      </c>
      <c r="Q25" s="2" t="s">
        <v>40</v>
      </c>
      <c r="R25" s="2" t="s">
        <v>39</v>
      </c>
      <c r="S25" s="2" t="s">
        <v>39</v>
      </c>
      <c r="T25" s="2" t="s">
        <v>39</v>
      </c>
      <c r="U25" s="2" t="s">
        <v>41</v>
      </c>
      <c r="V25" s="2" t="s">
        <v>42</v>
      </c>
      <c r="W25" s="2" t="n">
        <v>0</v>
      </c>
      <c r="X25" s="2" t="n">
        <v>0</v>
      </c>
      <c r="Y25" s="2" t="n">
        <v>6</v>
      </c>
      <c r="Z25" s="2" t="s">
        <v>145</v>
      </c>
      <c r="AA25" s="3" t="n">
        <f aca="false">H25*I25/1000000*N25</f>
        <v>0.131093</v>
      </c>
      <c r="AB25" s="3" t="n">
        <f aca="false">(IF(Q25="V",H25,0)+IF(S25="V",H25,0)+IF(R25="V",I25,0)+IF(T25="V",I25,0))/1000*N25</f>
        <v>0.389</v>
      </c>
      <c r="AC25" s="2"/>
      <c r="AD25" s="2" t="s">
        <v>109</v>
      </c>
      <c r="AE25" s="2" t="s">
        <v>146</v>
      </c>
    </row>
    <row r="26" customFormat="false" ht="15" hidden="false" customHeight="false" outlineLevel="0" collapsed="false">
      <c r="A26" s="2" t="s">
        <v>147</v>
      </c>
      <c r="B26" s="2" t="s">
        <v>144</v>
      </c>
      <c r="C26" s="2" t="s">
        <v>137</v>
      </c>
      <c r="D26" s="2" t="s">
        <v>34</v>
      </c>
      <c r="E26" s="2" t="s">
        <v>51</v>
      </c>
      <c r="F26" s="2" t="s">
        <v>52</v>
      </c>
      <c r="G26" s="2" t="n">
        <v>18</v>
      </c>
      <c r="H26" s="2" t="n">
        <v>389</v>
      </c>
      <c r="I26" s="2" t="n">
        <v>337</v>
      </c>
      <c r="J26" s="2" t="n">
        <v>389</v>
      </c>
      <c r="K26" s="2" t="n">
        <v>337</v>
      </c>
      <c r="L26" s="2" t="n">
        <v>399</v>
      </c>
      <c r="M26" s="2" t="n">
        <v>347</v>
      </c>
      <c r="N26" s="2" t="n">
        <v>1</v>
      </c>
      <c r="O26" s="2" t="s">
        <v>37</v>
      </c>
      <c r="P26" s="2" t="s">
        <v>53</v>
      </c>
      <c r="Q26" s="2" t="s">
        <v>54</v>
      </c>
      <c r="R26" s="2" t="s">
        <v>39</v>
      </c>
      <c r="S26" s="2" t="s">
        <v>54</v>
      </c>
      <c r="T26" s="2" t="s">
        <v>39</v>
      </c>
      <c r="U26" s="2" t="s">
        <v>55</v>
      </c>
      <c r="V26" s="2" t="s">
        <v>42</v>
      </c>
      <c r="W26" s="2" t="n">
        <v>0</v>
      </c>
      <c r="X26" s="2" t="n">
        <v>0</v>
      </c>
      <c r="Y26" s="2" t="n">
        <v>6</v>
      </c>
      <c r="Z26" s="2" t="s">
        <v>148</v>
      </c>
      <c r="AA26" s="3" t="n">
        <f aca="false">H26*I26/1000000*N26</f>
        <v>0.131093</v>
      </c>
      <c r="AB26" s="3" t="n">
        <f aca="false">(IF(Q26="V",H26,0)+IF(S26="V",H26,0)+IF(R26="V",I26,0)+IF(T26="V",I26,0))/1000*N26</f>
        <v>0</v>
      </c>
      <c r="AC26" s="2"/>
      <c r="AD26" s="2" t="s">
        <v>57</v>
      </c>
      <c r="AE26" s="2" t="s">
        <v>149</v>
      </c>
    </row>
    <row r="27" customFormat="false" ht="15" hidden="false" customHeight="false" outlineLevel="0" collapsed="false">
      <c r="A27" s="2" t="s">
        <v>150</v>
      </c>
      <c r="B27" s="2" t="s">
        <v>151</v>
      </c>
      <c r="C27" s="2" t="s">
        <v>137</v>
      </c>
      <c r="D27" s="2" t="s">
        <v>34</v>
      </c>
      <c r="E27" s="2" t="s">
        <v>61</v>
      </c>
      <c r="F27" s="2" t="s">
        <v>62</v>
      </c>
      <c r="G27" s="2" t="n">
        <v>8</v>
      </c>
      <c r="H27" s="2" t="n">
        <v>389</v>
      </c>
      <c r="I27" s="2" t="n">
        <v>384</v>
      </c>
      <c r="J27" s="2" t="n">
        <v>389</v>
      </c>
      <c r="K27" s="2" t="n">
        <v>384</v>
      </c>
      <c r="L27" s="2" t="n">
        <v>389</v>
      </c>
      <c r="M27" s="2" t="n">
        <v>384</v>
      </c>
      <c r="N27" s="2" t="n">
        <v>1</v>
      </c>
      <c r="O27" s="2" t="s">
        <v>37</v>
      </c>
      <c r="P27" s="2" t="s">
        <v>63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37</v>
      </c>
      <c r="V27" s="2" t="s">
        <v>42</v>
      </c>
      <c r="W27" s="2" t="n">
        <v>0</v>
      </c>
      <c r="X27" s="2" t="n">
        <v>0</v>
      </c>
      <c r="Y27" s="2" t="n">
        <v>0</v>
      </c>
      <c r="Z27" s="2" t="s">
        <v>37</v>
      </c>
      <c r="AA27" s="3" t="n">
        <f aca="false">H27*I27/1000000*N27</f>
        <v>0.149376</v>
      </c>
      <c r="AB27" s="3" t="n">
        <f aca="false">(IF(Q27="V",H27,0)+IF(S27="V",H27,0)+IF(R27="V",I27,0)+IF(T27="V",I27,0))/1000*N27</f>
        <v>0</v>
      </c>
      <c r="AC27" s="2"/>
      <c r="AD27" s="2" t="s">
        <v>64</v>
      </c>
      <c r="AE27" s="2" t="s">
        <v>152</v>
      </c>
    </row>
    <row r="28" customFormat="false" ht="15" hidden="false" customHeight="false" outlineLevel="0" collapsed="false">
      <c r="A28" s="2" t="s">
        <v>153</v>
      </c>
      <c r="B28" s="2" t="s">
        <v>154</v>
      </c>
      <c r="C28" s="2" t="s">
        <v>137</v>
      </c>
      <c r="D28" s="2" t="s">
        <v>34</v>
      </c>
      <c r="E28" s="2" t="s">
        <v>68</v>
      </c>
      <c r="F28" s="2" t="s">
        <v>69</v>
      </c>
      <c r="G28" s="2" t="n">
        <v>18</v>
      </c>
      <c r="H28" s="2" t="n">
        <v>422</v>
      </c>
      <c r="I28" s="2" t="n">
        <v>378</v>
      </c>
      <c r="J28" s="2" t="n">
        <v>418</v>
      </c>
      <c r="K28" s="2" t="n">
        <v>374</v>
      </c>
      <c r="L28" s="2" t="n">
        <v>430</v>
      </c>
      <c r="M28" s="2" t="n">
        <v>386</v>
      </c>
      <c r="N28" s="2" t="n">
        <v>1</v>
      </c>
      <c r="O28" s="2" t="s">
        <v>70</v>
      </c>
      <c r="P28" s="2" t="s">
        <v>63</v>
      </c>
      <c r="Q28" s="2" t="s">
        <v>40</v>
      </c>
      <c r="R28" s="2" t="s">
        <v>40</v>
      </c>
      <c r="S28" s="2" t="s">
        <v>40</v>
      </c>
      <c r="T28" s="2" t="s">
        <v>40</v>
      </c>
      <c r="U28" s="2" t="s">
        <v>71</v>
      </c>
      <c r="V28" s="2" t="s">
        <v>42</v>
      </c>
      <c r="W28" s="2" t="n">
        <v>0</v>
      </c>
      <c r="X28" s="2" t="n">
        <v>0</v>
      </c>
      <c r="Y28" s="2" t="n">
        <v>0</v>
      </c>
      <c r="Z28" s="2" t="s">
        <v>37</v>
      </c>
      <c r="AA28" s="3" t="n">
        <f aca="false">H28*I28/1000000*N28</f>
        <v>0.159516</v>
      </c>
      <c r="AB28" s="3" t="n">
        <f aca="false">(IF(Q28="V",H28,0)+IF(S28="V",H28,0)+IF(R28="V",I28,0)+IF(T28="V",I28,0))/1000*N28</f>
        <v>1.6</v>
      </c>
      <c r="AC28" s="2"/>
      <c r="AD28" s="2" t="s">
        <v>72</v>
      </c>
      <c r="AE28" s="2" t="s">
        <v>155</v>
      </c>
    </row>
    <row r="29" customFormat="false" ht="15" hidden="false" customHeight="false" outlineLevel="0" collapsed="false">
      <c r="A29" s="2" t="s">
        <v>156</v>
      </c>
      <c r="B29" s="2" t="s">
        <v>157</v>
      </c>
      <c r="C29" s="2" t="s">
        <v>137</v>
      </c>
      <c r="D29" s="2" t="s">
        <v>34</v>
      </c>
      <c r="E29" s="2" t="s">
        <v>76</v>
      </c>
      <c r="F29" s="2" t="s">
        <v>77</v>
      </c>
      <c r="G29" s="2" t="n">
        <v>15</v>
      </c>
      <c r="H29" s="2" t="n">
        <v>290</v>
      </c>
      <c r="I29" s="2" t="n">
        <v>237</v>
      </c>
      <c r="J29" s="2" t="n">
        <v>290</v>
      </c>
      <c r="K29" s="2" t="n">
        <v>237</v>
      </c>
      <c r="L29" s="2" t="n">
        <v>290</v>
      </c>
      <c r="M29" s="2" t="n">
        <v>237</v>
      </c>
      <c r="N29" s="2" t="n">
        <v>1</v>
      </c>
      <c r="O29" s="2" t="s">
        <v>37</v>
      </c>
      <c r="P29" s="2" t="s">
        <v>38</v>
      </c>
      <c r="Q29" s="2" t="s">
        <v>78</v>
      </c>
      <c r="R29" s="2" t="s">
        <v>78</v>
      </c>
      <c r="S29" s="2" t="s">
        <v>78</v>
      </c>
      <c r="T29" s="2" t="s">
        <v>78</v>
      </c>
      <c r="U29" s="2" t="s">
        <v>79</v>
      </c>
      <c r="V29" s="2" t="s">
        <v>42</v>
      </c>
      <c r="W29" s="2" t="n">
        <v>0</v>
      </c>
      <c r="X29" s="2" t="n">
        <v>0</v>
      </c>
      <c r="Y29" s="2" t="n">
        <v>1</v>
      </c>
      <c r="Z29" s="2" t="s">
        <v>158</v>
      </c>
      <c r="AA29" s="3" t="n">
        <f aca="false">H29*I29/1000000*N29</f>
        <v>0.06873</v>
      </c>
      <c r="AB29" s="3" t="n">
        <f aca="false">(IF(Q29="V",H29,0)+IF(S29="V",H29,0)+IF(R29="V",I29,0)+IF(T29="V",I29,0))/1000*N29</f>
        <v>0</v>
      </c>
      <c r="AC29" s="2"/>
      <c r="AD29" s="2" t="s">
        <v>81</v>
      </c>
      <c r="AE29" s="2" t="s">
        <v>159</v>
      </c>
    </row>
    <row r="30" customFormat="false" ht="15" hidden="false" customHeight="false" outlineLevel="0" collapsed="false">
      <c r="A30" s="2" t="s">
        <v>160</v>
      </c>
      <c r="B30" s="2" t="s">
        <v>157</v>
      </c>
      <c r="C30" s="2" t="s">
        <v>137</v>
      </c>
      <c r="D30" s="2" t="s">
        <v>34</v>
      </c>
      <c r="E30" s="2" t="s">
        <v>76</v>
      </c>
      <c r="F30" s="2" t="s">
        <v>77</v>
      </c>
      <c r="G30" s="2" t="n">
        <v>15</v>
      </c>
      <c r="H30" s="2" t="n">
        <v>290</v>
      </c>
      <c r="I30" s="2" t="n">
        <v>237</v>
      </c>
      <c r="J30" s="2" t="n">
        <v>290</v>
      </c>
      <c r="K30" s="2" t="n">
        <v>237</v>
      </c>
      <c r="L30" s="2" t="n">
        <v>290</v>
      </c>
      <c r="M30" s="2" t="n">
        <v>237</v>
      </c>
      <c r="N30" s="2" t="n">
        <v>1</v>
      </c>
      <c r="O30" s="2" t="s">
        <v>37</v>
      </c>
      <c r="P30" s="2" t="s">
        <v>38</v>
      </c>
      <c r="Q30" s="2" t="s">
        <v>78</v>
      </c>
      <c r="R30" s="2" t="s">
        <v>78</v>
      </c>
      <c r="S30" s="2" t="s">
        <v>78</v>
      </c>
      <c r="T30" s="2" t="s">
        <v>78</v>
      </c>
      <c r="U30" s="2" t="s">
        <v>79</v>
      </c>
      <c r="V30" s="2" t="s">
        <v>42</v>
      </c>
      <c r="W30" s="2" t="n">
        <v>0</v>
      </c>
      <c r="X30" s="2" t="n">
        <v>0</v>
      </c>
      <c r="Y30" s="2" t="n">
        <v>1</v>
      </c>
      <c r="Z30" s="2" t="s">
        <v>161</v>
      </c>
      <c r="AA30" s="3" t="n">
        <f aca="false">H30*I30/1000000*N30</f>
        <v>0.06873</v>
      </c>
      <c r="AB30" s="3" t="n">
        <f aca="false">(IF(Q30="V",H30,0)+IF(S30="V",H30,0)+IF(R30="V",I30,0)+IF(T30="V",I30,0))/1000*N30</f>
        <v>0</v>
      </c>
      <c r="AC30" s="2"/>
      <c r="AD30" s="2" t="s">
        <v>81</v>
      </c>
      <c r="AE30" s="2" t="s">
        <v>162</v>
      </c>
    </row>
    <row r="31" customFormat="false" ht="15" hidden="false" customHeight="false" outlineLevel="0" collapsed="false">
      <c r="A31" s="2" t="s">
        <v>163</v>
      </c>
      <c r="B31" s="2" t="s">
        <v>164</v>
      </c>
      <c r="C31" s="2" t="s">
        <v>137</v>
      </c>
      <c r="D31" s="2" t="s">
        <v>34</v>
      </c>
      <c r="E31" s="2" t="s">
        <v>76</v>
      </c>
      <c r="F31" s="2" t="s">
        <v>77</v>
      </c>
      <c r="G31" s="2" t="n">
        <v>15</v>
      </c>
      <c r="H31" s="2" t="n">
        <v>347</v>
      </c>
      <c r="I31" s="2" t="n">
        <v>210</v>
      </c>
      <c r="J31" s="2" t="n">
        <v>347</v>
      </c>
      <c r="K31" s="2" t="n">
        <v>210</v>
      </c>
      <c r="L31" s="2" t="n">
        <v>347</v>
      </c>
      <c r="M31" s="2" t="n">
        <v>210</v>
      </c>
      <c r="N31" s="2" t="n">
        <v>1</v>
      </c>
      <c r="O31" s="2" t="s">
        <v>37</v>
      </c>
      <c r="P31" s="2" t="s">
        <v>63</v>
      </c>
      <c r="Q31" s="2" t="s">
        <v>39</v>
      </c>
      <c r="R31" s="2" t="s">
        <v>39</v>
      </c>
      <c r="S31" s="2" t="s">
        <v>78</v>
      </c>
      <c r="T31" s="2" t="s">
        <v>39</v>
      </c>
      <c r="U31" s="2" t="s">
        <v>79</v>
      </c>
      <c r="V31" s="2" t="s">
        <v>42</v>
      </c>
      <c r="W31" s="2" t="n">
        <v>0</v>
      </c>
      <c r="X31" s="2" t="n">
        <v>0</v>
      </c>
      <c r="Y31" s="2" t="n">
        <v>0</v>
      </c>
      <c r="Z31" s="2" t="s">
        <v>37</v>
      </c>
      <c r="AA31" s="3" t="n">
        <f aca="false">H31*I31/1000000*N31</f>
        <v>0.07287</v>
      </c>
      <c r="AB31" s="3" t="n">
        <f aca="false">(IF(Q31="V",H31,0)+IF(S31="V",H31,0)+IF(R31="V",I31,0)+IF(T31="V",I31,0))/1000*N31</f>
        <v>0</v>
      </c>
      <c r="AC31" s="2"/>
      <c r="AD31" s="2" t="s">
        <v>88</v>
      </c>
      <c r="AE31" s="2" t="s">
        <v>165</v>
      </c>
    </row>
    <row r="32" customFormat="false" ht="15" hidden="false" customHeight="false" outlineLevel="0" collapsed="false">
      <c r="A32" s="2" t="s">
        <v>166</v>
      </c>
      <c r="B32" s="2" t="s">
        <v>164</v>
      </c>
      <c r="C32" s="2" t="s">
        <v>137</v>
      </c>
      <c r="D32" s="2" t="s">
        <v>34</v>
      </c>
      <c r="E32" s="2" t="s">
        <v>76</v>
      </c>
      <c r="F32" s="2" t="s">
        <v>77</v>
      </c>
      <c r="G32" s="2" t="n">
        <v>15</v>
      </c>
      <c r="H32" s="2" t="n">
        <v>347</v>
      </c>
      <c r="I32" s="2" t="n">
        <v>210</v>
      </c>
      <c r="J32" s="2" t="n">
        <v>347</v>
      </c>
      <c r="K32" s="2" t="n">
        <v>210</v>
      </c>
      <c r="L32" s="2" t="n">
        <v>347</v>
      </c>
      <c r="M32" s="2" t="n">
        <v>210</v>
      </c>
      <c r="N32" s="2" t="n">
        <v>1</v>
      </c>
      <c r="O32" s="2" t="s">
        <v>37</v>
      </c>
      <c r="P32" s="2" t="s">
        <v>63</v>
      </c>
      <c r="Q32" s="2" t="s">
        <v>39</v>
      </c>
      <c r="R32" s="2" t="s">
        <v>39</v>
      </c>
      <c r="S32" s="2" t="s">
        <v>78</v>
      </c>
      <c r="T32" s="2" t="s">
        <v>39</v>
      </c>
      <c r="U32" s="2" t="s">
        <v>79</v>
      </c>
      <c r="V32" s="2" t="s">
        <v>42</v>
      </c>
      <c r="W32" s="2" t="n">
        <v>0</v>
      </c>
      <c r="X32" s="2" t="n">
        <v>0</v>
      </c>
      <c r="Y32" s="2" t="n">
        <v>0</v>
      </c>
      <c r="Z32" s="2" t="s">
        <v>37</v>
      </c>
      <c r="AA32" s="3" t="n">
        <f aca="false">H32*I32/1000000*N32</f>
        <v>0.07287</v>
      </c>
      <c r="AB32" s="3" t="n">
        <f aca="false">(IF(Q32="V",H32,0)+IF(S32="V",H32,0)+IF(R32="V",I32,0)+IF(T32="V",I32,0))/1000*N32</f>
        <v>0</v>
      </c>
      <c r="AC32" s="2"/>
      <c r="AD32" s="2" t="s">
        <v>88</v>
      </c>
      <c r="AE32" s="2" t="s">
        <v>167</v>
      </c>
    </row>
    <row r="33" customFormat="false" ht="15" hidden="false" customHeight="false" outlineLevel="0" collapsed="false">
      <c r="A33" s="2" t="s">
        <v>168</v>
      </c>
      <c r="B33" s="2" t="s">
        <v>169</v>
      </c>
      <c r="C33" s="2" t="s">
        <v>137</v>
      </c>
      <c r="D33" s="2" t="s">
        <v>34</v>
      </c>
      <c r="E33" s="2" t="s">
        <v>76</v>
      </c>
      <c r="F33" s="2" t="s">
        <v>77</v>
      </c>
      <c r="G33" s="2" t="n">
        <v>15</v>
      </c>
      <c r="H33" s="2" t="n">
        <v>347</v>
      </c>
      <c r="I33" s="2" t="n">
        <v>290</v>
      </c>
      <c r="J33" s="2" t="n">
        <v>347</v>
      </c>
      <c r="K33" s="2" t="n">
        <v>290</v>
      </c>
      <c r="L33" s="2" t="n">
        <v>347</v>
      </c>
      <c r="M33" s="2" t="n">
        <v>290</v>
      </c>
      <c r="N33" s="2" t="n">
        <v>1</v>
      </c>
      <c r="O33" s="2" t="s">
        <v>37</v>
      </c>
      <c r="P33" s="2" t="s">
        <v>53</v>
      </c>
      <c r="Q33" s="2" t="s">
        <v>78</v>
      </c>
      <c r="R33" s="2" t="s">
        <v>39</v>
      </c>
      <c r="S33" s="2" t="s">
        <v>78</v>
      </c>
      <c r="T33" s="2" t="s">
        <v>39</v>
      </c>
      <c r="U33" s="2" t="s">
        <v>79</v>
      </c>
      <c r="V33" s="2" t="s">
        <v>42</v>
      </c>
      <c r="W33" s="2" t="n">
        <v>0</v>
      </c>
      <c r="X33" s="2" t="n">
        <v>0</v>
      </c>
      <c r="Y33" s="2" t="n">
        <v>0</v>
      </c>
      <c r="Z33" s="2" t="s">
        <v>37</v>
      </c>
      <c r="AA33" s="3" t="n">
        <f aca="false">H33*I33/1000000*N33</f>
        <v>0.10063</v>
      </c>
      <c r="AB33" s="3" t="n">
        <f aca="false">(IF(Q33="V",H33,0)+IF(S33="V",H33,0)+IF(R33="V",I33,0)+IF(T33="V",I33,0))/1000*N33</f>
        <v>0</v>
      </c>
      <c r="AC33" s="2"/>
      <c r="AD33" s="2" t="s">
        <v>94</v>
      </c>
      <c r="AE33" s="2" t="s">
        <v>170</v>
      </c>
    </row>
    <row r="34" customFormat="false" ht="15" hidden="false" customHeight="false" outlineLevel="0" collapsed="false">
      <c r="A34" s="2" t="s">
        <v>171</v>
      </c>
      <c r="B34" s="2" t="s">
        <v>172</v>
      </c>
      <c r="C34" s="2" t="s">
        <v>173</v>
      </c>
      <c r="D34" s="2" t="s">
        <v>34</v>
      </c>
      <c r="E34" s="2" t="s">
        <v>35</v>
      </c>
      <c r="F34" s="2" t="s">
        <v>36</v>
      </c>
      <c r="G34" s="2" t="n">
        <v>18</v>
      </c>
      <c r="H34" s="2" t="n">
        <v>337</v>
      </c>
      <c r="I34" s="2" t="n">
        <v>420</v>
      </c>
      <c r="J34" s="2" t="n">
        <v>336.2</v>
      </c>
      <c r="K34" s="2" t="n">
        <v>418.4</v>
      </c>
      <c r="L34" s="2" t="n">
        <v>337.2</v>
      </c>
      <c r="M34" s="2" t="n">
        <v>420.4</v>
      </c>
      <c r="N34" s="2" t="n">
        <v>1</v>
      </c>
      <c r="O34" s="2" t="s">
        <v>37</v>
      </c>
      <c r="P34" s="2" t="s">
        <v>38</v>
      </c>
      <c r="Q34" s="2" t="s">
        <v>40</v>
      </c>
      <c r="R34" s="2" t="s">
        <v>40</v>
      </c>
      <c r="S34" s="2" t="s">
        <v>40</v>
      </c>
      <c r="T34" s="2" t="s">
        <v>39</v>
      </c>
      <c r="U34" s="2" t="s">
        <v>99</v>
      </c>
      <c r="V34" s="2" t="s">
        <v>42</v>
      </c>
      <c r="W34" s="2" t="n">
        <v>0</v>
      </c>
      <c r="X34" s="2" t="n">
        <v>9</v>
      </c>
      <c r="Y34" s="2" t="n">
        <v>0</v>
      </c>
      <c r="Z34" s="2" t="s">
        <v>174</v>
      </c>
      <c r="AA34" s="3" t="n">
        <f aca="false">H34*I34/1000000*N34</f>
        <v>0.14154</v>
      </c>
      <c r="AB34" s="3" t="n">
        <f aca="false">(IF(Q34="V",H34,0)+IF(S34="V",H34,0)+IF(R34="V",I34,0)+IF(T34="V",I34,0))/1000*N34</f>
        <v>1.094</v>
      </c>
      <c r="AC34" s="2"/>
      <c r="AD34" s="2" t="s">
        <v>101</v>
      </c>
      <c r="AE34" s="2" t="s">
        <v>175</v>
      </c>
    </row>
    <row r="35" customFormat="false" ht="15" hidden="false" customHeight="false" outlineLevel="0" collapsed="false">
      <c r="A35" s="2" t="s">
        <v>176</v>
      </c>
      <c r="B35" s="2" t="s">
        <v>172</v>
      </c>
      <c r="C35" s="2" t="s">
        <v>173</v>
      </c>
      <c r="D35" s="2" t="s">
        <v>34</v>
      </c>
      <c r="E35" s="2" t="s">
        <v>35</v>
      </c>
      <c r="F35" s="2" t="s">
        <v>36</v>
      </c>
      <c r="G35" s="2" t="n">
        <v>18</v>
      </c>
      <c r="H35" s="2" t="n">
        <v>337</v>
      </c>
      <c r="I35" s="2" t="n">
        <v>420</v>
      </c>
      <c r="J35" s="2" t="n">
        <v>336.2</v>
      </c>
      <c r="K35" s="2" t="n">
        <v>418.4</v>
      </c>
      <c r="L35" s="2" t="n">
        <v>337.2</v>
      </c>
      <c r="M35" s="2" t="n">
        <v>420.4</v>
      </c>
      <c r="N35" s="2" t="n">
        <v>1</v>
      </c>
      <c r="O35" s="2" t="s">
        <v>37</v>
      </c>
      <c r="P35" s="2" t="s">
        <v>38</v>
      </c>
      <c r="Q35" s="2" t="s">
        <v>40</v>
      </c>
      <c r="R35" s="2" t="s">
        <v>40</v>
      </c>
      <c r="S35" s="2" t="s">
        <v>40</v>
      </c>
      <c r="T35" s="2" t="s">
        <v>39</v>
      </c>
      <c r="U35" s="2" t="s">
        <v>99</v>
      </c>
      <c r="V35" s="2" t="s">
        <v>42</v>
      </c>
      <c r="W35" s="2" t="n">
        <v>9</v>
      </c>
      <c r="X35" s="2" t="n">
        <v>0</v>
      </c>
      <c r="Y35" s="2" t="n">
        <v>0</v>
      </c>
      <c r="Z35" s="2" t="s">
        <v>177</v>
      </c>
      <c r="AA35" s="3" t="n">
        <f aca="false">H35*I35/1000000*N35</f>
        <v>0.14154</v>
      </c>
      <c r="AB35" s="3" t="n">
        <f aca="false">(IF(Q35="V",H35,0)+IF(S35="V",H35,0)+IF(R35="V",I35,0)+IF(T35="V",I35,0))/1000*N35</f>
        <v>1.094</v>
      </c>
      <c r="AC35" s="2"/>
      <c r="AD35" s="2" t="s">
        <v>101</v>
      </c>
      <c r="AE35" s="2" t="s">
        <v>178</v>
      </c>
    </row>
    <row r="36" customFormat="false" ht="15" hidden="false" customHeight="false" outlineLevel="0" collapsed="false">
      <c r="A36" s="2" t="s">
        <v>179</v>
      </c>
      <c r="B36" s="2" t="s">
        <v>180</v>
      </c>
      <c r="C36" s="2" t="s">
        <v>173</v>
      </c>
      <c r="D36" s="2" t="s">
        <v>34</v>
      </c>
      <c r="E36" s="2" t="s">
        <v>35</v>
      </c>
      <c r="F36" s="2" t="s">
        <v>36</v>
      </c>
      <c r="G36" s="2" t="n">
        <v>18</v>
      </c>
      <c r="H36" s="2" t="n">
        <v>994</v>
      </c>
      <c r="I36" s="2" t="n">
        <v>337</v>
      </c>
      <c r="J36" s="2" t="n">
        <v>994</v>
      </c>
      <c r="K36" s="2" t="n">
        <v>336.2</v>
      </c>
      <c r="L36" s="2" t="n">
        <v>994</v>
      </c>
      <c r="M36" s="2" t="n">
        <v>337.2</v>
      </c>
      <c r="N36" s="2" t="n">
        <v>1</v>
      </c>
      <c r="O36" s="2" t="s">
        <v>37</v>
      </c>
      <c r="P36" s="2" t="s">
        <v>53</v>
      </c>
      <c r="Q36" s="2" t="s">
        <v>40</v>
      </c>
      <c r="R36" s="2" t="s">
        <v>39</v>
      </c>
      <c r="S36" s="2" t="s">
        <v>39</v>
      </c>
      <c r="T36" s="2" t="s">
        <v>39</v>
      </c>
      <c r="U36" s="2" t="s">
        <v>41</v>
      </c>
      <c r="V36" s="2" t="s">
        <v>42</v>
      </c>
      <c r="W36" s="2" t="n">
        <v>0</v>
      </c>
      <c r="X36" s="2" t="n">
        <v>0</v>
      </c>
      <c r="Y36" s="2" t="n">
        <v>6</v>
      </c>
      <c r="Z36" s="2" t="s">
        <v>181</v>
      </c>
      <c r="AA36" s="3" t="n">
        <f aca="false">H36*I36/1000000*N36</f>
        <v>0.334978</v>
      </c>
      <c r="AB36" s="3" t="n">
        <f aca="false">(IF(Q36="V",H36,0)+IF(S36="V",H36,0)+IF(R36="V",I36,0)+IF(T36="V",I36,0))/1000*N36</f>
        <v>0.994</v>
      </c>
      <c r="AC36" s="2"/>
      <c r="AD36" s="2" t="s">
        <v>109</v>
      </c>
      <c r="AE36" s="2" t="s">
        <v>182</v>
      </c>
    </row>
    <row r="37" customFormat="false" ht="15" hidden="false" customHeight="false" outlineLevel="0" collapsed="false">
      <c r="A37" s="2" t="s">
        <v>183</v>
      </c>
      <c r="B37" s="2" t="s">
        <v>180</v>
      </c>
      <c r="C37" s="2" t="s">
        <v>173</v>
      </c>
      <c r="D37" s="2" t="s">
        <v>34</v>
      </c>
      <c r="E37" s="2" t="s">
        <v>51</v>
      </c>
      <c r="F37" s="2" t="s">
        <v>52</v>
      </c>
      <c r="G37" s="2" t="n">
        <v>18</v>
      </c>
      <c r="H37" s="2" t="n">
        <v>994</v>
      </c>
      <c r="I37" s="2" t="n">
        <v>337</v>
      </c>
      <c r="J37" s="2" t="n">
        <v>994</v>
      </c>
      <c r="K37" s="2" t="n">
        <v>337</v>
      </c>
      <c r="L37" s="2" t="n">
        <v>1004</v>
      </c>
      <c r="M37" s="2" t="n">
        <v>347</v>
      </c>
      <c r="N37" s="2" t="n">
        <v>1</v>
      </c>
      <c r="O37" s="2" t="s">
        <v>37</v>
      </c>
      <c r="P37" s="2" t="s">
        <v>53</v>
      </c>
      <c r="Q37" s="2" t="s">
        <v>54</v>
      </c>
      <c r="R37" s="2" t="s">
        <v>39</v>
      </c>
      <c r="S37" s="2" t="s">
        <v>54</v>
      </c>
      <c r="T37" s="2" t="s">
        <v>39</v>
      </c>
      <c r="U37" s="2" t="s">
        <v>55</v>
      </c>
      <c r="V37" s="2" t="s">
        <v>42</v>
      </c>
      <c r="W37" s="2" t="n">
        <v>0</v>
      </c>
      <c r="X37" s="2" t="n">
        <v>0</v>
      </c>
      <c r="Y37" s="2" t="n">
        <v>6</v>
      </c>
      <c r="Z37" s="2" t="s">
        <v>184</v>
      </c>
      <c r="AA37" s="3" t="n">
        <f aca="false">H37*I37/1000000*N37</f>
        <v>0.334978</v>
      </c>
      <c r="AB37" s="3" t="n">
        <f aca="false">(IF(Q37="V",H37,0)+IF(S37="V",H37,0)+IF(R37="V",I37,0)+IF(T37="V",I37,0))/1000*N37</f>
        <v>0</v>
      </c>
      <c r="AC37" s="2"/>
      <c r="AD37" s="2" t="s">
        <v>57</v>
      </c>
      <c r="AE37" s="2" t="s">
        <v>185</v>
      </c>
    </row>
    <row r="38" customFormat="false" ht="15" hidden="false" customHeight="false" outlineLevel="0" collapsed="false">
      <c r="A38" s="2" t="s">
        <v>186</v>
      </c>
      <c r="B38" s="2" t="s">
        <v>187</v>
      </c>
      <c r="C38" s="2" t="s">
        <v>173</v>
      </c>
      <c r="D38" s="2" t="s">
        <v>34</v>
      </c>
      <c r="E38" s="2" t="s">
        <v>61</v>
      </c>
      <c r="F38" s="2" t="s">
        <v>62</v>
      </c>
      <c r="G38" s="2" t="n">
        <v>8</v>
      </c>
      <c r="H38" s="2" t="n">
        <v>994</v>
      </c>
      <c r="I38" s="2" t="n">
        <v>384</v>
      </c>
      <c r="J38" s="2" t="n">
        <v>994</v>
      </c>
      <c r="K38" s="2" t="n">
        <v>384</v>
      </c>
      <c r="L38" s="2" t="n">
        <v>994</v>
      </c>
      <c r="M38" s="2" t="n">
        <v>384</v>
      </c>
      <c r="N38" s="2" t="n">
        <v>1</v>
      </c>
      <c r="O38" s="2" t="s">
        <v>37</v>
      </c>
      <c r="P38" s="2" t="s">
        <v>63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37</v>
      </c>
      <c r="V38" s="2" t="s">
        <v>42</v>
      </c>
      <c r="W38" s="2" t="n">
        <v>0</v>
      </c>
      <c r="X38" s="2" t="n">
        <v>0</v>
      </c>
      <c r="Y38" s="2" t="n">
        <v>0</v>
      </c>
      <c r="Z38" s="2" t="s">
        <v>37</v>
      </c>
      <c r="AA38" s="3" t="n">
        <f aca="false">H38*I38/1000000*N38</f>
        <v>0.381696</v>
      </c>
      <c r="AB38" s="3" t="n">
        <f aca="false">(IF(Q38="V",H38,0)+IF(S38="V",H38,0)+IF(R38="V",I38,0)+IF(T38="V",I38,0))/1000*N38</f>
        <v>0</v>
      </c>
      <c r="AC38" s="2"/>
      <c r="AD38" s="2" t="s">
        <v>64</v>
      </c>
      <c r="AE38" s="2" t="s">
        <v>188</v>
      </c>
    </row>
    <row r="39" customFormat="false" ht="15" hidden="false" customHeight="false" outlineLevel="0" collapsed="false">
      <c r="A39" s="2" t="s">
        <v>189</v>
      </c>
      <c r="B39" s="2" t="s">
        <v>190</v>
      </c>
      <c r="C39" s="2" t="s">
        <v>173</v>
      </c>
      <c r="D39" s="2" t="s">
        <v>34</v>
      </c>
      <c r="E39" s="2" t="s">
        <v>68</v>
      </c>
      <c r="F39" s="2" t="s">
        <v>69</v>
      </c>
      <c r="G39" s="2" t="n">
        <v>18</v>
      </c>
      <c r="H39" s="2" t="n">
        <v>1027</v>
      </c>
      <c r="I39" s="2" t="n">
        <v>378</v>
      </c>
      <c r="J39" s="2" t="n">
        <v>1023</v>
      </c>
      <c r="K39" s="2" t="n">
        <v>374</v>
      </c>
      <c r="L39" s="2" t="n">
        <v>1035</v>
      </c>
      <c r="M39" s="2" t="n">
        <v>386</v>
      </c>
      <c r="N39" s="2" t="n">
        <v>1</v>
      </c>
      <c r="O39" s="2" t="s">
        <v>70</v>
      </c>
      <c r="P39" s="2" t="s">
        <v>63</v>
      </c>
      <c r="Q39" s="2" t="s">
        <v>40</v>
      </c>
      <c r="R39" s="2" t="s">
        <v>40</v>
      </c>
      <c r="S39" s="2" t="s">
        <v>40</v>
      </c>
      <c r="T39" s="2" t="s">
        <v>40</v>
      </c>
      <c r="U39" s="2" t="s">
        <v>71</v>
      </c>
      <c r="V39" s="2" t="s">
        <v>42</v>
      </c>
      <c r="W39" s="2" t="n">
        <v>0</v>
      </c>
      <c r="X39" s="2" t="n">
        <v>0</v>
      </c>
      <c r="Y39" s="2" t="n">
        <v>0</v>
      </c>
      <c r="Z39" s="2" t="s">
        <v>37</v>
      </c>
      <c r="AA39" s="3" t="n">
        <f aca="false">H39*I39/1000000*N39</f>
        <v>0.388206</v>
      </c>
      <c r="AB39" s="3" t="n">
        <f aca="false">(IF(Q39="V",H39,0)+IF(S39="V",H39,0)+IF(R39="V",I39,0)+IF(T39="V",I39,0))/1000*N39</f>
        <v>2.81</v>
      </c>
      <c r="AC39" s="2"/>
      <c r="AD39" s="2" t="s">
        <v>72</v>
      </c>
      <c r="AE39" s="2" t="s">
        <v>191</v>
      </c>
    </row>
    <row r="40" customFormat="false" ht="15" hidden="false" customHeight="false" outlineLevel="0" collapsed="false">
      <c r="A40" s="2" t="s">
        <v>192</v>
      </c>
      <c r="B40" s="2" t="s">
        <v>193</v>
      </c>
      <c r="C40" s="2" t="s">
        <v>173</v>
      </c>
      <c r="D40" s="2" t="s">
        <v>34</v>
      </c>
      <c r="E40" s="2" t="s">
        <v>76</v>
      </c>
      <c r="F40" s="2" t="s">
        <v>77</v>
      </c>
      <c r="G40" s="2" t="n">
        <v>15</v>
      </c>
      <c r="H40" s="2" t="n">
        <v>290</v>
      </c>
      <c r="I40" s="2" t="n">
        <v>237</v>
      </c>
      <c r="J40" s="2" t="n">
        <v>290</v>
      </c>
      <c r="K40" s="2" t="n">
        <v>237</v>
      </c>
      <c r="L40" s="2" t="n">
        <v>290</v>
      </c>
      <c r="M40" s="2" t="n">
        <v>237</v>
      </c>
      <c r="N40" s="2" t="n">
        <v>1</v>
      </c>
      <c r="O40" s="2" t="s">
        <v>37</v>
      </c>
      <c r="P40" s="2" t="s">
        <v>38</v>
      </c>
      <c r="Q40" s="2" t="s">
        <v>78</v>
      </c>
      <c r="R40" s="2" t="s">
        <v>78</v>
      </c>
      <c r="S40" s="2" t="s">
        <v>78</v>
      </c>
      <c r="T40" s="2" t="s">
        <v>78</v>
      </c>
      <c r="U40" s="2" t="s">
        <v>79</v>
      </c>
      <c r="V40" s="2" t="s">
        <v>42</v>
      </c>
      <c r="W40" s="2" t="n">
        <v>0</v>
      </c>
      <c r="X40" s="2" t="n">
        <v>0</v>
      </c>
      <c r="Y40" s="2" t="n">
        <v>1</v>
      </c>
      <c r="Z40" s="2" t="s">
        <v>194</v>
      </c>
      <c r="AA40" s="3" t="n">
        <f aca="false">H40*I40/1000000*N40</f>
        <v>0.06873</v>
      </c>
      <c r="AB40" s="3" t="n">
        <f aca="false">(IF(Q40="V",H40,0)+IF(S40="V",H40,0)+IF(R40="V",I40,0)+IF(T40="V",I40,0))/1000*N40</f>
        <v>0</v>
      </c>
      <c r="AC40" s="2"/>
      <c r="AD40" s="2" t="s">
        <v>81</v>
      </c>
      <c r="AE40" s="2" t="s">
        <v>195</v>
      </c>
    </row>
    <row r="41" customFormat="false" ht="15" hidden="false" customHeight="false" outlineLevel="0" collapsed="false">
      <c r="A41" s="2" t="s">
        <v>196</v>
      </c>
      <c r="B41" s="2" t="s">
        <v>193</v>
      </c>
      <c r="C41" s="2" t="s">
        <v>173</v>
      </c>
      <c r="D41" s="2" t="s">
        <v>34</v>
      </c>
      <c r="E41" s="2" t="s">
        <v>76</v>
      </c>
      <c r="F41" s="2" t="s">
        <v>77</v>
      </c>
      <c r="G41" s="2" t="n">
        <v>15</v>
      </c>
      <c r="H41" s="2" t="n">
        <v>290</v>
      </c>
      <c r="I41" s="2" t="n">
        <v>237</v>
      </c>
      <c r="J41" s="2" t="n">
        <v>290</v>
      </c>
      <c r="K41" s="2" t="n">
        <v>237</v>
      </c>
      <c r="L41" s="2" t="n">
        <v>290</v>
      </c>
      <c r="M41" s="2" t="n">
        <v>237</v>
      </c>
      <c r="N41" s="2" t="n">
        <v>1</v>
      </c>
      <c r="O41" s="2" t="s">
        <v>37</v>
      </c>
      <c r="P41" s="2" t="s">
        <v>38</v>
      </c>
      <c r="Q41" s="2" t="s">
        <v>78</v>
      </c>
      <c r="R41" s="2" t="s">
        <v>78</v>
      </c>
      <c r="S41" s="2" t="s">
        <v>78</v>
      </c>
      <c r="T41" s="2" t="s">
        <v>78</v>
      </c>
      <c r="U41" s="2" t="s">
        <v>79</v>
      </c>
      <c r="V41" s="2" t="s">
        <v>42</v>
      </c>
      <c r="W41" s="2" t="n">
        <v>0</v>
      </c>
      <c r="X41" s="2" t="n">
        <v>0</v>
      </c>
      <c r="Y41" s="2" t="n">
        <v>1</v>
      </c>
      <c r="Z41" s="2" t="s">
        <v>197</v>
      </c>
      <c r="AA41" s="3" t="n">
        <f aca="false">H41*I41/1000000*N41</f>
        <v>0.06873</v>
      </c>
      <c r="AB41" s="3" t="n">
        <f aca="false">(IF(Q41="V",H41,0)+IF(S41="V",H41,0)+IF(R41="V",I41,0)+IF(T41="V",I41,0))/1000*N41</f>
        <v>0</v>
      </c>
      <c r="AC41" s="2"/>
      <c r="AD41" s="2" t="s">
        <v>81</v>
      </c>
      <c r="AE41" s="2" t="s">
        <v>198</v>
      </c>
    </row>
    <row r="42" customFormat="false" ht="15" hidden="false" customHeight="false" outlineLevel="0" collapsed="false">
      <c r="A42" s="2" t="s">
        <v>199</v>
      </c>
      <c r="B42" s="2" t="s">
        <v>200</v>
      </c>
      <c r="C42" s="2" t="s">
        <v>173</v>
      </c>
      <c r="D42" s="2" t="s">
        <v>34</v>
      </c>
      <c r="E42" s="2" t="s">
        <v>76</v>
      </c>
      <c r="F42" s="2" t="s">
        <v>77</v>
      </c>
      <c r="G42" s="2" t="n">
        <v>15</v>
      </c>
      <c r="H42" s="2" t="n">
        <v>952</v>
      </c>
      <c r="I42" s="2" t="n">
        <v>210</v>
      </c>
      <c r="J42" s="2" t="n">
        <v>952</v>
      </c>
      <c r="K42" s="2" t="n">
        <v>210</v>
      </c>
      <c r="L42" s="2" t="n">
        <v>952</v>
      </c>
      <c r="M42" s="2" t="n">
        <v>210</v>
      </c>
      <c r="N42" s="2" t="n">
        <v>1</v>
      </c>
      <c r="O42" s="2" t="s">
        <v>37</v>
      </c>
      <c r="P42" s="2" t="s">
        <v>63</v>
      </c>
      <c r="Q42" s="2" t="s">
        <v>39</v>
      </c>
      <c r="R42" s="2" t="s">
        <v>39</v>
      </c>
      <c r="S42" s="2" t="s">
        <v>78</v>
      </c>
      <c r="T42" s="2" t="s">
        <v>39</v>
      </c>
      <c r="U42" s="2" t="s">
        <v>79</v>
      </c>
      <c r="V42" s="2" t="s">
        <v>42</v>
      </c>
      <c r="W42" s="2" t="n">
        <v>0</v>
      </c>
      <c r="X42" s="2" t="n">
        <v>0</v>
      </c>
      <c r="Y42" s="2" t="n">
        <v>0</v>
      </c>
      <c r="Z42" s="2" t="s">
        <v>37</v>
      </c>
      <c r="AA42" s="3" t="n">
        <f aca="false">H42*I42/1000000*N42</f>
        <v>0.19992</v>
      </c>
      <c r="AB42" s="3" t="n">
        <f aca="false">(IF(Q42="V",H42,0)+IF(S42="V",H42,0)+IF(R42="V",I42,0)+IF(T42="V",I42,0))/1000*N42</f>
        <v>0</v>
      </c>
      <c r="AC42" s="2"/>
      <c r="AD42" s="2" t="s">
        <v>88</v>
      </c>
      <c r="AE42" s="2" t="s">
        <v>201</v>
      </c>
    </row>
    <row r="43" customFormat="false" ht="15" hidden="false" customHeight="false" outlineLevel="0" collapsed="false">
      <c r="A43" s="2" t="s">
        <v>202</v>
      </c>
      <c r="B43" s="2" t="s">
        <v>200</v>
      </c>
      <c r="C43" s="2" t="s">
        <v>173</v>
      </c>
      <c r="D43" s="2" t="s">
        <v>34</v>
      </c>
      <c r="E43" s="2" t="s">
        <v>76</v>
      </c>
      <c r="F43" s="2" t="s">
        <v>77</v>
      </c>
      <c r="G43" s="2" t="n">
        <v>15</v>
      </c>
      <c r="H43" s="2" t="n">
        <v>952</v>
      </c>
      <c r="I43" s="2" t="n">
        <v>210</v>
      </c>
      <c r="J43" s="2" t="n">
        <v>952</v>
      </c>
      <c r="K43" s="2" t="n">
        <v>210</v>
      </c>
      <c r="L43" s="2" t="n">
        <v>952</v>
      </c>
      <c r="M43" s="2" t="n">
        <v>210</v>
      </c>
      <c r="N43" s="2" t="n">
        <v>1</v>
      </c>
      <c r="O43" s="2" t="s">
        <v>37</v>
      </c>
      <c r="P43" s="2" t="s">
        <v>63</v>
      </c>
      <c r="Q43" s="2" t="s">
        <v>39</v>
      </c>
      <c r="R43" s="2" t="s">
        <v>39</v>
      </c>
      <c r="S43" s="2" t="s">
        <v>78</v>
      </c>
      <c r="T43" s="2" t="s">
        <v>39</v>
      </c>
      <c r="U43" s="2" t="s">
        <v>79</v>
      </c>
      <c r="V43" s="2" t="s">
        <v>42</v>
      </c>
      <c r="W43" s="2" t="n">
        <v>0</v>
      </c>
      <c r="X43" s="2" t="n">
        <v>0</v>
      </c>
      <c r="Y43" s="2" t="n">
        <v>0</v>
      </c>
      <c r="Z43" s="2" t="s">
        <v>37</v>
      </c>
      <c r="AA43" s="3" t="n">
        <f aca="false">H43*I43/1000000*N43</f>
        <v>0.19992</v>
      </c>
      <c r="AB43" s="3" t="n">
        <f aca="false">(IF(Q43="V",H43,0)+IF(S43="V",H43,0)+IF(R43="V",I43,0)+IF(T43="V",I43,0))/1000*N43</f>
        <v>0</v>
      </c>
      <c r="AC43" s="2"/>
      <c r="AD43" s="2" t="s">
        <v>88</v>
      </c>
      <c r="AE43" s="2" t="s">
        <v>203</v>
      </c>
    </row>
    <row r="44" customFormat="false" ht="15" hidden="false" customHeight="false" outlineLevel="0" collapsed="false">
      <c r="A44" s="2" t="s">
        <v>204</v>
      </c>
      <c r="B44" s="2" t="s">
        <v>205</v>
      </c>
      <c r="C44" s="2" t="s">
        <v>173</v>
      </c>
      <c r="D44" s="2" t="s">
        <v>34</v>
      </c>
      <c r="E44" s="2" t="s">
        <v>76</v>
      </c>
      <c r="F44" s="2" t="s">
        <v>77</v>
      </c>
      <c r="G44" s="2" t="n">
        <v>15</v>
      </c>
      <c r="H44" s="2" t="n">
        <v>952</v>
      </c>
      <c r="I44" s="2" t="n">
        <v>290</v>
      </c>
      <c r="J44" s="2" t="n">
        <v>952</v>
      </c>
      <c r="K44" s="2" t="n">
        <v>290</v>
      </c>
      <c r="L44" s="2" t="n">
        <v>952</v>
      </c>
      <c r="M44" s="2" t="n">
        <v>290</v>
      </c>
      <c r="N44" s="2" t="n">
        <v>1</v>
      </c>
      <c r="O44" s="2" t="s">
        <v>37</v>
      </c>
      <c r="P44" s="2" t="s">
        <v>53</v>
      </c>
      <c r="Q44" s="2" t="s">
        <v>78</v>
      </c>
      <c r="R44" s="2" t="s">
        <v>39</v>
      </c>
      <c r="S44" s="2" t="s">
        <v>78</v>
      </c>
      <c r="T44" s="2" t="s">
        <v>39</v>
      </c>
      <c r="U44" s="2" t="s">
        <v>79</v>
      </c>
      <c r="V44" s="2" t="s">
        <v>42</v>
      </c>
      <c r="W44" s="2" t="n">
        <v>0</v>
      </c>
      <c r="X44" s="2" t="n">
        <v>0</v>
      </c>
      <c r="Y44" s="2" t="n">
        <v>0</v>
      </c>
      <c r="Z44" s="2" t="s">
        <v>37</v>
      </c>
      <c r="AA44" s="3" t="n">
        <f aca="false">H44*I44/1000000*N44</f>
        <v>0.27608</v>
      </c>
      <c r="AB44" s="3" t="n">
        <f aca="false">(IF(Q44="V",H44,0)+IF(S44="V",H44,0)+IF(R44="V",I44,0)+IF(T44="V",I44,0))/1000*N44</f>
        <v>0</v>
      </c>
      <c r="AC44" s="2"/>
      <c r="AD44" s="2" t="s">
        <v>94</v>
      </c>
      <c r="AE44" s="2" t="s">
        <v>206</v>
      </c>
    </row>
    <row r="45" customFormat="false" ht="15" hidden="false" customHeight="false" outlineLevel="0" collapsed="false">
      <c r="A45" s="2" t="s">
        <v>207</v>
      </c>
      <c r="B45" s="2" t="s">
        <v>208</v>
      </c>
      <c r="C45" s="2" t="s">
        <v>209</v>
      </c>
      <c r="D45" s="2" t="s">
        <v>34</v>
      </c>
      <c r="E45" s="2" t="s">
        <v>35</v>
      </c>
      <c r="F45" s="2" t="s">
        <v>36</v>
      </c>
      <c r="G45" s="2" t="n">
        <v>18</v>
      </c>
      <c r="H45" s="2" t="n">
        <v>337</v>
      </c>
      <c r="I45" s="2" t="n">
        <v>420</v>
      </c>
      <c r="J45" s="2" t="n">
        <v>336.2</v>
      </c>
      <c r="K45" s="2" t="n">
        <v>418.4</v>
      </c>
      <c r="L45" s="2" t="n">
        <v>337.2</v>
      </c>
      <c r="M45" s="2" t="n">
        <v>420.4</v>
      </c>
      <c r="N45" s="2" t="n">
        <v>1</v>
      </c>
      <c r="O45" s="2" t="s">
        <v>37</v>
      </c>
      <c r="P45" s="2" t="s">
        <v>38</v>
      </c>
      <c r="Q45" s="2" t="s">
        <v>40</v>
      </c>
      <c r="R45" s="2" t="s">
        <v>40</v>
      </c>
      <c r="S45" s="2" t="s">
        <v>40</v>
      </c>
      <c r="T45" s="2" t="s">
        <v>39</v>
      </c>
      <c r="U45" s="2" t="s">
        <v>99</v>
      </c>
      <c r="V45" s="2" t="s">
        <v>42</v>
      </c>
      <c r="W45" s="2" t="n">
        <v>0</v>
      </c>
      <c r="X45" s="2" t="n">
        <v>9</v>
      </c>
      <c r="Y45" s="2" t="n">
        <v>0</v>
      </c>
      <c r="Z45" s="2" t="s">
        <v>210</v>
      </c>
      <c r="AA45" s="3" t="n">
        <f aca="false">H45*I45/1000000*N45</f>
        <v>0.14154</v>
      </c>
      <c r="AB45" s="3" t="n">
        <f aca="false">(IF(Q45="V",H45,0)+IF(S45="V",H45,0)+IF(R45="V",I45,0)+IF(T45="V",I45,0))/1000*N45</f>
        <v>1.094</v>
      </c>
      <c r="AC45" s="2"/>
      <c r="AD45" s="2" t="s">
        <v>101</v>
      </c>
      <c r="AE45" s="2" t="s">
        <v>211</v>
      </c>
    </row>
    <row r="46" customFormat="false" ht="15" hidden="false" customHeight="false" outlineLevel="0" collapsed="false">
      <c r="A46" s="2" t="s">
        <v>212</v>
      </c>
      <c r="B46" s="2" t="s">
        <v>208</v>
      </c>
      <c r="C46" s="2" t="s">
        <v>209</v>
      </c>
      <c r="D46" s="2" t="s">
        <v>34</v>
      </c>
      <c r="E46" s="2" t="s">
        <v>35</v>
      </c>
      <c r="F46" s="2" t="s">
        <v>36</v>
      </c>
      <c r="G46" s="2" t="n">
        <v>18</v>
      </c>
      <c r="H46" s="2" t="n">
        <v>337</v>
      </c>
      <c r="I46" s="2" t="n">
        <v>420</v>
      </c>
      <c r="J46" s="2" t="n">
        <v>336.2</v>
      </c>
      <c r="K46" s="2" t="n">
        <v>418.4</v>
      </c>
      <c r="L46" s="2" t="n">
        <v>337.2</v>
      </c>
      <c r="M46" s="2" t="n">
        <v>420.4</v>
      </c>
      <c r="N46" s="2" t="n">
        <v>1</v>
      </c>
      <c r="O46" s="2" t="s">
        <v>37</v>
      </c>
      <c r="P46" s="2" t="s">
        <v>38</v>
      </c>
      <c r="Q46" s="2" t="s">
        <v>40</v>
      </c>
      <c r="R46" s="2" t="s">
        <v>40</v>
      </c>
      <c r="S46" s="2" t="s">
        <v>40</v>
      </c>
      <c r="T46" s="2" t="s">
        <v>39</v>
      </c>
      <c r="U46" s="2" t="s">
        <v>99</v>
      </c>
      <c r="V46" s="2" t="s">
        <v>42</v>
      </c>
      <c r="W46" s="2" t="n">
        <v>9</v>
      </c>
      <c r="X46" s="2" t="n">
        <v>0</v>
      </c>
      <c r="Y46" s="2" t="n">
        <v>0</v>
      </c>
      <c r="Z46" s="2" t="s">
        <v>213</v>
      </c>
      <c r="AA46" s="3" t="n">
        <f aca="false">H46*I46/1000000*N46</f>
        <v>0.14154</v>
      </c>
      <c r="AB46" s="3" t="n">
        <f aca="false">(IF(Q46="V",H46,0)+IF(S46="V",H46,0)+IF(R46="V",I46,0)+IF(T46="V",I46,0))/1000*N46</f>
        <v>1.094</v>
      </c>
      <c r="AC46" s="2"/>
      <c r="AD46" s="2" t="s">
        <v>101</v>
      </c>
      <c r="AE46" s="2" t="s">
        <v>214</v>
      </c>
    </row>
    <row r="47" customFormat="false" ht="15" hidden="false" customHeight="false" outlineLevel="0" collapsed="false">
      <c r="A47" s="2" t="s">
        <v>215</v>
      </c>
      <c r="B47" s="2" t="s">
        <v>216</v>
      </c>
      <c r="C47" s="2" t="s">
        <v>209</v>
      </c>
      <c r="D47" s="2" t="s">
        <v>34</v>
      </c>
      <c r="E47" s="2" t="s">
        <v>35</v>
      </c>
      <c r="F47" s="2" t="s">
        <v>36</v>
      </c>
      <c r="G47" s="2" t="n">
        <v>18</v>
      </c>
      <c r="H47" s="2" t="n">
        <v>389</v>
      </c>
      <c r="I47" s="2" t="n">
        <v>337</v>
      </c>
      <c r="J47" s="2" t="n">
        <v>389</v>
      </c>
      <c r="K47" s="2" t="n">
        <v>336.2</v>
      </c>
      <c r="L47" s="2" t="n">
        <v>389</v>
      </c>
      <c r="M47" s="2" t="n">
        <v>337.2</v>
      </c>
      <c r="N47" s="2" t="n">
        <v>1</v>
      </c>
      <c r="O47" s="2" t="s">
        <v>37</v>
      </c>
      <c r="P47" s="2" t="s">
        <v>53</v>
      </c>
      <c r="Q47" s="2" t="s">
        <v>40</v>
      </c>
      <c r="R47" s="2" t="s">
        <v>39</v>
      </c>
      <c r="S47" s="2" t="s">
        <v>39</v>
      </c>
      <c r="T47" s="2" t="s">
        <v>39</v>
      </c>
      <c r="U47" s="2" t="s">
        <v>41</v>
      </c>
      <c r="V47" s="2" t="s">
        <v>42</v>
      </c>
      <c r="W47" s="2" t="n">
        <v>0</v>
      </c>
      <c r="X47" s="2" t="n">
        <v>0</v>
      </c>
      <c r="Y47" s="2" t="n">
        <v>6</v>
      </c>
      <c r="Z47" s="2" t="s">
        <v>217</v>
      </c>
      <c r="AA47" s="3" t="n">
        <f aca="false">H47*I47/1000000*N47</f>
        <v>0.131093</v>
      </c>
      <c r="AB47" s="3" t="n">
        <f aca="false">(IF(Q47="V",H47,0)+IF(S47="V",H47,0)+IF(R47="V",I47,0)+IF(T47="V",I47,0))/1000*N47</f>
        <v>0.389</v>
      </c>
      <c r="AC47" s="2"/>
      <c r="AD47" s="2" t="s">
        <v>109</v>
      </c>
      <c r="AE47" s="2" t="s">
        <v>218</v>
      </c>
    </row>
    <row r="48" customFormat="false" ht="15" hidden="false" customHeight="false" outlineLevel="0" collapsed="false">
      <c r="A48" s="2" t="s">
        <v>219</v>
      </c>
      <c r="B48" s="2" t="s">
        <v>216</v>
      </c>
      <c r="C48" s="2" t="s">
        <v>209</v>
      </c>
      <c r="D48" s="2" t="s">
        <v>34</v>
      </c>
      <c r="E48" s="2" t="s">
        <v>51</v>
      </c>
      <c r="F48" s="2" t="s">
        <v>52</v>
      </c>
      <c r="G48" s="2" t="n">
        <v>18</v>
      </c>
      <c r="H48" s="2" t="n">
        <v>389</v>
      </c>
      <c r="I48" s="2" t="n">
        <v>337</v>
      </c>
      <c r="J48" s="2" t="n">
        <v>389</v>
      </c>
      <c r="K48" s="2" t="n">
        <v>337</v>
      </c>
      <c r="L48" s="2" t="n">
        <v>399</v>
      </c>
      <c r="M48" s="2" t="n">
        <v>347</v>
      </c>
      <c r="N48" s="2" t="n">
        <v>1</v>
      </c>
      <c r="O48" s="2" t="s">
        <v>37</v>
      </c>
      <c r="P48" s="2" t="s">
        <v>53</v>
      </c>
      <c r="Q48" s="2" t="s">
        <v>54</v>
      </c>
      <c r="R48" s="2" t="s">
        <v>39</v>
      </c>
      <c r="S48" s="2" t="s">
        <v>54</v>
      </c>
      <c r="T48" s="2" t="s">
        <v>39</v>
      </c>
      <c r="U48" s="2" t="s">
        <v>55</v>
      </c>
      <c r="V48" s="2" t="s">
        <v>42</v>
      </c>
      <c r="W48" s="2" t="n">
        <v>0</v>
      </c>
      <c r="X48" s="2" t="n">
        <v>0</v>
      </c>
      <c r="Y48" s="2" t="n">
        <v>6</v>
      </c>
      <c r="Z48" s="2" t="s">
        <v>220</v>
      </c>
      <c r="AA48" s="3" t="n">
        <f aca="false">H48*I48/1000000*N48</f>
        <v>0.131093</v>
      </c>
      <c r="AB48" s="3" t="n">
        <f aca="false">(IF(Q48="V",H48,0)+IF(S48="V",H48,0)+IF(R48="V",I48,0)+IF(T48="V",I48,0))/1000*N48</f>
        <v>0</v>
      </c>
      <c r="AC48" s="2"/>
      <c r="AD48" s="2" t="s">
        <v>57</v>
      </c>
      <c r="AE48" s="2" t="s">
        <v>221</v>
      </c>
    </row>
    <row r="49" customFormat="false" ht="15" hidden="false" customHeight="false" outlineLevel="0" collapsed="false">
      <c r="A49" s="2" t="s">
        <v>222</v>
      </c>
      <c r="B49" s="2" t="s">
        <v>223</v>
      </c>
      <c r="C49" s="2" t="s">
        <v>209</v>
      </c>
      <c r="D49" s="2" t="s">
        <v>34</v>
      </c>
      <c r="E49" s="2" t="s">
        <v>61</v>
      </c>
      <c r="F49" s="2" t="s">
        <v>62</v>
      </c>
      <c r="G49" s="2" t="n">
        <v>8</v>
      </c>
      <c r="H49" s="2" t="n">
        <v>389</v>
      </c>
      <c r="I49" s="2" t="n">
        <v>384</v>
      </c>
      <c r="J49" s="2" t="n">
        <v>389</v>
      </c>
      <c r="K49" s="2" t="n">
        <v>384</v>
      </c>
      <c r="L49" s="2" t="n">
        <v>389</v>
      </c>
      <c r="M49" s="2" t="n">
        <v>384</v>
      </c>
      <c r="N49" s="2" t="n">
        <v>1</v>
      </c>
      <c r="O49" s="2" t="s">
        <v>37</v>
      </c>
      <c r="P49" s="2" t="s">
        <v>63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37</v>
      </c>
      <c r="V49" s="2" t="s">
        <v>42</v>
      </c>
      <c r="W49" s="2" t="n">
        <v>0</v>
      </c>
      <c r="X49" s="2" t="n">
        <v>0</v>
      </c>
      <c r="Y49" s="2" t="n">
        <v>0</v>
      </c>
      <c r="Z49" s="2" t="s">
        <v>37</v>
      </c>
      <c r="AA49" s="3" t="n">
        <f aca="false">H49*I49/1000000*N49</f>
        <v>0.149376</v>
      </c>
      <c r="AB49" s="3" t="n">
        <f aca="false">(IF(Q49="V",H49,0)+IF(S49="V",H49,0)+IF(R49="V",I49,0)+IF(T49="V",I49,0))/1000*N49</f>
        <v>0</v>
      </c>
      <c r="AC49" s="2"/>
      <c r="AD49" s="2" t="s">
        <v>64</v>
      </c>
      <c r="AE49" s="2" t="s">
        <v>224</v>
      </c>
    </row>
    <row r="50" customFormat="false" ht="15" hidden="false" customHeight="false" outlineLevel="0" collapsed="false">
      <c r="A50" s="2" t="s">
        <v>225</v>
      </c>
      <c r="B50" s="2" t="s">
        <v>226</v>
      </c>
      <c r="C50" s="2" t="s">
        <v>209</v>
      </c>
      <c r="D50" s="2" t="s">
        <v>34</v>
      </c>
      <c r="E50" s="2" t="s">
        <v>68</v>
      </c>
      <c r="F50" s="2" t="s">
        <v>69</v>
      </c>
      <c r="G50" s="2" t="n">
        <v>18</v>
      </c>
      <c r="H50" s="2" t="n">
        <v>422</v>
      </c>
      <c r="I50" s="2" t="n">
        <v>378</v>
      </c>
      <c r="J50" s="2" t="n">
        <v>418</v>
      </c>
      <c r="K50" s="2" t="n">
        <v>374</v>
      </c>
      <c r="L50" s="2" t="n">
        <v>430</v>
      </c>
      <c r="M50" s="2" t="n">
        <v>386</v>
      </c>
      <c r="N50" s="2" t="n">
        <v>1</v>
      </c>
      <c r="O50" s="2" t="s">
        <v>70</v>
      </c>
      <c r="P50" s="2" t="s">
        <v>63</v>
      </c>
      <c r="Q50" s="2" t="s">
        <v>40</v>
      </c>
      <c r="R50" s="2" t="s">
        <v>40</v>
      </c>
      <c r="S50" s="2" t="s">
        <v>40</v>
      </c>
      <c r="T50" s="2" t="s">
        <v>40</v>
      </c>
      <c r="U50" s="2" t="s">
        <v>71</v>
      </c>
      <c r="V50" s="2" t="s">
        <v>42</v>
      </c>
      <c r="W50" s="2" t="n">
        <v>0</v>
      </c>
      <c r="X50" s="2" t="n">
        <v>0</v>
      </c>
      <c r="Y50" s="2" t="n">
        <v>0</v>
      </c>
      <c r="Z50" s="2" t="s">
        <v>37</v>
      </c>
      <c r="AA50" s="3" t="n">
        <f aca="false">H50*I50/1000000*N50</f>
        <v>0.159516</v>
      </c>
      <c r="AB50" s="3" t="n">
        <f aca="false">(IF(Q50="V",H50,0)+IF(S50="V",H50,0)+IF(R50="V",I50,0)+IF(T50="V",I50,0))/1000*N50</f>
        <v>1.6</v>
      </c>
      <c r="AC50" s="2"/>
      <c r="AD50" s="2" t="s">
        <v>72</v>
      </c>
      <c r="AE50" s="2" t="s">
        <v>227</v>
      </c>
    </row>
    <row r="51" customFormat="false" ht="15" hidden="false" customHeight="false" outlineLevel="0" collapsed="false">
      <c r="A51" s="2" t="s">
        <v>228</v>
      </c>
      <c r="B51" s="2" t="s">
        <v>229</v>
      </c>
      <c r="C51" s="2" t="s">
        <v>209</v>
      </c>
      <c r="D51" s="2" t="s">
        <v>34</v>
      </c>
      <c r="E51" s="2" t="s">
        <v>76</v>
      </c>
      <c r="F51" s="2" t="s">
        <v>77</v>
      </c>
      <c r="G51" s="2" t="n">
        <v>15</v>
      </c>
      <c r="H51" s="2" t="n">
        <v>290</v>
      </c>
      <c r="I51" s="2" t="n">
        <v>237</v>
      </c>
      <c r="J51" s="2" t="n">
        <v>290</v>
      </c>
      <c r="K51" s="2" t="n">
        <v>237</v>
      </c>
      <c r="L51" s="2" t="n">
        <v>290</v>
      </c>
      <c r="M51" s="2" t="n">
        <v>237</v>
      </c>
      <c r="N51" s="2" t="n">
        <v>1</v>
      </c>
      <c r="O51" s="2" t="s">
        <v>37</v>
      </c>
      <c r="P51" s="2" t="s">
        <v>38</v>
      </c>
      <c r="Q51" s="2" t="s">
        <v>78</v>
      </c>
      <c r="R51" s="2" t="s">
        <v>78</v>
      </c>
      <c r="S51" s="2" t="s">
        <v>78</v>
      </c>
      <c r="T51" s="2" t="s">
        <v>78</v>
      </c>
      <c r="U51" s="2" t="s">
        <v>79</v>
      </c>
      <c r="V51" s="2" t="s">
        <v>42</v>
      </c>
      <c r="W51" s="2" t="n">
        <v>0</v>
      </c>
      <c r="X51" s="2" t="n">
        <v>0</v>
      </c>
      <c r="Y51" s="2" t="n">
        <v>1</v>
      </c>
      <c r="Z51" s="2" t="s">
        <v>230</v>
      </c>
      <c r="AA51" s="3" t="n">
        <f aca="false">H51*I51/1000000*N51</f>
        <v>0.06873</v>
      </c>
      <c r="AB51" s="3" t="n">
        <f aca="false">(IF(Q51="V",H51,0)+IF(S51="V",H51,0)+IF(R51="V",I51,0)+IF(T51="V",I51,0))/1000*N51</f>
        <v>0</v>
      </c>
      <c r="AC51" s="2"/>
      <c r="AD51" s="2" t="s">
        <v>81</v>
      </c>
      <c r="AE51" s="2" t="s">
        <v>231</v>
      </c>
    </row>
    <row r="52" customFormat="false" ht="15" hidden="false" customHeight="false" outlineLevel="0" collapsed="false">
      <c r="A52" s="2" t="s">
        <v>232</v>
      </c>
      <c r="B52" s="2" t="s">
        <v>229</v>
      </c>
      <c r="C52" s="2" t="s">
        <v>209</v>
      </c>
      <c r="D52" s="2" t="s">
        <v>34</v>
      </c>
      <c r="E52" s="2" t="s">
        <v>76</v>
      </c>
      <c r="F52" s="2" t="s">
        <v>77</v>
      </c>
      <c r="G52" s="2" t="n">
        <v>15</v>
      </c>
      <c r="H52" s="2" t="n">
        <v>290</v>
      </c>
      <c r="I52" s="2" t="n">
        <v>237</v>
      </c>
      <c r="J52" s="2" t="n">
        <v>290</v>
      </c>
      <c r="K52" s="2" t="n">
        <v>237</v>
      </c>
      <c r="L52" s="2" t="n">
        <v>290</v>
      </c>
      <c r="M52" s="2" t="n">
        <v>237</v>
      </c>
      <c r="N52" s="2" t="n">
        <v>1</v>
      </c>
      <c r="O52" s="2" t="s">
        <v>37</v>
      </c>
      <c r="P52" s="2" t="s">
        <v>38</v>
      </c>
      <c r="Q52" s="2" t="s">
        <v>78</v>
      </c>
      <c r="R52" s="2" t="s">
        <v>78</v>
      </c>
      <c r="S52" s="2" t="s">
        <v>78</v>
      </c>
      <c r="T52" s="2" t="s">
        <v>78</v>
      </c>
      <c r="U52" s="2" t="s">
        <v>79</v>
      </c>
      <c r="V52" s="2" t="s">
        <v>42</v>
      </c>
      <c r="W52" s="2" t="n">
        <v>0</v>
      </c>
      <c r="X52" s="2" t="n">
        <v>0</v>
      </c>
      <c r="Y52" s="2" t="n">
        <v>1</v>
      </c>
      <c r="Z52" s="2" t="s">
        <v>233</v>
      </c>
      <c r="AA52" s="3" t="n">
        <f aca="false">H52*I52/1000000*N52</f>
        <v>0.06873</v>
      </c>
      <c r="AB52" s="3" t="n">
        <f aca="false">(IF(Q52="V",H52,0)+IF(S52="V",H52,0)+IF(R52="V",I52,0)+IF(T52="V",I52,0))/1000*N52</f>
        <v>0</v>
      </c>
      <c r="AC52" s="2"/>
      <c r="AD52" s="2" t="s">
        <v>81</v>
      </c>
      <c r="AE52" s="2" t="s">
        <v>234</v>
      </c>
    </row>
    <row r="53" customFormat="false" ht="15" hidden="false" customHeight="false" outlineLevel="0" collapsed="false">
      <c r="A53" s="2" t="s">
        <v>235</v>
      </c>
      <c r="B53" s="2" t="s">
        <v>236</v>
      </c>
      <c r="C53" s="2" t="s">
        <v>209</v>
      </c>
      <c r="D53" s="2" t="s">
        <v>34</v>
      </c>
      <c r="E53" s="2" t="s">
        <v>76</v>
      </c>
      <c r="F53" s="2" t="s">
        <v>77</v>
      </c>
      <c r="G53" s="2" t="n">
        <v>15</v>
      </c>
      <c r="H53" s="2" t="n">
        <v>347</v>
      </c>
      <c r="I53" s="2" t="n">
        <v>210</v>
      </c>
      <c r="J53" s="2" t="n">
        <v>347</v>
      </c>
      <c r="K53" s="2" t="n">
        <v>210</v>
      </c>
      <c r="L53" s="2" t="n">
        <v>347</v>
      </c>
      <c r="M53" s="2" t="n">
        <v>210</v>
      </c>
      <c r="N53" s="2" t="n">
        <v>1</v>
      </c>
      <c r="O53" s="2" t="s">
        <v>37</v>
      </c>
      <c r="P53" s="2" t="s">
        <v>63</v>
      </c>
      <c r="Q53" s="2" t="s">
        <v>39</v>
      </c>
      <c r="R53" s="2" t="s">
        <v>39</v>
      </c>
      <c r="S53" s="2" t="s">
        <v>78</v>
      </c>
      <c r="T53" s="2" t="s">
        <v>39</v>
      </c>
      <c r="U53" s="2" t="s">
        <v>79</v>
      </c>
      <c r="V53" s="2" t="s">
        <v>42</v>
      </c>
      <c r="W53" s="2" t="n">
        <v>0</v>
      </c>
      <c r="X53" s="2" t="n">
        <v>0</v>
      </c>
      <c r="Y53" s="2" t="n">
        <v>0</v>
      </c>
      <c r="Z53" s="2" t="s">
        <v>37</v>
      </c>
      <c r="AA53" s="3" t="n">
        <f aca="false">H53*I53/1000000*N53</f>
        <v>0.07287</v>
      </c>
      <c r="AB53" s="3" t="n">
        <f aca="false">(IF(Q53="V",H53,0)+IF(S53="V",H53,0)+IF(R53="V",I53,0)+IF(T53="V",I53,0))/1000*N53</f>
        <v>0</v>
      </c>
      <c r="AC53" s="2"/>
      <c r="AD53" s="2" t="s">
        <v>88</v>
      </c>
      <c r="AE53" s="2" t="s">
        <v>237</v>
      </c>
    </row>
    <row r="54" customFormat="false" ht="15" hidden="false" customHeight="false" outlineLevel="0" collapsed="false">
      <c r="A54" s="2" t="s">
        <v>238</v>
      </c>
      <c r="B54" s="2" t="s">
        <v>236</v>
      </c>
      <c r="C54" s="2" t="s">
        <v>209</v>
      </c>
      <c r="D54" s="2" t="s">
        <v>34</v>
      </c>
      <c r="E54" s="2" t="s">
        <v>76</v>
      </c>
      <c r="F54" s="2" t="s">
        <v>77</v>
      </c>
      <c r="G54" s="2" t="n">
        <v>15</v>
      </c>
      <c r="H54" s="2" t="n">
        <v>347</v>
      </c>
      <c r="I54" s="2" t="n">
        <v>210</v>
      </c>
      <c r="J54" s="2" t="n">
        <v>347</v>
      </c>
      <c r="K54" s="2" t="n">
        <v>210</v>
      </c>
      <c r="L54" s="2" t="n">
        <v>347</v>
      </c>
      <c r="M54" s="2" t="n">
        <v>210</v>
      </c>
      <c r="N54" s="2" t="n">
        <v>1</v>
      </c>
      <c r="O54" s="2" t="s">
        <v>37</v>
      </c>
      <c r="P54" s="2" t="s">
        <v>63</v>
      </c>
      <c r="Q54" s="2" t="s">
        <v>39</v>
      </c>
      <c r="R54" s="2" t="s">
        <v>39</v>
      </c>
      <c r="S54" s="2" t="s">
        <v>78</v>
      </c>
      <c r="T54" s="2" t="s">
        <v>39</v>
      </c>
      <c r="U54" s="2" t="s">
        <v>79</v>
      </c>
      <c r="V54" s="2" t="s">
        <v>42</v>
      </c>
      <c r="W54" s="2" t="n">
        <v>0</v>
      </c>
      <c r="X54" s="2" t="n">
        <v>0</v>
      </c>
      <c r="Y54" s="2" t="n">
        <v>0</v>
      </c>
      <c r="Z54" s="2" t="s">
        <v>37</v>
      </c>
      <c r="AA54" s="3" t="n">
        <f aca="false">H54*I54/1000000*N54</f>
        <v>0.07287</v>
      </c>
      <c r="AB54" s="3" t="n">
        <f aca="false">(IF(Q54="V",H54,0)+IF(S54="V",H54,0)+IF(R54="V",I54,0)+IF(T54="V",I54,0))/1000*N54</f>
        <v>0</v>
      </c>
      <c r="AC54" s="2"/>
      <c r="AD54" s="2" t="s">
        <v>88</v>
      </c>
      <c r="AE54" s="2" t="s">
        <v>239</v>
      </c>
    </row>
    <row r="55" customFormat="false" ht="15" hidden="false" customHeight="false" outlineLevel="0" collapsed="false">
      <c r="A55" s="2" t="s">
        <v>240</v>
      </c>
      <c r="B55" s="2" t="s">
        <v>241</v>
      </c>
      <c r="C55" s="2" t="s">
        <v>209</v>
      </c>
      <c r="D55" s="2" t="s">
        <v>34</v>
      </c>
      <c r="E55" s="2" t="s">
        <v>76</v>
      </c>
      <c r="F55" s="2" t="s">
        <v>77</v>
      </c>
      <c r="G55" s="2" t="n">
        <v>15</v>
      </c>
      <c r="H55" s="2" t="n">
        <v>347</v>
      </c>
      <c r="I55" s="2" t="n">
        <v>290</v>
      </c>
      <c r="J55" s="2" t="n">
        <v>347</v>
      </c>
      <c r="K55" s="2" t="n">
        <v>290</v>
      </c>
      <c r="L55" s="2" t="n">
        <v>347</v>
      </c>
      <c r="M55" s="2" t="n">
        <v>290</v>
      </c>
      <c r="N55" s="2" t="n">
        <v>1</v>
      </c>
      <c r="O55" s="2" t="s">
        <v>37</v>
      </c>
      <c r="P55" s="2" t="s">
        <v>53</v>
      </c>
      <c r="Q55" s="2" t="s">
        <v>78</v>
      </c>
      <c r="R55" s="2" t="s">
        <v>39</v>
      </c>
      <c r="S55" s="2" t="s">
        <v>78</v>
      </c>
      <c r="T55" s="2" t="s">
        <v>39</v>
      </c>
      <c r="U55" s="2" t="s">
        <v>79</v>
      </c>
      <c r="V55" s="2" t="s">
        <v>42</v>
      </c>
      <c r="W55" s="2" t="n">
        <v>0</v>
      </c>
      <c r="X55" s="2" t="n">
        <v>0</v>
      </c>
      <c r="Y55" s="2" t="n">
        <v>0</v>
      </c>
      <c r="Z55" s="2" t="s">
        <v>37</v>
      </c>
      <c r="AA55" s="3" t="n">
        <f aca="false">H55*I55/1000000*N55</f>
        <v>0.10063</v>
      </c>
      <c r="AB55" s="3" t="n">
        <f aca="false">(IF(Q55="V",H55,0)+IF(S55="V",H55,0)+IF(R55="V",I55,0)+IF(T55="V",I55,0))/1000*N55</f>
        <v>0</v>
      </c>
      <c r="AC55" s="2"/>
      <c r="AD55" s="2" t="s">
        <v>94</v>
      </c>
      <c r="AE55" s="2" t="s">
        <v>242</v>
      </c>
    </row>
    <row r="56" customFormat="false" ht="15" hidden="false" customHeight="false" outlineLevel="0" collapsed="false">
      <c r="A56" s="2" t="s">
        <v>243</v>
      </c>
      <c r="B56" s="2" t="s">
        <v>244</v>
      </c>
      <c r="C56" s="2" t="s">
        <v>245</v>
      </c>
      <c r="D56" s="2" t="s">
        <v>34</v>
      </c>
      <c r="E56" s="2" t="s">
        <v>35</v>
      </c>
      <c r="F56" s="2" t="s">
        <v>36</v>
      </c>
      <c r="G56" s="2" t="n">
        <v>18</v>
      </c>
      <c r="H56" s="2" t="n">
        <v>337</v>
      </c>
      <c r="I56" s="2" t="n">
        <v>420</v>
      </c>
      <c r="J56" s="2" t="n">
        <v>336.2</v>
      </c>
      <c r="K56" s="2" t="n">
        <v>418.4</v>
      </c>
      <c r="L56" s="2" t="n">
        <v>337.2</v>
      </c>
      <c r="M56" s="2" t="n">
        <v>420.4</v>
      </c>
      <c r="N56" s="2" t="n">
        <v>1</v>
      </c>
      <c r="O56" s="2" t="s">
        <v>37</v>
      </c>
      <c r="P56" s="2" t="s">
        <v>38</v>
      </c>
      <c r="Q56" s="2" t="s">
        <v>40</v>
      </c>
      <c r="R56" s="2" t="s">
        <v>40</v>
      </c>
      <c r="S56" s="2" t="s">
        <v>40</v>
      </c>
      <c r="T56" s="2" t="s">
        <v>39</v>
      </c>
      <c r="U56" s="2" t="s">
        <v>99</v>
      </c>
      <c r="V56" s="2" t="s">
        <v>42</v>
      </c>
      <c r="W56" s="2" t="n">
        <v>0</v>
      </c>
      <c r="X56" s="2" t="n">
        <v>9</v>
      </c>
      <c r="Y56" s="2" t="n">
        <v>0</v>
      </c>
      <c r="Z56" s="2" t="s">
        <v>246</v>
      </c>
      <c r="AA56" s="3" t="n">
        <f aca="false">H56*I56/1000000*N56</f>
        <v>0.14154</v>
      </c>
      <c r="AB56" s="3" t="n">
        <f aca="false">(IF(Q56="V",H56,0)+IF(S56="V",H56,0)+IF(R56="V",I56,0)+IF(T56="V",I56,0))/1000*N56</f>
        <v>1.094</v>
      </c>
      <c r="AC56" s="2"/>
      <c r="AD56" s="2" t="s">
        <v>101</v>
      </c>
      <c r="AE56" s="2" t="s">
        <v>247</v>
      </c>
    </row>
    <row r="57" customFormat="false" ht="15" hidden="false" customHeight="false" outlineLevel="0" collapsed="false">
      <c r="A57" s="2" t="s">
        <v>248</v>
      </c>
      <c r="B57" s="2" t="s">
        <v>244</v>
      </c>
      <c r="C57" s="2" t="s">
        <v>245</v>
      </c>
      <c r="D57" s="2" t="s">
        <v>34</v>
      </c>
      <c r="E57" s="2" t="s">
        <v>51</v>
      </c>
      <c r="F57" s="2" t="s">
        <v>52</v>
      </c>
      <c r="G57" s="2" t="n">
        <v>18</v>
      </c>
      <c r="H57" s="2" t="n">
        <v>337</v>
      </c>
      <c r="I57" s="2" t="n">
        <v>260</v>
      </c>
      <c r="J57" s="2" t="n">
        <v>337</v>
      </c>
      <c r="K57" s="2" t="n">
        <v>260</v>
      </c>
      <c r="L57" s="2" t="n">
        <v>347</v>
      </c>
      <c r="M57" s="2" t="n">
        <v>270</v>
      </c>
      <c r="N57" s="2" t="n">
        <v>1</v>
      </c>
      <c r="O57" s="2" t="s">
        <v>37</v>
      </c>
      <c r="P57" s="2" t="s">
        <v>249</v>
      </c>
      <c r="Q57" s="2" t="s">
        <v>39</v>
      </c>
      <c r="R57" s="2" t="s">
        <v>54</v>
      </c>
      <c r="S57" s="2" t="s">
        <v>39</v>
      </c>
      <c r="T57" s="2" t="s">
        <v>54</v>
      </c>
      <c r="U57" s="2" t="s">
        <v>55</v>
      </c>
      <c r="V57" s="2" t="s">
        <v>42</v>
      </c>
      <c r="W57" s="2" t="n">
        <v>0</v>
      </c>
      <c r="X57" s="2" t="n">
        <v>7</v>
      </c>
      <c r="Y57" s="2" t="n">
        <v>10</v>
      </c>
      <c r="Z57" s="2" t="s">
        <v>250</v>
      </c>
      <c r="AA57" s="3" t="n">
        <f aca="false">H57*I57/1000000*N57</f>
        <v>0.08762</v>
      </c>
      <c r="AB57" s="3" t="n">
        <f aca="false">(IF(Q57="V",H57,0)+IF(S57="V",H57,0)+IF(R57="V",I57,0)+IF(T57="V",I57,0))/1000*N57</f>
        <v>0</v>
      </c>
      <c r="AC57" s="2"/>
      <c r="AD57" s="2" t="s">
        <v>251</v>
      </c>
      <c r="AE57" s="2" t="s">
        <v>252</v>
      </c>
    </row>
    <row r="58" customFormat="false" ht="15" hidden="false" customHeight="false" outlineLevel="0" collapsed="false">
      <c r="A58" s="2" t="s">
        <v>253</v>
      </c>
      <c r="B58" s="2" t="s">
        <v>254</v>
      </c>
      <c r="C58" s="2" t="s">
        <v>245</v>
      </c>
      <c r="D58" s="2" t="s">
        <v>34</v>
      </c>
      <c r="E58" s="2" t="s">
        <v>35</v>
      </c>
      <c r="F58" s="2" t="s">
        <v>36</v>
      </c>
      <c r="G58" s="2" t="n">
        <v>18</v>
      </c>
      <c r="H58" s="2" t="n">
        <v>327</v>
      </c>
      <c r="I58" s="2" t="n">
        <v>337</v>
      </c>
      <c r="J58" s="2" t="n">
        <v>327</v>
      </c>
      <c r="K58" s="2" t="n">
        <v>336.2</v>
      </c>
      <c r="L58" s="2" t="n">
        <v>327</v>
      </c>
      <c r="M58" s="2" t="n">
        <v>337.2</v>
      </c>
      <c r="N58" s="2" t="n">
        <v>1</v>
      </c>
      <c r="O58" s="2" t="s">
        <v>37</v>
      </c>
      <c r="P58" s="2" t="s">
        <v>53</v>
      </c>
      <c r="Q58" s="2" t="s">
        <v>40</v>
      </c>
      <c r="R58" s="2" t="s">
        <v>39</v>
      </c>
      <c r="S58" s="2" t="s">
        <v>39</v>
      </c>
      <c r="T58" s="2" t="s">
        <v>39</v>
      </c>
      <c r="U58" s="2" t="s">
        <v>41</v>
      </c>
      <c r="V58" s="2" t="s">
        <v>42</v>
      </c>
      <c r="W58" s="2" t="n">
        <v>2</v>
      </c>
      <c r="X58" s="2" t="n">
        <v>0</v>
      </c>
      <c r="Y58" s="2" t="n">
        <v>8</v>
      </c>
      <c r="Z58" s="2" t="s">
        <v>255</v>
      </c>
      <c r="AA58" s="3" t="n">
        <f aca="false">H58*I58/1000000*N58</f>
        <v>0.110199</v>
      </c>
      <c r="AB58" s="3" t="n">
        <f aca="false">(IF(Q58="V",H58,0)+IF(S58="V",H58,0)+IF(R58="V",I58,0)+IF(T58="V",I58,0))/1000*N58</f>
        <v>0.327</v>
      </c>
      <c r="AC58" s="2"/>
      <c r="AD58" s="2" t="s">
        <v>256</v>
      </c>
      <c r="AE58" s="2" t="s">
        <v>257</v>
      </c>
    </row>
    <row r="59" customFormat="false" ht="15" hidden="false" customHeight="false" outlineLevel="0" collapsed="false">
      <c r="A59" s="2" t="s">
        <v>258</v>
      </c>
      <c r="B59" s="2" t="s">
        <v>254</v>
      </c>
      <c r="C59" s="2" t="s">
        <v>245</v>
      </c>
      <c r="D59" s="2" t="s">
        <v>34</v>
      </c>
      <c r="E59" s="2" t="s">
        <v>51</v>
      </c>
      <c r="F59" s="2" t="s">
        <v>52</v>
      </c>
      <c r="G59" s="2" t="n">
        <v>18</v>
      </c>
      <c r="H59" s="2" t="n">
        <v>327</v>
      </c>
      <c r="I59" s="2" t="n">
        <v>337</v>
      </c>
      <c r="J59" s="2" t="n">
        <v>327</v>
      </c>
      <c r="K59" s="2" t="n">
        <v>337</v>
      </c>
      <c r="L59" s="2" t="n">
        <v>337</v>
      </c>
      <c r="M59" s="2" t="n">
        <v>347</v>
      </c>
      <c r="N59" s="2" t="n">
        <v>1</v>
      </c>
      <c r="O59" s="2" t="s">
        <v>37</v>
      </c>
      <c r="P59" s="2" t="s">
        <v>53</v>
      </c>
      <c r="Q59" s="2" t="s">
        <v>54</v>
      </c>
      <c r="R59" s="2" t="s">
        <v>39</v>
      </c>
      <c r="S59" s="2" t="s">
        <v>54</v>
      </c>
      <c r="T59" s="2" t="s">
        <v>39</v>
      </c>
      <c r="U59" s="2" t="s">
        <v>55</v>
      </c>
      <c r="V59" s="2" t="s">
        <v>42</v>
      </c>
      <c r="W59" s="2" t="n">
        <v>0</v>
      </c>
      <c r="X59" s="2" t="n">
        <v>2</v>
      </c>
      <c r="Y59" s="2" t="n">
        <v>8</v>
      </c>
      <c r="Z59" s="2" t="s">
        <v>259</v>
      </c>
      <c r="AA59" s="3" t="n">
        <f aca="false">H59*I59/1000000*N59</f>
        <v>0.110199</v>
      </c>
      <c r="AB59" s="3" t="n">
        <f aca="false">(IF(Q59="V",H59,0)+IF(S59="V",H59,0)+IF(R59="V",I59,0)+IF(T59="V",I59,0))/1000*N59</f>
        <v>0</v>
      </c>
      <c r="AC59" s="2"/>
      <c r="AD59" s="2" t="s">
        <v>260</v>
      </c>
      <c r="AE59" s="2" t="s">
        <v>261</v>
      </c>
    </row>
    <row r="60" customFormat="false" ht="15" hidden="false" customHeight="false" outlineLevel="0" collapsed="false">
      <c r="A60" s="2" t="s">
        <v>262</v>
      </c>
      <c r="B60" s="2" t="s">
        <v>263</v>
      </c>
      <c r="C60" s="2" t="s">
        <v>245</v>
      </c>
      <c r="D60" s="2" t="s">
        <v>34</v>
      </c>
      <c r="E60" s="2" t="s">
        <v>61</v>
      </c>
      <c r="F60" s="2" t="s">
        <v>62</v>
      </c>
      <c r="G60" s="2" t="n">
        <v>8</v>
      </c>
      <c r="H60" s="2" t="n">
        <v>389</v>
      </c>
      <c r="I60" s="2" t="n">
        <v>384</v>
      </c>
      <c r="J60" s="2" t="n">
        <v>389</v>
      </c>
      <c r="K60" s="2" t="n">
        <v>384</v>
      </c>
      <c r="L60" s="2" t="n">
        <v>389</v>
      </c>
      <c r="M60" s="2" t="n">
        <v>384</v>
      </c>
      <c r="N60" s="2" t="n">
        <v>1</v>
      </c>
      <c r="O60" s="2" t="s">
        <v>37</v>
      </c>
      <c r="P60" s="2" t="s">
        <v>63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37</v>
      </c>
      <c r="V60" s="2" t="s">
        <v>42</v>
      </c>
      <c r="W60" s="2" t="n">
        <v>0</v>
      </c>
      <c r="X60" s="2" t="n">
        <v>0</v>
      </c>
      <c r="Y60" s="2" t="n">
        <v>0</v>
      </c>
      <c r="Z60" s="2" t="s">
        <v>37</v>
      </c>
      <c r="AA60" s="3" t="n">
        <f aca="false">H60*I60/1000000*N60</f>
        <v>0.149376</v>
      </c>
      <c r="AB60" s="3" t="n">
        <f aca="false">(IF(Q60="V",H60,0)+IF(S60="V",H60,0)+IF(R60="V",I60,0)+IF(T60="V",I60,0))/1000*N60</f>
        <v>0</v>
      </c>
      <c r="AC60" s="2" t="s">
        <v>264</v>
      </c>
      <c r="AD60" s="2" t="s">
        <v>64</v>
      </c>
      <c r="AE60" s="2" t="s">
        <v>265</v>
      </c>
    </row>
    <row r="61" customFormat="false" ht="15" hidden="false" customHeight="false" outlineLevel="0" collapsed="false">
      <c r="A61" s="2" t="s">
        <v>266</v>
      </c>
      <c r="B61" s="2" t="s">
        <v>267</v>
      </c>
      <c r="C61" s="2" t="s">
        <v>245</v>
      </c>
      <c r="D61" s="2" t="s">
        <v>34</v>
      </c>
      <c r="E61" s="2" t="s">
        <v>68</v>
      </c>
      <c r="F61" s="2" t="s">
        <v>69</v>
      </c>
      <c r="G61" s="2" t="n">
        <v>18</v>
      </c>
      <c r="H61" s="2" t="n">
        <v>402.5</v>
      </c>
      <c r="I61" s="2" t="n">
        <v>378</v>
      </c>
      <c r="J61" s="2" t="n">
        <v>398.5</v>
      </c>
      <c r="K61" s="2" t="n">
        <v>374</v>
      </c>
      <c r="L61" s="2" t="n">
        <v>410.5</v>
      </c>
      <c r="M61" s="2" t="n">
        <v>386</v>
      </c>
      <c r="N61" s="2" t="n">
        <v>1</v>
      </c>
      <c r="O61" s="2" t="s">
        <v>70</v>
      </c>
      <c r="P61" s="2" t="s">
        <v>63</v>
      </c>
      <c r="Q61" s="2" t="s">
        <v>40</v>
      </c>
      <c r="R61" s="2" t="s">
        <v>40</v>
      </c>
      <c r="S61" s="2" t="s">
        <v>40</v>
      </c>
      <c r="T61" s="2" t="s">
        <v>40</v>
      </c>
      <c r="U61" s="2" t="s">
        <v>71</v>
      </c>
      <c r="V61" s="2" t="s">
        <v>42</v>
      </c>
      <c r="W61" s="2" t="n">
        <v>0</v>
      </c>
      <c r="X61" s="2" t="n">
        <v>0</v>
      </c>
      <c r="Y61" s="2" t="n">
        <v>0</v>
      </c>
      <c r="Z61" s="2" t="s">
        <v>37</v>
      </c>
      <c r="AA61" s="3" t="n">
        <f aca="false">H61*I61/1000000*N61</f>
        <v>0.152145</v>
      </c>
      <c r="AB61" s="3" t="n">
        <f aca="false">(IF(Q61="V",H61,0)+IF(S61="V",H61,0)+IF(R61="V",I61,0)+IF(T61="V",I61,0))/1000*N61</f>
        <v>1.561</v>
      </c>
      <c r="AC61" s="2" t="s">
        <v>264</v>
      </c>
      <c r="AD61" s="2" t="s">
        <v>72</v>
      </c>
      <c r="AE61" s="2" t="s">
        <v>268</v>
      </c>
    </row>
    <row r="62" customFormat="false" ht="15" hidden="false" customHeight="false" outlineLevel="0" collapsed="false">
      <c r="A62" s="2" t="s">
        <v>269</v>
      </c>
      <c r="B62" s="2" t="s">
        <v>270</v>
      </c>
      <c r="C62" s="2" t="s">
        <v>245</v>
      </c>
      <c r="D62" s="2" t="s">
        <v>34</v>
      </c>
      <c r="E62" s="2" t="s">
        <v>76</v>
      </c>
      <c r="F62" s="2" t="s">
        <v>77</v>
      </c>
      <c r="G62" s="2" t="n">
        <v>15</v>
      </c>
      <c r="H62" s="2" t="n">
        <v>290</v>
      </c>
      <c r="I62" s="2" t="n">
        <v>202</v>
      </c>
      <c r="J62" s="2" t="n">
        <v>290</v>
      </c>
      <c r="K62" s="2" t="n">
        <v>202</v>
      </c>
      <c r="L62" s="2" t="n">
        <v>290</v>
      </c>
      <c r="M62" s="2" t="n">
        <v>202</v>
      </c>
      <c r="N62" s="2" t="n">
        <v>1</v>
      </c>
      <c r="O62" s="2" t="s">
        <v>37</v>
      </c>
      <c r="P62" s="2" t="s">
        <v>38</v>
      </c>
      <c r="Q62" s="2" t="s">
        <v>78</v>
      </c>
      <c r="R62" s="2" t="s">
        <v>78</v>
      </c>
      <c r="S62" s="2" t="s">
        <v>78</v>
      </c>
      <c r="T62" s="2" t="s">
        <v>78</v>
      </c>
      <c r="U62" s="2" t="s">
        <v>79</v>
      </c>
      <c r="V62" s="2" t="s">
        <v>42</v>
      </c>
      <c r="W62" s="2" t="n">
        <v>0</v>
      </c>
      <c r="X62" s="2" t="n">
        <v>0</v>
      </c>
      <c r="Y62" s="2" t="n">
        <v>1</v>
      </c>
      <c r="Z62" s="2" t="s">
        <v>271</v>
      </c>
      <c r="AA62" s="3" t="n">
        <f aca="false">H62*I62/1000000*N62</f>
        <v>0.05858</v>
      </c>
      <c r="AB62" s="3" t="n">
        <f aca="false">(IF(Q62="V",H62,0)+IF(S62="V",H62,0)+IF(R62="V",I62,0)+IF(T62="V",I62,0))/1000*N62</f>
        <v>0</v>
      </c>
      <c r="AC62" s="2"/>
      <c r="AD62" s="2" t="s">
        <v>81</v>
      </c>
      <c r="AE62" s="2" t="s">
        <v>272</v>
      </c>
    </row>
    <row r="63" customFormat="false" ht="15" hidden="false" customHeight="false" outlineLevel="0" collapsed="false">
      <c r="A63" s="2" t="s">
        <v>273</v>
      </c>
      <c r="B63" s="2" t="s">
        <v>270</v>
      </c>
      <c r="C63" s="2" t="s">
        <v>245</v>
      </c>
      <c r="D63" s="2" t="s">
        <v>34</v>
      </c>
      <c r="E63" s="2" t="s">
        <v>76</v>
      </c>
      <c r="F63" s="2" t="s">
        <v>77</v>
      </c>
      <c r="G63" s="2" t="n">
        <v>15</v>
      </c>
      <c r="H63" s="2" t="n">
        <v>290</v>
      </c>
      <c r="I63" s="2" t="n">
        <v>202</v>
      </c>
      <c r="J63" s="2" t="n">
        <v>290</v>
      </c>
      <c r="K63" s="2" t="n">
        <v>202</v>
      </c>
      <c r="L63" s="2" t="n">
        <v>290</v>
      </c>
      <c r="M63" s="2" t="n">
        <v>202</v>
      </c>
      <c r="N63" s="2" t="n">
        <v>1</v>
      </c>
      <c r="O63" s="2" t="s">
        <v>37</v>
      </c>
      <c r="P63" s="2" t="s">
        <v>38</v>
      </c>
      <c r="Q63" s="2" t="s">
        <v>78</v>
      </c>
      <c r="R63" s="2" t="s">
        <v>78</v>
      </c>
      <c r="S63" s="2" t="s">
        <v>78</v>
      </c>
      <c r="T63" s="2" t="s">
        <v>78</v>
      </c>
      <c r="U63" s="2" t="s">
        <v>79</v>
      </c>
      <c r="V63" s="2" t="s">
        <v>42</v>
      </c>
      <c r="W63" s="2" t="n">
        <v>0</v>
      </c>
      <c r="X63" s="2" t="n">
        <v>0</v>
      </c>
      <c r="Y63" s="2" t="n">
        <v>1</v>
      </c>
      <c r="Z63" s="2" t="s">
        <v>274</v>
      </c>
      <c r="AA63" s="3" t="n">
        <f aca="false">H63*I63/1000000*N63</f>
        <v>0.05858</v>
      </c>
      <c r="AB63" s="3" t="n">
        <f aca="false">(IF(Q63="V",H63,0)+IF(S63="V",H63,0)+IF(R63="V",I63,0)+IF(T63="V",I63,0))/1000*N63</f>
        <v>0</v>
      </c>
      <c r="AC63" s="2"/>
      <c r="AD63" s="2" t="s">
        <v>81</v>
      </c>
      <c r="AE63" s="2" t="s">
        <v>275</v>
      </c>
    </row>
    <row r="64" customFormat="false" ht="15" hidden="false" customHeight="false" outlineLevel="0" collapsed="false">
      <c r="A64" s="2" t="s">
        <v>276</v>
      </c>
      <c r="B64" s="2" t="s">
        <v>277</v>
      </c>
      <c r="C64" s="2" t="s">
        <v>245</v>
      </c>
      <c r="D64" s="2" t="s">
        <v>34</v>
      </c>
      <c r="E64" s="2" t="s">
        <v>76</v>
      </c>
      <c r="F64" s="2" t="s">
        <v>77</v>
      </c>
      <c r="G64" s="2" t="n">
        <v>15</v>
      </c>
      <c r="H64" s="2" t="n">
        <v>347</v>
      </c>
      <c r="I64" s="2" t="n">
        <v>175</v>
      </c>
      <c r="J64" s="2" t="n">
        <v>347</v>
      </c>
      <c r="K64" s="2" t="n">
        <v>175</v>
      </c>
      <c r="L64" s="2" t="n">
        <v>347</v>
      </c>
      <c r="M64" s="2" t="n">
        <v>175</v>
      </c>
      <c r="N64" s="2" t="n">
        <v>1</v>
      </c>
      <c r="O64" s="2" t="s">
        <v>37</v>
      </c>
      <c r="P64" s="2" t="s">
        <v>63</v>
      </c>
      <c r="Q64" s="2" t="s">
        <v>39</v>
      </c>
      <c r="R64" s="2" t="s">
        <v>39</v>
      </c>
      <c r="S64" s="2" t="s">
        <v>78</v>
      </c>
      <c r="T64" s="2" t="s">
        <v>39</v>
      </c>
      <c r="U64" s="2" t="s">
        <v>79</v>
      </c>
      <c r="V64" s="2" t="s">
        <v>42</v>
      </c>
      <c r="W64" s="2" t="n">
        <v>0</v>
      </c>
      <c r="X64" s="2" t="n">
        <v>0</v>
      </c>
      <c r="Y64" s="2" t="n">
        <v>0</v>
      </c>
      <c r="Z64" s="2" t="s">
        <v>37</v>
      </c>
      <c r="AA64" s="3" t="n">
        <f aca="false">H64*I64/1000000*N64</f>
        <v>0.060725</v>
      </c>
      <c r="AB64" s="3" t="n">
        <f aca="false">(IF(Q64="V",H64,0)+IF(S64="V",H64,0)+IF(R64="V",I64,0)+IF(T64="V",I64,0))/1000*N64</f>
        <v>0</v>
      </c>
      <c r="AC64" s="2"/>
      <c r="AD64" s="2" t="s">
        <v>88</v>
      </c>
      <c r="AE64" s="2" t="s">
        <v>278</v>
      </c>
    </row>
    <row r="65" customFormat="false" ht="15" hidden="false" customHeight="false" outlineLevel="0" collapsed="false">
      <c r="A65" s="2" t="s">
        <v>279</v>
      </c>
      <c r="B65" s="2" t="s">
        <v>277</v>
      </c>
      <c r="C65" s="2" t="s">
        <v>245</v>
      </c>
      <c r="D65" s="2" t="s">
        <v>34</v>
      </c>
      <c r="E65" s="2" t="s">
        <v>76</v>
      </c>
      <c r="F65" s="2" t="s">
        <v>77</v>
      </c>
      <c r="G65" s="2" t="n">
        <v>15</v>
      </c>
      <c r="H65" s="2" t="n">
        <v>347</v>
      </c>
      <c r="I65" s="2" t="n">
        <v>175</v>
      </c>
      <c r="J65" s="2" t="n">
        <v>347</v>
      </c>
      <c r="K65" s="2" t="n">
        <v>175</v>
      </c>
      <c r="L65" s="2" t="n">
        <v>347</v>
      </c>
      <c r="M65" s="2" t="n">
        <v>175</v>
      </c>
      <c r="N65" s="2" t="n">
        <v>1</v>
      </c>
      <c r="O65" s="2" t="s">
        <v>37</v>
      </c>
      <c r="P65" s="2" t="s">
        <v>63</v>
      </c>
      <c r="Q65" s="2" t="s">
        <v>39</v>
      </c>
      <c r="R65" s="2" t="s">
        <v>39</v>
      </c>
      <c r="S65" s="2" t="s">
        <v>78</v>
      </c>
      <c r="T65" s="2" t="s">
        <v>39</v>
      </c>
      <c r="U65" s="2" t="s">
        <v>79</v>
      </c>
      <c r="V65" s="2" t="s">
        <v>42</v>
      </c>
      <c r="W65" s="2" t="n">
        <v>0</v>
      </c>
      <c r="X65" s="2" t="n">
        <v>0</v>
      </c>
      <c r="Y65" s="2" t="n">
        <v>0</v>
      </c>
      <c r="Z65" s="2" t="s">
        <v>37</v>
      </c>
      <c r="AA65" s="3" t="n">
        <f aca="false">H65*I65/1000000*N65</f>
        <v>0.060725</v>
      </c>
      <c r="AB65" s="3" t="n">
        <f aca="false">(IF(Q65="V",H65,0)+IF(S65="V",H65,0)+IF(R65="V",I65,0)+IF(T65="V",I65,0))/1000*N65</f>
        <v>0</v>
      </c>
      <c r="AC65" s="2"/>
      <c r="AD65" s="2" t="s">
        <v>88</v>
      </c>
      <c r="AE65" s="2" t="s">
        <v>280</v>
      </c>
    </row>
    <row r="66" customFormat="false" ht="15" hidden="false" customHeight="false" outlineLevel="0" collapsed="false">
      <c r="A66" s="2" t="s">
        <v>281</v>
      </c>
      <c r="B66" s="2" t="s">
        <v>282</v>
      </c>
      <c r="C66" s="2" t="s">
        <v>245</v>
      </c>
      <c r="D66" s="2" t="s">
        <v>34</v>
      </c>
      <c r="E66" s="2" t="s">
        <v>76</v>
      </c>
      <c r="F66" s="2" t="s">
        <v>77</v>
      </c>
      <c r="G66" s="2" t="n">
        <v>15</v>
      </c>
      <c r="H66" s="2" t="n">
        <v>347</v>
      </c>
      <c r="I66" s="2" t="n">
        <v>290</v>
      </c>
      <c r="J66" s="2" t="n">
        <v>347</v>
      </c>
      <c r="K66" s="2" t="n">
        <v>290</v>
      </c>
      <c r="L66" s="2" t="n">
        <v>347</v>
      </c>
      <c r="M66" s="2" t="n">
        <v>290</v>
      </c>
      <c r="N66" s="2" t="n">
        <v>1</v>
      </c>
      <c r="O66" s="2" t="s">
        <v>37</v>
      </c>
      <c r="P66" s="2" t="s">
        <v>53</v>
      </c>
      <c r="Q66" s="2" t="s">
        <v>78</v>
      </c>
      <c r="R66" s="2" t="s">
        <v>39</v>
      </c>
      <c r="S66" s="2" t="s">
        <v>78</v>
      </c>
      <c r="T66" s="2" t="s">
        <v>39</v>
      </c>
      <c r="U66" s="2" t="s">
        <v>79</v>
      </c>
      <c r="V66" s="2" t="s">
        <v>42</v>
      </c>
      <c r="W66" s="2" t="n">
        <v>0</v>
      </c>
      <c r="X66" s="2" t="n">
        <v>0</v>
      </c>
      <c r="Y66" s="2" t="n">
        <v>0</v>
      </c>
      <c r="Z66" s="2" t="s">
        <v>37</v>
      </c>
      <c r="AA66" s="3" t="n">
        <f aca="false">H66*I66/1000000*N66</f>
        <v>0.10063</v>
      </c>
      <c r="AB66" s="3" t="n">
        <f aca="false">(IF(Q66="V",H66,0)+IF(S66="V",H66,0)+IF(R66="V",I66,0)+IF(T66="V",I66,0))/1000*N66</f>
        <v>0</v>
      </c>
      <c r="AC66" s="2"/>
      <c r="AD66" s="2" t="s">
        <v>94</v>
      </c>
      <c r="AE66" s="2" t="s">
        <v>283</v>
      </c>
    </row>
    <row r="67" customFormat="false" ht="15" hidden="false" customHeight="false" outlineLevel="0" collapsed="false">
      <c r="A67" s="2" t="s">
        <v>284</v>
      </c>
      <c r="B67" s="2" t="s">
        <v>285</v>
      </c>
      <c r="C67" s="2" t="s">
        <v>286</v>
      </c>
      <c r="D67" s="2" t="s">
        <v>34</v>
      </c>
      <c r="E67" s="2" t="s">
        <v>35</v>
      </c>
      <c r="F67" s="2" t="s">
        <v>36</v>
      </c>
      <c r="G67" s="2" t="n">
        <v>18</v>
      </c>
      <c r="H67" s="2" t="n">
        <v>337</v>
      </c>
      <c r="I67" s="2" t="n">
        <v>2525</v>
      </c>
      <c r="J67" s="2" t="n">
        <v>336.2</v>
      </c>
      <c r="K67" s="2" t="n">
        <v>2525</v>
      </c>
      <c r="L67" s="2" t="n">
        <v>337.2</v>
      </c>
      <c r="M67" s="2" t="n">
        <v>2525</v>
      </c>
      <c r="N67" s="2" t="n">
        <v>1</v>
      </c>
      <c r="O67" s="2" t="s">
        <v>37</v>
      </c>
      <c r="P67" s="2" t="s">
        <v>38</v>
      </c>
      <c r="Q67" s="2" t="s">
        <v>39</v>
      </c>
      <c r="R67" s="2" t="s">
        <v>40</v>
      </c>
      <c r="S67" s="2" t="s">
        <v>39</v>
      </c>
      <c r="T67" s="2" t="s">
        <v>39</v>
      </c>
      <c r="U67" s="2" t="s">
        <v>41</v>
      </c>
      <c r="V67" s="2" t="s">
        <v>42</v>
      </c>
      <c r="W67" s="2" t="n">
        <v>0</v>
      </c>
      <c r="X67" s="2" t="n">
        <v>49</v>
      </c>
      <c r="Y67" s="2" t="n">
        <v>10</v>
      </c>
      <c r="Z67" s="2" t="s">
        <v>287</v>
      </c>
      <c r="AA67" s="3" t="n">
        <f aca="false">H67*I67/1000000*N67</f>
        <v>0.850925</v>
      </c>
      <c r="AB67" s="3" t="n">
        <f aca="false">(IF(Q67="V",H67,0)+IF(S67="V",H67,0)+IF(R67="V",I67,0)+IF(T67="V",I67,0))/1000*N67</f>
        <v>2.525</v>
      </c>
      <c r="AC67" s="2"/>
      <c r="AD67" s="2" t="s">
        <v>44</v>
      </c>
      <c r="AE67" s="2" t="s">
        <v>288</v>
      </c>
    </row>
    <row r="68" customFormat="false" ht="15" hidden="false" customHeight="false" outlineLevel="0" collapsed="false">
      <c r="A68" s="2" t="s">
        <v>289</v>
      </c>
      <c r="B68" s="2" t="s">
        <v>285</v>
      </c>
      <c r="C68" s="2" t="s">
        <v>286</v>
      </c>
      <c r="D68" s="2" t="s">
        <v>34</v>
      </c>
      <c r="E68" s="2" t="s">
        <v>51</v>
      </c>
      <c r="F68" s="2" t="s">
        <v>52</v>
      </c>
      <c r="G68" s="2" t="n">
        <v>18</v>
      </c>
      <c r="H68" s="2" t="n">
        <v>337</v>
      </c>
      <c r="I68" s="2" t="n">
        <v>2205</v>
      </c>
      <c r="J68" s="2" t="n">
        <v>337</v>
      </c>
      <c r="K68" s="2" t="n">
        <v>2205</v>
      </c>
      <c r="L68" s="2" t="n">
        <v>347</v>
      </c>
      <c r="M68" s="2" t="n">
        <v>2215</v>
      </c>
      <c r="N68" s="2" t="n">
        <v>1</v>
      </c>
      <c r="O68" s="2" t="s">
        <v>37</v>
      </c>
      <c r="P68" s="2" t="s">
        <v>249</v>
      </c>
      <c r="Q68" s="2" t="s">
        <v>39</v>
      </c>
      <c r="R68" s="2" t="s">
        <v>54</v>
      </c>
      <c r="S68" s="2" t="s">
        <v>39</v>
      </c>
      <c r="T68" s="2" t="s">
        <v>54</v>
      </c>
      <c r="U68" s="2" t="s">
        <v>55</v>
      </c>
      <c r="V68" s="2" t="s">
        <v>42</v>
      </c>
      <c r="W68" s="2" t="n">
        <v>0</v>
      </c>
      <c r="X68" s="2" t="n">
        <v>45</v>
      </c>
      <c r="Y68" s="2" t="n">
        <v>8</v>
      </c>
      <c r="Z68" s="2" t="s">
        <v>290</v>
      </c>
      <c r="AA68" s="3" t="n">
        <f aca="false">H68*I68/1000000*N68</f>
        <v>0.743085</v>
      </c>
      <c r="AB68" s="3" t="n">
        <f aca="false">(IF(Q68="V",H68,0)+IF(S68="V",H68,0)+IF(R68="V",I68,0)+IF(T68="V",I68,0))/1000*N68</f>
        <v>0</v>
      </c>
      <c r="AC68" s="2"/>
      <c r="AD68" s="2" t="s">
        <v>291</v>
      </c>
      <c r="AE68" s="2" t="s">
        <v>292</v>
      </c>
    </row>
    <row r="69" customFormat="false" ht="15" hidden="false" customHeight="false" outlineLevel="0" collapsed="false">
      <c r="A69" s="2" t="s">
        <v>293</v>
      </c>
      <c r="B69" s="2" t="s">
        <v>294</v>
      </c>
      <c r="C69" s="2" t="s">
        <v>286</v>
      </c>
      <c r="D69" s="2" t="s">
        <v>34</v>
      </c>
      <c r="E69" s="2" t="s">
        <v>35</v>
      </c>
      <c r="F69" s="2" t="s">
        <v>36</v>
      </c>
      <c r="G69" s="2" t="n">
        <v>18</v>
      </c>
      <c r="H69" s="2" t="n">
        <v>834</v>
      </c>
      <c r="I69" s="2" t="n">
        <v>337</v>
      </c>
      <c r="J69" s="2" t="n">
        <v>834</v>
      </c>
      <c r="K69" s="2" t="n">
        <v>336.2</v>
      </c>
      <c r="L69" s="2" t="n">
        <v>834</v>
      </c>
      <c r="M69" s="2" t="n">
        <v>337.2</v>
      </c>
      <c r="N69" s="2" t="n">
        <v>1</v>
      </c>
      <c r="O69" s="2" t="s">
        <v>37</v>
      </c>
      <c r="P69" s="2" t="s">
        <v>53</v>
      </c>
      <c r="Q69" s="2" t="s">
        <v>40</v>
      </c>
      <c r="R69" s="2" t="s">
        <v>39</v>
      </c>
      <c r="S69" s="2" t="s">
        <v>39</v>
      </c>
      <c r="T69" s="2" t="s">
        <v>39</v>
      </c>
      <c r="U69" s="2" t="s">
        <v>41</v>
      </c>
      <c r="V69" s="2" t="s">
        <v>42</v>
      </c>
      <c r="W69" s="2" t="n">
        <v>3</v>
      </c>
      <c r="X69" s="2" t="n">
        <v>6</v>
      </c>
      <c r="Y69" s="2" t="n">
        <v>6</v>
      </c>
      <c r="Z69" s="2" t="s">
        <v>295</v>
      </c>
      <c r="AA69" s="3" t="n">
        <f aca="false">H69*I69/1000000*N69</f>
        <v>0.281058</v>
      </c>
      <c r="AB69" s="3" t="n">
        <f aca="false">(IF(Q69="V",H69,0)+IF(S69="V",H69,0)+IF(R69="V",I69,0)+IF(T69="V",I69,0))/1000*N69</f>
        <v>0.834</v>
      </c>
      <c r="AC69" s="2"/>
      <c r="AD69" s="2" t="s">
        <v>109</v>
      </c>
      <c r="AE69" s="2" t="s">
        <v>296</v>
      </c>
    </row>
    <row r="70" customFormat="false" ht="15" hidden="false" customHeight="false" outlineLevel="0" collapsed="false">
      <c r="A70" s="2" t="s">
        <v>297</v>
      </c>
      <c r="B70" s="2" t="s">
        <v>298</v>
      </c>
      <c r="C70" s="2" t="s">
        <v>286</v>
      </c>
      <c r="D70" s="2" t="s">
        <v>34</v>
      </c>
      <c r="E70" s="2" t="s">
        <v>35</v>
      </c>
      <c r="F70" s="2" t="s">
        <v>36</v>
      </c>
      <c r="G70" s="2" t="n">
        <v>18</v>
      </c>
      <c r="H70" s="2" t="n">
        <v>337</v>
      </c>
      <c r="I70" s="2" t="n">
        <v>2269</v>
      </c>
      <c r="J70" s="2" t="n">
        <v>336.2</v>
      </c>
      <c r="K70" s="2" t="n">
        <v>2269</v>
      </c>
      <c r="L70" s="2" t="n">
        <v>337.2</v>
      </c>
      <c r="M70" s="2" t="n">
        <v>2269</v>
      </c>
      <c r="N70" s="2" t="n">
        <v>1</v>
      </c>
      <c r="O70" s="2" t="s">
        <v>37</v>
      </c>
      <c r="P70" s="2" t="s">
        <v>38</v>
      </c>
      <c r="Q70" s="2" t="s">
        <v>39</v>
      </c>
      <c r="R70" s="2" t="s">
        <v>40</v>
      </c>
      <c r="S70" s="2" t="s">
        <v>39</v>
      </c>
      <c r="T70" s="2" t="s">
        <v>39</v>
      </c>
      <c r="U70" s="2" t="s">
        <v>41</v>
      </c>
      <c r="V70" s="2" t="s">
        <v>42</v>
      </c>
      <c r="W70" s="2" t="n">
        <v>32</v>
      </c>
      <c r="X70" s="2" t="n">
        <v>30</v>
      </c>
      <c r="Y70" s="2" t="n">
        <v>8</v>
      </c>
      <c r="Z70" s="2" t="s">
        <v>299</v>
      </c>
      <c r="AA70" s="3" t="n">
        <f aca="false">H70*I70/1000000*N70</f>
        <v>0.764653</v>
      </c>
      <c r="AB70" s="3" t="n">
        <f aca="false">(IF(Q70="V",H70,0)+IF(S70="V",H70,0)+IF(R70="V",I70,0)+IF(T70="V",I70,0))/1000*N70</f>
        <v>2.269</v>
      </c>
      <c r="AC70" s="2"/>
      <c r="AD70" s="2" t="s">
        <v>44</v>
      </c>
      <c r="AE70" s="2" t="s">
        <v>300</v>
      </c>
    </row>
    <row r="71" customFormat="false" ht="15" hidden="false" customHeight="false" outlineLevel="0" collapsed="false">
      <c r="A71" s="2" t="s">
        <v>301</v>
      </c>
      <c r="B71" s="2" t="s">
        <v>302</v>
      </c>
      <c r="C71" s="2" t="s">
        <v>286</v>
      </c>
      <c r="D71" s="2" t="s">
        <v>34</v>
      </c>
      <c r="E71" s="2" t="s">
        <v>35</v>
      </c>
      <c r="F71" s="2" t="s">
        <v>36</v>
      </c>
      <c r="G71" s="2" t="n">
        <v>18</v>
      </c>
      <c r="H71" s="2" t="n">
        <v>406</v>
      </c>
      <c r="I71" s="2" t="n">
        <v>290</v>
      </c>
      <c r="J71" s="2" t="n">
        <v>406</v>
      </c>
      <c r="K71" s="2" t="n">
        <v>289.2</v>
      </c>
      <c r="L71" s="2" t="n">
        <v>406</v>
      </c>
      <c r="M71" s="2" t="n">
        <v>290.2</v>
      </c>
      <c r="N71" s="2" t="n">
        <v>1</v>
      </c>
      <c r="O71" s="2" t="s">
        <v>37</v>
      </c>
      <c r="P71" s="2" t="s">
        <v>53</v>
      </c>
      <c r="Q71" s="2" t="s">
        <v>40</v>
      </c>
      <c r="R71" s="2" t="s">
        <v>39</v>
      </c>
      <c r="S71" s="2" t="s">
        <v>39</v>
      </c>
      <c r="T71" s="2" t="s">
        <v>39</v>
      </c>
      <c r="U71" s="2" t="s">
        <v>41</v>
      </c>
      <c r="V71" s="2" t="s">
        <v>42</v>
      </c>
      <c r="W71" s="2" t="n">
        <v>0</v>
      </c>
      <c r="X71" s="2" t="n">
        <v>0</v>
      </c>
      <c r="Y71" s="2" t="n">
        <v>0</v>
      </c>
      <c r="Z71" s="2" t="s">
        <v>37</v>
      </c>
      <c r="AA71" s="3" t="n">
        <f aca="false">H71*I71/1000000*N71</f>
        <v>0.11774</v>
      </c>
      <c r="AB71" s="3" t="n">
        <f aca="false">(IF(Q71="V",H71,0)+IF(S71="V",H71,0)+IF(R71="V",I71,0)+IF(T71="V",I71,0))/1000*N71</f>
        <v>0.406</v>
      </c>
      <c r="AC71" s="2"/>
      <c r="AD71" s="2" t="s">
        <v>109</v>
      </c>
      <c r="AE71" s="2" t="s">
        <v>303</v>
      </c>
    </row>
    <row r="72" customFormat="false" ht="15" hidden="false" customHeight="false" outlineLevel="0" collapsed="false">
      <c r="A72" s="2" t="s">
        <v>304</v>
      </c>
      <c r="B72" s="2" t="s">
        <v>302</v>
      </c>
      <c r="C72" s="2" t="s">
        <v>286</v>
      </c>
      <c r="D72" s="2" t="s">
        <v>34</v>
      </c>
      <c r="E72" s="2" t="s">
        <v>35</v>
      </c>
      <c r="F72" s="2" t="s">
        <v>36</v>
      </c>
      <c r="G72" s="2" t="n">
        <v>18</v>
      </c>
      <c r="H72" s="2" t="n">
        <v>406</v>
      </c>
      <c r="I72" s="2" t="n">
        <v>290</v>
      </c>
      <c r="J72" s="2" t="n">
        <v>406</v>
      </c>
      <c r="K72" s="2" t="n">
        <v>289.2</v>
      </c>
      <c r="L72" s="2" t="n">
        <v>406</v>
      </c>
      <c r="M72" s="2" t="n">
        <v>290.2</v>
      </c>
      <c r="N72" s="2" t="n">
        <v>1</v>
      </c>
      <c r="O72" s="2" t="s">
        <v>37</v>
      </c>
      <c r="P72" s="2" t="s">
        <v>53</v>
      </c>
      <c r="Q72" s="2" t="s">
        <v>40</v>
      </c>
      <c r="R72" s="2" t="s">
        <v>39</v>
      </c>
      <c r="S72" s="2" t="s">
        <v>39</v>
      </c>
      <c r="T72" s="2" t="s">
        <v>39</v>
      </c>
      <c r="U72" s="2" t="s">
        <v>41</v>
      </c>
      <c r="V72" s="2" t="s">
        <v>42</v>
      </c>
      <c r="W72" s="2" t="n">
        <v>0</v>
      </c>
      <c r="X72" s="2" t="n">
        <v>0</v>
      </c>
      <c r="Y72" s="2" t="n">
        <v>0</v>
      </c>
      <c r="Z72" s="2" t="s">
        <v>37</v>
      </c>
      <c r="AA72" s="3" t="n">
        <f aca="false">H72*I72/1000000*N72</f>
        <v>0.11774</v>
      </c>
      <c r="AB72" s="3" t="n">
        <f aca="false">(IF(Q72="V",H72,0)+IF(S72="V",H72,0)+IF(R72="V",I72,0)+IF(T72="V",I72,0))/1000*N72</f>
        <v>0.406</v>
      </c>
      <c r="AC72" s="2"/>
      <c r="AD72" s="2" t="s">
        <v>109</v>
      </c>
      <c r="AE72" s="2" t="s">
        <v>305</v>
      </c>
    </row>
    <row r="73" customFormat="false" ht="15" hidden="false" customHeight="false" outlineLevel="0" collapsed="false">
      <c r="A73" s="2" t="s">
        <v>306</v>
      </c>
      <c r="B73" s="2" t="s">
        <v>302</v>
      </c>
      <c r="C73" s="2" t="s">
        <v>286</v>
      </c>
      <c r="D73" s="2" t="s">
        <v>34</v>
      </c>
      <c r="E73" s="2" t="s">
        <v>35</v>
      </c>
      <c r="F73" s="2" t="s">
        <v>36</v>
      </c>
      <c r="G73" s="2" t="n">
        <v>18</v>
      </c>
      <c r="H73" s="2" t="n">
        <v>406</v>
      </c>
      <c r="I73" s="2" t="n">
        <v>290</v>
      </c>
      <c r="J73" s="2" t="n">
        <v>406</v>
      </c>
      <c r="K73" s="2" t="n">
        <v>289.2</v>
      </c>
      <c r="L73" s="2" t="n">
        <v>406</v>
      </c>
      <c r="M73" s="2" t="n">
        <v>290.2</v>
      </c>
      <c r="N73" s="2" t="n">
        <v>1</v>
      </c>
      <c r="O73" s="2" t="s">
        <v>37</v>
      </c>
      <c r="P73" s="2" t="s">
        <v>53</v>
      </c>
      <c r="Q73" s="2" t="s">
        <v>40</v>
      </c>
      <c r="R73" s="2" t="s">
        <v>39</v>
      </c>
      <c r="S73" s="2" t="s">
        <v>39</v>
      </c>
      <c r="T73" s="2" t="s">
        <v>39</v>
      </c>
      <c r="U73" s="2" t="s">
        <v>41</v>
      </c>
      <c r="V73" s="2" t="s">
        <v>42</v>
      </c>
      <c r="W73" s="2" t="n">
        <v>0</v>
      </c>
      <c r="X73" s="2" t="n">
        <v>0</v>
      </c>
      <c r="Y73" s="2" t="n">
        <v>0</v>
      </c>
      <c r="Z73" s="2" t="s">
        <v>37</v>
      </c>
      <c r="AA73" s="3" t="n">
        <f aca="false">H73*I73/1000000*N73</f>
        <v>0.11774</v>
      </c>
      <c r="AB73" s="3" t="n">
        <f aca="false">(IF(Q73="V",H73,0)+IF(S73="V",H73,0)+IF(R73="V",I73,0)+IF(T73="V",I73,0))/1000*N73</f>
        <v>0.406</v>
      </c>
      <c r="AC73" s="2"/>
      <c r="AD73" s="2" t="s">
        <v>109</v>
      </c>
      <c r="AE73" s="2" t="s">
        <v>307</v>
      </c>
    </row>
    <row r="74" customFormat="false" ht="15" hidden="false" customHeight="false" outlineLevel="0" collapsed="false">
      <c r="A74" s="2" t="s">
        <v>308</v>
      </c>
      <c r="B74" s="2" t="s">
        <v>302</v>
      </c>
      <c r="C74" s="2" t="s">
        <v>286</v>
      </c>
      <c r="D74" s="2" t="s">
        <v>34</v>
      </c>
      <c r="E74" s="2" t="s">
        <v>35</v>
      </c>
      <c r="F74" s="2" t="s">
        <v>36</v>
      </c>
      <c r="G74" s="2" t="n">
        <v>18</v>
      </c>
      <c r="H74" s="2" t="n">
        <v>406</v>
      </c>
      <c r="I74" s="2" t="n">
        <v>290</v>
      </c>
      <c r="J74" s="2" t="n">
        <v>406</v>
      </c>
      <c r="K74" s="2" t="n">
        <v>289.2</v>
      </c>
      <c r="L74" s="2" t="n">
        <v>406</v>
      </c>
      <c r="M74" s="2" t="n">
        <v>290.2</v>
      </c>
      <c r="N74" s="2" t="n">
        <v>1</v>
      </c>
      <c r="O74" s="2" t="s">
        <v>37</v>
      </c>
      <c r="P74" s="2" t="s">
        <v>53</v>
      </c>
      <c r="Q74" s="2" t="s">
        <v>40</v>
      </c>
      <c r="R74" s="2" t="s">
        <v>39</v>
      </c>
      <c r="S74" s="2" t="s">
        <v>39</v>
      </c>
      <c r="T74" s="2" t="s">
        <v>39</v>
      </c>
      <c r="U74" s="2" t="s">
        <v>41</v>
      </c>
      <c r="V74" s="2" t="s">
        <v>42</v>
      </c>
      <c r="W74" s="2" t="n">
        <v>0</v>
      </c>
      <c r="X74" s="2" t="n">
        <v>0</v>
      </c>
      <c r="Y74" s="2" t="n">
        <v>0</v>
      </c>
      <c r="Z74" s="2" t="s">
        <v>37</v>
      </c>
      <c r="AA74" s="3" t="n">
        <f aca="false">H74*I74/1000000*N74</f>
        <v>0.11774</v>
      </c>
      <c r="AB74" s="3" t="n">
        <f aca="false">(IF(Q74="V",H74,0)+IF(S74="V",H74,0)+IF(R74="V",I74,0)+IF(T74="V",I74,0))/1000*N74</f>
        <v>0.406</v>
      </c>
      <c r="AC74" s="2"/>
      <c r="AD74" s="2" t="s">
        <v>109</v>
      </c>
      <c r="AE74" s="2" t="s">
        <v>309</v>
      </c>
    </row>
    <row r="75" customFormat="false" ht="15" hidden="false" customHeight="false" outlineLevel="0" collapsed="false">
      <c r="A75" s="2" t="s">
        <v>310</v>
      </c>
      <c r="B75" s="2" t="s">
        <v>302</v>
      </c>
      <c r="C75" s="2" t="s">
        <v>286</v>
      </c>
      <c r="D75" s="2" t="s">
        <v>34</v>
      </c>
      <c r="E75" s="2" t="s">
        <v>35</v>
      </c>
      <c r="F75" s="2" t="s">
        <v>36</v>
      </c>
      <c r="G75" s="2" t="n">
        <v>18</v>
      </c>
      <c r="H75" s="2" t="n">
        <v>406</v>
      </c>
      <c r="I75" s="2" t="n">
        <v>290</v>
      </c>
      <c r="J75" s="2" t="n">
        <v>406</v>
      </c>
      <c r="K75" s="2" t="n">
        <v>289.2</v>
      </c>
      <c r="L75" s="2" t="n">
        <v>406</v>
      </c>
      <c r="M75" s="2" t="n">
        <v>290.2</v>
      </c>
      <c r="N75" s="2" t="n">
        <v>1</v>
      </c>
      <c r="O75" s="2" t="s">
        <v>37</v>
      </c>
      <c r="P75" s="2" t="s">
        <v>53</v>
      </c>
      <c r="Q75" s="2" t="s">
        <v>40</v>
      </c>
      <c r="R75" s="2" t="s">
        <v>39</v>
      </c>
      <c r="S75" s="2" t="s">
        <v>39</v>
      </c>
      <c r="T75" s="2" t="s">
        <v>39</v>
      </c>
      <c r="U75" s="2" t="s">
        <v>41</v>
      </c>
      <c r="V75" s="2" t="s">
        <v>42</v>
      </c>
      <c r="W75" s="2" t="n">
        <v>0</v>
      </c>
      <c r="X75" s="2" t="n">
        <v>0</v>
      </c>
      <c r="Y75" s="2" t="n">
        <v>0</v>
      </c>
      <c r="Z75" s="2" t="s">
        <v>37</v>
      </c>
      <c r="AA75" s="3" t="n">
        <f aca="false">H75*I75/1000000*N75</f>
        <v>0.11774</v>
      </c>
      <c r="AB75" s="3" t="n">
        <f aca="false">(IF(Q75="V",H75,0)+IF(S75="V",H75,0)+IF(R75="V",I75,0)+IF(T75="V",I75,0))/1000*N75</f>
        <v>0.406</v>
      </c>
      <c r="AC75" s="2"/>
      <c r="AD75" s="2" t="s">
        <v>109</v>
      </c>
      <c r="AE75" s="2" t="s">
        <v>311</v>
      </c>
    </row>
    <row r="76" customFormat="false" ht="15" hidden="false" customHeight="false" outlineLevel="0" collapsed="false">
      <c r="A76" s="2" t="s">
        <v>312</v>
      </c>
      <c r="B76" s="2" t="s">
        <v>313</v>
      </c>
      <c r="C76" s="2" t="s">
        <v>286</v>
      </c>
      <c r="D76" s="2" t="s">
        <v>34</v>
      </c>
      <c r="E76" s="2" t="s">
        <v>61</v>
      </c>
      <c r="F76" s="2" t="s">
        <v>62</v>
      </c>
      <c r="G76" s="2" t="n">
        <v>8</v>
      </c>
      <c r="H76" s="2" t="n">
        <v>406</v>
      </c>
      <c r="I76" s="2" t="n">
        <v>1921</v>
      </c>
      <c r="J76" s="2" t="n">
        <v>406</v>
      </c>
      <c r="K76" s="2" t="n">
        <v>1921</v>
      </c>
      <c r="L76" s="2" t="n">
        <v>406</v>
      </c>
      <c r="M76" s="2" t="n">
        <v>1921</v>
      </c>
      <c r="N76" s="2" t="n">
        <v>1</v>
      </c>
      <c r="O76" s="2" t="s">
        <v>37</v>
      </c>
      <c r="P76" s="2" t="s">
        <v>63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37</v>
      </c>
      <c r="V76" s="2" t="s">
        <v>42</v>
      </c>
      <c r="W76" s="2" t="n">
        <v>0</v>
      </c>
      <c r="X76" s="2" t="n">
        <v>0</v>
      </c>
      <c r="Y76" s="2" t="n">
        <v>0</v>
      </c>
      <c r="Z76" s="2" t="s">
        <v>37</v>
      </c>
      <c r="AA76" s="3" t="n">
        <f aca="false">H76*I76/1000000*N76</f>
        <v>0.779926</v>
      </c>
      <c r="AB76" s="3" t="n">
        <f aca="false">(IF(Q76="V",H76,0)+IF(S76="V",H76,0)+IF(R76="V",I76,0)+IF(T76="V",I76,0))/1000*N76</f>
        <v>0</v>
      </c>
      <c r="AC76" s="2" t="s">
        <v>264</v>
      </c>
      <c r="AD76" s="2" t="s">
        <v>314</v>
      </c>
      <c r="AE76" s="2" t="s">
        <v>315</v>
      </c>
    </row>
    <row r="77" customFormat="false" ht="15" hidden="false" customHeight="false" outlineLevel="0" collapsed="false">
      <c r="A77" s="2" t="s">
        <v>316</v>
      </c>
      <c r="B77" s="2" t="s">
        <v>317</v>
      </c>
      <c r="C77" s="2" t="s">
        <v>286</v>
      </c>
      <c r="D77" s="2" t="s">
        <v>34</v>
      </c>
      <c r="E77" s="2" t="s">
        <v>61</v>
      </c>
      <c r="F77" s="2" t="s">
        <v>62</v>
      </c>
      <c r="G77" s="2" t="n">
        <v>8</v>
      </c>
      <c r="H77" s="2" t="n">
        <v>406</v>
      </c>
      <c r="I77" s="2" t="n">
        <v>345</v>
      </c>
      <c r="J77" s="2" t="n">
        <v>404.4</v>
      </c>
      <c r="K77" s="2" t="n">
        <v>343.4</v>
      </c>
      <c r="L77" s="2" t="n">
        <v>404.4</v>
      </c>
      <c r="M77" s="2" t="n">
        <v>343.4</v>
      </c>
      <c r="N77" s="2" t="n">
        <v>1</v>
      </c>
      <c r="O77" s="2" t="s">
        <v>37</v>
      </c>
      <c r="P77" s="2" t="s">
        <v>63</v>
      </c>
      <c r="Q77" s="2" t="s">
        <v>40</v>
      </c>
      <c r="R77" s="2" t="s">
        <v>40</v>
      </c>
      <c r="S77" s="2" t="s">
        <v>40</v>
      </c>
      <c r="T77" s="2" t="s">
        <v>40</v>
      </c>
      <c r="U77" s="2" t="s">
        <v>318</v>
      </c>
      <c r="V77" s="2" t="s">
        <v>42</v>
      </c>
      <c r="W77" s="2" t="n">
        <v>0</v>
      </c>
      <c r="X77" s="2" t="n">
        <v>0</v>
      </c>
      <c r="Y77" s="2" t="n">
        <v>0</v>
      </c>
      <c r="Z77" s="2" t="s">
        <v>37</v>
      </c>
      <c r="AA77" s="3" t="n">
        <f aca="false">H77*I77/1000000*N77</f>
        <v>0.14007</v>
      </c>
      <c r="AB77" s="3" t="n">
        <f aca="false">(IF(Q77="V",H77,0)+IF(S77="V",H77,0)+IF(R77="V",I77,0)+IF(T77="V",I77,0))/1000*N77</f>
        <v>1.502</v>
      </c>
      <c r="AC77" s="2"/>
      <c r="AD77" s="2" t="s">
        <v>72</v>
      </c>
      <c r="AE77" s="2" t="s">
        <v>319</v>
      </c>
    </row>
    <row r="78" customFormat="false" ht="15" hidden="false" customHeight="false" outlineLevel="0" collapsed="false">
      <c r="A78" s="2" t="s">
        <v>320</v>
      </c>
      <c r="B78" s="2" t="s">
        <v>302</v>
      </c>
      <c r="C78" s="2" t="s">
        <v>286</v>
      </c>
      <c r="D78" s="2" t="s">
        <v>34</v>
      </c>
      <c r="E78" s="2" t="s">
        <v>35</v>
      </c>
      <c r="F78" s="2" t="s">
        <v>36</v>
      </c>
      <c r="G78" s="2" t="n">
        <v>18</v>
      </c>
      <c r="H78" s="2" t="n">
        <v>406</v>
      </c>
      <c r="I78" s="2" t="n">
        <v>290</v>
      </c>
      <c r="J78" s="2" t="n">
        <v>406</v>
      </c>
      <c r="K78" s="2" t="n">
        <v>289.2</v>
      </c>
      <c r="L78" s="2" t="n">
        <v>406</v>
      </c>
      <c r="M78" s="2" t="n">
        <v>290.2</v>
      </c>
      <c r="N78" s="2" t="n">
        <v>1</v>
      </c>
      <c r="O78" s="2" t="s">
        <v>37</v>
      </c>
      <c r="P78" s="2" t="s">
        <v>53</v>
      </c>
      <c r="Q78" s="2" t="s">
        <v>40</v>
      </c>
      <c r="R78" s="2" t="s">
        <v>39</v>
      </c>
      <c r="S78" s="2" t="s">
        <v>39</v>
      </c>
      <c r="T78" s="2" t="s">
        <v>39</v>
      </c>
      <c r="U78" s="2" t="s">
        <v>41</v>
      </c>
      <c r="V78" s="2" t="s">
        <v>42</v>
      </c>
      <c r="W78" s="2" t="n">
        <v>0</v>
      </c>
      <c r="X78" s="2" t="n">
        <v>0</v>
      </c>
      <c r="Y78" s="2" t="n">
        <v>0</v>
      </c>
      <c r="Z78" s="2" t="s">
        <v>37</v>
      </c>
      <c r="AA78" s="3" t="n">
        <f aca="false">H78*I78/1000000*N78</f>
        <v>0.11774</v>
      </c>
      <c r="AB78" s="3" t="n">
        <f aca="false">(IF(Q78="V",H78,0)+IF(S78="V",H78,0)+IF(R78="V",I78,0)+IF(T78="V",I78,0))/1000*N78</f>
        <v>0.406</v>
      </c>
      <c r="AC78" s="2"/>
      <c r="AD78" s="2" t="s">
        <v>109</v>
      </c>
      <c r="AE78" s="2" t="s">
        <v>321</v>
      </c>
    </row>
    <row r="79" customFormat="false" ht="15" hidden="false" customHeight="false" outlineLevel="0" collapsed="false">
      <c r="A79" s="2" t="s">
        <v>322</v>
      </c>
      <c r="B79" s="2" t="s">
        <v>302</v>
      </c>
      <c r="C79" s="2" t="s">
        <v>286</v>
      </c>
      <c r="D79" s="2" t="s">
        <v>34</v>
      </c>
      <c r="E79" s="2" t="s">
        <v>35</v>
      </c>
      <c r="F79" s="2" t="s">
        <v>36</v>
      </c>
      <c r="G79" s="2" t="n">
        <v>18</v>
      </c>
      <c r="H79" s="2" t="n">
        <v>406</v>
      </c>
      <c r="I79" s="2" t="n">
        <v>290</v>
      </c>
      <c r="J79" s="2" t="n">
        <v>406</v>
      </c>
      <c r="K79" s="2" t="n">
        <v>289.2</v>
      </c>
      <c r="L79" s="2" t="n">
        <v>406</v>
      </c>
      <c r="M79" s="2" t="n">
        <v>290.2</v>
      </c>
      <c r="N79" s="2" t="n">
        <v>1</v>
      </c>
      <c r="O79" s="2" t="s">
        <v>37</v>
      </c>
      <c r="P79" s="2" t="s">
        <v>53</v>
      </c>
      <c r="Q79" s="2" t="s">
        <v>40</v>
      </c>
      <c r="R79" s="2" t="s">
        <v>39</v>
      </c>
      <c r="S79" s="2" t="s">
        <v>39</v>
      </c>
      <c r="T79" s="2" t="s">
        <v>39</v>
      </c>
      <c r="U79" s="2" t="s">
        <v>41</v>
      </c>
      <c r="V79" s="2" t="s">
        <v>42</v>
      </c>
      <c r="W79" s="2" t="n">
        <v>0</v>
      </c>
      <c r="X79" s="2" t="n">
        <v>0</v>
      </c>
      <c r="Y79" s="2" t="n">
        <v>0</v>
      </c>
      <c r="Z79" s="2" t="s">
        <v>37</v>
      </c>
      <c r="AA79" s="3" t="n">
        <f aca="false">H79*I79/1000000*N79</f>
        <v>0.11774</v>
      </c>
      <c r="AB79" s="3" t="n">
        <f aca="false">(IF(Q79="V",H79,0)+IF(S79="V",H79,0)+IF(R79="V",I79,0)+IF(T79="V",I79,0))/1000*N79</f>
        <v>0.406</v>
      </c>
      <c r="AC79" s="2"/>
      <c r="AD79" s="2" t="s">
        <v>109</v>
      </c>
      <c r="AE79" s="2" t="s">
        <v>323</v>
      </c>
    </row>
    <row r="80" customFormat="false" ht="15" hidden="false" customHeight="false" outlineLevel="0" collapsed="false">
      <c r="A80" s="2" t="s">
        <v>324</v>
      </c>
      <c r="B80" s="2" t="s">
        <v>302</v>
      </c>
      <c r="C80" s="2" t="s">
        <v>286</v>
      </c>
      <c r="D80" s="2" t="s">
        <v>34</v>
      </c>
      <c r="E80" s="2" t="s">
        <v>35</v>
      </c>
      <c r="F80" s="2" t="s">
        <v>36</v>
      </c>
      <c r="G80" s="2" t="n">
        <v>18</v>
      </c>
      <c r="H80" s="2" t="n">
        <v>406</v>
      </c>
      <c r="I80" s="2" t="n">
        <v>290</v>
      </c>
      <c r="J80" s="2" t="n">
        <v>406</v>
      </c>
      <c r="K80" s="2" t="n">
        <v>289.2</v>
      </c>
      <c r="L80" s="2" t="n">
        <v>406</v>
      </c>
      <c r="M80" s="2" t="n">
        <v>290.2</v>
      </c>
      <c r="N80" s="2" t="n">
        <v>1</v>
      </c>
      <c r="O80" s="2" t="s">
        <v>37</v>
      </c>
      <c r="P80" s="2" t="s">
        <v>53</v>
      </c>
      <c r="Q80" s="2" t="s">
        <v>40</v>
      </c>
      <c r="R80" s="2" t="s">
        <v>39</v>
      </c>
      <c r="S80" s="2" t="s">
        <v>39</v>
      </c>
      <c r="T80" s="2" t="s">
        <v>39</v>
      </c>
      <c r="U80" s="2" t="s">
        <v>41</v>
      </c>
      <c r="V80" s="2" t="s">
        <v>42</v>
      </c>
      <c r="W80" s="2" t="n">
        <v>0</v>
      </c>
      <c r="X80" s="2" t="n">
        <v>0</v>
      </c>
      <c r="Y80" s="2" t="n">
        <v>0</v>
      </c>
      <c r="Z80" s="2" t="s">
        <v>37</v>
      </c>
      <c r="AA80" s="3" t="n">
        <f aca="false">H80*I80/1000000*N80</f>
        <v>0.11774</v>
      </c>
      <c r="AB80" s="3" t="n">
        <f aca="false">(IF(Q80="V",H80,0)+IF(S80="V",H80,0)+IF(R80="V",I80,0)+IF(T80="V",I80,0))/1000*N80</f>
        <v>0.406</v>
      </c>
      <c r="AC80" s="2"/>
      <c r="AD80" s="2" t="s">
        <v>109</v>
      </c>
      <c r="AE80" s="2" t="s">
        <v>325</v>
      </c>
    </row>
    <row r="81" customFormat="false" ht="15" hidden="false" customHeight="false" outlineLevel="0" collapsed="false">
      <c r="A81" s="2" t="s">
        <v>326</v>
      </c>
      <c r="B81" s="2" t="s">
        <v>302</v>
      </c>
      <c r="C81" s="2" t="s">
        <v>286</v>
      </c>
      <c r="D81" s="2" t="s">
        <v>34</v>
      </c>
      <c r="E81" s="2" t="s">
        <v>35</v>
      </c>
      <c r="F81" s="2" t="s">
        <v>36</v>
      </c>
      <c r="G81" s="2" t="n">
        <v>18</v>
      </c>
      <c r="H81" s="2" t="n">
        <v>406</v>
      </c>
      <c r="I81" s="2" t="n">
        <v>290</v>
      </c>
      <c r="J81" s="2" t="n">
        <v>406</v>
      </c>
      <c r="K81" s="2" t="n">
        <v>289.2</v>
      </c>
      <c r="L81" s="2" t="n">
        <v>406</v>
      </c>
      <c r="M81" s="2" t="n">
        <v>290.2</v>
      </c>
      <c r="N81" s="2" t="n">
        <v>1</v>
      </c>
      <c r="O81" s="2" t="s">
        <v>37</v>
      </c>
      <c r="P81" s="2" t="s">
        <v>53</v>
      </c>
      <c r="Q81" s="2" t="s">
        <v>40</v>
      </c>
      <c r="R81" s="2" t="s">
        <v>39</v>
      </c>
      <c r="S81" s="2" t="s">
        <v>39</v>
      </c>
      <c r="T81" s="2" t="s">
        <v>39</v>
      </c>
      <c r="U81" s="2" t="s">
        <v>41</v>
      </c>
      <c r="V81" s="2" t="s">
        <v>42</v>
      </c>
      <c r="W81" s="2" t="n">
        <v>0</v>
      </c>
      <c r="X81" s="2" t="n">
        <v>0</v>
      </c>
      <c r="Y81" s="2" t="n">
        <v>0</v>
      </c>
      <c r="Z81" s="2" t="s">
        <v>37</v>
      </c>
      <c r="AA81" s="3" t="n">
        <f aca="false">H81*I81/1000000*N81</f>
        <v>0.11774</v>
      </c>
      <c r="AB81" s="3" t="n">
        <f aca="false">(IF(Q81="V",H81,0)+IF(S81="V",H81,0)+IF(R81="V",I81,0)+IF(T81="V",I81,0))/1000*N81</f>
        <v>0.406</v>
      </c>
      <c r="AC81" s="2"/>
      <c r="AD81" s="2" t="s">
        <v>109</v>
      </c>
      <c r="AE81" s="2" t="s">
        <v>327</v>
      </c>
    </row>
    <row r="82" customFormat="false" ht="15" hidden="false" customHeight="false" outlineLevel="0" collapsed="false">
      <c r="A82" s="2" t="s">
        <v>328</v>
      </c>
      <c r="B82" s="2" t="s">
        <v>302</v>
      </c>
      <c r="C82" s="2" t="s">
        <v>286</v>
      </c>
      <c r="D82" s="2" t="s">
        <v>34</v>
      </c>
      <c r="E82" s="2" t="s">
        <v>35</v>
      </c>
      <c r="F82" s="2" t="s">
        <v>36</v>
      </c>
      <c r="G82" s="2" t="n">
        <v>18</v>
      </c>
      <c r="H82" s="2" t="n">
        <v>406</v>
      </c>
      <c r="I82" s="2" t="n">
        <v>290</v>
      </c>
      <c r="J82" s="2" t="n">
        <v>406</v>
      </c>
      <c r="K82" s="2" t="n">
        <v>289.2</v>
      </c>
      <c r="L82" s="2" t="n">
        <v>406</v>
      </c>
      <c r="M82" s="2" t="n">
        <v>290.2</v>
      </c>
      <c r="N82" s="2" t="n">
        <v>1</v>
      </c>
      <c r="O82" s="2" t="s">
        <v>37</v>
      </c>
      <c r="P82" s="2" t="s">
        <v>53</v>
      </c>
      <c r="Q82" s="2" t="s">
        <v>40</v>
      </c>
      <c r="R82" s="2" t="s">
        <v>39</v>
      </c>
      <c r="S82" s="2" t="s">
        <v>39</v>
      </c>
      <c r="T82" s="2" t="s">
        <v>39</v>
      </c>
      <c r="U82" s="2" t="s">
        <v>41</v>
      </c>
      <c r="V82" s="2" t="s">
        <v>42</v>
      </c>
      <c r="W82" s="2" t="n">
        <v>0</v>
      </c>
      <c r="X82" s="2" t="n">
        <v>0</v>
      </c>
      <c r="Y82" s="2" t="n">
        <v>0</v>
      </c>
      <c r="Z82" s="2" t="s">
        <v>37</v>
      </c>
      <c r="AA82" s="3" t="n">
        <f aca="false">H82*I82/1000000*N82</f>
        <v>0.11774</v>
      </c>
      <c r="AB82" s="3" t="n">
        <f aca="false">(IF(Q82="V",H82,0)+IF(S82="V",H82,0)+IF(R82="V",I82,0)+IF(T82="V",I82,0))/1000*N82</f>
        <v>0.406</v>
      </c>
      <c r="AC82" s="2"/>
      <c r="AD82" s="2" t="s">
        <v>109</v>
      </c>
      <c r="AE82" s="2" t="s">
        <v>329</v>
      </c>
    </row>
    <row r="83" customFormat="false" ht="15" hidden="false" customHeight="false" outlineLevel="0" collapsed="false">
      <c r="A83" s="2" t="s">
        <v>330</v>
      </c>
      <c r="B83" s="2" t="s">
        <v>313</v>
      </c>
      <c r="C83" s="2" t="s">
        <v>286</v>
      </c>
      <c r="D83" s="2" t="s">
        <v>34</v>
      </c>
      <c r="E83" s="2" t="s">
        <v>61</v>
      </c>
      <c r="F83" s="2" t="s">
        <v>62</v>
      </c>
      <c r="G83" s="2" t="n">
        <v>8</v>
      </c>
      <c r="H83" s="2" t="n">
        <v>406</v>
      </c>
      <c r="I83" s="2" t="n">
        <v>1921</v>
      </c>
      <c r="J83" s="2" t="n">
        <v>406</v>
      </c>
      <c r="K83" s="2" t="n">
        <v>1921</v>
      </c>
      <c r="L83" s="2" t="n">
        <v>406</v>
      </c>
      <c r="M83" s="2" t="n">
        <v>1921</v>
      </c>
      <c r="N83" s="2" t="n">
        <v>1</v>
      </c>
      <c r="O83" s="2" t="s">
        <v>37</v>
      </c>
      <c r="P83" s="2" t="s">
        <v>63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37</v>
      </c>
      <c r="V83" s="2" t="s">
        <v>42</v>
      </c>
      <c r="W83" s="2" t="n">
        <v>0</v>
      </c>
      <c r="X83" s="2" t="n">
        <v>0</v>
      </c>
      <c r="Y83" s="2" t="n">
        <v>0</v>
      </c>
      <c r="Z83" s="2" t="s">
        <v>37</v>
      </c>
      <c r="AA83" s="3" t="n">
        <f aca="false">H83*I83/1000000*N83</f>
        <v>0.779926</v>
      </c>
      <c r="AB83" s="3" t="n">
        <f aca="false">(IF(Q83="V",H83,0)+IF(S83="V",H83,0)+IF(R83="V",I83,0)+IF(T83="V",I83,0))/1000*N83</f>
        <v>0</v>
      </c>
      <c r="AC83" s="2" t="s">
        <v>264</v>
      </c>
      <c r="AD83" s="2" t="s">
        <v>314</v>
      </c>
      <c r="AE83" s="2" t="s">
        <v>331</v>
      </c>
    </row>
    <row r="84" customFormat="false" ht="15" hidden="false" customHeight="false" outlineLevel="0" collapsed="false">
      <c r="A84" s="2" t="s">
        <v>332</v>
      </c>
      <c r="B84" s="2" t="s">
        <v>317</v>
      </c>
      <c r="C84" s="2" t="s">
        <v>286</v>
      </c>
      <c r="D84" s="2" t="s">
        <v>34</v>
      </c>
      <c r="E84" s="2" t="s">
        <v>61</v>
      </c>
      <c r="F84" s="2" t="s">
        <v>62</v>
      </c>
      <c r="G84" s="2" t="n">
        <v>8</v>
      </c>
      <c r="H84" s="2" t="n">
        <v>406</v>
      </c>
      <c r="I84" s="2" t="n">
        <v>345</v>
      </c>
      <c r="J84" s="2" t="n">
        <v>404.4</v>
      </c>
      <c r="K84" s="2" t="n">
        <v>343.4</v>
      </c>
      <c r="L84" s="2" t="n">
        <v>404.4</v>
      </c>
      <c r="M84" s="2" t="n">
        <v>343.4</v>
      </c>
      <c r="N84" s="2" t="n">
        <v>1</v>
      </c>
      <c r="O84" s="2" t="s">
        <v>37</v>
      </c>
      <c r="P84" s="2" t="s">
        <v>63</v>
      </c>
      <c r="Q84" s="2" t="s">
        <v>40</v>
      </c>
      <c r="R84" s="2" t="s">
        <v>40</v>
      </c>
      <c r="S84" s="2" t="s">
        <v>40</v>
      </c>
      <c r="T84" s="2" t="s">
        <v>40</v>
      </c>
      <c r="U84" s="2" t="s">
        <v>318</v>
      </c>
      <c r="V84" s="2" t="s">
        <v>42</v>
      </c>
      <c r="W84" s="2" t="n">
        <v>0</v>
      </c>
      <c r="X84" s="2" t="n">
        <v>0</v>
      </c>
      <c r="Y84" s="2" t="n">
        <v>0</v>
      </c>
      <c r="Z84" s="2" t="s">
        <v>37</v>
      </c>
      <c r="AA84" s="3" t="n">
        <f aca="false">H84*I84/1000000*N84</f>
        <v>0.14007</v>
      </c>
      <c r="AB84" s="3" t="n">
        <f aca="false">(IF(Q84="V",H84,0)+IF(S84="V",H84,0)+IF(R84="V",I84,0)+IF(T84="V",I84,0))/1000*N84</f>
        <v>1.502</v>
      </c>
      <c r="AC84" s="2"/>
      <c r="AD84" s="2" t="s">
        <v>72</v>
      </c>
      <c r="AE84" s="2" t="s">
        <v>333</v>
      </c>
    </row>
    <row r="85" customFormat="false" ht="15" hidden="false" customHeight="false" outlineLevel="0" collapsed="false">
      <c r="A85" s="2" t="s">
        <v>334</v>
      </c>
      <c r="B85" s="2" t="s">
        <v>335</v>
      </c>
      <c r="C85" s="2" t="s">
        <v>286</v>
      </c>
      <c r="D85" s="2" t="s">
        <v>34</v>
      </c>
      <c r="E85" s="2" t="s">
        <v>68</v>
      </c>
      <c r="F85" s="2" t="s">
        <v>69</v>
      </c>
      <c r="G85" s="2" t="n">
        <v>18</v>
      </c>
      <c r="H85" s="2" t="n">
        <v>412.5</v>
      </c>
      <c r="I85" s="2" t="n">
        <v>2683</v>
      </c>
      <c r="J85" s="2" t="n">
        <v>408.5</v>
      </c>
      <c r="K85" s="2" t="n">
        <v>2679</v>
      </c>
      <c r="L85" s="2" t="n">
        <v>420.5</v>
      </c>
      <c r="M85" s="2" t="n">
        <v>2691</v>
      </c>
      <c r="N85" s="2" t="n">
        <v>1</v>
      </c>
      <c r="O85" s="2" t="s">
        <v>40</v>
      </c>
      <c r="P85" s="2" t="s">
        <v>63</v>
      </c>
      <c r="Q85" s="2" t="s">
        <v>40</v>
      </c>
      <c r="R85" s="2" t="s">
        <v>40</v>
      </c>
      <c r="S85" s="2" t="s">
        <v>40</v>
      </c>
      <c r="T85" s="2" t="s">
        <v>40</v>
      </c>
      <c r="U85" s="2" t="s">
        <v>71</v>
      </c>
      <c r="V85" s="2" t="s">
        <v>42</v>
      </c>
      <c r="W85" s="2" t="n">
        <v>0</v>
      </c>
      <c r="X85" s="2" t="n">
        <v>18</v>
      </c>
      <c r="Y85" s="2" t="n">
        <v>0</v>
      </c>
      <c r="Z85" s="2" t="s">
        <v>336</v>
      </c>
      <c r="AA85" s="3" t="n">
        <f aca="false">H85*I85/1000000*N85</f>
        <v>1.1067375</v>
      </c>
      <c r="AB85" s="3" t="n">
        <f aca="false">(IF(Q85="V",H85,0)+IF(S85="V",H85,0)+IF(R85="V",I85,0)+IF(T85="V",I85,0))/1000*N85</f>
        <v>6.191</v>
      </c>
      <c r="AC85" s="2" t="s">
        <v>264</v>
      </c>
      <c r="AD85" s="2" t="s">
        <v>337</v>
      </c>
      <c r="AE85" s="2" t="s">
        <v>338</v>
      </c>
    </row>
    <row r="86" customFormat="false" ht="15" hidden="false" customHeight="false" outlineLevel="0" collapsed="false">
      <c r="A86" s="2" t="s">
        <v>339</v>
      </c>
      <c r="B86" s="2" t="s">
        <v>335</v>
      </c>
      <c r="C86" s="2" t="s">
        <v>286</v>
      </c>
      <c r="D86" s="2" t="s">
        <v>34</v>
      </c>
      <c r="E86" s="2" t="s">
        <v>68</v>
      </c>
      <c r="F86" s="2" t="s">
        <v>69</v>
      </c>
      <c r="G86" s="2" t="n">
        <v>18</v>
      </c>
      <c r="H86" s="2" t="n">
        <v>412.5</v>
      </c>
      <c r="I86" s="2" t="n">
        <v>2281</v>
      </c>
      <c r="J86" s="2" t="n">
        <v>408.5</v>
      </c>
      <c r="K86" s="2" t="n">
        <v>2277</v>
      </c>
      <c r="L86" s="2" t="n">
        <v>420.5</v>
      </c>
      <c r="M86" s="2" t="n">
        <v>2289</v>
      </c>
      <c r="N86" s="2" t="n">
        <v>1</v>
      </c>
      <c r="O86" s="2" t="s">
        <v>40</v>
      </c>
      <c r="P86" s="2" t="s">
        <v>63</v>
      </c>
      <c r="Q86" s="2" t="s">
        <v>40</v>
      </c>
      <c r="R86" s="2" t="s">
        <v>40</v>
      </c>
      <c r="S86" s="2" t="s">
        <v>40</v>
      </c>
      <c r="T86" s="2" t="s">
        <v>40</v>
      </c>
      <c r="U86" s="2" t="s">
        <v>71</v>
      </c>
      <c r="V86" s="2" t="s">
        <v>42</v>
      </c>
      <c r="W86" s="2" t="n">
        <v>0</v>
      </c>
      <c r="X86" s="2" t="n">
        <v>15</v>
      </c>
      <c r="Y86" s="2" t="n">
        <v>0</v>
      </c>
      <c r="Z86" s="2" t="s">
        <v>340</v>
      </c>
      <c r="AA86" s="3" t="n">
        <f aca="false">H86*I86/1000000*N86</f>
        <v>0.9409125</v>
      </c>
      <c r="AB86" s="3" t="n">
        <f aca="false">(IF(Q86="V",H86,0)+IF(S86="V",H86,0)+IF(R86="V",I86,0)+IF(T86="V",I86,0))/1000*N86</f>
        <v>5.387</v>
      </c>
      <c r="AC86" s="2" t="s">
        <v>264</v>
      </c>
      <c r="AD86" s="2" t="s">
        <v>337</v>
      </c>
      <c r="AE86" s="2" t="s">
        <v>341</v>
      </c>
    </row>
    <row r="87" customFormat="false" ht="15" hidden="false" customHeight="false" outlineLevel="0" collapsed="false">
      <c r="A87" s="2" t="s">
        <v>342</v>
      </c>
      <c r="B87" s="2" t="s">
        <v>343</v>
      </c>
      <c r="C87" s="2" t="s">
        <v>286</v>
      </c>
      <c r="D87" s="2" t="s">
        <v>344</v>
      </c>
      <c r="E87" s="2" t="s">
        <v>345</v>
      </c>
      <c r="F87" s="2" t="s">
        <v>346</v>
      </c>
      <c r="G87" s="2" t="n">
        <v>8</v>
      </c>
      <c r="H87" s="2" t="n">
        <v>322.5</v>
      </c>
      <c r="I87" s="2" t="n">
        <v>2515</v>
      </c>
      <c r="J87" s="2" t="n">
        <v>322.5</v>
      </c>
      <c r="K87" s="2" t="n">
        <v>2515</v>
      </c>
      <c r="L87" s="2"/>
      <c r="M87" s="2"/>
      <c r="N87" s="2" t="n">
        <v>1</v>
      </c>
      <c r="O87" s="2" t="s">
        <v>37</v>
      </c>
      <c r="P87" s="2" t="s">
        <v>63</v>
      </c>
      <c r="Q87" s="2" t="s">
        <v>347</v>
      </c>
      <c r="R87" s="2" t="s">
        <v>347</v>
      </c>
      <c r="S87" s="2" t="s">
        <v>347</v>
      </c>
      <c r="T87" s="2" t="s">
        <v>347</v>
      </c>
      <c r="U87" s="2" t="s">
        <v>348</v>
      </c>
      <c r="V87" s="2" t="s">
        <v>42</v>
      </c>
      <c r="W87" s="2" t="n">
        <v>0</v>
      </c>
      <c r="X87" s="2" t="n">
        <v>0</v>
      </c>
      <c r="Y87" s="2" t="n">
        <v>0</v>
      </c>
      <c r="Z87" s="2" t="s">
        <v>37</v>
      </c>
      <c r="AA87" s="3" t="n">
        <f aca="false">H87*I87/1000000*N87</f>
        <v>0.8110875</v>
      </c>
      <c r="AB87" s="3" t="n">
        <f aca="false">(IF(Q87="V",H87,0)+IF(S87="V",H87,0)+IF(R87="V",I87,0)+IF(T87="V",I87,0))/1000*N87</f>
        <v>0</v>
      </c>
      <c r="AC87" s="2" t="s">
        <v>264</v>
      </c>
      <c r="AD87" s="2" t="s">
        <v>349</v>
      </c>
      <c r="AE87" s="2" t="s">
        <v>350</v>
      </c>
    </row>
    <row r="88" customFormat="false" ht="15" hidden="false" customHeight="false" outlineLevel="0" collapsed="false">
      <c r="A88" s="2" t="s">
        <v>351</v>
      </c>
      <c r="B88" s="2" t="s">
        <v>352</v>
      </c>
      <c r="C88" s="2" t="s">
        <v>353</v>
      </c>
      <c r="D88" s="2" t="s">
        <v>34</v>
      </c>
      <c r="E88" s="2" t="s">
        <v>354</v>
      </c>
      <c r="F88" s="2" t="s">
        <v>355</v>
      </c>
      <c r="G88" s="2" t="n">
        <v>17</v>
      </c>
      <c r="H88" s="2" t="n">
        <v>811</v>
      </c>
      <c r="I88" s="2" t="n">
        <v>2405</v>
      </c>
      <c r="J88" s="2" t="n">
        <v>811</v>
      </c>
      <c r="K88" s="2" t="n">
        <v>2405</v>
      </c>
      <c r="L88" s="2" t="n">
        <v>841</v>
      </c>
      <c r="M88" s="2" t="n">
        <v>2405</v>
      </c>
      <c r="N88" s="2" t="n">
        <v>1</v>
      </c>
      <c r="O88" s="2" t="s">
        <v>40</v>
      </c>
      <c r="P88" s="2" t="s">
        <v>63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37</v>
      </c>
      <c r="V88" s="2" t="s">
        <v>42</v>
      </c>
      <c r="W88" s="2" t="n">
        <v>0</v>
      </c>
      <c r="X88" s="2" t="n">
        <v>0</v>
      </c>
      <c r="Y88" s="2" t="n">
        <v>0</v>
      </c>
      <c r="Z88" s="2" t="s">
        <v>37</v>
      </c>
      <c r="AA88" s="3" t="n">
        <f aca="false">H88*I88/1000000*N88</f>
        <v>1.950455</v>
      </c>
      <c r="AB88" s="3" t="n">
        <f aca="false">(IF(Q88="V",H88,0)+IF(S88="V",H88,0)+IF(R88="V",I88,0)+IF(T88="V",I88,0))/1000*N88</f>
        <v>0</v>
      </c>
      <c r="AC88" s="2"/>
      <c r="AD88" s="2" t="s">
        <v>314</v>
      </c>
      <c r="AE88" s="2" t="s">
        <v>356</v>
      </c>
    </row>
    <row r="89" customFormat="false" ht="15" hidden="false" customHeight="false" outlineLevel="0" collapsed="false">
      <c r="A89" s="2" t="s">
        <v>357</v>
      </c>
      <c r="B89" s="2" t="s">
        <v>352</v>
      </c>
      <c r="C89" s="2" t="s">
        <v>353</v>
      </c>
      <c r="D89" s="2" t="s">
        <v>34</v>
      </c>
      <c r="E89" s="2" t="s">
        <v>354</v>
      </c>
      <c r="F89" s="2" t="s">
        <v>355</v>
      </c>
      <c r="G89" s="2" t="n">
        <v>17</v>
      </c>
      <c r="H89" s="2" t="n">
        <v>679.5</v>
      </c>
      <c r="I89" s="2" t="n">
        <v>2405</v>
      </c>
      <c r="J89" s="2" t="n">
        <v>679.5</v>
      </c>
      <c r="K89" s="2" t="n">
        <v>2405</v>
      </c>
      <c r="L89" s="2" t="n">
        <v>679.5</v>
      </c>
      <c r="M89" s="2" t="n">
        <v>2405</v>
      </c>
      <c r="N89" s="2" t="n">
        <v>1</v>
      </c>
      <c r="O89" s="2" t="s">
        <v>40</v>
      </c>
      <c r="P89" s="2" t="s">
        <v>63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37</v>
      </c>
      <c r="V89" s="2" t="s">
        <v>42</v>
      </c>
      <c r="W89" s="2" t="n">
        <v>0</v>
      </c>
      <c r="X89" s="2" t="n">
        <v>0</v>
      </c>
      <c r="Y89" s="2" t="n">
        <v>0</v>
      </c>
      <c r="Z89" s="2" t="s">
        <v>37</v>
      </c>
      <c r="AA89" s="3" t="n">
        <f aca="false">H89*I89/1000000*N89</f>
        <v>1.6341975</v>
      </c>
      <c r="AB89" s="3" t="n">
        <f aca="false">(IF(Q89="V",H89,0)+IF(S89="V",H89,0)+IF(R89="V",I89,0)+IF(T89="V",I89,0))/1000*N89</f>
        <v>0</v>
      </c>
      <c r="AC89" s="2"/>
      <c r="AD89" s="2" t="s">
        <v>314</v>
      </c>
      <c r="AE89" s="2" t="s">
        <v>358</v>
      </c>
    </row>
    <row r="90" customFormat="false" ht="15" hidden="false" customHeight="false" outlineLevel="0" collapsed="false">
      <c r="A90" s="2" t="s">
        <v>359</v>
      </c>
      <c r="B90" s="2" t="s">
        <v>352</v>
      </c>
      <c r="C90" s="2" t="s">
        <v>353</v>
      </c>
      <c r="D90" s="2" t="s">
        <v>34</v>
      </c>
      <c r="E90" s="2" t="s">
        <v>354</v>
      </c>
      <c r="F90" s="2" t="s">
        <v>355</v>
      </c>
      <c r="G90" s="2" t="n">
        <v>17</v>
      </c>
      <c r="H90" s="2" t="n">
        <v>679.5</v>
      </c>
      <c r="I90" s="2" t="n">
        <v>2405</v>
      </c>
      <c r="J90" s="2" t="n">
        <v>679.5</v>
      </c>
      <c r="K90" s="2" t="n">
        <v>2405</v>
      </c>
      <c r="L90" s="2" t="n">
        <v>679.5</v>
      </c>
      <c r="M90" s="2" t="n">
        <v>2405</v>
      </c>
      <c r="N90" s="2" t="n">
        <v>1</v>
      </c>
      <c r="O90" s="2" t="s">
        <v>40</v>
      </c>
      <c r="P90" s="2" t="s">
        <v>63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37</v>
      </c>
      <c r="V90" s="2" t="s">
        <v>42</v>
      </c>
      <c r="W90" s="2" t="n">
        <v>0</v>
      </c>
      <c r="X90" s="2" t="n">
        <v>0</v>
      </c>
      <c r="Y90" s="2" t="n">
        <v>0</v>
      </c>
      <c r="Z90" s="2" t="s">
        <v>37</v>
      </c>
      <c r="AA90" s="3" t="n">
        <f aca="false">H90*I90/1000000*N90</f>
        <v>1.6341975</v>
      </c>
      <c r="AB90" s="3" t="n">
        <f aca="false">(IF(Q90="V",H90,0)+IF(S90="V",H90,0)+IF(R90="V",I90,0)+IF(T90="V",I90,0))/1000*N90</f>
        <v>0</v>
      </c>
      <c r="AC90" s="2"/>
      <c r="AD90" s="2" t="s">
        <v>314</v>
      </c>
      <c r="AE90" s="2" t="s">
        <v>360</v>
      </c>
    </row>
    <row r="91" customFormat="false" ht="15" hidden="false" customHeight="false" outlineLevel="0" collapsed="false">
      <c r="A91" s="2" t="s">
        <v>361</v>
      </c>
      <c r="B91" s="2" t="s">
        <v>352</v>
      </c>
      <c r="C91" s="2" t="s">
        <v>353</v>
      </c>
      <c r="D91" s="2" t="s">
        <v>34</v>
      </c>
      <c r="E91" s="2" t="s">
        <v>354</v>
      </c>
      <c r="F91" s="2" t="s">
        <v>355</v>
      </c>
      <c r="G91" s="2" t="n">
        <v>17</v>
      </c>
      <c r="H91" s="2" t="n">
        <v>678</v>
      </c>
      <c r="I91" s="2" t="n">
        <v>2405</v>
      </c>
      <c r="J91" s="2" t="n">
        <v>678</v>
      </c>
      <c r="K91" s="2" t="n">
        <v>2405</v>
      </c>
      <c r="L91" s="2" t="n">
        <v>678</v>
      </c>
      <c r="M91" s="2" t="n">
        <v>2405</v>
      </c>
      <c r="N91" s="2" t="n">
        <v>1</v>
      </c>
      <c r="O91" s="2" t="s">
        <v>40</v>
      </c>
      <c r="P91" s="2" t="s">
        <v>63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37</v>
      </c>
      <c r="V91" s="2" t="s">
        <v>42</v>
      </c>
      <c r="W91" s="2" t="n">
        <v>0</v>
      </c>
      <c r="X91" s="2" t="n">
        <v>0</v>
      </c>
      <c r="Y91" s="2" t="n">
        <v>0</v>
      </c>
      <c r="Z91" s="2" t="s">
        <v>37</v>
      </c>
      <c r="AA91" s="3" t="n">
        <f aca="false">H91*I91/1000000*N91</f>
        <v>1.63059</v>
      </c>
      <c r="AB91" s="3" t="n">
        <f aca="false">(IF(Q91="V",H91,0)+IF(S91="V",H91,0)+IF(R91="V",I91,0)+IF(T91="V",I91,0))/1000*N91</f>
        <v>0</v>
      </c>
      <c r="AC91" s="2"/>
      <c r="AD91" s="2" t="s">
        <v>314</v>
      </c>
      <c r="AE91" s="2" t="s">
        <v>362</v>
      </c>
    </row>
    <row r="92" customFormat="false" ht="15" hidden="false" customHeight="false" outlineLevel="0" collapsed="false">
      <c r="A92" s="2" t="s">
        <v>363</v>
      </c>
      <c r="B92" s="2" t="s">
        <v>364</v>
      </c>
      <c r="C92" s="2" t="s">
        <v>353</v>
      </c>
      <c r="D92" s="2" t="s">
        <v>34</v>
      </c>
      <c r="E92" s="2" t="s">
        <v>365</v>
      </c>
      <c r="F92" s="2" t="s">
        <v>366</v>
      </c>
      <c r="G92" s="2" t="n">
        <v>8</v>
      </c>
      <c r="H92" s="2" t="n">
        <v>40</v>
      </c>
      <c r="I92" s="2" t="n">
        <v>2235</v>
      </c>
      <c r="J92" s="2" t="n">
        <v>40</v>
      </c>
      <c r="K92" s="2" t="n">
        <v>2235</v>
      </c>
      <c r="L92" s="2" t="n">
        <v>40</v>
      </c>
      <c r="M92" s="2" t="n">
        <v>2235</v>
      </c>
      <c r="N92" s="2" t="n">
        <v>1</v>
      </c>
      <c r="O92" s="2" t="s">
        <v>37</v>
      </c>
      <c r="P92" s="2" t="s">
        <v>63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37</v>
      </c>
      <c r="V92" s="2" t="s">
        <v>42</v>
      </c>
      <c r="W92" s="2" t="n">
        <v>0</v>
      </c>
      <c r="X92" s="2" t="n">
        <v>0</v>
      </c>
      <c r="Y92" s="2" t="n">
        <v>0</v>
      </c>
      <c r="Z92" s="2" t="s">
        <v>37</v>
      </c>
      <c r="AA92" s="3" t="n">
        <f aca="false">H92*I92/1000000*N92</f>
        <v>0.0894</v>
      </c>
      <c r="AB92" s="3" t="n">
        <f aca="false">(IF(Q92="V",H92,0)+IF(S92="V",H92,0)+IF(R92="V",I92,0)+IF(T92="V",I92,0))/1000*N92</f>
        <v>0</v>
      </c>
      <c r="AC92" s="2"/>
      <c r="AD92" s="2" t="s">
        <v>314</v>
      </c>
      <c r="AE92" s="2" t="s">
        <v>367</v>
      </c>
    </row>
    <row r="93" customFormat="false" ht="15" hidden="false" customHeight="false" outlineLevel="0" collapsed="false">
      <c r="A93" s="2" t="s">
        <v>368</v>
      </c>
      <c r="B93" s="2" t="s">
        <v>364</v>
      </c>
      <c r="C93" s="2" t="s">
        <v>353</v>
      </c>
      <c r="D93" s="2" t="s">
        <v>34</v>
      </c>
      <c r="E93" s="2" t="s">
        <v>365</v>
      </c>
      <c r="F93" s="2" t="s">
        <v>366</v>
      </c>
      <c r="G93" s="2" t="n">
        <v>8</v>
      </c>
      <c r="H93" s="2" t="n">
        <v>40</v>
      </c>
      <c r="I93" s="2" t="n">
        <v>2235</v>
      </c>
      <c r="J93" s="2" t="n">
        <v>40</v>
      </c>
      <c r="K93" s="2" t="n">
        <v>2235</v>
      </c>
      <c r="L93" s="2" t="n">
        <v>40</v>
      </c>
      <c r="M93" s="2" t="n">
        <v>2235</v>
      </c>
      <c r="N93" s="2" t="n">
        <v>1</v>
      </c>
      <c r="O93" s="2" t="s">
        <v>37</v>
      </c>
      <c r="P93" s="2" t="s">
        <v>63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37</v>
      </c>
      <c r="V93" s="2" t="s">
        <v>42</v>
      </c>
      <c r="W93" s="2" t="n">
        <v>0</v>
      </c>
      <c r="X93" s="2" t="n">
        <v>0</v>
      </c>
      <c r="Y93" s="2" t="n">
        <v>0</v>
      </c>
      <c r="Z93" s="2" t="s">
        <v>37</v>
      </c>
      <c r="AA93" s="3" t="n">
        <f aca="false">H93*I93/1000000*N93</f>
        <v>0.0894</v>
      </c>
      <c r="AB93" s="3" t="n">
        <f aca="false">(IF(Q93="V",H93,0)+IF(S93="V",H93,0)+IF(R93="V",I93,0)+IF(T93="V",I93,0))/1000*N93</f>
        <v>0</v>
      </c>
      <c r="AC93" s="2"/>
      <c r="AD93" s="2" t="s">
        <v>314</v>
      </c>
      <c r="AE93" s="2" t="s">
        <v>369</v>
      </c>
    </row>
    <row r="94" customFormat="false" ht="15" hidden="false" customHeight="false" outlineLevel="0" collapsed="false">
      <c r="A94" s="2" t="s">
        <v>370</v>
      </c>
      <c r="B94" s="2" t="s">
        <v>364</v>
      </c>
      <c r="C94" s="2" t="s">
        <v>353</v>
      </c>
      <c r="D94" s="2" t="s">
        <v>34</v>
      </c>
      <c r="E94" s="2" t="s">
        <v>365</v>
      </c>
      <c r="F94" s="2" t="s">
        <v>366</v>
      </c>
      <c r="G94" s="2" t="n">
        <v>8</v>
      </c>
      <c r="H94" s="2" t="n">
        <v>40</v>
      </c>
      <c r="I94" s="2" t="n">
        <v>2235</v>
      </c>
      <c r="J94" s="2" t="n">
        <v>40</v>
      </c>
      <c r="K94" s="2" t="n">
        <v>2235</v>
      </c>
      <c r="L94" s="2" t="n">
        <v>40</v>
      </c>
      <c r="M94" s="2" t="n">
        <v>2235</v>
      </c>
      <c r="N94" s="2" t="n">
        <v>1</v>
      </c>
      <c r="O94" s="2" t="s">
        <v>37</v>
      </c>
      <c r="P94" s="2" t="s">
        <v>63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37</v>
      </c>
      <c r="V94" s="2" t="s">
        <v>42</v>
      </c>
      <c r="W94" s="2" t="n">
        <v>0</v>
      </c>
      <c r="X94" s="2" t="n">
        <v>0</v>
      </c>
      <c r="Y94" s="2" t="n">
        <v>0</v>
      </c>
      <c r="Z94" s="2" t="s">
        <v>37</v>
      </c>
      <c r="AA94" s="3" t="n">
        <f aca="false">H94*I94/1000000*N94</f>
        <v>0.0894</v>
      </c>
      <c r="AB94" s="3" t="n">
        <f aca="false">(IF(Q94="V",H94,0)+IF(S94="V",H94,0)+IF(R94="V",I94,0)+IF(T94="V",I94,0))/1000*N94</f>
        <v>0</v>
      </c>
      <c r="AC94" s="2"/>
      <c r="AD94" s="2" t="s">
        <v>314</v>
      </c>
      <c r="AE94" s="2" t="s">
        <v>371</v>
      </c>
    </row>
    <row r="95" customFormat="false" ht="15" hidden="false" customHeight="false" outlineLevel="0" collapsed="false">
      <c r="A95" s="2" t="s">
        <v>372</v>
      </c>
      <c r="B95" s="2" t="s">
        <v>364</v>
      </c>
      <c r="C95" s="2" t="s">
        <v>353</v>
      </c>
      <c r="D95" s="2" t="s">
        <v>34</v>
      </c>
      <c r="E95" s="2" t="s">
        <v>365</v>
      </c>
      <c r="F95" s="2" t="s">
        <v>366</v>
      </c>
      <c r="G95" s="2" t="n">
        <v>8</v>
      </c>
      <c r="H95" s="2" t="n">
        <v>40</v>
      </c>
      <c r="I95" s="2" t="n">
        <v>2235</v>
      </c>
      <c r="J95" s="2" t="n">
        <v>40</v>
      </c>
      <c r="K95" s="2" t="n">
        <v>2235</v>
      </c>
      <c r="L95" s="2" t="n">
        <v>40</v>
      </c>
      <c r="M95" s="2" t="n">
        <v>2235</v>
      </c>
      <c r="N95" s="2" t="n">
        <v>1</v>
      </c>
      <c r="O95" s="2" t="s">
        <v>37</v>
      </c>
      <c r="P95" s="2" t="s">
        <v>63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37</v>
      </c>
      <c r="V95" s="2" t="s">
        <v>42</v>
      </c>
      <c r="W95" s="2" t="n">
        <v>0</v>
      </c>
      <c r="X95" s="2" t="n">
        <v>0</v>
      </c>
      <c r="Y95" s="2" t="n">
        <v>0</v>
      </c>
      <c r="Z95" s="2" t="s">
        <v>37</v>
      </c>
      <c r="AA95" s="3" t="n">
        <f aca="false">H95*I95/1000000*N95</f>
        <v>0.0894</v>
      </c>
      <c r="AB95" s="3" t="n">
        <f aca="false">(IF(Q95="V",H95,0)+IF(S95="V",H95,0)+IF(R95="V",I95,0)+IF(T95="V",I95,0))/1000*N95</f>
        <v>0</v>
      </c>
      <c r="AC95" s="2"/>
      <c r="AD95" s="2" t="s">
        <v>314</v>
      </c>
      <c r="AE95" s="2" t="s">
        <v>373</v>
      </c>
    </row>
    <row r="96" customFormat="false" ht="15" hidden="false" customHeight="false" outlineLevel="0" collapsed="false">
      <c r="A96" s="2" t="s">
        <v>374</v>
      </c>
      <c r="B96" s="2" t="s">
        <v>364</v>
      </c>
      <c r="C96" s="2" t="s">
        <v>353</v>
      </c>
      <c r="D96" s="2" t="s">
        <v>34</v>
      </c>
      <c r="E96" s="2" t="s">
        <v>365</v>
      </c>
      <c r="F96" s="2" t="s">
        <v>366</v>
      </c>
      <c r="G96" s="2" t="n">
        <v>8</v>
      </c>
      <c r="H96" s="2" t="n">
        <v>40</v>
      </c>
      <c r="I96" s="2" t="n">
        <v>2235</v>
      </c>
      <c r="J96" s="2" t="n">
        <v>40</v>
      </c>
      <c r="K96" s="2" t="n">
        <v>2235</v>
      </c>
      <c r="L96" s="2" t="n">
        <v>40</v>
      </c>
      <c r="M96" s="2" t="n">
        <v>2235</v>
      </c>
      <c r="N96" s="2" t="n">
        <v>1</v>
      </c>
      <c r="O96" s="2" t="s">
        <v>37</v>
      </c>
      <c r="P96" s="2" t="s">
        <v>63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37</v>
      </c>
      <c r="V96" s="2" t="s">
        <v>42</v>
      </c>
      <c r="W96" s="2" t="n">
        <v>0</v>
      </c>
      <c r="X96" s="2" t="n">
        <v>0</v>
      </c>
      <c r="Y96" s="2" t="n">
        <v>0</v>
      </c>
      <c r="Z96" s="2" t="s">
        <v>37</v>
      </c>
      <c r="AA96" s="3" t="n">
        <f aca="false">H96*I96/1000000*N96</f>
        <v>0.0894</v>
      </c>
      <c r="AB96" s="3" t="n">
        <f aca="false">(IF(Q96="V",H96,0)+IF(S96="V",H96,0)+IF(R96="V",I96,0)+IF(T96="V",I96,0))/1000*N96</f>
        <v>0</v>
      </c>
      <c r="AC96" s="2"/>
      <c r="AD96" s="2" t="s">
        <v>314</v>
      </c>
      <c r="AE96" s="2" t="s">
        <v>375</v>
      </c>
    </row>
    <row r="97" customFormat="false" ht="15" hidden="false" customHeight="false" outlineLevel="0" collapsed="false">
      <c r="A97" s="2" t="s">
        <v>376</v>
      </c>
      <c r="B97" s="2" t="s">
        <v>377</v>
      </c>
      <c r="C97" s="2" t="s">
        <v>378</v>
      </c>
      <c r="D97" s="2" t="s">
        <v>379</v>
      </c>
      <c r="E97" s="2" t="s">
        <v>51</v>
      </c>
      <c r="F97" s="2" t="s">
        <v>52</v>
      </c>
      <c r="G97" s="2" t="n">
        <v>337</v>
      </c>
      <c r="H97" s="2" t="n">
        <v>870</v>
      </c>
      <c r="I97" s="2" t="n">
        <v>100</v>
      </c>
      <c r="J97" s="2" t="n">
        <v>870</v>
      </c>
      <c r="K97" s="2" t="n">
        <v>100</v>
      </c>
      <c r="L97" s="2" t="n">
        <v>880</v>
      </c>
      <c r="M97" s="2" t="n">
        <v>110</v>
      </c>
      <c r="N97" s="2" t="n">
        <v>1</v>
      </c>
      <c r="O97" s="2" t="s">
        <v>37</v>
      </c>
      <c r="P97" s="2" t="s">
        <v>63</v>
      </c>
      <c r="Q97" s="2" t="s">
        <v>54</v>
      </c>
      <c r="R97" s="2" t="s">
        <v>54</v>
      </c>
      <c r="S97" s="2" t="s">
        <v>54</v>
      </c>
      <c r="T97" s="2" t="s">
        <v>54</v>
      </c>
      <c r="U97" s="2" t="s">
        <v>55</v>
      </c>
      <c r="V97" s="2" t="s">
        <v>42</v>
      </c>
      <c r="W97" s="2" t="n">
        <v>0</v>
      </c>
      <c r="X97" s="2" t="n">
        <v>0</v>
      </c>
      <c r="Y97" s="2" t="n">
        <v>15</v>
      </c>
      <c r="Z97" s="2" t="s">
        <v>380</v>
      </c>
      <c r="AA97" s="3" t="n">
        <f aca="false">H97*I97/1000000*N97</f>
        <v>0.087</v>
      </c>
      <c r="AB97" s="3" t="n">
        <f aca="false">(IF(Q97="V",H97,0)+IF(S97="V",H97,0)+IF(R97="V",I97,0)+IF(T97="V",I97,0))/1000*N97</f>
        <v>0</v>
      </c>
      <c r="AC97" s="2" t="s">
        <v>381</v>
      </c>
      <c r="AD97" s="2" t="s">
        <v>382</v>
      </c>
      <c r="AE97" s="2" t="s">
        <v>383</v>
      </c>
    </row>
    <row r="98" customFormat="false" ht="15" hidden="false" customHeight="false" outlineLevel="0" collapsed="false">
      <c r="A98" s="2" t="s">
        <v>384</v>
      </c>
      <c r="B98" s="2" t="s">
        <v>385</v>
      </c>
      <c r="C98" s="2" t="s">
        <v>378</v>
      </c>
      <c r="D98" s="2" t="s">
        <v>34</v>
      </c>
      <c r="E98" s="2" t="s">
        <v>51</v>
      </c>
      <c r="F98" s="2" t="s">
        <v>52</v>
      </c>
      <c r="G98" s="2" t="n">
        <v>18</v>
      </c>
      <c r="H98" s="2" t="n">
        <v>870</v>
      </c>
      <c r="I98" s="2" t="n">
        <v>100</v>
      </c>
      <c r="J98" s="2" t="n">
        <v>870</v>
      </c>
      <c r="K98" s="2" t="n">
        <v>100</v>
      </c>
      <c r="L98" s="2" t="n">
        <v>880</v>
      </c>
      <c r="M98" s="2" t="n">
        <v>110</v>
      </c>
      <c r="N98" s="2" t="n">
        <v>1</v>
      </c>
      <c r="O98" s="2" t="s">
        <v>37</v>
      </c>
      <c r="P98" s="2" t="s">
        <v>63</v>
      </c>
      <c r="Q98" s="2" t="s">
        <v>54</v>
      </c>
      <c r="R98" s="2" t="s">
        <v>54</v>
      </c>
      <c r="S98" s="2" t="s">
        <v>54</v>
      </c>
      <c r="T98" s="2" t="s">
        <v>54</v>
      </c>
      <c r="U98" s="2" t="s">
        <v>55</v>
      </c>
      <c r="V98" s="2" t="s">
        <v>42</v>
      </c>
      <c r="W98" s="2" t="n">
        <v>0</v>
      </c>
      <c r="X98" s="2" t="n">
        <v>0</v>
      </c>
      <c r="Y98" s="2" t="n">
        <v>2</v>
      </c>
      <c r="Z98" s="2" t="s">
        <v>386</v>
      </c>
      <c r="AA98" s="3" t="n">
        <f aca="false">H98*I98/1000000*N98</f>
        <v>0.087</v>
      </c>
      <c r="AB98" s="3" t="n">
        <f aca="false">(IF(Q98="V",H98,0)+IF(S98="V",H98,0)+IF(R98="V",I98,0)+IF(T98="V",I98,0))/1000*N98</f>
        <v>0</v>
      </c>
      <c r="AC98" s="2" t="s">
        <v>264</v>
      </c>
      <c r="AD98" s="2" t="s">
        <v>382</v>
      </c>
      <c r="AE98" s="2" t="s">
        <v>387</v>
      </c>
    </row>
    <row r="99" customFormat="false" ht="15" hidden="false" customHeight="false" outlineLevel="0" collapsed="false">
      <c r="A99" s="2" t="s">
        <v>388</v>
      </c>
      <c r="B99" s="2" t="s">
        <v>377</v>
      </c>
      <c r="C99" s="2" t="s">
        <v>378</v>
      </c>
      <c r="D99" s="2" t="s">
        <v>379</v>
      </c>
      <c r="E99" s="2" t="s">
        <v>51</v>
      </c>
      <c r="F99" s="2" t="s">
        <v>52</v>
      </c>
      <c r="G99" s="2" t="n">
        <v>337</v>
      </c>
      <c r="H99" s="2" t="n">
        <v>870</v>
      </c>
      <c r="I99" s="2" t="n">
        <v>100</v>
      </c>
      <c r="J99" s="2" t="n">
        <v>870</v>
      </c>
      <c r="K99" s="2" t="n">
        <v>100</v>
      </c>
      <c r="L99" s="2" t="n">
        <v>880</v>
      </c>
      <c r="M99" s="2" t="n">
        <v>110</v>
      </c>
      <c r="N99" s="2" t="n">
        <v>1</v>
      </c>
      <c r="O99" s="2" t="s">
        <v>37</v>
      </c>
      <c r="P99" s="2" t="s">
        <v>63</v>
      </c>
      <c r="Q99" s="2" t="s">
        <v>54</v>
      </c>
      <c r="R99" s="2" t="s">
        <v>39</v>
      </c>
      <c r="S99" s="2" t="s">
        <v>54</v>
      </c>
      <c r="T99" s="2" t="s">
        <v>54</v>
      </c>
      <c r="U99" s="2" t="s">
        <v>389</v>
      </c>
      <c r="V99" s="2" t="s">
        <v>42</v>
      </c>
      <c r="W99" s="2" t="n">
        <v>0</v>
      </c>
      <c r="X99" s="2" t="n">
        <v>0</v>
      </c>
      <c r="Y99" s="2" t="n">
        <v>20</v>
      </c>
      <c r="Z99" s="2" t="s">
        <v>390</v>
      </c>
      <c r="AA99" s="3" t="n">
        <f aca="false">H99*I99/1000000*N99</f>
        <v>0.087</v>
      </c>
      <c r="AB99" s="3" t="n">
        <f aca="false">(IF(Q99="V",H99,0)+IF(S99="V",H99,0)+IF(R99="V",I99,0)+IF(T99="V",I99,0))/1000*N99</f>
        <v>0</v>
      </c>
      <c r="AC99" s="2" t="s">
        <v>381</v>
      </c>
      <c r="AD99" s="2" t="s">
        <v>391</v>
      </c>
      <c r="AE99" s="2" t="s">
        <v>392</v>
      </c>
    </row>
    <row r="100" customFormat="false" ht="15" hidden="false" customHeight="false" outlineLevel="0" collapsed="false">
      <c r="A100" s="2" t="s">
        <v>393</v>
      </c>
      <c r="B100" s="2" t="s">
        <v>385</v>
      </c>
      <c r="C100" s="2" t="s">
        <v>378</v>
      </c>
      <c r="D100" s="2" t="s">
        <v>34</v>
      </c>
      <c r="E100" s="2" t="s">
        <v>51</v>
      </c>
      <c r="F100" s="2" t="s">
        <v>52</v>
      </c>
      <c r="G100" s="2" t="n">
        <v>18</v>
      </c>
      <c r="H100" s="2" t="n">
        <v>870</v>
      </c>
      <c r="I100" s="2" t="n">
        <v>100</v>
      </c>
      <c r="J100" s="2" t="n">
        <v>870</v>
      </c>
      <c r="K100" s="2" t="n">
        <v>100</v>
      </c>
      <c r="L100" s="2" t="n">
        <v>880</v>
      </c>
      <c r="M100" s="2" t="n">
        <v>110</v>
      </c>
      <c r="N100" s="2" t="n">
        <v>1</v>
      </c>
      <c r="O100" s="2" t="s">
        <v>37</v>
      </c>
      <c r="P100" s="2" t="s">
        <v>63</v>
      </c>
      <c r="Q100" s="2" t="s">
        <v>54</v>
      </c>
      <c r="R100" s="2" t="s">
        <v>54</v>
      </c>
      <c r="S100" s="2" t="s">
        <v>54</v>
      </c>
      <c r="T100" s="2" t="s">
        <v>54</v>
      </c>
      <c r="U100" s="2" t="s">
        <v>389</v>
      </c>
      <c r="V100" s="2" t="s">
        <v>42</v>
      </c>
      <c r="W100" s="2" t="n">
        <v>0</v>
      </c>
      <c r="X100" s="2" t="n">
        <v>0</v>
      </c>
      <c r="Y100" s="2" t="n">
        <v>2</v>
      </c>
      <c r="Z100" s="2" t="s">
        <v>394</v>
      </c>
      <c r="AA100" s="3" t="n">
        <f aca="false">H100*I100/1000000*N100</f>
        <v>0.087</v>
      </c>
      <c r="AB100" s="3" t="n">
        <f aca="false">(IF(Q100="V",H100,0)+IF(S100="V",H100,0)+IF(R100="V",I100,0)+IF(T100="V",I100,0))/1000*N100</f>
        <v>0</v>
      </c>
      <c r="AC100" s="2" t="s">
        <v>264</v>
      </c>
      <c r="AD100" s="2" t="s">
        <v>382</v>
      </c>
      <c r="AE100" s="2" t="s">
        <v>395</v>
      </c>
    </row>
    <row r="101" customFormat="false" ht="15" hidden="false" customHeight="false" outlineLevel="0" collapsed="false">
      <c r="A101" s="2" t="s">
        <v>396</v>
      </c>
      <c r="B101" s="2" t="s">
        <v>397</v>
      </c>
      <c r="C101" s="2" t="s">
        <v>378</v>
      </c>
      <c r="D101" s="2" t="s">
        <v>34</v>
      </c>
      <c r="E101" s="2" t="s">
        <v>51</v>
      </c>
      <c r="F101" s="2" t="s">
        <v>52</v>
      </c>
      <c r="G101" s="2" t="n">
        <v>18</v>
      </c>
      <c r="H101" s="2" t="n">
        <v>18</v>
      </c>
      <c r="I101" s="2" t="n">
        <v>2525</v>
      </c>
      <c r="J101" s="2" t="n">
        <v>18</v>
      </c>
      <c r="K101" s="2" t="n">
        <v>2525</v>
      </c>
      <c r="L101" s="2" t="n">
        <v>28</v>
      </c>
      <c r="M101" s="2" t="n">
        <v>2535</v>
      </c>
      <c r="N101" s="2" t="n">
        <v>1</v>
      </c>
      <c r="O101" s="2" t="s">
        <v>37</v>
      </c>
      <c r="P101" s="2" t="s">
        <v>63</v>
      </c>
      <c r="Q101" s="2" t="s">
        <v>39</v>
      </c>
      <c r="R101" s="2" t="s">
        <v>54</v>
      </c>
      <c r="S101" s="2" t="s">
        <v>39</v>
      </c>
      <c r="T101" s="2" t="s">
        <v>54</v>
      </c>
      <c r="U101" s="2" t="s">
        <v>55</v>
      </c>
      <c r="V101" s="2" t="s">
        <v>42</v>
      </c>
      <c r="W101" s="2" t="n">
        <v>0</v>
      </c>
      <c r="X101" s="2" t="n">
        <v>0</v>
      </c>
      <c r="Y101" s="2" t="n">
        <v>2</v>
      </c>
      <c r="Z101" s="2" t="s">
        <v>398</v>
      </c>
      <c r="AA101" s="3" t="n">
        <f aca="false">H101*I101/1000000*N101</f>
        <v>0.04545</v>
      </c>
      <c r="AB101" s="3" t="n">
        <f aca="false">(IF(Q101="V",H101,0)+IF(S101="V",H101,0)+IF(R101="V",I101,0)+IF(T101="V",I101,0))/1000*N101</f>
        <v>0</v>
      </c>
      <c r="AC101" s="2"/>
      <c r="AD101" s="2" t="s">
        <v>399</v>
      </c>
      <c r="AE101" s="2" t="s">
        <v>400</v>
      </c>
    </row>
    <row r="102" customFormat="false" ht="15" hidden="false" customHeight="false" outlineLevel="0" collapsed="false">
      <c r="A102" s="2" t="s">
        <v>401</v>
      </c>
      <c r="B102" s="2" t="s">
        <v>397</v>
      </c>
      <c r="C102" s="2" t="s">
        <v>378</v>
      </c>
      <c r="D102" s="2" t="s">
        <v>34</v>
      </c>
      <c r="E102" s="2" t="s">
        <v>51</v>
      </c>
      <c r="F102" s="2" t="s">
        <v>52</v>
      </c>
      <c r="G102" s="2" t="n">
        <v>18</v>
      </c>
      <c r="H102" s="2" t="n">
        <v>18</v>
      </c>
      <c r="I102" s="2" t="n">
        <v>2205</v>
      </c>
      <c r="J102" s="2" t="n">
        <v>18</v>
      </c>
      <c r="K102" s="2" t="n">
        <v>2205</v>
      </c>
      <c r="L102" s="2" t="n">
        <v>28</v>
      </c>
      <c r="M102" s="2" t="n">
        <v>2215</v>
      </c>
      <c r="N102" s="2" t="n">
        <v>1</v>
      </c>
      <c r="O102" s="2" t="s">
        <v>37</v>
      </c>
      <c r="P102" s="2" t="s">
        <v>63</v>
      </c>
      <c r="Q102" s="2" t="s">
        <v>39</v>
      </c>
      <c r="R102" s="2" t="s">
        <v>54</v>
      </c>
      <c r="S102" s="2" t="s">
        <v>39</v>
      </c>
      <c r="T102" s="2" t="s">
        <v>54</v>
      </c>
      <c r="U102" s="2" t="s">
        <v>55</v>
      </c>
      <c r="V102" s="2" t="s">
        <v>42</v>
      </c>
      <c r="W102" s="2" t="n">
        <v>0</v>
      </c>
      <c r="X102" s="2" t="n">
        <v>0</v>
      </c>
      <c r="Y102" s="2" t="n">
        <v>2</v>
      </c>
      <c r="Z102" s="2" t="s">
        <v>402</v>
      </c>
      <c r="AA102" s="3" t="n">
        <f aca="false">H102*I102/1000000*N102</f>
        <v>0.03969</v>
      </c>
      <c r="AB102" s="3" t="n">
        <f aca="false">(IF(Q102="V",H102,0)+IF(S102="V",H102,0)+IF(R102="V",I102,0)+IF(T102="V",I102,0))/1000*N102</f>
        <v>0</v>
      </c>
      <c r="AC102" s="2"/>
      <c r="AD102" s="2" t="s">
        <v>399</v>
      </c>
      <c r="AE102" s="2" t="s">
        <v>403</v>
      </c>
    </row>
    <row r="103" customFormat="false" ht="15" hidden="false" customHeight="false" outlineLevel="0" collapsed="false">
      <c r="A103" s="2" t="s">
        <v>404</v>
      </c>
      <c r="B103" s="2" t="s">
        <v>405</v>
      </c>
      <c r="C103" s="2" t="s">
        <v>378</v>
      </c>
      <c r="D103" s="2" t="s">
        <v>34</v>
      </c>
      <c r="E103" s="2" t="s">
        <v>51</v>
      </c>
      <c r="F103" s="2" t="s">
        <v>52</v>
      </c>
      <c r="G103" s="2" t="n">
        <v>18</v>
      </c>
      <c r="H103" s="2" t="n">
        <v>433.5</v>
      </c>
      <c r="I103" s="2" t="n">
        <v>18</v>
      </c>
      <c r="J103" s="2" t="n">
        <v>433.5</v>
      </c>
      <c r="K103" s="2" t="n">
        <v>18</v>
      </c>
      <c r="L103" s="2" t="n">
        <v>443.5</v>
      </c>
      <c r="M103" s="2" t="n">
        <v>28</v>
      </c>
      <c r="N103" s="2" t="n">
        <v>1</v>
      </c>
      <c r="O103" s="2" t="s">
        <v>37</v>
      </c>
      <c r="P103" s="2" t="s">
        <v>63</v>
      </c>
      <c r="Q103" s="2" t="s">
        <v>54</v>
      </c>
      <c r="R103" s="2" t="s">
        <v>39</v>
      </c>
      <c r="S103" s="2" t="s">
        <v>54</v>
      </c>
      <c r="T103" s="2" t="s">
        <v>54</v>
      </c>
      <c r="U103" s="2" t="s">
        <v>55</v>
      </c>
      <c r="V103" s="2" t="s">
        <v>42</v>
      </c>
      <c r="W103" s="2" t="n">
        <v>0</v>
      </c>
      <c r="X103" s="2" t="n">
        <v>0</v>
      </c>
      <c r="Y103" s="2" t="n">
        <v>2</v>
      </c>
      <c r="Z103" s="2" t="s">
        <v>406</v>
      </c>
      <c r="AA103" s="3" t="n">
        <f aca="false">H103*I103/1000000*N103</f>
        <v>0.007803</v>
      </c>
      <c r="AB103" s="3" t="n">
        <f aca="false">(IF(Q103="V",H103,0)+IF(S103="V",H103,0)+IF(R103="V",I103,0)+IF(T103="V",I103,0))/1000*N103</f>
        <v>0</v>
      </c>
      <c r="AC103" s="2"/>
      <c r="AD103" s="2" t="s">
        <v>391</v>
      </c>
      <c r="AE103" s="2" t="s">
        <v>407</v>
      </c>
    </row>
    <row r="104" customFormat="false" ht="15" hidden="false" customHeight="false" outlineLevel="0" collapsed="false">
      <c r="A104" s="2" t="s">
        <v>408</v>
      </c>
      <c r="B104" s="2" t="s">
        <v>409</v>
      </c>
      <c r="C104" s="2" t="s">
        <v>410</v>
      </c>
      <c r="D104" s="2" t="s">
        <v>34</v>
      </c>
      <c r="E104" s="2" t="s">
        <v>51</v>
      </c>
      <c r="F104" s="2" t="s">
        <v>52</v>
      </c>
      <c r="G104" s="2" t="n">
        <v>18</v>
      </c>
      <c r="H104" s="2" t="n">
        <v>850</v>
      </c>
      <c r="I104" s="2" t="n">
        <v>18</v>
      </c>
      <c r="J104" s="2" t="n">
        <v>850</v>
      </c>
      <c r="K104" s="2" t="n">
        <v>18</v>
      </c>
      <c r="L104" s="2" t="n">
        <v>860</v>
      </c>
      <c r="M104" s="2" t="n">
        <v>28</v>
      </c>
      <c r="N104" s="2" t="n">
        <v>1</v>
      </c>
      <c r="O104" s="2" t="s">
        <v>37</v>
      </c>
      <c r="P104" s="2" t="s">
        <v>63</v>
      </c>
      <c r="Q104" s="2" t="s">
        <v>54</v>
      </c>
      <c r="R104" s="2" t="s">
        <v>39</v>
      </c>
      <c r="S104" s="2" t="s">
        <v>54</v>
      </c>
      <c r="T104" s="2" t="s">
        <v>39</v>
      </c>
      <c r="U104" s="2" t="s">
        <v>389</v>
      </c>
      <c r="V104" s="2" t="s">
        <v>42</v>
      </c>
      <c r="W104" s="2" t="n">
        <v>0</v>
      </c>
      <c r="X104" s="2" t="n">
        <v>0</v>
      </c>
      <c r="Y104" s="2" t="n">
        <v>2</v>
      </c>
      <c r="Z104" s="2" t="s">
        <v>411</v>
      </c>
      <c r="AA104" s="3" t="n">
        <f aca="false">H104*I104/1000000*N104</f>
        <v>0.0153</v>
      </c>
      <c r="AB104" s="3" t="n">
        <f aca="false">(IF(Q104="V",H104,0)+IF(S104="V",H104,0)+IF(R104="V",I104,0)+IF(T104="V",I104,0))/1000*N104</f>
        <v>0</v>
      </c>
      <c r="AC104" s="2"/>
      <c r="AD104" s="2" t="s">
        <v>57</v>
      </c>
      <c r="AE104" s="2" t="s">
        <v>412</v>
      </c>
    </row>
    <row r="105" customFormat="false" ht="15" hidden="false" customHeight="false" outlineLevel="0" collapsed="false">
      <c r="A105" s="2" t="s">
        <v>413</v>
      </c>
      <c r="B105" s="2" t="s">
        <v>409</v>
      </c>
      <c r="C105" s="2" t="s">
        <v>410</v>
      </c>
      <c r="D105" s="2" t="s">
        <v>34</v>
      </c>
      <c r="E105" s="2" t="s">
        <v>51</v>
      </c>
      <c r="F105" s="2" t="s">
        <v>52</v>
      </c>
      <c r="G105" s="2" t="n">
        <v>18</v>
      </c>
      <c r="H105" s="2" t="n">
        <v>1030</v>
      </c>
      <c r="I105" s="2" t="n">
        <v>18</v>
      </c>
      <c r="J105" s="2" t="n">
        <v>1030</v>
      </c>
      <c r="K105" s="2" t="n">
        <v>18</v>
      </c>
      <c r="L105" s="2" t="n">
        <v>1040</v>
      </c>
      <c r="M105" s="2" t="n">
        <v>28</v>
      </c>
      <c r="N105" s="2" t="n">
        <v>1</v>
      </c>
      <c r="O105" s="2" t="s">
        <v>37</v>
      </c>
      <c r="P105" s="2" t="s">
        <v>63</v>
      </c>
      <c r="Q105" s="2" t="s">
        <v>54</v>
      </c>
      <c r="R105" s="2" t="s">
        <v>39</v>
      </c>
      <c r="S105" s="2" t="s">
        <v>54</v>
      </c>
      <c r="T105" s="2" t="s">
        <v>39</v>
      </c>
      <c r="U105" s="2" t="s">
        <v>389</v>
      </c>
      <c r="V105" s="2" t="s">
        <v>42</v>
      </c>
      <c r="W105" s="2" t="n">
        <v>0</v>
      </c>
      <c r="X105" s="2" t="n">
        <v>0</v>
      </c>
      <c r="Y105" s="2" t="n">
        <v>2</v>
      </c>
      <c r="Z105" s="2" t="s">
        <v>414</v>
      </c>
      <c r="AA105" s="3" t="n">
        <f aca="false">H105*I105/1000000*N105</f>
        <v>0.01854</v>
      </c>
      <c r="AB105" s="3" t="n">
        <f aca="false">(IF(Q105="V",H105,0)+IF(S105="V",H105,0)+IF(R105="V",I105,0)+IF(T105="V",I105,0))/1000*N105</f>
        <v>0</v>
      </c>
      <c r="AC105" s="2"/>
      <c r="AD105" s="2" t="s">
        <v>57</v>
      </c>
      <c r="AE105" s="2" t="s">
        <v>415</v>
      </c>
    </row>
    <row r="106" customFormat="false" ht="15" hidden="false" customHeight="false" outlineLevel="0" collapsed="false">
      <c r="A106" s="2" t="s">
        <v>416</v>
      </c>
      <c r="B106" s="2" t="s">
        <v>409</v>
      </c>
      <c r="C106" s="2" t="s">
        <v>410</v>
      </c>
      <c r="D106" s="2" t="s">
        <v>34</v>
      </c>
      <c r="E106" s="2" t="s">
        <v>51</v>
      </c>
      <c r="F106" s="2" t="s">
        <v>52</v>
      </c>
      <c r="G106" s="2" t="n">
        <v>18</v>
      </c>
      <c r="H106" s="2" t="n">
        <v>770</v>
      </c>
      <c r="I106" s="2" t="n">
        <v>18</v>
      </c>
      <c r="J106" s="2" t="n">
        <v>770</v>
      </c>
      <c r="K106" s="2" t="n">
        <v>18</v>
      </c>
      <c r="L106" s="2" t="n">
        <v>780</v>
      </c>
      <c r="M106" s="2" t="n">
        <v>28</v>
      </c>
      <c r="N106" s="2" t="n">
        <v>1</v>
      </c>
      <c r="O106" s="2" t="s">
        <v>37</v>
      </c>
      <c r="P106" s="2" t="s">
        <v>63</v>
      </c>
      <c r="Q106" s="2" t="s">
        <v>54</v>
      </c>
      <c r="R106" s="2" t="s">
        <v>39</v>
      </c>
      <c r="S106" s="2" t="s">
        <v>54</v>
      </c>
      <c r="T106" s="2" t="s">
        <v>39</v>
      </c>
      <c r="U106" s="2" t="s">
        <v>389</v>
      </c>
      <c r="V106" s="2" t="s">
        <v>42</v>
      </c>
      <c r="W106" s="2" t="n">
        <v>0</v>
      </c>
      <c r="X106" s="2" t="n">
        <v>0</v>
      </c>
      <c r="Y106" s="2" t="n">
        <v>2</v>
      </c>
      <c r="Z106" s="2" t="s">
        <v>417</v>
      </c>
      <c r="AA106" s="3" t="n">
        <f aca="false">H106*I106/1000000*N106</f>
        <v>0.01386</v>
      </c>
      <c r="AB106" s="3" t="n">
        <f aca="false">(IF(Q106="V",H106,0)+IF(S106="V",H106,0)+IF(R106="V",I106,0)+IF(T106="V",I106,0))/1000*N106</f>
        <v>0</v>
      </c>
      <c r="AC106" s="2"/>
      <c r="AD106" s="2" t="s">
        <v>57</v>
      </c>
      <c r="AE106" s="2" t="s">
        <v>418</v>
      </c>
    </row>
    <row r="107" customFormat="false" ht="15" hidden="false" customHeight="false" outlineLevel="0" collapsed="false">
      <c r="A107" s="2" t="s">
        <v>419</v>
      </c>
      <c r="B107" s="2" t="s">
        <v>409</v>
      </c>
      <c r="C107" s="2" t="s">
        <v>410</v>
      </c>
      <c r="D107" s="2" t="s">
        <v>34</v>
      </c>
      <c r="E107" s="2" t="s">
        <v>51</v>
      </c>
      <c r="F107" s="2" t="s">
        <v>52</v>
      </c>
      <c r="G107" s="2" t="n">
        <v>18</v>
      </c>
      <c r="H107" s="2" t="n">
        <v>850</v>
      </c>
      <c r="I107" s="2" t="n">
        <v>18</v>
      </c>
      <c r="J107" s="2" t="n">
        <v>850</v>
      </c>
      <c r="K107" s="2" t="n">
        <v>18</v>
      </c>
      <c r="L107" s="2" t="n">
        <v>860</v>
      </c>
      <c r="M107" s="2" t="n">
        <v>28</v>
      </c>
      <c r="N107" s="2" t="n">
        <v>1</v>
      </c>
      <c r="O107" s="2" t="s">
        <v>37</v>
      </c>
      <c r="P107" s="2" t="s">
        <v>63</v>
      </c>
      <c r="Q107" s="2" t="s">
        <v>54</v>
      </c>
      <c r="R107" s="2" t="s">
        <v>39</v>
      </c>
      <c r="S107" s="2" t="s">
        <v>54</v>
      </c>
      <c r="T107" s="2" t="s">
        <v>39</v>
      </c>
      <c r="U107" s="2" t="s">
        <v>55</v>
      </c>
      <c r="V107" s="2" t="s">
        <v>42</v>
      </c>
      <c r="W107" s="2" t="n">
        <v>0</v>
      </c>
      <c r="X107" s="2" t="n">
        <v>0</v>
      </c>
      <c r="Y107" s="2" t="n">
        <v>2</v>
      </c>
      <c r="Z107" s="2" t="s">
        <v>420</v>
      </c>
      <c r="AA107" s="3" t="n">
        <f aca="false">H107*I107/1000000*N107</f>
        <v>0.0153</v>
      </c>
      <c r="AB107" s="3" t="n">
        <f aca="false">(IF(Q107="V",H107,0)+IF(S107="V",H107,0)+IF(R107="V",I107,0)+IF(T107="V",I107,0))/1000*N107</f>
        <v>0</v>
      </c>
      <c r="AC107" s="2"/>
      <c r="AD107" s="2" t="s">
        <v>57</v>
      </c>
      <c r="AE107" s="2" t="s">
        <v>421</v>
      </c>
    </row>
    <row r="108" customFormat="false" ht="15" hidden="false" customHeight="false" outlineLevel="0" collapsed="false">
      <c r="A108" s="2" t="s">
        <v>422</v>
      </c>
      <c r="B108" s="2" t="s">
        <v>409</v>
      </c>
      <c r="C108" s="2" t="s">
        <v>410</v>
      </c>
      <c r="D108" s="2" t="s">
        <v>34</v>
      </c>
      <c r="E108" s="2" t="s">
        <v>51</v>
      </c>
      <c r="F108" s="2" t="s">
        <v>52</v>
      </c>
      <c r="G108" s="2" t="n">
        <v>18</v>
      </c>
      <c r="H108" s="2" t="n">
        <v>1030</v>
      </c>
      <c r="I108" s="2" t="n">
        <v>18</v>
      </c>
      <c r="J108" s="2" t="n">
        <v>1030</v>
      </c>
      <c r="K108" s="2" t="n">
        <v>18</v>
      </c>
      <c r="L108" s="2" t="n">
        <v>1040</v>
      </c>
      <c r="M108" s="2" t="n">
        <v>28</v>
      </c>
      <c r="N108" s="2" t="n">
        <v>1</v>
      </c>
      <c r="O108" s="2" t="s">
        <v>37</v>
      </c>
      <c r="P108" s="2" t="s">
        <v>63</v>
      </c>
      <c r="Q108" s="2" t="s">
        <v>54</v>
      </c>
      <c r="R108" s="2" t="s">
        <v>39</v>
      </c>
      <c r="S108" s="2" t="s">
        <v>54</v>
      </c>
      <c r="T108" s="2" t="s">
        <v>39</v>
      </c>
      <c r="U108" s="2" t="s">
        <v>55</v>
      </c>
      <c r="V108" s="2" t="s">
        <v>42</v>
      </c>
      <c r="W108" s="2" t="n">
        <v>0</v>
      </c>
      <c r="X108" s="2" t="n">
        <v>0</v>
      </c>
      <c r="Y108" s="2" t="n">
        <v>2</v>
      </c>
      <c r="Z108" s="2" t="s">
        <v>423</v>
      </c>
      <c r="AA108" s="3" t="n">
        <f aca="false">H108*I108/1000000*N108</f>
        <v>0.01854</v>
      </c>
      <c r="AB108" s="3" t="n">
        <f aca="false">(IF(Q108="V",H108,0)+IF(S108="V",H108,0)+IF(R108="V",I108,0)+IF(T108="V",I108,0))/1000*N108</f>
        <v>0</v>
      </c>
      <c r="AC108" s="2"/>
      <c r="AD108" s="2" t="s">
        <v>57</v>
      </c>
      <c r="AE108" s="2" t="s">
        <v>424</v>
      </c>
    </row>
    <row r="109" customFormat="false" ht="15" hidden="false" customHeight="false" outlineLevel="0" collapsed="false">
      <c r="A109" s="2" t="s">
        <v>425</v>
      </c>
      <c r="B109" s="2" t="s">
        <v>409</v>
      </c>
      <c r="C109" s="2" t="s">
        <v>410</v>
      </c>
      <c r="D109" s="2" t="s">
        <v>34</v>
      </c>
      <c r="E109" s="2" t="s">
        <v>51</v>
      </c>
      <c r="F109" s="2" t="s">
        <v>52</v>
      </c>
      <c r="G109" s="2" t="n">
        <v>18</v>
      </c>
      <c r="H109" s="2" t="n">
        <v>770</v>
      </c>
      <c r="I109" s="2" t="n">
        <v>18</v>
      </c>
      <c r="J109" s="2" t="n">
        <v>770</v>
      </c>
      <c r="K109" s="2" t="n">
        <v>18</v>
      </c>
      <c r="L109" s="2" t="n">
        <v>780</v>
      </c>
      <c r="M109" s="2" t="n">
        <v>28</v>
      </c>
      <c r="N109" s="2" t="n">
        <v>1</v>
      </c>
      <c r="O109" s="2" t="s">
        <v>37</v>
      </c>
      <c r="P109" s="2" t="s">
        <v>63</v>
      </c>
      <c r="Q109" s="2" t="s">
        <v>54</v>
      </c>
      <c r="R109" s="2" t="s">
        <v>39</v>
      </c>
      <c r="S109" s="2" t="s">
        <v>54</v>
      </c>
      <c r="T109" s="2" t="s">
        <v>39</v>
      </c>
      <c r="U109" s="2" t="s">
        <v>55</v>
      </c>
      <c r="V109" s="2" t="s">
        <v>42</v>
      </c>
      <c r="W109" s="2" t="n">
        <v>0</v>
      </c>
      <c r="X109" s="2" t="n">
        <v>0</v>
      </c>
      <c r="Y109" s="2" t="n">
        <v>2</v>
      </c>
      <c r="Z109" s="2" t="s">
        <v>426</v>
      </c>
      <c r="AA109" s="3" t="n">
        <f aca="false">H109*I109/1000000*N109</f>
        <v>0.01386</v>
      </c>
      <c r="AB109" s="3" t="n">
        <f aca="false">(IF(Q109="V",H109,0)+IF(S109="V",H109,0)+IF(R109="V",I109,0)+IF(T109="V",I109,0))/1000*N109</f>
        <v>0</v>
      </c>
      <c r="AC109" s="2"/>
      <c r="AD109" s="2" t="s">
        <v>57</v>
      </c>
      <c r="AE109" s="2" t="s">
        <v>427</v>
      </c>
    </row>
    <row r="110" customFormat="false" ht="15" hidden="false" customHeight="false" outlineLevel="0" collapsed="false">
      <c r="A110" s="2" t="s">
        <v>428</v>
      </c>
      <c r="B110" s="2" t="s">
        <v>429</v>
      </c>
      <c r="C110" s="2" t="s">
        <v>410</v>
      </c>
      <c r="D110" s="2" t="s">
        <v>34</v>
      </c>
      <c r="E110" s="2" t="s">
        <v>51</v>
      </c>
      <c r="F110" s="2" t="s">
        <v>52</v>
      </c>
      <c r="G110" s="2" t="n">
        <v>18</v>
      </c>
      <c r="H110" s="2" t="n">
        <v>80</v>
      </c>
      <c r="I110" s="2" t="n">
        <v>80</v>
      </c>
      <c r="J110" s="2" t="n">
        <v>80</v>
      </c>
      <c r="K110" s="2" t="n">
        <v>80</v>
      </c>
      <c r="L110" s="2" t="n">
        <v>90</v>
      </c>
      <c r="M110" s="2" t="n">
        <v>90</v>
      </c>
      <c r="N110" s="2" t="n">
        <v>1</v>
      </c>
      <c r="O110" s="2" t="s">
        <v>37</v>
      </c>
      <c r="P110" s="2" t="s">
        <v>63</v>
      </c>
      <c r="Q110" s="2" t="s">
        <v>54</v>
      </c>
      <c r="R110" s="2" t="s">
        <v>54</v>
      </c>
      <c r="S110" s="2" t="s">
        <v>54</v>
      </c>
      <c r="T110" s="2" t="s">
        <v>54</v>
      </c>
      <c r="U110" s="2" t="s">
        <v>55</v>
      </c>
      <c r="V110" s="2" t="s">
        <v>42</v>
      </c>
      <c r="W110" s="2" t="n">
        <v>0</v>
      </c>
      <c r="X110" s="2" t="n">
        <v>0</v>
      </c>
      <c r="Y110" s="2" t="n">
        <v>2</v>
      </c>
      <c r="Z110" s="2" t="s">
        <v>430</v>
      </c>
      <c r="AA110" s="3" t="n">
        <f aca="false">H110*I110/1000000*N110</f>
        <v>0.0064</v>
      </c>
      <c r="AB110" s="3" t="n">
        <f aca="false">(IF(Q110="V",H110,0)+IF(S110="V",H110,0)+IF(R110="V",I110,0)+IF(T110="V",I110,0))/1000*N110</f>
        <v>0</v>
      </c>
      <c r="AC110" s="2" t="s">
        <v>264</v>
      </c>
      <c r="AD110" s="2" t="s">
        <v>382</v>
      </c>
      <c r="AE110" s="2" t="s">
        <v>431</v>
      </c>
    </row>
    <row r="111" customFormat="false" ht="15" hidden="false" customHeight="false" outlineLevel="0" collapsed="false">
      <c r="A111" s="2" t="s">
        <v>432</v>
      </c>
      <c r="B111" s="2" t="s">
        <v>433</v>
      </c>
      <c r="C111" s="2" t="s">
        <v>410</v>
      </c>
      <c r="D111" s="2" t="s">
        <v>379</v>
      </c>
      <c r="E111" s="2" t="s">
        <v>51</v>
      </c>
      <c r="F111" s="2" t="s">
        <v>52</v>
      </c>
      <c r="G111" s="2" t="n">
        <v>337</v>
      </c>
      <c r="H111" s="2" t="n">
        <v>80</v>
      </c>
      <c r="I111" s="2" t="n">
        <v>80</v>
      </c>
      <c r="J111" s="2" t="n">
        <v>80</v>
      </c>
      <c r="K111" s="2" t="n">
        <v>80</v>
      </c>
      <c r="L111" s="2" t="n">
        <v>90</v>
      </c>
      <c r="M111" s="2" t="n">
        <v>90</v>
      </c>
      <c r="N111" s="2" t="n">
        <v>1</v>
      </c>
      <c r="O111" s="2" t="s">
        <v>37</v>
      </c>
      <c r="P111" s="2" t="s">
        <v>63</v>
      </c>
      <c r="Q111" s="2" t="s">
        <v>54</v>
      </c>
      <c r="R111" s="2" t="s">
        <v>54</v>
      </c>
      <c r="S111" s="2" t="s">
        <v>54</v>
      </c>
      <c r="T111" s="2" t="s">
        <v>54</v>
      </c>
      <c r="U111" s="2" t="s">
        <v>55</v>
      </c>
      <c r="V111" s="2" t="s">
        <v>42</v>
      </c>
      <c r="W111" s="2" t="n">
        <v>0</v>
      </c>
      <c r="X111" s="2" t="n">
        <v>0</v>
      </c>
      <c r="Y111" s="2" t="n">
        <v>10</v>
      </c>
      <c r="Z111" s="2" t="s">
        <v>434</v>
      </c>
      <c r="AA111" s="3" t="n">
        <f aca="false">H111*I111/1000000*N111</f>
        <v>0.0064</v>
      </c>
      <c r="AB111" s="3" t="n">
        <f aca="false">(IF(Q111="V",H111,0)+IF(S111="V",H111,0)+IF(R111="V",I111,0)+IF(T111="V",I111,0))/1000*N111</f>
        <v>0</v>
      </c>
      <c r="AC111" s="2" t="s">
        <v>381</v>
      </c>
      <c r="AD111" s="2" t="s">
        <v>382</v>
      </c>
      <c r="AE111" s="2" t="s">
        <v>435</v>
      </c>
    </row>
    <row r="112" customFormat="false" ht="15" hidden="false" customHeight="false" outlineLevel="0" collapsed="false">
      <c r="A112" s="2" t="s">
        <v>436</v>
      </c>
      <c r="B112" s="2" t="s">
        <v>429</v>
      </c>
      <c r="C112" s="2" t="s">
        <v>410</v>
      </c>
      <c r="D112" s="2" t="s">
        <v>34</v>
      </c>
      <c r="E112" s="2" t="s">
        <v>51</v>
      </c>
      <c r="F112" s="2" t="s">
        <v>52</v>
      </c>
      <c r="G112" s="2" t="n">
        <v>18</v>
      </c>
      <c r="H112" s="2" t="n">
        <v>80</v>
      </c>
      <c r="I112" s="2" t="n">
        <v>80</v>
      </c>
      <c r="J112" s="2" t="n">
        <v>80</v>
      </c>
      <c r="K112" s="2" t="n">
        <v>80</v>
      </c>
      <c r="L112" s="2" t="n">
        <v>90</v>
      </c>
      <c r="M112" s="2" t="n">
        <v>90</v>
      </c>
      <c r="N112" s="2" t="n">
        <v>1</v>
      </c>
      <c r="O112" s="2" t="s">
        <v>37</v>
      </c>
      <c r="P112" s="2" t="s">
        <v>63</v>
      </c>
      <c r="Q112" s="2" t="s">
        <v>54</v>
      </c>
      <c r="R112" s="2" t="s">
        <v>54</v>
      </c>
      <c r="S112" s="2" t="s">
        <v>54</v>
      </c>
      <c r="T112" s="2" t="s">
        <v>54</v>
      </c>
      <c r="U112" s="2" t="s">
        <v>389</v>
      </c>
      <c r="V112" s="2" t="s">
        <v>42</v>
      </c>
      <c r="W112" s="2" t="n">
        <v>0</v>
      </c>
      <c r="X112" s="2" t="n">
        <v>0</v>
      </c>
      <c r="Y112" s="2" t="n">
        <v>2</v>
      </c>
      <c r="Z112" s="2" t="s">
        <v>437</v>
      </c>
      <c r="AA112" s="3" t="n">
        <f aca="false">H112*I112/1000000*N112</f>
        <v>0.0064</v>
      </c>
      <c r="AB112" s="3" t="n">
        <f aca="false">(IF(Q112="V",H112,0)+IF(S112="V",H112,0)+IF(R112="V",I112,0)+IF(T112="V",I112,0))/1000*N112</f>
        <v>0</v>
      </c>
      <c r="AC112" s="2" t="s">
        <v>264</v>
      </c>
      <c r="AD112" s="2" t="s">
        <v>382</v>
      </c>
      <c r="AE112" s="2" t="s">
        <v>438</v>
      </c>
    </row>
    <row r="113" customFormat="false" ht="15" hidden="false" customHeight="false" outlineLevel="0" collapsed="false">
      <c r="A113" s="2" t="s">
        <v>439</v>
      </c>
      <c r="B113" s="2" t="s">
        <v>433</v>
      </c>
      <c r="C113" s="2" t="s">
        <v>410</v>
      </c>
      <c r="D113" s="2" t="s">
        <v>379</v>
      </c>
      <c r="E113" s="2" t="s">
        <v>51</v>
      </c>
      <c r="F113" s="2" t="s">
        <v>52</v>
      </c>
      <c r="G113" s="2" t="n">
        <v>337</v>
      </c>
      <c r="H113" s="2" t="n">
        <v>80</v>
      </c>
      <c r="I113" s="2" t="n">
        <v>80</v>
      </c>
      <c r="J113" s="2" t="n">
        <v>80</v>
      </c>
      <c r="K113" s="2" t="n">
        <v>80</v>
      </c>
      <c r="L113" s="2" t="n">
        <v>90</v>
      </c>
      <c r="M113" s="2" t="n">
        <v>90</v>
      </c>
      <c r="N113" s="2" t="n">
        <v>1</v>
      </c>
      <c r="O113" s="2" t="s">
        <v>37</v>
      </c>
      <c r="P113" s="2" t="s">
        <v>63</v>
      </c>
      <c r="Q113" s="2" t="s">
        <v>54</v>
      </c>
      <c r="R113" s="2" t="s">
        <v>54</v>
      </c>
      <c r="S113" s="2" t="s">
        <v>54</v>
      </c>
      <c r="T113" s="2" t="s">
        <v>54</v>
      </c>
      <c r="U113" s="2" t="s">
        <v>389</v>
      </c>
      <c r="V113" s="2" t="s">
        <v>42</v>
      </c>
      <c r="W113" s="2" t="n">
        <v>0</v>
      </c>
      <c r="X113" s="2" t="n">
        <v>0</v>
      </c>
      <c r="Y113" s="2" t="n">
        <v>10</v>
      </c>
      <c r="Z113" s="2" t="s">
        <v>440</v>
      </c>
      <c r="AA113" s="3" t="n">
        <f aca="false">H113*I113/1000000*N113</f>
        <v>0.0064</v>
      </c>
      <c r="AB113" s="3" t="n">
        <f aca="false">(IF(Q113="V",H113,0)+IF(S113="V",H113,0)+IF(R113="V",I113,0)+IF(T113="V",I113,0))/1000*N113</f>
        <v>0</v>
      </c>
      <c r="AC113" s="2" t="s">
        <v>381</v>
      </c>
      <c r="AD113" s="2" t="s">
        <v>382</v>
      </c>
      <c r="AE113" s="2" t="s">
        <v>441</v>
      </c>
    </row>
    <row r="114" customFormat="false" ht="15" hidden="false" customHeight="false" outlineLevel="0" collapsed="false">
      <c r="A114" s="2" t="s">
        <v>442</v>
      </c>
      <c r="B114" s="2" t="s">
        <v>443</v>
      </c>
      <c r="C114" s="2" t="s">
        <v>410</v>
      </c>
      <c r="D114" s="2" t="s">
        <v>34</v>
      </c>
      <c r="E114" s="2" t="s">
        <v>51</v>
      </c>
      <c r="F114" s="2" t="s">
        <v>52</v>
      </c>
      <c r="G114" s="2" t="n">
        <v>18</v>
      </c>
      <c r="H114" s="2" t="n">
        <v>18</v>
      </c>
      <c r="I114" s="2" t="n">
        <v>260</v>
      </c>
      <c r="J114" s="2" t="n">
        <v>18</v>
      </c>
      <c r="K114" s="2" t="n">
        <v>260</v>
      </c>
      <c r="L114" s="2" t="n">
        <v>28</v>
      </c>
      <c r="M114" s="2" t="n">
        <v>270</v>
      </c>
      <c r="N114" s="2" t="n">
        <v>1</v>
      </c>
      <c r="O114" s="2" t="s">
        <v>37</v>
      </c>
      <c r="P114" s="2" t="s">
        <v>63</v>
      </c>
      <c r="Q114" s="2" t="s">
        <v>39</v>
      </c>
      <c r="R114" s="2" t="s">
        <v>54</v>
      </c>
      <c r="S114" s="2" t="s">
        <v>39</v>
      </c>
      <c r="T114" s="2" t="s">
        <v>54</v>
      </c>
      <c r="U114" s="2" t="s">
        <v>55</v>
      </c>
      <c r="V114" s="2" t="s">
        <v>42</v>
      </c>
      <c r="W114" s="2" t="n">
        <v>0</v>
      </c>
      <c r="X114" s="2" t="n">
        <v>0</v>
      </c>
      <c r="Y114" s="2" t="n">
        <v>2</v>
      </c>
      <c r="Z114" s="2" t="s">
        <v>444</v>
      </c>
      <c r="AA114" s="3" t="n">
        <f aca="false">H114*I114/1000000*N114</f>
        <v>0.00468</v>
      </c>
      <c r="AB114" s="3" t="n">
        <f aca="false">(IF(Q114="V",H114,0)+IF(S114="V",H114,0)+IF(R114="V",I114,0)+IF(T114="V",I114,0))/1000*N114</f>
        <v>0</v>
      </c>
      <c r="AC114" s="2"/>
      <c r="AD114" s="2" t="s">
        <v>399</v>
      </c>
      <c r="AE114" s="2" t="s">
        <v>445</v>
      </c>
    </row>
    <row r="115" customFormat="false" ht="15" hidden="false" customHeight="false" outlineLevel="0" collapsed="false">
      <c r="A115" s="2" t="s">
        <v>446</v>
      </c>
      <c r="B115" s="2" t="s">
        <v>447</v>
      </c>
      <c r="C115" s="2" t="s">
        <v>448</v>
      </c>
      <c r="D115" s="2" t="s">
        <v>449</v>
      </c>
      <c r="E115" s="2" t="s">
        <v>51</v>
      </c>
      <c r="F115" s="2" t="s">
        <v>52</v>
      </c>
      <c r="G115" s="2" t="n">
        <v>69</v>
      </c>
      <c r="H115" s="2" t="n">
        <v>2530</v>
      </c>
      <c r="I115" s="2" t="n">
        <v>30</v>
      </c>
      <c r="J115" s="2" t="n">
        <v>2530</v>
      </c>
      <c r="K115" s="2" t="n">
        <v>30</v>
      </c>
      <c r="L115" s="2" t="n">
        <v>2540</v>
      </c>
      <c r="M115" s="2" t="n">
        <v>40</v>
      </c>
      <c r="N115" s="2" t="n">
        <v>1</v>
      </c>
      <c r="O115" s="2" t="s">
        <v>37</v>
      </c>
      <c r="P115" s="2" t="s">
        <v>63</v>
      </c>
      <c r="Q115" s="2" t="s">
        <v>54</v>
      </c>
      <c r="R115" s="2" t="s">
        <v>54</v>
      </c>
      <c r="S115" s="2" t="s">
        <v>54</v>
      </c>
      <c r="T115" s="2" t="s">
        <v>54</v>
      </c>
      <c r="U115" s="2" t="s">
        <v>55</v>
      </c>
      <c r="V115" s="2" t="s">
        <v>42</v>
      </c>
      <c r="W115" s="2" t="n">
        <v>0</v>
      </c>
      <c r="X115" s="2" t="n">
        <v>0</v>
      </c>
      <c r="Y115" s="2" t="n">
        <v>0</v>
      </c>
      <c r="Z115" s="2" t="s">
        <v>37</v>
      </c>
      <c r="AA115" s="3" t="n">
        <f aca="false">H115*I115/1000000*N115</f>
        <v>0.0759</v>
      </c>
      <c r="AB115" s="3" t="n">
        <f aca="false">(IF(Q115="V",H115,0)+IF(S115="V",H115,0)+IF(R115="V",I115,0)+IF(T115="V",I115,0))/1000*N115</f>
        <v>0</v>
      </c>
      <c r="AC115" s="2" t="s">
        <v>450</v>
      </c>
      <c r="AD115" s="2" t="s">
        <v>382</v>
      </c>
      <c r="AE115" s="2" t="s">
        <v>451</v>
      </c>
    </row>
    <row r="116" customFormat="false" ht="15" hidden="false" customHeight="false" outlineLevel="0" collapsed="false">
      <c r="A116" s="2" t="s">
        <v>452</v>
      </c>
      <c r="B116" s="2" t="s">
        <v>447</v>
      </c>
      <c r="C116" s="2" t="s">
        <v>448</v>
      </c>
      <c r="D116" s="2" t="s">
        <v>449</v>
      </c>
      <c r="E116" s="2" t="s">
        <v>51</v>
      </c>
      <c r="F116" s="2" t="s">
        <v>52</v>
      </c>
      <c r="G116" s="2" t="n">
        <v>69</v>
      </c>
      <c r="H116" s="2" t="n">
        <v>2020</v>
      </c>
      <c r="I116" s="2" t="n">
        <v>30</v>
      </c>
      <c r="J116" s="2" t="n">
        <v>2020</v>
      </c>
      <c r="K116" s="2" t="n">
        <v>30</v>
      </c>
      <c r="L116" s="2" t="n">
        <v>2030</v>
      </c>
      <c r="M116" s="2" t="n">
        <v>40</v>
      </c>
      <c r="N116" s="2" t="n">
        <v>1</v>
      </c>
      <c r="O116" s="2" t="s">
        <v>37</v>
      </c>
      <c r="P116" s="2" t="s">
        <v>63</v>
      </c>
      <c r="Q116" s="2" t="s">
        <v>54</v>
      </c>
      <c r="R116" s="2" t="s">
        <v>54</v>
      </c>
      <c r="S116" s="2" t="s">
        <v>54</v>
      </c>
      <c r="T116" s="2" t="s">
        <v>54</v>
      </c>
      <c r="U116" s="2" t="s">
        <v>55</v>
      </c>
      <c r="V116" s="2" t="s">
        <v>42</v>
      </c>
      <c r="W116" s="2" t="n">
        <v>0</v>
      </c>
      <c r="X116" s="2" t="n">
        <v>0</v>
      </c>
      <c r="Y116" s="2" t="n">
        <v>0</v>
      </c>
      <c r="Z116" s="2" t="s">
        <v>37</v>
      </c>
      <c r="AA116" s="3" t="n">
        <f aca="false">H116*I116/1000000*N116</f>
        <v>0.0606</v>
      </c>
      <c r="AB116" s="3" t="n">
        <f aca="false">(IF(Q116="V",H116,0)+IF(S116="V",H116,0)+IF(R116="V",I116,0)+IF(T116="V",I116,0))/1000*N116</f>
        <v>0</v>
      </c>
      <c r="AC116" s="2" t="s">
        <v>450</v>
      </c>
      <c r="AD116" s="2" t="s">
        <v>382</v>
      </c>
      <c r="AE116" s="2" t="s">
        <v>453</v>
      </c>
    </row>
    <row r="117" customFormat="false" ht="15" hidden="false" customHeight="false" outlineLevel="0" collapsed="false">
      <c r="A117" s="2" t="s">
        <v>454</v>
      </c>
      <c r="B117" s="2" t="s">
        <v>455</v>
      </c>
      <c r="C117" s="2" t="s">
        <v>286</v>
      </c>
      <c r="D117" s="2" t="s">
        <v>34</v>
      </c>
      <c r="E117" s="2" t="s">
        <v>35</v>
      </c>
      <c r="F117" s="2" t="s">
        <v>36</v>
      </c>
      <c r="G117" s="2" t="n">
        <v>18</v>
      </c>
      <c r="H117" s="2" t="n">
        <v>337</v>
      </c>
      <c r="I117" s="2" t="n">
        <v>402</v>
      </c>
      <c r="J117" s="2" t="n">
        <v>336.2</v>
      </c>
      <c r="K117" s="2" t="n">
        <v>402</v>
      </c>
      <c r="L117" s="2" t="n">
        <v>337.2</v>
      </c>
      <c r="M117" s="2" t="n">
        <v>402</v>
      </c>
      <c r="N117" s="2" t="n">
        <v>1</v>
      </c>
      <c r="O117" s="2" t="s">
        <v>37</v>
      </c>
      <c r="P117" s="2" t="s">
        <v>38</v>
      </c>
      <c r="Q117" s="2" t="s">
        <v>39</v>
      </c>
      <c r="R117" s="2" t="s">
        <v>40</v>
      </c>
      <c r="S117" s="2" t="s">
        <v>39</v>
      </c>
      <c r="T117" s="2" t="s">
        <v>39</v>
      </c>
      <c r="U117" s="2" t="s">
        <v>41</v>
      </c>
      <c r="V117" s="2" t="s">
        <v>42</v>
      </c>
      <c r="W117" s="2" t="n">
        <v>0</v>
      </c>
      <c r="X117" s="2" t="n">
        <v>2</v>
      </c>
      <c r="Y117" s="2" t="n">
        <v>8</v>
      </c>
      <c r="Z117" s="2" t="s">
        <v>456</v>
      </c>
      <c r="AA117" s="3" t="n">
        <f aca="false">H117*I117/1000000*N117</f>
        <v>0.135474</v>
      </c>
      <c r="AB117" s="3" t="n">
        <f aca="false">(IF(Q117="V",H117,0)+IF(S117="V",H117,0)+IF(R117="V",I117,0)+IF(T117="V",I117,0))/1000*N117</f>
        <v>0.402</v>
      </c>
      <c r="AC117" s="2"/>
      <c r="AD117" s="2" t="s">
        <v>44</v>
      </c>
      <c r="AE117" s="2" t="s">
        <v>457</v>
      </c>
    </row>
    <row r="118" customFormat="false" ht="15" hidden="false" customHeight="false" outlineLevel="0" collapsed="false">
      <c r="A118" s="2" t="s">
        <v>458</v>
      </c>
      <c r="B118" s="2" t="s">
        <v>459</v>
      </c>
      <c r="C118" s="2" t="s">
        <v>286</v>
      </c>
      <c r="D118" s="2" t="s">
        <v>34</v>
      </c>
      <c r="E118" s="2" t="s">
        <v>61</v>
      </c>
      <c r="F118" s="2" t="s">
        <v>62</v>
      </c>
      <c r="G118" s="2" t="n">
        <v>8</v>
      </c>
      <c r="H118" s="2" t="n">
        <v>399</v>
      </c>
      <c r="I118" s="2" t="n">
        <v>402</v>
      </c>
      <c r="J118" s="2" t="n">
        <v>399</v>
      </c>
      <c r="K118" s="2" t="n">
        <v>402</v>
      </c>
      <c r="L118" s="2" t="n">
        <v>399</v>
      </c>
      <c r="M118" s="2" t="n">
        <v>402</v>
      </c>
      <c r="N118" s="2" t="n">
        <v>1</v>
      </c>
      <c r="O118" s="2" t="s">
        <v>37</v>
      </c>
      <c r="P118" s="2" t="s">
        <v>63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37</v>
      </c>
      <c r="V118" s="2" t="s">
        <v>42</v>
      </c>
      <c r="W118" s="2" t="n">
        <v>0</v>
      </c>
      <c r="X118" s="2" t="n">
        <v>0</v>
      </c>
      <c r="Y118" s="2" t="n">
        <v>0</v>
      </c>
      <c r="Z118" s="2" t="s">
        <v>37</v>
      </c>
      <c r="AA118" s="3" t="n">
        <f aca="false">H118*I118/1000000*N118</f>
        <v>0.160398</v>
      </c>
      <c r="AB118" s="3" t="n">
        <f aca="false">(IF(Q118="V",H118,0)+IF(S118="V",H118,0)+IF(R118="V",I118,0)+IF(T118="V",I118,0))/1000*N118</f>
        <v>0</v>
      </c>
      <c r="AC118" s="2" t="s">
        <v>264</v>
      </c>
      <c r="AD118" s="2" t="s">
        <v>314</v>
      </c>
      <c r="AE118" s="2" t="s">
        <v>460</v>
      </c>
    </row>
    <row r="119" customFormat="false" ht="15" hidden="false" customHeight="false" outlineLevel="0" collapsed="false">
      <c r="A119" s="2" t="s">
        <v>461</v>
      </c>
      <c r="B119" s="2" t="s">
        <v>462</v>
      </c>
      <c r="C119" s="2" t="s">
        <v>286</v>
      </c>
      <c r="D119" s="2" t="s">
        <v>34</v>
      </c>
      <c r="E119" s="2" t="s">
        <v>463</v>
      </c>
      <c r="F119" s="2" t="s">
        <v>464</v>
      </c>
      <c r="G119" s="2" t="n">
        <v>12</v>
      </c>
      <c r="H119" s="2" t="n">
        <v>332.5</v>
      </c>
      <c r="I119" s="2" t="n">
        <v>2525</v>
      </c>
      <c r="J119" s="2" t="n">
        <v>332.5</v>
      </c>
      <c r="K119" s="2" t="n">
        <v>2525</v>
      </c>
      <c r="L119" s="2" t="n">
        <v>342.5</v>
      </c>
      <c r="M119" s="2" t="n">
        <v>2535</v>
      </c>
      <c r="N119" s="2" t="n">
        <v>1</v>
      </c>
      <c r="O119" s="2" t="s">
        <v>37</v>
      </c>
      <c r="P119" s="2" t="s">
        <v>63</v>
      </c>
      <c r="Q119" s="2" t="s">
        <v>54</v>
      </c>
      <c r="R119" s="2" t="s">
        <v>54</v>
      </c>
      <c r="S119" s="2" t="s">
        <v>54</v>
      </c>
      <c r="T119" s="2" t="s">
        <v>54</v>
      </c>
      <c r="U119" s="2" t="s">
        <v>55</v>
      </c>
      <c r="V119" s="2" t="s">
        <v>42</v>
      </c>
      <c r="W119" s="2" t="n">
        <v>0</v>
      </c>
      <c r="X119" s="2" t="n">
        <v>0</v>
      </c>
      <c r="Y119" s="2" t="n">
        <v>0</v>
      </c>
      <c r="Z119" s="2" t="s">
        <v>37</v>
      </c>
      <c r="AA119" s="3" t="n">
        <f aca="false">H119*I119/1000000*N119</f>
        <v>0.8395625</v>
      </c>
      <c r="AB119" s="3" t="n">
        <f aca="false">(IF(Q119="V",H119,0)+IF(S119="V",H119,0)+IF(R119="V",I119,0)+IF(T119="V",I119,0))/1000*N119</f>
        <v>0</v>
      </c>
      <c r="AC119" s="2" t="s">
        <v>264</v>
      </c>
      <c r="AD119" s="2" t="s">
        <v>465</v>
      </c>
      <c r="AE119" s="2" t="s">
        <v>466</v>
      </c>
    </row>
    <row r="120" customFormat="false" ht="15" hidden="false" customHeight="false" outlineLevel="0" collapsed="false">
      <c r="A120" s="2" t="s">
        <v>467</v>
      </c>
      <c r="B120" s="2" t="s">
        <v>468</v>
      </c>
      <c r="C120" s="2" t="s">
        <v>448</v>
      </c>
      <c r="D120" s="2" t="s">
        <v>34</v>
      </c>
      <c r="E120" s="2" t="s">
        <v>68</v>
      </c>
      <c r="F120" s="2" t="s">
        <v>69</v>
      </c>
      <c r="G120" s="2" t="n">
        <v>18</v>
      </c>
      <c r="H120" s="2" t="n">
        <v>2630</v>
      </c>
      <c r="I120" s="2" t="n">
        <v>1580</v>
      </c>
      <c r="J120" s="2" t="n">
        <v>2626</v>
      </c>
      <c r="K120" s="2" t="n">
        <v>1576</v>
      </c>
      <c r="L120" s="2" t="n">
        <v>2638</v>
      </c>
      <c r="M120" s="2" t="n">
        <v>1588</v>
      </c>
      <c r="N120" s="2" t="n">
        <v>1</v>
      </c>
      <c r="O120" s="2" t="s">
        <v>70</v>
      </c>
      <c r="P120" s="2" t="s">
        <v>63</v>
      </c>
      <c r="Q120" s="2" t="s">
        <v>40</v>
      </c>
      <c r="R120" s="2" t="s">
        <v>40</v>
      </c>
      <c r="S120" s="2" t="s">
        <v>40</v>
      </c>
      <c r="T120" s="2" t="s">
        <v>40</v>
      </c>
      <c r="U120" s="2" t="s">
        <v>71</v>
      </c>
      <c r="V120" s="2" t="s">
        <v>42</v>
      </c>
      <c r="W120" s="2" t="n">
        <v>0</v>
      </c>
      <c r="X120" s="2" t="n">
        <v>0</v>
      </c>
      <c r="Y120" s="2" t="n">
        <v>0</v>
      </c>
      <c r="Z120" s="2" t="s">
        <v>37</v>
      </c>
      <c r="AA120" s="3" t="n">
        <f aca="false">H120*I120/1000000*N120</f>
        <v>4.1554</v>
      </c>
      <c r="AB120" s="3" t="n">
        <f aca="false">(IF(Q120="V",H120,0)+IF(S120="V",H120,0)+IF(R120="V",I120,0)+IF(T120="V",I120,0))/1000*N120</f>
        <v>8.42</v>
      </c>
      <c r="AC120" s="2" t="s">
        <v>469</v>
      </c>
      <c r="AD120" s="2" t="s">
        <v>470</v>
      </c>
      <c r="AE120" s="2" t="s">
        <v>471</v>
      </c>
    </row>
    <row r="121" customFormat="false" ht="15" hidden="false" customHeight="false" outlineLevel="0" collapsed="false">
      <c r="A121" s="2" t="s">
        <v>472</v>
      </c>
      <c r="B121" s="2" t="s">
        <v>473</v>
      </c>
      <c r="C121" s="2" t="s">
        <v>353</v>
      </c>
      <c r="D121" s="2" t="s">
        <v>474</v>
      </c>
      <c r="E121" s="2" t="s">
        <v>354</v>
      </c>
      <c r="F121" s="2" t="s">
        <v>355</v>
      </c>
      <c r="G121" s="2" t="n">
        <v>1</v>
      </c>
      <c r="H121" s="2" t="n">
        <v>2857</v>
      </c>
      <c r="I121" s="2" t="n">
        <v>2405</v>
      </c>
      <c r="J121" s="2" t="n">
        <v>2857</v>
      </c>
      <c r="K121" s="2" t="n">
        <v>2405</v>
      </c>
      <c r="L121" s="2" t="n">
        <v>2887</v>
      </c>
      <c r="M121" s="2" t="n">
        <v>2405</v>
      </c>
      <c r="N121" s="2" t="n">
        <v>1</v>
      </c>
      <c r="O121" s="2" t="s">
        <v>40</v>
      </c>
      <c r="P121" s="2" t="s">
        <v>63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37</v>
      </c>
      <c r="V121" s="2" t="s">
        <v>42</v>
      </c>
      <c r="W121" s="2" t="n">
        <v>0</v>
      </c>
      <c r="X121" s="2" t="n">
        <v>0</v>
      </c>
      <c r="Y121" s="2" t="n">
        <v>0</v>
      </c>
      <c r="Z121" s="2" t="s">
        <v>37</v>
      </c>
      <c r="AA121" s="3" t="n">
        <f aca="false">H121*I121/1000000*N121</f>
        <v>6.871085</v>
      </c>
      <c r="AB121" s="3" t="n">
        <f aca="false">(IF(Q121="V",H121,0)+IF(S121="V",H121,0)+IF(R121="V",I121,0)+IF(T121="V",I121,0))/1000*N121</f>
        <v>0</v>
      </c>
      <c r="AC121" s="2"/>
      <c r="AD121" s="2" t="s">
        <v>64</v>
      </c>
      <c r="AE121" s="2" t="s">
        <v>475</v>
      </c>
    </row>
    <row r="122" customFormat="false" ht="15" hidden="false" customHeight="false" outlineLevel="0" collapsed="false">
      <c r="A122" s="2" t="s">
        <v>476</v>
      </c>
      <c r="B122" s="2" t="s">
        <v>477</v>
      </c>
      <c r="C122" s="2" t="s">
        <v>478</v>
      </c>
      <c r="D122" s="2" t="s">
        <v>479</v>
      </c>
      <c r="E122" s="2" t="s">
        <v>480</v>
      </c>
      <c r="F122" s="2" t="s">
        <v>481</v>
      </c>
      <c r="G122" s="2" t="n">
        <v>3</v>
      </c>
      <c r="H122" s="2" t="n">
        <v>2857</v>
      </c>
      <c r="I122" s="2" t="n">
        <v>8</v>
      </c>
      <c r="J122" s="2" t="n">
        <v>2857</v>
      </c>
      <c r="K122" s="2" t="n">
        <v>8</v>
      </c>
      <c r="L122" s="2"/>
      <c r="M122" s="2"/>
      <c r="N122" s="2" t="n">
        <v>1</v>
      </c>
      <c r="O122" s="2" t="s">
        <v>37</v>
      </c>
      <c r="P122" s="2" t="s">
        <v>53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37</v>
      </c>
      <c r="V122" s="2" t="s">
        <v>42</v>
      </c>
      <c r="W122" s="2" t="n">
        <v>0</v>
      </c>
      <c r="X122" s="2" t="n">
        <v>0</v>
      </c>
      <c r="Y122" s="2" t="n">
        <v>0</v>
      </c>
      <c r="Z122" s="2" t="s">
        <v>37</v>
      </c>
      <c r="AA122" s="3" t="n">
        <f aca="false">H122*I122/1000000*N122</f>
        <v>0.022856</v>
      </c>
      <c r="AB122" s="3" t="n">
        <f aca="false">(IF(Q122="V",H122,0)+IF(S122="V",H122,0)+IF(R122="V",I122,0)+IF(T122="V",I122,0))/1000*N122</f>
        <v>0</v>
      </c>
      <c r="AC122" s="2"/>
      <c r="AD122" s="2" t="s">
        <v>64</v>
      </c>
      <c r="AE122" s="2" t="s">
        <v>482</v>
      </c>
    </row>
    <row r="123" customFormat="false" ht="15" hidden="false" customHeight="false" outlineLevel="0" collapsed="false">
      <c r="A123" s="2" t="s">
        <v>483</v>
      </c>
      <c r="B123" s="2" t="s">
        <v>484</v>
      </c>
      <c r="C123" s="2" t="s">
        <v>478</v>
      </c>
      <c r="D123" s="2" t="s">
        <v>479</v>
      </c>
      <c r="E123" s="2" t="s">
        <v>480</v>
      </c>
      <c r="F123" s="2" t="s">
        <v>481</v>
      </c>
      <c r="G123" s="2" t="n">
        <v>4</v>
      </c>
      <c r="H123" s="2" t="n">
        <v>2857</v>
      </c>
      <c r="I123" s="2" t="n">
        <v>18</v>
      </c>
      <c r="J123" s="2" t="n">
        <v>2857</v>
      </c>
      <c r="K123" s="2" t="n">
        <v>18</v>
      </c>
      <c r="L123" s="2"/>
      <c r="M123" s="2"/>
      <c r="N123" s="2" t="n">
        <v>1</v>
      </c>
      <c r="O123" s="2" t="s">
        <v>37</v>
      </c>
      <c r="P123" s="2" t="s">
        <v>63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37</v>
      </c>
      <c r="V123" s="2" t="s">
        <v>42</v>
      </c>
      <c r="W123" s="2" t="n">
        <v>0</v>
      </c>
      <c r="X123" s="2" t="n">
        <v>0</v>
      </c>
      <c r="Y123" s="2" t="n">
        <v>0</v>
      </c>
      <c r="Z123" s="2" t="s">
        <v>37</v>
      </c>
      <c r="AA123" s="3" t="n">
        <f aca="false">H123*I123/1000000*N123</f>
        <v>0.051426</v>
      </c>
      <c r="AB123" s="3" t="n">
        <f aca="false">(IF(Q123="V",H123,0)+IF(S123="V",H123,0)+IF(R123="V",I123,0)+IF(T123="V",I123,0))/1000*N123</f>
        <v>0</v>
      </c>
      <c r="AC123" s="2"/>
      <c r="AD123" s="2" t="s">
        <v>64</v>
      </c>
      <c r="AE123" s="2" t="s">
        <v>485</v>
      </c>
    </row>
    <row r="124" customFormat="false" ht="15" hidden="false" customHeight="false" outlineLevel="0" collapsed="false">
      <c r="A124" s="2" t="s">
        <v>486</v>
      </c>
      <c r="B124" s="2" t="s">
        <v>487</v>
      </c>
      <c r="C124" s="2" t="s">
        <v>478</v>
      </c>
      <c r="D124" s="2" t="s">
        <v>479</v>
      </c>
      <c r="E124" s="2" t="s">
        <v>480</v>
      </c>
      <c r="F124" s="2" t="s">
        <v>481</v>
      </c>
      <c r="G124" s="2" t="n">
        <v>2</v>
      </c>
      <c r="H124" s="2" t="n">
        <v>8</v>
      </c>
      <c r="I124" s="2" t="n">
        <v>15</v>
      </c>
      <c r="J124" s="2" t="n">
        <v>8</v>
      </c>
      <c r="K124" s="2" t="n">
        <v>15</v>
      </c>
      <c r="L124" s="2"/>
      <c r="M124" s="2"/>
      <c r="N124" s="2" t="n">
        <v>1</v>
      </c>
      <c r="O124" s="2" t="s">
        <v>37</v>
      </c>
      <c r="P124" s="2" t="s">
        <v>38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37</v>
      </c>
      <c r="V124" s="2" t="s">
        <v>42</v>
      </c>
      <c r="W124" s="2" t="n">
        <v>0</v>
      </c>
      <c r="X124" s="2" t="n">
        <v>0</v>
      </c>
      <c r="Y124" s="2" t="n">
        <v>0</v>
      </c>
      <c r="Z124" s="2" t="s">
        <v>37</v>
      </c>
      <c r="AA124" s="3" t="n">
        <f aca="false">H124*I124/1000000*N124</f>
        <v>0.00012</v>
      </c>
      <c r="AB124" s="3" t="n">
        <f aca="false">(IF(Q124="V",H124,0)+IF(S124="V",H124,0)+IF(R124="V",I124,0)+IF(T124="V",I124,0))/1000*N124</f>
        <v>0</v>
      </c>
      <c r="AC124" s="2"/>
      <c r="AD124" s="2" t="s">
        <v>314</v>
      </c>
      <c r="AE124" s="2" t="s">
        <v>488</v>
      </c>
    </row>
    <row r="125" customFormat="false" ht="15" hidden="false" customHeight="false" outlineLevel="0" collapsed="false">
      <c r="A125" s="2" t="s">
        <v>489</v>
      </c>
      <c r="B125" s="2" t="s">
        <v>490</v>
      </c>
      <c r="C125" s="2" t="s">
        <v>478</v>
      </c>
      <c r="D125" s="2" t="s">
        <v>479</v>
      </c>
      <c r="E125" s="2" t="s">
        <v>480</v>
      </c>
      <c r="F125" s="2" t="s">
        <v>481</v>
      </c>
      <c r="G125" s="2" t="n">
        <v>1</v>
      </c>
      <c r="H125" s="2" t="n">
        <v>2845</v>
      </c>
      <c r="I125" s="2" t="n">
        <v>24</v>
      </c>
      <c r="J125" s="2" t="n">
        <v>2845</v>
      </c>
      <c r="K125" s="2" t="n">
        <v>24</v>
      </c>
      <c r="L125" s="2"/>
      <c r="M125" s="2"/>
      <c r="N125" s="2" t="n">
        <v>1</v>
      </c>
      <c r="O125" s="2" t="s">
        <v>37</v>
      </c>
      <c r="P125" s="2" t="s">
        <v>53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37</v>
      </c>
      <c r="V125" s="2" t="s">
        <v>42</v>
      </c>
      <c r="W125" s="2" t="n">
        <v>0</v>
      </c>
      <c r="X125" s="2" t="n">
        <v>0</v>
      </c>
      <c r="Y125" s="2" t="n">
        <v>0</v>
      </c>
      <c r="Z125" s="2" t="s">
        <v>37</v>
      </c>
      <c r="AA125" s="3" t="n">
        <f aca="false">H125*I125/1000000*N125</f>
        <v>0.06828</v>
      </c>
      <c r="AB125" s="3" t="n">
        <f aca="false">(IF(Q125="V",H125,0)+IF(S125="V",H125,0)+IF(R125="V",I125,0)+IF(T125="V",I125,0))/1000*N125</f>
        <v>0</v>
      </c>
      <c r="AC125" s="2"/>
      <c r="AD125" s="2" t="s">
        <v>64</v>
      </c>
      <c r="AE125" s="2" t="s">
        <v>491</v>
      </c>
    </row>
    <row r="126" customFormat="false" ht="15" hidden="false" customHeight="false" outlineLevel="0" collapsed="false">
      <c r="A126" s="2" t="s">
        <v>492</v>
      </c>
      <c r="B126" s="2" t="s">
        <v>493</v>
      </c>
      <c r="C126" s="2" t="s">
        <v>478</v>
      </c>
      <c r="D126" s="2" t="s">
        <v>479</v>
      </c>
      <c r="E126" s="2" t="s">
        <v>480</v>
      </c>
      <c r="F126" s="2" t="s">
        <v>481</v>
      </c>
      <c r="G126" s="2" t="n">
        <v>3</v>
      </c>
      <c r="H126" s="2" t="n">
        <v>2845</v>
      </c>
      <c r="I126" s="2" t="n">
        <v>4</v>
      </c>
      <c r="J126" s="2" t="n">
        <v>2845</v>
      </c>
      <c r="K126" s="2" t="n">
        <v>4</v>
      </c>
      <c r="L126" s="2"/>
      <c r="M126" s="2"/>
      <c r="N126" s="2" t="n">
        <v>1</v>
      </c>
      <c r="O126" s="2" t="s">
        <v>37</v>
      </c>
      <c r="P126" s="2" t="s">
        <v>53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37</v>
      </c>
      <c r="V126" s="2" t="s">
        <v>42</v>
      </c>
      <c r="W126" s="2" t="n">
        <v>0</v>
      </c>
      <c r="X126" s="2" t="n">
        <v>0</v>
      </c>
      <c r="Y126" s="2" t="n">
        <v>0</v>
      </c>
      <c r="Z126" s="2" t="s">
        <v>37</v>
      </c>
      <c r="AA126" s="3" t="n">
        <f aca="false">H126*I126/1000000*N126</f>
        <v>0.01138</v>
      </c>
      <c r="AB126" s="3" t="n">
        <f aca="false">(IF(Q126="V",H126,0)+IF(S126="V",H126,0)+IF(R126="V",I126,0)+IF(T126="V",I126,0))/1000*N126</f>
        <v>0</v>
      </c>
      <c r="AC126" s="2"/>
      <c r="AD126" s="2" t="s">
        <v>64</v>
      </c>
      <c r="AE126" s="2" t="s">
        <v>494</v>
      </c>
    </row>
    <row r="127" customFormat="false" ht="15" hidden="false" customHeight="false" outlineLevel="0" collapsed="false">
      <c r="A127" s="2" t="s">
        <v>495</v>
      </c>
      <c r="B127" s="2" t="s">
        <v>496</v>
      </c>
      <c r="C127" s="2" t="s">
        <v>478</v>
      </c>
      <c r="D127" s="2" t="s">
        <v>479</v>
      </c>
      <c r="E127" s="2" t="s">
        <v>480</v>
      </c>
      <c r="F127" s="2" t="s">
        <v>481</v>
      </c>
      <c r="G127" s="2" t="n">
        <v>3</v>
      </c>
      <c r="H127" s="2" t="n">
        <v>2845</v>
      </c>
      <c r="I127" s="2" t="n">
        <v>3</v>
      </c>
      <c r="J127" s="2" t="n">
        <v>2845</v>
      </c>
      <c r="K127" s="2" t="n">
        <v>3</v>
      </c>
      <c r="L127" s="2"/>
      <c r="M127" s="2"/>
      <c r="N127" s="2" t="n">
        <v>1</v>
      </c>
      <c r="O127" s="2" t="s">
        <v>37</v>
      </c>
      <c r="P127" s="2" t="s">
        <v>53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37</v>
      </c>
      <c r="V127" s="2" t="s">
        <v>42</v>
      </c>
      <c r="W127" s="2" t="n">
        <v>0</v>
      </c>
      <c r="X127" s="2" t="n">
        <v>0</v>
      </c>
      <c r="Y127" s="2" t="n">
        <v>0</v>
      </c>
      <c r="Z127" s="2" t="s">
        <v>37</v>
      </c>
      <c r="AA127" s="3" t="n">
        <f aca="false">H127*I127/1000000*N127</f>
        <v>0.008535</v>
      </c>
      <c r="AB127" s="3" t="n">
        <f aca="false">(IF(Q127="V",H127,0)+IF(S127="V",H127,0)+IF(R127="V",I127,0)+IF(T127="V",I127,0))/1000*N127</f>
        <v>0</v>
      </c>
      <c r="AC127" s="2"/>
      <c r="AD127" s="2" t="s">
        <v>64</v>
      </c>
      <c r="AE127" s="2" t="s">
        <v>497</v>
      </c>
    </row>
    <row r="128" customFormat="false" ht="15" hidden="false" customHeight="false" outlineLevel="0" collapsed="false">
      <c r="A128" s="2" t="s">
        <v>498</v>
      </c>
      <c r="B128" s="2" t="s">
        <v>499</v>
      </c>
      <c r="C128" s="2" t="s">
        <v>478</v>
      </c>
      <c r="D128" s="2" t="s">
        <v>479</v>
      </c>
      <c r="E128" s="2" t="s">
        <v>480</v>
      </c>
      <c r="F128" s="2" t="s">
        <v>481</v>
      </c>
      <c r="G128" s="2" t="n">
        <v>4</v>
      </c>
      <c r="H128" s="2" t="n">
        <v>2628</v>
      </c>
      <c r="I128" s="2" t="n">
        <v>8</v>
      </c>
      <c r="J128" s="2" t="n">
        <v>2628</v>
      </c>
      <c r="K128" s="2" t="n">
        <v>8</v>
      </c>
      <c r="L128" s="2"/>
      <c r="M128" s="2"/>
      <c r="N128" s="2" t="n">
        <v>1</v>
      </c>
      <c r="O128" s="2" t="s">
        <v>37</v>
      </c>
      <c r="P128" s="2" t="s">
        <v>53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37</v>
      </c>
      <c r="V128" s="2" t="s">
        <v>42</v>
      </c>
      <c r="W128" s="2" t="n">
        <v>0</v>
      </c>
      <c r="X128" s="2" t="n">
        <v>0</v>
      </c>
      <c r="Y128" s="2" t="n">
        <v>0</v>
      </c>
      <c r="Z128" s="2" t="s">
        <v>37</v>
      </c>
      <c r="AA128" s="3" t="n">
        <f aca="false">H128*I128/1000000*N128</f>
        <v>0.021024</v>
      </c>
      <c r="AB128" s="3" t="n">
        <f aca="false">(IF(Q128="V",H128,0)+IF(S128="V",H128,0)+IF(R128="V",I128,0)+IF(T128="V",I128,0))/1000*N128</f>
        <v>0</v>
      </c>
      <c r="AC128" s="2"/>
      <c r="AD128" s="2" t="s">
        <v>64</v>
      </c>
      <c r="AE128" s="2" t="s">
        <v>500</v>
      </c>
    </row>
    <row r="129" customFormat="false" ht="15" hidden="false" customHeight="false" outlineLevel="0" collapsed="false">
      <c r="A129" s="2" t="s">
        <v>501</v>
      </c>
      <c r="B129" s="2" t="s">
        <v>502</v>
      </c>
      <c r="C129" s="2" t="s">
        <v>478</v>
      </c>
      <c r="D129" s="2" t="s">
        <v>479</v>
      </c>
      <c r="E129" s="2" t="s">
        <v>480</v>
      </c>
      <c r="F129" s="2" t="s">
        <v>481</v>
      </c>
      <c r="G129" s="2" t="n">
        <v>4</v>
      </c>
      <c r="H129" s="2" t="n">
        <v>2628</v>
      </c>
      <c r="I129" s="2" t="n">
        <v>17</v>
      </c>
      <c r="J129" s="2" t="n">
        <v>2628</v>
      </c>
      <c r="K129" s="2" t="n">
        <v>17</v>
      </c>
      <c r="L129" s="2"/>
      <c r="M129" s="2"/>
      <c r="N129" s="2" t="n">
        <v>1</v>
      </c>
      <c r="O129" s="2" t="s">
        <v>37</v>
      </c>
      <c r="P129" s="2" t="s">
        <v>63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37</v>
      </c>
      <c r="V129" s="2" t="s">
        <v>42</v>
      </c>
      <c r="W129" s="2" t="n">
        <v>0</v>
      </c>
      <c r="X129" s="2" t="n">
        <v>0</v>
      </c>
      <c r="Y129" s="2" t="n">
        <v>0</v>
      </c>
      <c r="Z129" s="2" t="s">
        <v>37</v>
      </c>
      <c r="AA129" s="3" t="n">
        <f aca="false">H129*I129/1000000*N129</f>
        <v>0.044676</v>
      </c>
      <c r="AB129" s="3" t="n">
        <f aca="false">(IF(Q129="V",H129,0)+IF(S129="V",H129,0)+IF(R129="V",I129,0)+IF(T129="V",I129,0))/1000*N129</f>
        <v>0</v>
      </c>
      <c r="AC129" s="2"/>
      <c r="AD129" s="2" t="s">
        <v>64</v>
      </c>
      <c r="AE129" s="2" t="s">
        <v>503</v>
      </c>
    </row>
    <row r="130" customFormat="false" ht="15" hidden="false" customHeight="false" outlineLevel="0" collapsed="false">
      <c r="A130" s="2" t="s">
        <v>504</v>
      </c>
      <c r="B130" s="2" t="s">
        <v>505</v>
      </c>
      <c r="C130" s="2" t="s">
        <v>478</v>
      </c>
      <c r="D130" s="2" t="s">
        <v>479</v>
      </c>
      <c r="E130" s="2" t="s">
        <v>480</v>
      </c>
      <c r="F130" s="2" t="s">
        <v>481</v>
      </c>
      <c r="G130" s="2" t="n">
        <v>5</v>
      </c>
      <c r="H130" s="2" t="n">
        <v>306</v>
      </c>
      <c r="I130" s="2" t="n">
        <v>16</v>
      </c>
      <c r="J130" s="2" t="n">
        <v>306</v>
      </c>
      <c r="K130" s="2" t="n">
        <v>16</v>
      </c>
      <c r="L130" s="2"/>
      <c r="M130" s="2"/>
      <c r="N130" s="2" t="n">
        <v>1</v>
      </c>
      <c r="O130" s="2" t="s">
        <v>37</v>
      </c>
      <c r="P130" s="2" t="s">
        <v>63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37</v>
      </c>
      <c r="V130" s="2" t="s">
        <v>42</v>
      </c>
      <c r="W130" s="2" t="n">
        <v>0</v>
      </c>
      <c r="X130" s="2" t="n">
        <v>0</v>
      </c>
      <c r="Y130" s="2" t="n">
        <v>0</v>
      </c>
      <c r="Z130" s="2" t="s">
        <v>37</v>
      </c>
      <c r="AA130" s="3" t="n">
        <f aca="false">H130*I130/1000000*N130</f>
        <v>0.004896</v>
      </c>
      <c r="AB130" s="3" t="n">
        <f aca="false">(IF(Q130="V",H130,0)+IF(S130="V",H130,0)+IF(R130="V",I130,0)+IF(T130="V",I130,0))/1000*N130</f>
        <v>0</v>
      </c>
      <c r="AC130" s="2"/>
      <c r="AD130" s="2" t="s">
        <v>64</v>
      </c>
      <c r="AE130" s="2" t="s">
        <v>506</v>
      </c>
    </row>
    <row r="132" customFormat="false" ht="15" hidden="false" customHeight="false" outlineLevel="0" collapsed="false">
      <c r="Z132" s="0" t="s">
        <v>507</v>
      </c>
      <c r="AA132" s="0" t="n">
        <f aca="false">SUM(AA2:AA130)</f>
        <v>37.36398</v>
      </c>
      <c r="AB132" s="0" t="n">
        <f aca="false">SUM(AB2:AB130)</f>
        <v>57.021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8" min="6" style="0" width="16"/>
  </cols>
  <sheetData>
    <row r="1" customFormat="false" ht="31.5" hidden="false" customHeight="true" outlineLevel="0" collapsed="false">
      <c r="A1" s="1" t="s">
        <v>4</v>
      </c>
      <c r="B1" s="1" t="s">
        <v>1</v>
      </c>
      <c r="C1" s="1" t="s">
        <v>508</v>
      </c>
      <c r="D1" s="1" t="s">
        <v>26</v>
      </c>
      <c r="E1" s="1" t="s">
        <v>509</v>
      </c>
      <c r="F1" s="1" t="s">
        <v>510</v>
      </c>
      <c r="G1" s="1" t="s">
        <v>511</v>
      </c>
      <c r="H1" s="1" t="s">
        <v>512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f aca="false">SUMIFS(Szabásjegyzék!N:N,Szabásjegyzék!E:E,A2)</f>
        <v>30</v>
      </c>
      <c r="D2" s="4" t="n">
        <f aca="false">SUMIFS(Szabásjegyzék!AA:AA,Szabásjegyzék!E:E,A2)</f>
        <v>5.592774</v>
      </c>
      <c r="E2" s="4" t="n">
        <f aca="false">SUMIFS(Szabásjegyzék!AB:AB,Szabásjegyzék!E:E,A2)</f>
        <v>23.228</v>
      </c>
      <c r="F2" s="5" t="n">
        <v>5.796</v>
      </c>
      <c r="G2" s="6" t="n">
        <v>0.2</v>
      </c>
      <c r="H2" s="7" t="n">
        <f aca="false">IF(F2&gt;0,ROUNDUP(D2*(1+G2)/F2,0),0)</f>
        <v>2</v>
      </c>
    </row>
    <row r="3" customFormat="false" ht="15" hidden="false" customHeight="false" outlineLevel="0" collapsed="false">
      <c r="A3" s="0" t="s">
        <v>51</v>
      </c>
      <c r="B3" s="0" t="s">
        <v>52</v>
      </c>
      <c r="C3" s="0" t="n">
        <f aca="false">SUMIFS(Szabásjegyzék!N:N,Szabásjegyzék!E:E,A3)</f>
        <v>28</v>
      </c>
      <c r="D3" s="4" t="n">
        <f aca="false">SUMIFS(Szabásjegyzék!AA:AA,Szabásjegyzék!E:E,A3)</f>
        <v>2.506747</v>
      </c>
      <c r="E3" s="4" t="n">
        <f aca="false">SUMIFS(Szabásjegyzék!AB:AB,Szabásjegyzék!E:E,A3)</f>
        <v>0</v>
      </c>
      <c r="F3" s="5" t="n">
        <v>5.796</v>
      </c>
      <c r="G3" s="6" t="n">
        <v>0.2</v>
      </c>
      <c r="H3" s="7" t="n">
        <f aca="false">IF(F3&gt;0,ROUNDUP(D3*(1+G3)/F3,0),0)</f>
        <v>1</v>
      </c>
    </row>
    <row r="4" customFormat="false" ht="15" hidden="false" customHeight="false" outlineLevel="0" collapsed="false">
      <c r="A4" s="0" t="s">
        <v>68</v>
      </c>
      <c r="B4" s="0" t="s">
        <v>69</v>
      </c>
      <c r="C4" s="0" t="n">
        <f aca="false">SUMIFS(Szabásjegyzék!N:N,Szabásjegyzék!E:E,A4)</f>
        <v>9</v>
      </c>
      <c r="D4" s="4" t="n">
        <f aca="false">SUMIFS(Szabásjegyzék!AA:AA,Szabásjegyzék!E:E,A4)</f>
        <v>7.385245</v>
      </c>
      <c r="E4" s="4" t="n">
        <f aca="false">SUMIFS(Szabásjegyzék!AB:AB,Szabásjegyzék!E:E,A4)</f>
        <v>30.789</v>
      </c>
      <c r="F4" s="5" t="n">
        <v>5.796</v>
      </c>
      <c r="G4" s="6" t="n">
        <v>0.2</v>
      </c>
      <c r="H4" s="7" t="n">
        <f aca="false">IF(F4&gt;0,ROUNDUP(D4*(1+G4)/F4,0),0)</f>
        <v>2</v>
      </c>
    </row>
    <row r="5" customFormat="false" ht="15" hidden="false" customHeight="false" outlineLevel="0" collapsed="false">
      <c r="A5" s="0" t="s">
        <v>354</v>
      </c>
      <c r="B5" s="0" t="s">
        <v>355</v>
      </c>
      <c r="C5" s="0" t="n">
        <f aca="false">SUMIFS(Szabásjegyzék!N:N,Szabásjegyzék!E:E,A5)</f>
        <v>5</v>
      </c>
      <c r="D5" s="4" t="n">
        <f aca="false">SUMIFS(Szabásjegyzék!AA:AA,Szabásjegyzék!E:E,A5)</f>
        <v>13.720525</v>
      </c>
      <c r="E5" s="4" t="n">
        <f aca="false">SUMIFS(Szabásjegyzék!AB:AB,Szabásjegyzék!E:E,A5)</f>
        <v>0</v>
      </c>
      <c r="F5" s="5" t="n">
        <v>5.796</v>
      </c>
      <c r="G5" s="6" t="n">
        <v>0.2</v>
      </c>
      <c r="H5" s="7" t="n">
        <f aca="false">IF(F5&gt;0,ROUNDUP(D5*(1+G5)/F5,0),0)</f>
        <v>3</v>
      </c>
    </row>
    <row r="6" customFormat="false" ht="15" hidden="false" customHeight="false" outlineLevel="0" collapsed="false">
      <c r="A6" s="0" t="s">
        <v>345</v>
      </c>
      <c r="B6" s="0" t="s">
        <v>346</v>
      </c>
      <c r="C6" s="0" t="n">
        <f aca="false">SUMIFS(Szabásjegyzék!N:N,Szabásjegyzék!E:E,A6)</f>
        <v>1</v>
      </c>
      <c r="D6" s="4" t="n">
        <f aca="false">SUMIFS(Szabásjegyzék!AA:AA,Szabásjegyzék!E:E,A6)</f>
        <v>0.8110875</v>
      </c>
      <c r="E6" s="4" t="n">
        <f aca="false">SUMIFS(Szabásjegyzék!AB:AB,Szabásjegyzék!E:E,A6)</f>
        <v>0</v>
      </c>
      <c r="F6" s="5" t="n">
        <v>0</v>
      </c>
      <c r="G6" s="6" t="n">
        <v>0.2</v>
      </c>
      <c r="H6" s="7" t="n">
        <f aca="false">IF(F6&gt;0,ROUNDUP(D6*(1+G6)/F6,0),0)</f>
        <v>0</v>
      </c>
    </row>
    <row r="7" customFormat="false" ht="15" hidden="false" customHeight="false" outlineLevel="0" collapsed="false">
      <c r="A7" s="0" t="s">
        <v>76</v>
      </c>
      <c r="B7" s="0" t="s">
        <v>77</v>
      </c>
      <c r="C7" s="0" t="n">
        <f aca="false">SUMIFS(Szabásjegyzék!N:N,Szabásjegyzék!E:E,A7)</f>
        <v>30</v>
      </c>
      <c r="D7" s="4" t="n">
        <f aca="false">SUMIFS(Szabásjegyzék!AA:AA,Szabásjegyzék!E:E,A7)</f>
        <v>2.69504</v>
      </c>
      <c r="E7" s="4" t="n">
        <f aca="false">SUMIFS(Szabásjegyzék!AB:AB,Szabásjegyzék!E:E,A7)</f>
        <v>0</v>
      </c>
      <c r="F7" s="5" t="n">
        <v>5.796</v>
      </c>
      <c r="G7" s="6" t="n">
        <v>0.2</v>
      </c>
      <c r="H7" s="7" t="n">
        <f aca="false">IF(F7&gt;0,ROUNDUP(D7*(1+G7)/F7,0),0)</f>
        <v>1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n">
        <f aca="false">SUMIFS(Szabásjegyzék!N:N,Szabásjegyzék!E:E,A8)</f>
        <v>11</v>
      </c>
      <c r="D8" s="4" t="n">
        <f aca="false">SUMIFS(Szabásjegyzék!AA:AA,Szabásjegyzék!E:E,A8)</f>
        <v>3.132806</v>
      </c>
      <c r="E8" s="4" t="n">
        <f aca="false">SUMIFS(Szabásjegyzék!AB:AB,Szabásjegyzék!E:E,A8)</f>
        <v>3.004</v>
      </c>
      <c r="F8" s="5" t="n">
        <v>5.796</v>
      </c>
      <c r="G8" s="6" t="n">
        <v>0.2</v>
      </c>
      <c r="H8" s="7" t="n">
        <f aca="false">IF(F8&gt;0,ROUNDUP(D8*(1+G8)/F8,0),0)</f>
        <v>1</v>
      </c>
    </row>
    <row r="9" customFormat="false" ht="15" hidden="false" customHeight="false" outlineLevel="0" collapsed="false">
      <c r="A9" s="0" t="s">
        <v>365</v>
      </c>
      <c r="B9" s="0" t="s">
        <v>366</v>
      </c>
      <c r="C9" s="0" t="n">
        <f aca="false">SUMIFS(Szabásjegyzék!N:N,Szabásjegyzék!E:E,A9)</f>
        <v>5</v>
      </c>
      <c r="D9" s="4" t="n">
        <f aca="false">SUMIFS(Szabásjegyzék!AA:AA,Szabásjegyzék!E:E,A9)</f>
        <v>0.447</v>
      </c>
      <c r="E9" s="4" t="n">
        <f aca="false">SUMIFS(Szabásjegyzék!AB:AB,Szabásjegyzék!E:E,A9)</f>
        <v>0</v>
      </c>
      <c r="F9" s="5" t="n">
        <v>5.796</v>
      </c>
      <c r="G9" s="6" t="n">
        <v>0.2</v>
      </c>
      <c r="H9" s="7" t="n">
        <f aca="false">IF(F9&gt;0,ROUNDUP(D9*(1+G9)/F9,0),0)</f>
        <v>1</v>
      </c>
    </row>
    <row r="10" customFormat="false" ht="15" hidden="false" customHeight="false" outlineLevel="0" collapsed="false">
      <c r="A10" s="0" t="s">
        <v>463</v>
      </c>
      <c r="B10" s="0" t="s">
        <v>464</v>
      </c>
      <c r="C10" s="0" t="n">
        <f aca="false">SUMIFS(Szabásjegyzék!N:N,Szabásjegyzék!E:E,A10)</f>
        <v>1</v>
      </c>
      <c r="D10" s="4" t="n">
        <f aca="false">SUMIFS(Szabásjegyzék!AA:AA,Szabásjegyzék!E:E,A10)</f>
        <v>0.8395625</v>
      </c>
      <c r="E10" s="4" t="n">
        <f aca="false">SUMIFS(Szabásjegyzék!AB:AB,Szabásjegyzék!E:E,A10)</f>
        <v>0</v>
      </c>
      <c r="F10" s="5" t="n">
        <v>5.796</v>
      </c>
      <c r="G10" s="6" t="n">
        <v>0.2</v>
      </c>
      <c r="H10" s="7" t="n">
        <f aca="false">IF(F10&gt;0,ROUNDUP(D10*(1+G10)/F10,0),0)</f>
        <v>1</v>
      </c>
    </row>
    <row r="11" customFormat="false" ht="15" hidden="false" customHeight="false" outlineLevel="0" collapsed="false">
      <c r="A11" s="0" t="s">
        <v>480</v>
      </c>
      <c r="B11" s="0" t="s">
        <v>481</v>
      </c>
      <c r="C11" s="0" t="n">
        <f aca="false">SUMIFS(Szabásjegyzék!N:N,Szabásjegyzék!E:E,A11)</f>
        <v>9</v>
      </c>
      <c r="D11" s="4" t="n">
        <f aca="false">SUMIFS(Szabásjegyzék!AA:AA,Szabásjegyzék!E:E,A11)</f>
        <v>0.233193</v>
      </c>
      <c r="E11" s="4" t="n">
        <f aca="false">SUMIFS(Szabásjegyzék!AB:AB,Szabásjegyzék!E:E,A11)</f>
        <v>0</v>
      </c>
      <c r="F11" s="5" t="n">
        <v>0</v>
      </c>
      <c r="G11" s="6" t="n">
        <v>0.2</v>
      </c>
      <c r="H11" s="7" t="n">
        <f aca="false">IF(F11&gt;0,ROUNDUP(D11*(1+G11)/F11,0),0)</f>
        <v>0</v>
      </c>
    </row>
    <row r="13" customFormat="false" ht="15" hidden="false" customHeight="false" outlineLevel="0" collapsed="false">
      <c r="A13" s="8" t="s">
        <v>513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1" t="s">
        <v>514</v>
      </c>
      <c r="B1" s="1" t="s">
        <v>515</v>
      </c>
      <c r="C1" s="1" t="s">
        <v>13</v>
      </c>
      <c r="D1" s="1" t="s">
        <v>516</v>
      </c>
      <c r="E1" s="1" t="s">
        <v>517</v>
      </c>
    </row>
    <row r="2" customFormat="false" ht="15" hidden="false" customHeight="false" outlineLevel="0" collapsed="false">
      <c r="A2" s="9" t="s">
        <v>518</v>
      </c>
      <c r="B2" s="9" t="s">
        <v>519</v>
      </c>
      <c r="C2" s="9" t="n">
        <v>6</v>
      </c>
      <c r="D2" s="9" t="s">
        <v>520</v>
      </c>
      <c r="E2" s="9" t="s">
        <v>521</v>
      </c>
    </row>
    <row r="3" customFormat="false" ht="15" hidden="false" customHeight="false" outlineLevel="0" collapsed="false">
      <c r="A3" s="9" t="s">
        <v>522</v>
      </c>
      <c r="B3" s="9" t="s">
        <v>523</v>
      </c>
      <c r="C3" s="9" t="n">
        <v>22</v>
      </c>
      <c r="D3" s="9" t="s">
        <v>520</v>
      </c>
      <c r="E3" s="9" t="s">
        <v>521</v>
      </c>
    </row>
    <row r="4" customFormat="false" ht="15" hidden="false" customHeight="false" outlineLevel="0" collapsed="false">
      <c r="A4" s="9" t="s">
        <v>524</v>
      </c>
      <c r="B4" s="9" t="s">
        <v>525</v>
      </c>
      <c r="C4" s="9" t="n">
        <v>11</v>
      </c>
      <c r="D4" s="9" t="s">
        <v>520</v>
      </c>
      <c r="E4" s="9" t="s">
        <v>521</v>
      </c>
    </row>
    <row r="5" customFormat="false" ht="15" hidden="false" customHeight="false" outlineLevel="0" collapsed="false">
      <c r="A5" s="9" t="s">
        <v>526</v>
      </c>
      <c r="B5" s="9" t="s">
        <v>527</v>
      </c>
      <c r="C5" s="9" t="n">
        <v>40</v>
      </c>
      <c r="D5" s="9" t="s">
        <v>520</v>
      </c>
      <c r="E5" s="9" t="s">
        <v>521</v>
      </c>
    </row>
    <row r="6" customFormat="false" ht="15" hidden="false" customHeight="false" outlineLevel="0" collapsed="false">
      <c r="A6" s="9" t="s">
        <v>528</v>
      </c>
      <c r="B6" s="9" t="s">
        <v>529</v>
      </c>
      <c r="C6" s="9" t="n">
        <v>6</v>
      </c>
      <c r="D6" s="9" t="s">
        <v>520</v>
      </c>
      <c r="E6" s="9" t="s">
        <v>521</v>
      </c>
    </row>
    <row r="7" customFormat="false" ht="15" hidden="false" customHeight="false" outlineLevel="0" collapsed="false">
      <c r="A7" s="9" t="s">
        <v>530</v>
      </c>
      <c r="B7" s="9" t="s">
        <v>531</v>
      </c>
      <c r="C7" s="9" t="n">
        <v>6</v>
      </c>
      <c r="D7" s="9" t="s">
        <v>520</v>
      </c>
      <c r="E7" s="9" t="s">
        <v>521</v>
      </c>
    </row>
    <row r="8" customFormat="false" ht="15" hidden="false" customHeight="false" outlineLevel="0" collapsed="false">
      <c r="A8" s="9" t="s">
        <v>532</v>
      </c>
      <c r="B8" s="9" t="s">
        <v>533</v>
      </c>
      <c r="C8" s="9" t="n">
        <v>6</v>
      </c>
      <c r="D8" s="9" t="s">
        <v>520</v>
      </c>
      <c r="E8" s="9" t="s">
        <v>521</v>
      </c>
    </row>
    <row r="9" customFormat="false" ht="15" hidden="false" customHeight="false" outlineLevel="0" collapsed="false">
      <c r="A9" s="9" t="s">
        <v>534</v>
      </c>
      <c r="B9" s="9" t="s">
        <v>535</v>
      </c>
      <c r="C9" s="9" t="n">
        <v>14</v>
      </c>
      <c r="D9" s="9" t="s">
        <v>520</v>
      </c>
      <c r="E9" s="9" t="s">
        <v>521</v>
      </c>
    </row>
    <row r="10" customFormat="false" ht="15" hidden="false" customHeight="false" outlineLevel="0" collapsed="false">
      <c r="A10" s="9" t="s">
        <v>536</v>
      </c>
      <c r="B10" s="9" t="s">
        <v>537</v>
      </c>
      <c r="C10" s="9" t="n">
        <v>111</v>
      </c>
      <c r="D10" s="9" t="s">
        <v>520</v>
      </c>
      <c r="E10" s="9" t="s">
        <v>521</v>
      </c>
    </row>
    <row r="11" customFormat="false" ht="15" hidden="false" customHeight="false" outlineLevel="0" collapsed="false">
      <c r="A11" s="9" t="s">
        <v>538</v>
      </c>
      <c r="B11" s="9" t="s">
        <v>539</v>
      </c>
      <c r="C11" s="9" t="n">
        <v>11</v>
      </c>
      <c r="D11" s="9" t="s">
        <v>540</v>
      </c>
      <c r="E11" s="9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9"/>
    <col collapsed="false" customWidth="true" hidden="false" outlineLevel="0" max="6" min="4" style="0" width="1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36"/>
    <col collapsed="false" customWidth="true" hidden="false" outlineLevel="0" max="11" min="11" style="0" width="24"/>
  </cols>
  <sheetData>
    <row r="1" customFormat="false" ht="31.5" hidden="false" customHeight="true" outlineLevel="0" collapsed="false">
      <c r="A1" s="1" t="s">
        <v>542</v>
      </c>
      <c r="B1" s="1" t="s">
        <v>543</v>
      </c>
      <c r="C1" s="1" t="s">
        <v>544</v>
      </c>
      <c r="D1" s="1" t="s">
        <v>545</v>
      </c>
      <c r="E1" s="1" t="s">
        <v>546</v>
      </c>
      <c r="F1" s="1" t="s">
        <v>547</v>
      </c>
      <c r="G1" s="1" t="s">
        <v>548</v>
      </c>
      <c r="H1" s="1" t="s">
        <v>549</v>
      </c>
      <c r="I1" s="1" t="s">
        <v>550</v>
      </c>
      <c r="J1" s="1" t="s">
        <v>551</v>
      </c>
      <c r="K1" s="1" t="s">
        <v>552</v>
      </c>
    </row>
    <row r="2" customFormat="false" ht="15" hidden="false" customHeight="false" outlineLevel="0" collapsed="false">
      <c r="A2" s="9" t="s">
        <v>31</v>
      </c>
      <c r="B2" s="9" t="n">
        <v>1</v>
      </c>
      <c r="C2" s="9" t="s">
        <v>16</v>
      </c>
      <c r="D2" s="9" t="n">
        <v>32</v>
      </c>
      <c r="E2" s="9" t="n">
        <v>0</v>
      </c>
      <c r="F2" s="9" t="n">
        <v>9</v>
      </c>
      <c r="G2" s="9" t="n">
        <v>8</v>
      </c>
      <c r="H2" s="9" t="n">
        <v>25</v>
      </c>
      <c r="I2" s="9" t="s">
        <v>553</v>
      </c>
      <c r="J2" s="9" t="s">
        <v>554</v>
      </c>
      <c r="K2" s="9" t="s">
        <v>555</v>
      </c>
    </row>
    <row r="3" customFormat="false" ht="15" hidden="false" customHeight="false" outlineLevel="0" collapsed="false">
      <c r="A3" s="9" t="s">
        <v>31</v>
      </c>
      <c r="B3" s="9" t="n">
        <v>2</v>
      </c>
      <c r="C3" s="9" t="s">
        <v>16</v>
      </c>
      <c r="D3" s="9" t="n">
        <v>168.5</v>
      </c>
      <c r="E3" s="9" t="n">
        <v>0</v>
      </c>
      <c r="F3" s="9" t="n">
        <v>9</v>
      </c>
      <c r="G3" s="9" t="n">
        <v>8</v>
      </c>
      <c r="H3" s="9" t="n">
        <v>25</v>
      </c>
      <c r="I3" s="9" t="s">
        <v>553</v>
      </c>
      <c r="J3" s="9" t="s">
        <v>556</v>
      </c>
      <c r="K3" s="9" t="s">
        <v>555</v>
      </c>
    </row>
    <row r="4" customFormat="false" ht="15" hidden="false" customHeight="false" outlineLevel="0" collapsed="false">
      <c r="A4" s="9" t="s">
        <v>31</v>
      </c>
      <c r="B4" s="9" t="n">
        <v>3</v>
      </c>
      <c r="C4" s="9" t="s">
        <v>16</v>
      </c>
      <c r="D4" s="9" t="n">
        <v>305</v>
      </c>
      <c r="E4" s="9" t="n">
        <v>0</v>
      </c>
      <c r="F4" s="9" t="n">
        <v>9</v>
      </c>
      <c r="G4" s="9" t="n">
        <v>8</v>
      </c>
      <c r="H4" s="9" t="n">
        <v>25</v>
      </c>
      <c r="I4" s="9" t="s">
        <v>553</v>
      </c>
      <c r="J4" s="9" t="s">
        <v>557</v>
      </c>
      <c r="K4" s="9" t="s">
        <v>555</v>
      </c>
    </row>
    <row r="5" customFormat="false" ht="15" hidden="false" customHeight="false" outlineLevel="0" collapsed="false">
      <c r="A5" s="9" t="s">
        <v>31</v>
      </c>
      <c r="B5" s="9" t="n">
        <v>4</v>
      </c>
      <c r="C5" s="9" t="s">
        <v>558</v>
      </c>
      <c r="D5" s="9" t="n">
        <v>84.25</v>
      </c>
      <c r="E5" s="9" t="n">
        <v>24</v>
      </c>
      <c r="F5" s="9" t="n">
        <v>0</v>
      </c>
      <c r="G5" s="9" t="n">
        <v>15</v>
      </c>
      <c r="H5" s="9" t="n">
        <v>12.5</v>
      </c>
      <c r="I5" s="9" t="s">
        <v>559</v>
      </c>
      <c r="J5" s="9" t="s">
        <v>560</v>
      </c>
      <c r="K5" s="9" t="s">
        <v>561</v>
      </c>
    </row>
    <row r="6" customFormat="false" ht="15" hidden="false" customHeight="false" outlineLevel="0" collapsed="false">
      <c r="A6" s="9" t="s">
        <v>31</v>
      </c>
      <c r="B6" s="9" t="n">
        <v>5</v>
      </c>
      <c r="C6" s="9" t="s">
        <v>16</v>
      </c>
      <c r="D6" s="9" t="n">
        <v>84.25</v>
      </c>
      <c r="E6" s="9" t="n">
        <v>0</v>
      </c>
      <c r="F6" s="9" t="n">
        <v>9</v>
      </c>
      <c r="G6" s="9" t="n">
        <v>8</v>
      </c>
      <c r="H6" s="9" t="n">
        <v>25</v>
      </c>
      <c r="I6" s="9" t="s">
        <v>562</v>
      </c>
      <c r="J6" s="9" t="s">
        <v>560</v>
      </c>
      <c r="K6" s="9" t="s">
        <v>555</v>
      </c>
    </row>
    <row r="7" customFormat="false" ht="15" hidden="false" customHeight="false" outlineLevel="0" collapsed="false">
      <c r="A7" s="9" t="s">
        <v>31</v>
      </c>
      <c r="B7" s="9" t="n">
        <v>6</v>
      </c>
      <c r="C7" s="9" t="s">
        <v>558</v>
      </c>
      <c r="D7" s="9" t="n">
        <v>252.75</v>
      </c>
      <c r="E7" s="9" t="n">
        <v>24</v>
      </c>
      <c r="F7" s="9" t="n">
        <v>0</v>
      </c>
      <c r="G7" s="9" t="n">
        <v>15</v>
      </c>
      <c r="H7" s="9" t="n">
        <v>12.5</v>
      </c>
      <c r="I7" s="9" t="s">
        <v>559</v>
      </c>
      <c r="J7" s="9" t="s">
        <v>563</v>
      </c>
      <c r="K7" s="9" t="s">
        <v>561</v>
      </c>
    </row>
    <row r="8" customFormat="false" ht="15" hidden="false" customHeight="false" outlineLevel="0" collapsed="false">
      <c r="A8" s="9" t="s">
        <v>31</v>
      </c>
      <c r="B8" s="9" t="n">
        <v>7</v>
      </c>
      <c r="C8" s="9" t="s">
        <v>16</v>
      </c>
      <c r="D8" s="9" t="n">
        <v>252.75</v>
      </c>
      <c r="E8" s="9" t="n">
        <v>0</v>
      </c>
      <c r="F8" s="9" t="n">
        <v>9</v>
      </c>
      <c r="G8" s="9" t="n">
        <v>8</v>
      </c>
      <c r="H8" s="9" t="n">
        <v>25</v>
      </c>
      <c r="I8" s="9" t="s">
        <v>562</v>
      </c>
      <c r="J8" s="9" t="s">
        <v>563</v>
      </c>
      <c r="K8" s="9" t="s">
        <v>555</v>
      </c>
    </row>
    <row r="9" customFormat="false" ht="15" hidden="false" customHeight="false" outlineLevel="0" collapsed="false">
      <c r="A9" s="9" t="s">
        <v>31</v>
      </c>
      <c r="B9" s="9" t="n">
        <v>8</v>
      </c>
      <c r="C9" s="9" t="s">
        <v>18</v>
      </c>
      <c r="D9" s="9" t="n">
        <v>32</v>
      </c>
      <c r="E9" s="9" t="n">
        <v>402</v>
      </c>
      <c r="F9" s="9" t="n">
        <v>9</v>
      </c>
      <c r="G9" s="9" t="n">
        <v>8</v>
      </c>
      <c r="H9" s="9" t="n">
        <v>25</v>
      </c>
      <c r="I9" s="9" t="s">
        <v>553</v>
      </c>
      <c r="J9" s="9" t="s">
        <v>564</v>
      </c>
      <c r="K9" s="9" t="s">
        <v>555</v>
      </c>
    </row>
    <row r="10" customFormat="false" ht="15" hidden="false" customHeight="false" outlineLevel="0" collapsed="false">
      <c r="A10" s="9" t="s">
        <v>31</v>
      </c>
      <c r="B10" s="9" t="n">
        <v>9</v>
      </c>
      <c r="C10" s="9" t="s">
        <v>18</v>
      </c>
      <c r="D10" s="9" t="n">
        <v>168.5</v>
      </c>
      <c r="E10" s="9" t="n">
        <v>402</v>
      </c>
      <c r="F10" s="9" t="n">
        <v>9</v>
      </c>
      <c r="G10" s="9" t="n">
        <v>8</v>
      </c>
      <c r="H10" s="9" t="n">
        <v>25</v>
      </c>
      <c r="I10" s="9" t="s">
        <v>553</v>
      </c>
      <c r="J10" s="9" t="s">
        <v>565</v>
      </c>
      <c r="K10" s="9" t="s">
        <v>555</v>
      </c>
    </row>
    <row r="11" customFormat="false" ht="15" hidden="false" customHeight="false" outlineLevel="0" collapsed="false">
      <c r="A11" s="9" t="s">
        <v>31</v>
      </c>
      <c r="B11" s="9" t="n">
        <v>10</v>
      </c>
      <c r="C11" s="9" t="s">
        <v>18</v>
      </c>
      <c r="D11" s="9" t="n">
        <v>305</v>
      </c>
      <c r="E11" s="9" t="n">
        <v>402</v>
      </c>
      <c r="F11" s="9" t="n">
        <v>9</v>
      </c>
      <c r="G11" s="9" t="n">
        <v>8</v>
      </c>
      <c r="H11" s="9" t="n">
        <v>25</v>
      </c>
      <c r="I11" s="9" t="s">
        <v>553</v>
      </c>
      <c r="J11" s="9" t="s">
        <v>566</v>
      </c>
      <c r="K11" s="9" t="s">
        <v>555</v>
      </c>
    </row>
    <row r="12" customFormat="false" ht="15" hidden="false" customHeight="false" outlineLevel="0" collapsed="false">
      <c r="A12" s="9" t="s">
        <v>31</v>
      </c>
      <c r="B12" s="9" t="n">
        <v>11</v>
      </c>
      <c r="C12" s="9" t="s">
        <v>558</v>
      </c>
      <c r="D12" s="9" t="n">
        <v>305</v>
      </c>
      <c r="E12" s="9" t="n">
        <v>393</v>
      </c>
      <c r="F12" s="9" t="n">
        <v>0</v>
      </c>
      <c r="G12" s="9" t="n">
        <v>8</v>
      </c>
      <c r="H12" s="9" t="n">
        <v>13</v>
      </c>
      <c r="I12" s="9" t="s">
        <v>567</v>
      </c>
      <c r="J12" s="9" t="s">
        <v>568</v>
      </c>
      <c r="K12" s="9" t="s">
        <v>561</v>
      </c>
    </row>
    <row r="13" customFormat="false" ht="15" hidden="false" customHeight="false" outlineLevel="0" collapsed="false">
      <c r="A13" s="9" t="s">
        <v>31</v>
      </c>
      <c r="B13" s="9" t="n">
        <v>12</v>
      </c>
      <c r="C13" s="9" t="s">
        <v>558</v>
      </c>
      <c r="D13" s="9" t="n">
        <v>168.5</v>
      </c>
      <c r="E13" s="9" t="n">
        <v>393</v>
      </c>
      <c r="F13" s="9" t="n">
        <v>0</v>
      </c>
      <c r="G13" s="9" t="n">
        <v>8</v>
      </c>
      <c r="H13" s="9" t="n">
        <v>13</v>
      </c>
      <c r="I13" s="9" t="s">
        <v>567</v>
      </c>
      <c r="J13" s="9" t="s">
        <v>569</v>
      </c>
      <c r="K13" s="9" t="s">
        <v>561</v>
      </c>
    </row>
    <row r="14" customFormat="false" ht="15" hidden="false" customHeight="false" outlineLevel="0" collapsed="false">
      <c r="A14" s="9" t="s">
        <v>31</v>
      </c>
      <c r="B14" s="9" t="n">
        <v>13</v>
      </c>
      <c r="C14" s="9" t="s">
        <v>558</v>
      </c>
      <c r="D14" s="9" t="n">
        <v>32</v>
      </c>
      <c r="E14" s="9" t="n">
        <v>393</v>
      </c>
      <c r="F14" s="9" t="n">
        <v>0</v>
      </c>
      <c r="G14" s="9" t="n">
        <v>8</v>
      </c>
      <c r="H14" s="9" t="n">
        <v>13</v>
      </c>
      <c r="I14" s="9" t="s">
        <v>567</v>
      </c>
      <c r="J14" s="9" t="s">
        <v>570</v>
      </c>
      <c r="K14" s="9" t="s">
        <v>561</v>
      </c>
    </row>
    <row r="15" customFormat="false" ht="15" hidden="false" customHeight="false" outlineLevel="0" collapsed="false">
      <c r="A15" s="9" t="s">
        <v>31</v>
      </c>
      <c r="B15" s="9" t="n">
        <v>14</v>
      </c>
      <c r="C15" s="9" t="s">
        <v>558</v>
      </c>
      <c r="D15" s="9" t="n">
        <v>300</v>
      </c>
      <c r="E15" s="9" t="n">
        <v>35.5</v>
      </c>
      <c r="F15" s="9" t="n">
        <v>0</v>
      </c>
      <c r="G15" s="9" t="n">
        <v>2.5</v>
      </c>
      <c r="H15" s="9" t="n">
        <v>3</v>
      </c>
      <c r="I15" s="9" t="s">
        <v>571</v>
      </c>
      <c r="J15" s="9" t="s">
        <v>572</v>
      </c>
      <c r="K15" s="9" t="s">
        <v>561</v>
      </c>
    </row>
    <row r="16" customFormat="false" ht="15" hidden="false" customHeight="false" outlineLevel="0" collapsed="false">
      <c r="A16" s="9" t="s">
        <v>31</v>
      </c>
      <c r="B16" s="9" t="n">
        <v>15</v>
      </c>
      <c r="C16" s="9" t="s">
        <v>558</v>
      </c>
      <c r="D16" s="9" t="n">
        <v>172</v>
      </c>
      <c r="E16" s="9" t="n">
        <v>35.5</v>
      </c>
      <c r="F16" s="9" t="n">
        <v>0</v>
      </c>
      <c r="G16" s="9" t="n">
        <v>2.5</v>
      </c>
      <c r="H16" s="9" t="n">
        <v>3</v>
      </c>
      <c r="I16" s="9" t="s">
        <v>571</v>
      </c>
      <c r="J16" s="9" t="s">
        <v>573</v>
      </c>
      <c r="K16" s="9" t="s">
        <v>561</v>
      </c>
    </row>
    <row r="17" customFormat="false" ht="15" hidden="false" customHeight="false" outlineLevel="0" collapsed="false">
      <c r="A17" s="9" t="s">
        <v>31</v>
      </c>
      <c r="B17" s="9" t="n">
        <v>16</v>
      </c>
      <c r="C17" s="9" t="s">
        <v>558</v>
      </c>
      <c r="D17" s="9" t="n">
        <v>76</v>
      </c>
      <c r="E17" s="9" t="n">
        <v>35.5</v>
      </c>
      <c r="F17" s="9" t="n">
        <v>0</v>
      </c>
      <c r="G17" s="9" t="n">
        <v>2.5</v>
      </c>
      <c r="H17" s="9" t="n">
        <v>3</v>
      </c>
      <c r="I17" s="9" t="s">
        <v>571</v>
      </c>
      <c r="J17" s="9" t="s">
        <v>574</v>
      </c>
      <c r="K17" s="9" t="s">
        <v>561</v>
      </c>
    </row>
    <row r="18" customFormat="false" ht="15" hidden="false" customHeight="false" outlineLevel="0" collapsed="false">
      <c r="A18" s="9" t="s">
        <v>46</v>
      </c>
      <c r="B18" s="9" t="n">
        <v>1</v>
      </c>
      <c r="C18" s="9" t="s">
        <v>16</v>
      </c>
      <c r="D18" s="9" t="n">
        <v>32</v>
      </c>
      <c r="E18" s="9" t="n">
        <v>0</v>
      </c>
      <c r="F18" s="9" t="n">
        <v>9</v>
      </c>
      <c r="G18" s="9" t="n">
        <v>8</v>
      </c>
      <c r="H18" s="9" t="n">
        <v>25</v>
      </c>
      <c r="I18" s="9" t="s">
        <v>553</v>
      </c>
      <c r="J18" s="9" t="s">
        <v>575</v>
      </c>
      <c r="K18" s="9" t="s">
        <v>47</v>
      </c>
    </row>
    <row r="19" customFormat="false" ht="15" hidden="false" customHeight="false" outlineLevel="0" collapsed="false">
      <c r="A19" s="9" t="s">
        <v>46</v>
      </c>
      <c r="B19" s="9" t="n">
        <v>2</v>
      </c>
      <c r="C19" s="9" t="s">
        <v>16</v>
      </c>
      <c r="D19" s="9" t="n">
        <v>168.5</v>
      </c>
      <c r="E19" s="9" t="n">
        <v>0</v>
      </c>
      <c r="F19" s="9" t="n">
        <v>9</v>
      </c>
      <c r="G19" s="9" t="n">
        <v>8</v>
      </c>
      <c r="H19" s="9" t="n">
        <v>25</v>
      </c>
      <c r="I19" s="9" t="s">
        <v>553</v>
      </c>
      <c r="J19" s="9" t="s">
        <v>576</v>
      </c>
      <c r="K19" s="9" t="s">
        <v>47</v>
      </c>
    </row>
    <row r="20" customFormat="false" ht="15" hidden="false" customHeight="false" outlineLevel="0" collapsed="false">
      <c r="A20" s="9" t="s">
        <v>46</v>
      </c>
      <c r="B20" s="9" t="n">
        <v>3</v>
      </c>
      <c r="C20" s="9" t="s">
        <v>16</v>
      </c>
      <c r="D20" s="9" t="n">
        <v>305</v>
      </c>
      <c r="E20" s="9" t="n">
        <v>0</v>
      </c>
      <c r="F20" s="9" t="n">
        <v>9</v>
      </c>
      <c r="G20" s="9" t="n">
        <v>8</v>
      </c>
      <c r="H20" s="9" t="n">
        <v>25</v>
      </c>
      <c r="I20" s="9" t="s">
        <v>553</v>
      </c>
      <c r="J20" s="9" t="s">
        <v>577</v>
      </c>
      <c r="K20" s="9" t="s">
        <v>47</v>
      </c>
    </row>
    <row r="21" customFormat="false" ht="15" hidden="false" customHeight="false" outlineLevel="0" collapsed="false">
      <c r="A21" s="9" t="s">
        <v>46</v>
      </c>
      <c r="B21" s="9" t="n">
        <v>4</v>
      </c>
      <c r="C21" s="9" t="s">
        <v>578</v>
      </c>
      <c r="D21" s="9" t="n">
        <v>84.25</v>
      </c>
      <c r="E21" s="9" t="n">
        <v>24</v>
      </c>
      <c r="F21" s="9" t="n">
        <v>18</v>
      </c>
      <c r="G21" s="9" t="n">
        <v>15</v>
      </c>
      <c r="H21" s="9" t="n">
        <v>12.5</v>
      </c>
      <c r="I21" s="9" t="s">
        <v>559</v>
      </c>
      <c r="J21" s="9" t="s">
        <v>579</v>
      </c>
      <c r="K21" s="9" t="s">
        <v>47</v>
      </c>
    </row>
    <row r="22" customFormat="false" ht="15" hidden="false" customHeight="false" outlineLevel="0" collapsed="false">
      <c r="A22" s="9" t="s">
        <v>46</v>
      </c>
      <c r="B22" s="9" t="n">
        <v>5</v>
      </c>
      <c r="C22" s="9" t="s">
        <v>16</v>
      </c>
      <c r="D22" s="9" t="n">
        <v>84.25</v>
      </c>
      <c r="E22" s="9" t="n">
        <v>0</v>
      </c>
      <c r="F22" s="9" t="n">
        <v>9</v>
      </c>
      <c r="G22" s="9" t="n">
        <v>8</v>
      </c>
      <c r="H22" s="9" t="n">
        <v>25</v>
      </c>
      <c r="I22" s="9" t="s">
        <v>562</v>
      </c>
      <c r="J22" s="9" t="s">
        <v>579</v>
      </c>
      <c r="K22" s="9" t="s">
        <v>47</v>
      </c>
    </row>
    <row r="23" customFormat="false" ht="15" hidden="false" customHeight="false" outlineLevel="0" collapsed="false">
      <c r="A23" s="9" t="s">
        <v>46</v>
      </c>
      <c r="B23" s="9" t="n">
        <v>6</v>
      </c>
      <c r="C23" s="9" t="s">
        <v>578</v>
      </c>
      <c r="D23" s="9" t="n">
        <v>252.75</v>
      </c>
      <c r="E23" s="9" t="n">
        <v>24</v>
      </c>
      <c r="F23" s="9" t="n">
        <v>18</v>
      </c>
      <c r="G23" s="9" t="n">
        <v>15</v>
      </c>
      <c r="H23" s="9" t="n">
        <v>12.5</v>
      </c>
      <c r="I23" s="9" t="s">
        <v>559</v>
      </c>
      <c r="J23" s="9" t="s">
        <v>580</v>
      </c>
      <c r="K23" s="9" t="s">
        <v>47</v>
      </c>
    </row>
    <row r="24" customFormat="false" ht="15" hidden="false" customHeight="false" outlineLevel="0" collapsed="false">
      <c r="A24" s="9" t="s">
        <v>46</v>
      </c>
      <c r="B24" s="9" t="n">
        <v>7</v>
      </c>
      <c r="C24" s="9" t="s">
        <v>16</v>
      </c>
      <c r="D24" s="9" t="n">
        <v>252.75</v>
      </c>
      <c r="E24" s="9" t="n">
        <v>0</v>
      </c>
      <c r="F24" s="9" t="n">
        <v>9</v>
      </c>
      <c r="G24" s="9" t="n">
        <v>8</v>
      </c>
      <c r="H24" s="9" t="n">
        <v>25</v>
      </c>
      <c r="I24" s="9" t="s">
        <v>562</v>
      </c>
      <c r="J24" s="9" t="s">
        <v>580</v>
      </c>
      <c r="K24" s="9" t="s">
        <v>47</v>
      </c>
    </row>
    <row r="25" customFormat="false" ht="15" hidden="false" customHeight="false" outlineLevel="0" collapsed="false">
      <c r="A25" s="9" t="s">
        <v>46</v>
      </c>
      <c r="B25" s="9" t="n">
        <v>8</v>
      </c>
      <c r="C25" s="9" t="s">
        <v>18</v>
      </c>
      <c r="D25" s="9" t="n">
        <v>32</v>
      </c>
      <c r="E25" s="9" t="n">
        <v>402</v>
      </c>
      <c r="F25" s="9" t="n">
        <v>9</v>
      </c>
      <c r="G25" s="9" t="n">
        <v>8</v>
      </c>
      <c r="H25" s="9" t="n">
        <v>17.5</v>
      </c>
      <c r="I25" s="9" t="s">
        <v>553</v>
      </c>
      <c r="J25" s="9" t="s">
        <v>581</v>
      </c>
      <c r="K25" s="9" t="s">
        <v>47</v>
      </c>
    </row>
    <row r="26" customFormat="false" ht="15" hidden="false" customHeight="false" outlineLevel="0" collapsed="false">
      <c r="A26" s="9" t="s">
        <v>46</v>
      </c>
      <c r="B26" s="9" t="n">
        <v>9</v>
      </c>
      <c r="C26" s="9" t="s">
        <v>18</v>
      </c>
      <c r="D26" s="9" t="n">
        <v>168.5</v>
      </c>
      <c r="E26" s="9" t="n">
        <v>402</v>
      </c>
      <c r="F26" s="9" t="n">
        <v>9</v>
      </c>
      <c r="G26" s="9" t="n">
        <v>8</v>
      </c>
      <c r="H26" s="9" t="n">
        <v>17.5</v>
      </c>
      <c r="I26" s="9" t="s">
        <v>553</v>
      </c>
      <c r="J26" s="9" t="s">
        <v>582</v>
      </c>
      <c r="K26" s="9" t="s">
        <v>47</v>
      </c>
    </row>
    <row r="27" customFormat="false" ht="15" hidden="false" customHeight="false" outlineLevel="0" collapsed="false">
      <c r="A27" s="9" t="s">
        <v>46</v>
      </c>
      <c r="B27" s="9" t="n">
        <v>10</v>
      </c>
      <c r="C27" s="9" t="s">
        <v>18</v>
      </c>
      <c r="D27" s="9" t="n">
        <v>305</v>
      </c>
      <c r="E27" s="9" t="n">
        <v>402</v>
      </c>
      <c r="F27" s="9" t="n">
        <v>9</v>
      </c>
      <c r="G27" s="9" t="n">
        <v>8</v>
      </c>
      <c r="H27" s="9" t="n">
        <v>17.5</v>
      </c>
      <c r="I27" s="9" t="s">
        <v>553</v>
      </c>
      <c r="J27" s="9" t="s">
        <v>583</v>
      </c>
      <c r="K27" s="9" t="s">
        <v>47</v>
      </c>
    </row>
    <row r="28" customFormat="false" ht="15" hidden="false" customHeight="false" outlineLevel="0" collapsed="false">
      <c r="A28" s="9" t="s">
        <v>46</v>
      </c>
      <c r="B28" s="9" t="n">
        <v>11</v>
      </c>
      <c r="C28" s="9" t="s">
        <v>578</v>
      </c>
      <c r="D28" s="9" t="n">
        <v>305</v>
      </c>
      <c r="E28" s="9" t="n">
        <v>393</v>
      </c>
      <c r="F28" s="9" t="n">
        <v>18</v>
      </c>
      <c r="G28" s="9" t="n">
        <v>8</v>
      </c>
      <c r="H28" s="9" t="n">
        <v>13</v>
      </c>
      <c r="I28" s="9" t="s">
        <v>567</v>
      </c>
      <c r="J28" s="9" t="s">
        <v>584</v>
      </c>
      <c r="K28" s="9" t="s">
        <v>47</v>
      </c>
    </row>
    <row r="29" customFormat="false" ht="15" hidden="false" customHeight="false" outlineLevel="0" collapsed="false">
      <c r="A29" s="9" t="s">
        <v>46</v>
      </c>
      <c r="B29" s="9" t="n">
        <v>12</v>
      </c>
      <c r="C29" s="9" t="s">
        <v>578</v>
      </c>
      <c r="D29" s="9" t="n">
        <v>168.5</v>
      </c>
      <c r="E29" s="9" t="n">
        <v>393</v>
      </c>
      <c r="F29" s="9" t="n">
        <v>18</v>
      </c>
      <c r="G29" s="9" t="n">
        <v>8</v>
      </c>
      <c r="H29" s="9" t="n">
        <v>13</v>
      </c>
      <c r="I29" s="9" t="s">
        <v>567</v>
      </c>
      <c r="J29" s="9" t="s">
        <v>585</v>
      </c>
      <c r="K29" s="9" t="s">
        <v>47</v>
      </c>
    </row>
    <row r="30" customFormat="false" ht="15" hidden="false" customHeight="false" outlineLevel="0" collapsed="false">
      <c r="A30" s="9" t="s">
        <v>46</v>
      </c>
      <c r="B30" s="9" t="n">
        <v>13</v>
      </c>
      <c r="C30" s="9" t="s">
        <v>578</v>
      </c>
      <c r="D30" s="9" t="n">
        <v>32</v>
      </c>
      <c r="E30" s="9" t="n">
        <v>393</v>
      </c>
      <c r="F30" s="9" t="n">
        <v>18</v>
      </c>
      <c r="G30" s="9" t="n">
        <v>8</v>
      </c>
      <c r="H30" s="9" t="n">
        <v>13</v>
      </c>
      <c r="I30" s="9" t="s">
        <v>567</v>
      </c>
      <c r="J30" s="9" t="s">
        <v>586</v>
      </c>
      <c r="K30" s="9" t="s">
        <v>47</v>
      </c>
    </row>
    <row r="31" customFormat="false" ht="15" hidden="false" customHeight="false" outlineLevel="0" collapsed="false">
      <c r="A31" s="9" t="s">
        <v>46</v>
      </c>
      <c r="B31" s="9" t="n">
        <v>14</v>
      </c>
      <c r="C31" s="9" t="s">
        <v>578</v>
      </c>
      <c r="D31" s="9" t="n">
        <v>300</v>
      </c>
      <c r="E31" s="9" t="n">
        <v>35.5</v>
      </c>
      <c r="F31" s="9" t="n">
        <v>18</v>
      </c>
      <c r="G31" s="9" t="n">
        <v>2.5</v>
      </c>
      <c r="H31" s="9" t="n">
        <v>3</v>
      </c>
      <c r="I31" s="9" t="s">
        <v>571</v>
      </c>
      <c r="J31" s="9" t="s">
        <v>587</v>
      </c>
      <c r="K31" s="9" t="s">
        <v>47</v>
      </c>
    </row>
    <row r="32" customFormat="false" ht="15" hidden="false" customHeight="false" outlineLevel="0" collapsed="false">
      <c r="A32" s="9" t="s">
        <v>46</v>
      </c>
      <c r="B32" s="9" t="n">
        <v>15</v>
      </c>
      <c r="C32" s="9" t="s">
        <v>578</v>
      </c>
      <c r="D32" s="9" t="n">
        <v>172</v>
      </c>
      <c r="E32" s="9" t="n">
        <v>35.5</v>
      </c>
      <c r="F32" s="9" t="n">
        <v>18</v>
      </c>
      <c r="G32" s="9" t="n">
        <v>2.5</v>
      </c>
      <c r="H32" s="9" t="n">
        <v>3</v>
      </c>
      <c r="I32" s="9" t="s">
        <v>571</v>
      </c>
      <c r="J32" s="9" t="s">
        <v>588</v>
      </c>
      <c r="K32" s="9" t="s">
        <v>47</v>
      </c>
    </row>
    <row r="33" customFormat="false" ht="15" hidden="false" customHeight="false" outlineLevel="0" collapsed="false">
      <c r="A33" s="9" t="s">
        <v>46</v>
      </c>
      <c r="B33" s="9" t="n">
        <v>16</v>
      </c>
      <c r="C33" s="9" t="s">
        <v>578</v>
      </c>
      <c r="D33" s="9" t="n">
        <v>76</v>
      </c>
      <c r="E33" s="9" t="n">
        <v>35.5</v>
      </c>
      <c r="F33" s="9" t="n">
        <v>18</v>
      </c>
      <c r="G33" s="9" t="n">
        <v>2.5</v>
      </c>
      <c r="H33" s="9" t="n">
        <v>3</v>
      </c>
      <c r="I33" s="9" t="s">
        <v>571</v>
      </c>
      <c r="J33" s="9" t="s">
        <v>589</v>
      </c>
      <c r="K33" s="9" t="s">
        <v>47</v>
      </c>
    </row>
    <row r="34" customFormat="false" ht="15" hidden="false" customHeight="false" outlineLevel="0" collapsed="false">
      <c r="A34" s="9" t="s">
        <v>49</v>
      </c>
      <c r="B34" s="9" t="n">
        <v>1</v>
      </c>
      <c r="C34" s="9" t="s">
        <v>17</v>
      </c>
      <c r="D34" s="9" t="n">
        <v>399</v>
      </c>
      <c r="E34" s="9" t="n">
        <v>32</v>
      </c>
      <c r="F34" s="9" t="n">
        <v>9</v>
      </c>
      <c r="G34" s="9" t="n">
        <v>8</v>
      </c>
      <c r="H34" s="9" t="n">
        <v>25</v>
      </c>
      <c r="I34" s="9" t="s">
        <v>553</v>
      </c>
      <c r="J34" s="9" t="s">
        <v>584</v>
      </c>
      <c r="K34" s="9" t="s">
        <v>56</v>
      </c>
    </row>
    <row r="35" customFormat="false" ht="15" hidden="false" customHeight="false" outlineLevel="0" collapsed="false">
      <c r="A35" s="9" t="s">
        <v>49</v>
      </c>
      <c r="B35" s="9" t="n">
        <v>2</v>
      </c>
      <c r="C35" s="9" t="s">
        <v>17</v>
      </c>
      <c r="D35" s="9" t="n">
        <v>399</v>
      </c>
      <c r="E35" s="9" t="n">
        <v>168.5</v>
      </c>
      <c r="F35" s="9" t="n">
        <v>9</v>
      </c>
      <c r="G35" s="9" t="n">
        <v>8</v>
      </c>
      <c r="H35" s="9" t="n">
        <v>25</v>
      </c>
      <c r="I35" s="9" t="s">
        <v>553</v>
      </c>
      <c r="J35" s="9" t="s">
        <v>585</v>
      </c>
      <c r="K35" s="9" t="s">
        <v>56</v>
      </c>
    </row>
    <row r="36" customFormat="false" ht="15" hidden="false" customHeight="false" outlineLevel="0" collapsed="false">
      <c r="A36" s="9" t="s">
        <v>49</v>
      </c>
      <c r="B36" s="9" t="n">
        <v>3</v>
      </c>
      <c r="C36" s="9" t="s">
        <v>17</v>
      </c>
      <c r="D36" s="9" t="n">
        <v>399</v>
      </c>
      <c r="E36" s="9" t="n">
        <v>305</v>
      </c>
      <c r="F36" s="9" t="n">
        <v>9</v>
      </c>
      <c r="G36" s="9" t="n">
        <v>8</v>
      </c>
      <c r="H36" s="9" t="n">
        <v>25</v>
      </c>
      <c r="I36" s="9" t="s">
        <v>553</v>
      </c>
      <c r="J36" s="9" t="s">
        <v>586</v>
      </c>
      <c r="K36" s="9" t="s">
        <v>56</v>
      </c>
    </row>
    <row r="37" customFormat="false" ht="15" hidden="false" customHeight="false" outlineLevel="0" collapsed="false">
      <c r="A37" s="9" t="s">
        <v>49</v>
      </c>
      <c r="B37" s="9" t="n">
        <v>4</v>
      </c>
      <c r="C37" s="9" t="s">
        <v>19</v>
      </c>
      <c r="D37" s="9" t="n">
        <v>0</v>
      </c>
      <c r="E37" s="9" t="n">
        <v>32</v>
      </c>
      <c r="F37" s="9" t="n">
        <v>9</v>
      </c>
      <c r="G37" s="9" t="n">
        <v>8</v>
      </c>
      <c r="H37" s="9" t="n">
        <v>25</v>
      </c>
      <c r="I37" s="9" t="s">
        <v>553</v>
      </c>
      <c r="J37" s="9" t="s">
        <v>568</v>
      </c>
      <c r="K37" s="9" t="s">
        <v>56</v>
      </c>
    </row>
    <row r="38" customFormat="false" ht="15" hidden="false" customHeight="false" outlineLevel="0" collapsed="false">
      <c r="A38" s="9" t="s">
        <v>49</v>
      </c>
      <c r="B38" s="9" t="n">
        <v>5</v>
      </c>
      <c r="C38" s="9" t="s">
        <v>19</v>
      </c>
      <c r="D38" s="9" t="n">
        <v>0</v>
      </c>
      <c r="E38" s="9" t="n">
        <v>168.5</v>
      </c>
      <c r="F38" s="9" t="n">
        <v>9</v>
      </c>
      <c r="G38" s="9" t="n">
        <v>8</v>
      </c>
      <c r="H38" s="9" t="n">
        <v>25</v>
      </c>
      <c r="I38" s="9" t="s">
        <v>553</v>
      </c>
      <c r="J38" s="9" t="s">
        <v>569</v>
      </c>
      <c r="K38" s="9" t="s">
        <v>56</v>
      </c>
    </row>
    <row r="39" customFormat="false" ht="15" hidden="false" customHeight="false" outlineLevel="0" collapsed="false">
      <c r="A39" s="9" t="s">
        <v>49</v>
      </c>
      <c r="B39" s="9" t="n">
        <v>6</v>
      </c>
      <c r="C39" s="9" t="s">
        <v>19</v>
      </c>
      <c r="D39" s="9" t="n">
        <v>0</v>
      </c>
      <c r="E39" s="9" t="n">
        <v>305</v>
      </c>
      <c r="F39" s="9" t="n">
        <v>9</v>
      </c>
      <c r="G39" s="9" t="n">
        <v>8</v>
      </c>
      <c r="H39" s="9" t="n">
        <v>25</v>
      </c>
      <c r="I39" s="9" t="s">
        <v>553</v>
      </c>
      <c r="J39" s="9" t="s">
        <v>570</v>
      </c>
      <c r="K39" s="9" t="s">
        <v>56</v>
      </c>
    </row>
    <row r="40" customFormat="false" ht="15" hidden="false" customHeight="false" outlineLevel="0" collapsed="false">
      <c r="A40" s="9" t="s">
        <v>74</v>
      </c>
      <c r="B40" s="9" t="n">
        <v>1</v>
      </c>
      <c r="C40" s="9" t="s">
        <v>19</v>
      </c>
      <c r="D40" s="9" t="n">
        <v>0</v>
      </c>
      <c r="E40" s="9" t="n">
        <v>7</v>
      </c>
      <c r="F40" s="9" t="n">
        <v>4</v>
      </c>
      <c r="G40" s="9" t="n">
        <v>6</v>
      </c>
      <c r="H40" s="9" t="n">
        <v>10</v>
      </c>
      <c r="I40" s="9" t="s">
        <v>590</v>
      </c>
      <c r="J40" s="9" t="s">
        <v>591</v>
      </c>
      <c r="K40" s="9" t="s">
        <v>80</v>
      </c>
    </row>
    <row r="41" customFormat="false" ht="15" hidden="false" customHeight="false" outlineLevel="0" collapsed="false">
      <c r="A41" s="9" t="s">
        <v>83</v>
      </c>
      <c r="B41" s="9" t="n">
        <v>1</v>
      </c>
      <c r="C41" s="9" t="s">
        <v>19</v>
      </c>
      <c r="D41" s="9" t="n">
        <v>0</v>
      </c>
      <c r="E41" s="9" t="n">
        <v>7</v>
      </c>
      <c r="F41" s="9" t="n">
        <v>11</v>
      </c>
      <c r="G41" s="9" t="n">
        <v>6</v>
      </c>
      <c r="H41" s="9" t="n">
        <v>10</v>
      </c>
      <c r="I41" s="9" t="s">
        <v>590</v>
      </c>
      <c r="J41" s="9" t="s">
        <v>592</v>
      </c>
      <c r="K41" s="9" t="s">
        <v>84</v>
      </c>
    </row>
    <row r="42" customFormat="false" ht="15" hidden="false" customHeight="false" outlineLevel="0" collapsed="false">
      <c r="A42" s="9" t="s">
        <v>96</v>
      </c>
      <c r="B42" s="9" t="n">
        <v>1</v>
      </c>
      <c r="C42" s="9" t="s">
        <v>558</v>
      </c>
      <c r="D42" s="9" t="n">
        <v>305</v>
      </c>
      <c r="E42" s="9" t="n">
        <v>9</v>
      </c>
      <c r="F42" s="9" t="n">
        <v>0</v>
      </c>
      <c r="G42" s="9" t="n">
        <v>8</v>
      </c>
      <c r="H42" s="9" t="n">
        <v>13</v>
      </c>
      <c r="I42" s="9" t="s">
        <v>567</v>
      </c>
      <c r="J42" s="9" t="s">
        <v>593</v>
      </c>
      <c r="K42" s="9" t="s">
        <v>100</v>
      </c>
    </row>
    <row r="43" customFormat="false" ht="15" hidden="false" customHeight="false" outlineLevel="0" collapsed="false">
      <c r="A43" s="9" t="s">
        <v>96</v>
      </c>
      <c r="B43" s="9" t="n">
        <v>2</v>
      </c>
      <c r="C43" s="9" t="s">
        <v>558</v>
      </c>
      <c r="D43" s="9" t="n">
        <v>168.5</v>
      </c>
      <c r="E43" s="9" t="n">
        <v>9</v>
      </c>
      <c r="F43" s="9" t="n">
        <v>0</v>
      </c>
      <c r="G43" s="9" t="n">
        <v>8</v>
      </c>
      <c r="H43" s="9" t="n">
        <v>13</v>
      </c>
      <c r="I43" s="9" t="s">
        <v>567</v>
      </c>
      <c r="J43" s="9" t="s">
        <v>594</v>
      </c>
      <c r="K43" s="9" t="s">
        <v>100</v>
      </c>
    </row>
    <row r="44" customFormat="false" ht="15" hidden="false" customHeight="false" outlineLevel="0" collapsed="false">
      <c r="A44" s="9" t="s">
        <v>96</v>
      </c>
      <c r="B44" s="9" t="n">
        <v>3</v>
      </c>
      <c r="C44" s="9" t="s">
        <v>558</v>
      </c>
      <c r="D44" s="9" t="n">
        <v>32</v>
      </c>
      <c r="E44" s="9" t="n">
        <v>9</v>
      </c>
      <c r="F44" s="9" t="n">
        <v>0</v>
      </c>
      <c r="G44" s="9" t="n">
        <v>8</v>
      </c>
      <c r="H44" s="9" t="n">
        <v>13</v>
      </c>
      <c r="I44" s="9" t="s">
        <v>567</v>
      </c>
      <c r="J44" s="9" t="s">
        <v>595</v>
      </c>
      <c r="K44" s="9" t="s">
        <v>100</v>
      </c>
    </row>
    <row r="45" customFormat="false" ht="15" hidden="false" customHeight="false" outlineLevel="0" collapsed="false">
      <c r="A45" s="9" t="s">
        <v>96</v>
      </c>
      <c r="B45" s="9" t="n">
        <v>4</v>
      </c>
      <c r="C45" s="9" t="s">
        <v>558</v>
      </c>
      <c r="D45" s="9" t="n">
        <v>305</v>
      </c>
      <c r="E45" s="9" t="n">
        <v>411</v>
      </c>
      <c r="F45" s="9" t="n">
        <v>0</v>
      </c>
      <c r="G45" s="9" t="n">
        <v>8</v>
      </c>
      <c r="H45" s="9" t="n">
        <v>13</v>
      </c>
      <c r="I45" s="9" t="s">
        <v>567</v>
      </c>
      <c r="J45" s="9" t="s">
        <v>596</v>
      </c>
      <c r="K45" s="9" t="s">
        <v>100</v>
      </c>
    </row>
    <row r="46" customFormat="false" ht="15" hidden="false" customHeight="false" outlineLevel="0" collapsed="false">
      <c r="A46" s="9" t="s">
        <v>96</v>
      </c>
      <c r="B46" s="9" t="n">
        <v>5</v>
      </c>
      <c r="C46" s="9" t="s">
        <v>558</v>
      </c>
      <c r="D46" s="9" t="n">
        <v>168.5</v>
      </c>
      <c r="E46" s="9" t="n">
        <v>411</v>
      </c>
      <c r="F46" s="9" t="n">
        <v>0</v>
      </c>
      <c r="G46" s="9" t="n">
        <v>8</v>
      </c>
      <c r="H46" s="9" t="n">
        <v>13</v>
      </c>
      <c r="I46" s="9" t="s">
        <v>567</v>
      </c>
      <c r="J46" s="9" t="s">
        <v>597</v>
      </c>
      <c r="K46" s="9" t="s">
        <v>100</v>
      </c>
    </row>
    <row r="47" customFormat="false" ht="15" hidden="false" customHeight="false" outlineLevel="0" collapsed="false">
      <c r="A47" s="9" t="s">
        <v>96</v>
      </c>
      <c r="B47" s="9" t="n">
        <v>6</v>
      </c>
      <c r="C47" s="9" t="s">
        <v>558</v>
      </c>
      <c r="D47" s="9" t="n">
        <v>32</v>
      </c>
      <c r="E47" s="9" t="n">
        <v>411</v>
      </c>
      <c r="F47" s="9" t="n">
        <v>0</v>
      </c>
      <c r="G47" s="9" t="n">
        <v>8</v>
      </c>
      <c r="H47" s="9" t="n">
        <v>13</v>
      </c>
      <c r="I47" s="9" t="s">
        <v>567</v>
      </c>
      <c r="J47" s="9" t="s">
        <v>598</v>
      </c>
      <c r="K47" s="9" t="s">
        <v>100</v>
      </c>
    </row>
    <row r="48" customFormat="false" ht="15" hidden="false" customHeight="false" outlineLevel="0" collapsed="false">
      <c r="A48" s="9" t="s">
        <v>96</v>
      </c>
      <c r="B48" s="9" t="n">
        <v>7</v>
      </c>
      <c r="C48" s="9" t="s">
        <v>558</v>
      </c>
      <c r="D48" s="9" t="n">
        <v>300</v>
      </c>
      <c r="E48" s="9" t="n">
        <v>53.5</v>
      </c>
      <c r="F48" s="9" t="n">
        <v>0</v>
      </c>
      <c r="G48" s="9" t="n">
        <v>2.5</v>
      </c>
      <c r="H48" s="9" t="n">
        <v>3</v>
      </c>
      <c r="I48" s="9" t="s">
        <v>571</v>
      </c>
      <c r="J48" s="9" t="s">
        <v>599</v>
      </c>
      <c r="K48" s="9" t="s">
        <v>100</v>
      </c>
    </row>
    <row r="49" customFormat="false" ht="15" hidden="false" customHeight="false" outlineLevel="0" collapsed="false">
      <c r="A49" s="9" t="s">
        <v>96</v>
      </c>
      <c r="B49" s="9" t="n">
        <v>8</v>
      </c>
      <c r="C49" s="9" t="s">
        <v>558</v>
      </c>
      <c r="D49" s="9" t="n">
        <v>172</v>
      </c>
      <c r="E49" s="9" t="n">
        <v>53.5</v>
      </c>
      <c r="F49" s="9" t="n">
        <v>0</v>
      </c>
      <c r="G49" s="9" t="n">
        <v>2.5</v>
      </c>
      <c r="H49" s="9" t="n">
        <v>3</v>
      </c>
      <c r="I49" s="9" t="s">
        <v>571</v>
      </c>
      <c r="J49" s="9" t="s">
        <v>600</v>
      </c>
      <c r="K49" s="9" t="s">
        <v>100</v>
      </c>
    </row>
    <row r="50" customFormat="false" ht="15" hidden="false" customHeight="false" outlineLevel="0" collapsed="false">
      <c r="A50" s="9" t="s">
        <v>96</v>
      </c>
      <c r="B50" s="9" t="n">
        <v>9</v>
      </c>
      <c r="C50" s="9" t="s">
        <v>558</v>
      </c>
      <c r="D50" s="9" t="n">
        <v>76</v>
      </c>
      <c r="E50" s="9" t="n">
        <v>53.5</v>
      </c>
      <c r="F50" s="9" t="n">
        <v>0</v>
      </c>
      <c r="G50" s="9" t="n">
        <v>2.5</v>
      </c>
      <c r="H50" s="9" t="n">
        <v>3</v>
      </c>
      <c r="I50" s="9" t="s">
        <v>571</v>
      </c>
      <c r="J50" s="9" t="s">
        <v>601</v>
      </c>
      <c r="K50" s="9" t="s">
        <v>100</v>
      </c>
    </row>
    <row r="51" customFormat="false" ht="15" hidden="false" customHeight="false" outlineLevel="0" collapsed="false">
      <c r="A51" s="9" t="s">
        <v>103</v>
      </c>
      <c r="B51" s="9" t="n">
        <v>1</v>
      </c>
      <c r="C51" s="9" t="s">
        <v>578</v>
      </c>
      <c r="D51" s="9" t="n">
        <v>305</v>
      </c>
      <c r="E51" s="9" t="n">
        <v>9</v>
      </c>
      <c r="F51" s="9" t="n">
        <v>18</v>
      </c>
      <c r="G51" s="9" t="n">
        <v>8</v>
      </c>
      <c r="H51" s="9" t="n">
        <v>13</v>
      </c>
      <c r="I51" s="9" t="s">
        <v>567</v>
      </c>
      <c r="J51" s="9" t="s">
        <v>602</v>
      </c>
      <c r="K51" s="9" t="s">
        <v>104</v>
      </c>
    </row>
    <row r="52" customFormat="false" ht="15" hidden="false" customHeight="false" outlineLevel="0" collapsed="false">
      <c r="A52" s="9" t="s">
        <v>103</v>
      </c>
      <c r="B52" s="9" t="n">
        <v>2</v>
      </c>
      <c r="C52" s="9" t="s">
        <v>578</v>
      </c>
      <c r="D52" s="9" t="n">
        <v>168.5</v>
      </c>
      <c r="E52" s="9" t="n">
        <v>9</v>
      </c>
      <c r="F52" s="9" t="n">
        <v>18</v>
      </c>
      <c r="G52" s="9" t="n">
        <v>8</v>
      </c>
      <c r="H52" s="9" t="n">
        <v>13</v>
      </c>
      <c r="I52" s="9" t="s">
        <v>567</v>
      </c>
      <c r="J52" s="9" t="s">
        <v>603</v>
      </c>
      <c r="K52" s="9" t="s">
        <v>104</v>
      </c>
    </row>
    <row r="53" customFormat="false" ht="15" hidden="false" customHeight="false" outlineLevel="0" collapsed="false">
      <c r="A53" s="9" t="s">
        <v>103</v>
      </c>
      <c r="B53" s="9" t="n">
        <v>3</v>
      </c>
      <c r="C53" s="9" t="s">
        <v>578</v>
      </c>
      <c r="D53" s="9" t="n">
        <v>32</v>
      </c>
      <c r="E53" s="9" t="n">
        <v>9</v>
      </c>
      <c r="F53" s="9" t="n">
        <v>18</v>
      </c>
      <c r="G53" s="9" t="n">
        <v>8</v>
      </c>
      <c r="H53" s="9" t="n">
        <v>13</v>
      </c>
      <c r="I53" s="9" t="s">
        <v>567</v>
      </c>
      <c r="J53" s="9" t="s">
        <v>604</v>
      </c>
      <c r="K53" s="9" t="s">
        <v>104</v>
      </c>
    </row>
    <row r="54" customFormat="false" ht="15" hidden="false" customHeight="false" outlineLevel="0" collapsed="false">
      <c r="A54" s="9" t="s">
        <v>103</v>
      </c>
      <c r="B54" s="9" t="n">
        <v>4</v>
      </c>
      <c r="C54" s="9" t="s">
        <v>578</v>
      </c>
      <c r="D54" s="9" t="n">
        <v>305</v>
      </c>
      <c r="E54" s="9" t="n">
        <v>411</v>
      </c>
      <c r="F54" s="9" t="n">
        <v>18</v>
      </c>
      <c r="G54" s="9" t="n">
        <v>8</v>
      </c>
      <c r="H54" s="9" t="n">
        <v>13</v>
      </c>
      <c r="I54" s="9" t="s">
        <v>567</v>
      </c>
      <c r="J54" s="9" t="s">
        <v>605</v>
      </c>
      <c r="K54" s="9" t="s">
        <v>104</v>
      </c>
    </row>
    <row r="55" customFormat="false" ht="15" hidden="false" customHeight="false" outlineLevel="0" collapsed="false">
      <c r="A55" s="9" t="s">
        <v>103</v>
      </c>
      <c r="B55" s="9" t="n">
        <v>5</v>
      </c>
      <c r="C55" s="9" t="s">
        <v>578</v>
      </c>
      <c r="D55" s="9" t="n">
        <v>168.5</v>
      </c>
      <c r="E55" s="9" t="n">
        <v>411</v>
      </c>
      <c r="F55" s="9" t="n">
        <v>18</v>
      </c>
      <c r="G55" s="9" t="n">
        <v>8</v>
      </c>
      <c r="H55" s="9" t="n">
        <v>13</v>
      </c>
      <c r="I55" s="9" t="s">
        <v>567</v>
      </c>
      <c r="J55" s="9" t="s">
        <v>606</v>
      </c>
      <c r="K55" s="9" t="s">
        <v>104</v>
      </c>
    </row>
    <row r="56" customFormat="false" ht="15" hidden="false" customHeight="false" outlineLevel="0" collapsed="false">
      <c r="A56" s="9" t="s">
        <v>103</v>
      </c>
      <c r="B56" s="9" t="n">
        <v>6</v>
      </c>
      <c r="C56" s="9" t="s">
        <v>578</v>
      </c>
      <c r="D56" s="9" t="n">
        <v>32</v>
      </c>
      <c r="E56" s="9" t="n">
        <v>411</v>
      </c>
      <c r="F56" s="9" t="n">
        <v>18</v>
      </c>
      <c r="G56" s="9" t="n">
        <v>8</v>
      </c>
      <c r="H56" s="9" t="n">
        <v>13</v>
      </c>
      <c r="I56" s="9" t="s">
        <v>567</v>
      </c>
      <c r="J56" s="9" t="s">
        <v>607</v>
      </c>
      <c r="K56" s="9" t="s">
        <v>104</v>
      </c>
    </row>
    <row r="57" customFormat="false" ht="15" hidden="false" customHeight="false" outlineLevel="0" collapsed="false">
      <c r="A57" s="9" t="s">
        <v>103</v>
      </c>
      <c r="B57" s="9" t="n">
        <v>7</v>
      </c>
      <c r="C57" s="9" t="s">
        <v>578</v>
      </c>
      <c r="D57" s="9" t="n">
        <v>300</v>
      </c>
      <c r="E57" s="9" t="n">
        <v>53.5</v>
      </c>
      <c r="F57" s="9" t="n">
        <v>18</v>
      </c>
      <c r="G57" s="9" t="n">
        <v>2.5</v>
      </c>
      <c r="H57" s="9" t="n">
        <v>3</v>
      </c>
      <c r="I57" s="9" t="s">
        <v>571</v>
      </c>
      <c r="J57" s="9" t="s">
        <v>608</v>
      </c>
      <c r="K57" s="9" t="s">
        <v>104</v>
      </c>
    </row>
    <row r="58" customFormat="false" ht="15" hidden="false" customHeight="false" outlineLevel="0" collapsed="false">
      <c r="A58" s="9" t="s">
        <v>103</v>
      </c>
      <c r="B58" s="9" t="n">
        <v>8</v>
      </c>
      <c r="C58" s="9" t="s">
        <v>578</v>
      </c>
      <c r="D58" s="9" t="n">
        <v>172</v>
      </c>
      <c r="E58" s="9" t="n">
        <v>53.5</v>
      </c>
      <c r="F58" s="9" t="n">
        <v>18</v>
      </c>
      <c r="G58" s="9" t="n">
        <v>2.5</v>
      </c>
      <c r="H58" s="9" t="n">
        <v>3</v>
      </c>
      <c r="I58" s="9" t="s">
        <v>571</v>
      </c>
      <c r="J58" s="9" t="s">
        <v>609</v>
      </c>
      <c r="K58" s="9" t="s">
        <v>104</v>
      </c>
    </row>
    <row r="59" customFormat="false" ht="15" hidden="false" customHeight="false" outlineLevel="0" collapsed="false">
      <c r="A59" s="9" t="s">
        <v>103</v>
      </c>
      <c r="B59" s="9" t="n">
        <v>9</v>
      </c>
      <c r="C59" s="9" t="s">
        <v>578</v>
      </c>
      <c r="D59" s="9" t="n">
        <v>76</v>
      </c>
      <c r="E59" s="9" t="n">
        <v>53.5</v>
      </c>
      <c r="F59" s="9" t="n">
        <v>18</v>
      </c>
      <c r="G59" s="9" t="n">
        <v>2.5</v>
      </c>
      <c r="H59" s="9" t="n">
        <v>3</v>
      </c>
      <c r="I59" s="9" t="s">
        <v>571</v>
      </c>
      <c r="J59" s="9" t="s">
        <v>610</v>
      </c>
      <c r="K59" s="9" t="s">
        <v>104</v>
      </c>
    </row>
    <row r="60" customFormat="false" ht="15" hidden="false" customHeight="false" outlineLevel="0" collapsed="false">
      <c r="A60" s="9" t="s">
        <v>106</v>
      </c>
      <c r="B60" s="9" t="n">
        <v>1</v>
      </c>
      <c r="C60" s="9" t="s">
        <v>17</v>
      </c>
      <c r="D60" s="9" t="n">
        <v>389</v>
      </c>
      <c r="E60" s="9" t="n">
        <v>32</v>
      </c>
      <c r="F60" s="9" t="n">
        <v>9</v>
      </c>
      <c r="G60" s="9" t="n">
        <v>8</v>
      </c>
      <c r="H60" s="9" t="n">
        <v>25</v>
      </c>
      <c r="I60" s="9" t="s">
        <v>553</v>
      </c>
      <c r="J60" s="9" t="s">
        <v>602</v>
      </c>
      <c r="K60" s="9" t="s">
        <v>108</v>
      </c>
    </row>
    <row r="61" customFormat="false" ht="15" hidden="false" customHeight="false" outlineLevel="0" collapsed="false">
      <c r="A61" s="9" t="s">
        <v>106</v>
      </c>
      <c r="B61" s="9" t="n">
        <v>2</v>
      </c>
      <c r="C61" s="9" t="s">
        <v>17</v>
      </c>
      <c r="D61" s="9" t="n">
        <v>389</v>
      </c>
      <c r="E61" s="9" t="n">
        <v>168.5</v>
      </c>
      <c r="F61" s="9" t="n">
        <v>9</v>
      </c>
      <c r="G61" s="9" t="n">
        <v>8</v>
      </c>
      <c r="H61" s="9" t="n">
        <v>25</v>
      </c>
      <c r="I61" s="9" t="s">
        <v>553</v>
      </c>
      <c r="J61" s="9" t="s">
        <v>603</v>
      </c>
      <c r="K61" s="9" t="s">
        <v>108</v>
      </c>
    </row>
    <row r="62" customFormat="false" ht="15" hidden="false" customHeight="false" outlineLevel="0" collapsed="false">
      <c r="A62" s="9" t="s">
        <v>106</v>
      </c>
      <c r="B62" s="9" t="n">
        <v>3</v>
      </c>
      <c r="C62" s="9" t="s">
        <v>17</v>
      </c>
      <c r="D62" s="9" t="n">
        <v>389</v>
      </c>
      <c r="E62" s="9" t="n">
        <v>305</v>
      </c>
      <c r="F62" s="9" t="n">
        <v>9</v>
      </c>
      <c r="G62" s="9" t="n">
        <v>8</v>
      </c>
      <c r="H62" s="9" t="n">
        <v>25</v>
      </c>
      <c r="I62" s="9" t="s">
        <v>553</v>
      </c>
      <c r="J62" s="9" t="s">
        <v>604</v>
      </c>
      <c r="K62" s="9" t="s">
        <v>108</v>
      </c>
    </row>
    <row r="63" customFormat="false" ht="15" hidden="false" customHeight="false" outlineLevel="0" collapsed="false">
      <c r="A63" s="9" t="s">
        <v>106</v>
      </c>
      <c r="B63" s="9" t="n">
        <v>4</v>
      </c>
      <c r="C63" s="9" t="s">
        <v>19</v>
      </c>
      <c r="D63" s="9" t="n">
        <v>0</v>
      </c>
      <c r="E63" s="9" t="n">
        <v>32</v>
      </c>
      <c r="F63" s="9" t="n">
        <v>9</v>
      </c>
      <c r="G63" s="9" t="n">
        <v>8</v>
      </c>
      <c r="H63" s="9" t="n">
        <v>25</v>
      </c>
      <c r="I63" s="9" t="s">
        <v>553</v>
      </c>
      <c r="J63" s="9" t="s">
        <v>593</v>
      </c>
      <c r="K63" s="9" t="s">
        <v>108</v>
      </c>
    </row>
    <row r="64" customFormat="false" ht="15" hidden="false" customHeight="false" outlineLevel="0" collapsed="false">
      <c r="A64" s="9" t="s">
        <v>106</v>
      </c>
      <c r="B64" s="9" t="n">
        <v>5</v>
      </c>
      <c r="C64" s="9" t="s">
        <v>19</v>
      </c>
      <c r="D64" s="9" t="n">
        <v>0</v>
      </c>
      <c r="E64" s="9" t="n">
        <v>168.5</v>
      </c>
      <c r="F64" s="9" t="n">
        <v>9</v>
      </c>
      <c r="G64" s="9" t="n">
        <v>8</v>
      </c>
      <c r="H64" s="9" t="n">
        <v>25</v>
      </c>
      <c r="I64" s="9" t="s">
        <v>553</v>
      </c>
      <c r="J64" s="9" t="s">
        <v>594</v>
      </c>
      <c r="K64" s="9" t="s">
        <v>108</v>
      </c>
    </row>
    <row r="65" customFormat="false" ht="15" hidden="false" customHeight="false" outlineLevel="0" collapsed="false">
      <c r="A65" s="9" t="s">
        <v>106</v>
      </c>
      <c r="B65" s="9" t="n">
        <v>6</v>
      </c>
      <c r="C65" s="9" t="s">
        <v>19</v>
      </c>
      <c r="D65" s="9" t="n">
        <v>0</v>
      </c>
      <c r="E65" s="9" t="n">
        <v>305</v>
      </c>
      <c r="F65" s="9" t="n">
        <v>9</v>
      </c>
      <c r="G65" s="9" t="n">
        <v>8</v>
      </c>
      <c r="H65" s="9" t="n">
        <v>25</v>
      </c>
      <c r="I65" s="9" t="s">
        <v>553</v>
      </c>
      <c r="J65" s="9" t="s">
        <v>595</v>
      </c>
      <c r="K65" s="9" t="s">
        <v>108</v>
      </c>
    </row>
    <row r="66" customFormat="false" ht="15" hidden="false" customHeight="false" outlineLevel="0" collapsed="false">
      <c r="A66" s="9" t="s">
        <v>111</v>
      </c>
      <c r="B66" s="9" t="n">
        <v>1</v>
      </c>
      <c r="C66" s="9" t="s">
        <v>17</v>
      </c>
      <c r="D66" s="9" t="n">
        <v>389</v>
      </c>
      <c r="E66" s="9" t="n">
        <v>32</v>
      </c>
      <c r="F66" s="9" t="n">
        <v>9</v>
      </c>
      <c r="G66" s="9" t="n">
        <v>8</v>
      </c>
      <c r="H66" s="9" t="n">
        <v>25</v>
      </c>
      <c r="I66" s="9" t="s">
        <v>553</v>
      </c>
      <c r="J66" s="9" t="s">
        <v>605</v>
      </c>
      <c r="K66" s="9" t="s">
        <v>112</v>
      </c>
    </row>
    <row r="67" customFormat="false" ht="15" hidden="false" customHeight="false" outlineLevel="0" collapsed="false">
      <c r="A67" s="9" t="s">
        <v>111</v>
      </c>
      <c r="B67" s="9" t="n">
        <v>2</v>
      </c>
      <c r="C67" s="9" t="s">
        <v>17</v>
      </c>
      <c r="D67" s="9" t="n">
        <v>389</v>
      </c>
      <c r="E67" s="9" t="n">
        <v>168.5</v>
      </c>
      <c r="F67" s="9" t="n">
        <v>9</v>
      </c>
      <c r="G67" s="9" t="n">
        <v>8</v>
      </c>
      <c r="H67" s="9" t="n">
        <v>25</v>
      </c>
      <c r="I67" s="9" t="s">
        <v>553</v>
      </c>
      <c r="J67" s="9" t="s">
        <v>606</v>
      </c>
      <c r="K67" s="9" t="s">
        <v>112</v>
      </c>
    </row>
    <row r="68" customFormat="false" ht="15" hidden="false" customHeight="false" outlineLevel="0" collapsed="false">
      <c r="A68" s="9" t="s">
        <v>111</v>
      </c>
      <c r="B68" s="9" t="n">
        <v>3</v>
      </c>
      <c r="C68" s="9" t="s">
        <v>17</v>
      </c>
      <c r="D68" s="9" t="n">
        <v>389</v>
      </c>
      <c r="E68" s="9" t="n">
        <v>305</v>
      </c>
      <c r="F68" s="9" t="n">
        <v>9</v>
      </c>
      <c r="G68" s="9" t="n">
        <v>8</v>
      </c>
      <c r="H68" s="9" t="n">
        <v>25</v>
      </c>
      <c r="I68" s="9" t="s">
        <v>553</v>
      </c>
      <c r="J68" s="9" t="s">
        <v>607</v>
      </c>
      <c r="K68" s="9" t="s">
        <v>112</v>
      </c>
    </row>
    <row r="69" customFormat="false" ht="15" hidden="false" customHeight="false" outlineLevel="0" collapsed="false">
      <c r="A69" s="9" t="s">
        <v>111</v>
      </c>
      <c r="B69" s="9" t="n">
        <v>4</v>
      </c>
      <c r="C69" s="9" t="s">
        <v>19</v>
      </c>
      <c r="D69" s="9" t="n">
        <v>0</v>
      </c>
      <c r="E69" s="9" t="n">
        <v>32</v>
      </c>
      <c r="F69" s="9" t="n">
        <v>9</v>
      </c>
      <c r="G69" s="9" t="n">
        <v>8</v>
      </c>
      <c r="H69" s="9" t="n">
        <v>25</v>
      </c>
      <c r="I69" s="9" t="s">
        <v>553</v>
      </c>
      <c r="J69" s="9" t="s">
        <v>596</v>
      </c>
      <c r="K69" s="9" t="s">
        <v>112</v>
      </c>
    </row>
    <row r="70" customFormat="false" ht="15" hidden="false" customHeight="false" outlineLevel="0" collapsed="false">
      <c r="A70" s="9" t="s">
        <v>111</v>
      </c>
      <c r="B70" s="9" t="n">
        <v>5</v>
      </c>
      <c r="C70" s="9" t="s">
        <v>19</v>
      </c>
      <c r="D70" s="9" t="n">
        <v>0</v>
      </c>
      <c r="E70" s="9" t="n">
        <v>168.5</v>
      </c>
      <c r="F70" s="9" t="n">
        <v>9</v>
      </c>
      <c r="G70" s="9" t="n">
        <v>8</v>
      </c>
      <c r="H70" s="9" t="n">
        <v>25</v>
      </c>
      <c r="I70" s="9" t="s">
        <v>553</v>
      </c>
      <c r="J70" s="9" t="s">
        <v>597</v>
      </c>
      <c r="K70" s="9" t="s">
        <v>112</v>
      </c>
    </row>
    <row r="71" customFormat="false" ht="15" hidden="false" customHeight="false" outlineLevel="0" collapsed="false">
      <c r="A71" s="9" t="s">
        <v>111</v>
      </c>
      <c r="B71" s="9" t="n">
        <v>6</v>
      </c>
      <c r="C71" s="9" t="s">
        <v>19</v>
      </c>
      <c r="D71" s="9" t="n">
        <v>0</v>
      </c>
      <c r="E71" s="9" t="n">
        <v>305</v>
      </c>
      <c r="F71" s="9" t="n">
        <v>9</v>
      </c>
      <c r="G71" s="9" t="n">
        <v>8</v>
      </c>
      <c r="H71" s="9" t="n">
        <v>25</v>
      </c>
      <c r="I71" s="9" t="s">
        <v>553</v>
      </c>
      <c r="J71" s="9" t="s">
        <v>598</v>
      </c>
      <c r="K71" s="9" t="s">
        <v>112</v>
      </c>
    </row>
    <row r="72" customFormat="false" ht="15" hidden="false" customHeight="false" outlineLevel="0" collapsed="false">
      <c r="A72" s="9" t="s">
        <v>120</v>
      </c>
      <c r="B72" s="9" t="n">
        <v>1</v>
      </c>
      <c r="C72" s="9" t="s">
        <v>19</v>
      </c>
      <c r="D72" s="9" t="n">
        <v>0</v>
      </c>
      <c r="E72" s="9" t="n">
        <v>7</v>
      </c>
      <c r="F72" s="9" t="n">
        <v>4</v>
      </c>
      <c r="G72" s="9" t="n">
        <v>6</v>
      </c>
      <c r="H72" s="9" t="n">
        <v>10</v>
      </c>
      <c r="I72" s="9" t="s">
        <v>590</v>
      </c>
      <c r="J72" s="9" t="s">
        <v>611</v>
      </c>
      <c r="K72" s="9" t="s">
        <v>122</v>
      </c>
    </row>
    <row r="73" customFormat="false" ht="15" hidden="false" customHeight="false" outlineLevel="0" collapsed="false">
      <c r="A73" s="9" t="s">
        <v>124</v>
      </c>
      <c r="B73" s="9" t="n">
        <v>1</v>
      </c>
      <c r="C73" s="9" t="s">
        <v>19</v>
      </c>
      <c r="D73" s="9" t="n">
        <v>0</v>
      </c>
      <c r="E73" s="9" t="n">
        <v>7</v>
      </c>
      <c r="F73" s="9" t="n">
        <v>11</v>
      </c>
      <c r="G73" s="9" t="n">
        <v>6</v>
      </c>
      <c r="H73" s="9" t="n">
        <v>10</v>
      </c>
      <c r="I73" s="9" t="s">
        <v>590</v>
      </c>
      <c r="J73" s="9" t="s">
        <v>612</v>
      </c>
      <c r="K73" s="9" t="s">
        <v>125</v>
      </c>
    </row>
    <row r="74" customFormat="false" ht="15" hidden="false" customHeight="false" outlineLevel="0" collapsed="false">
      <c r="A74" s="9" t="s">
        <v>135</v>
      </c>
      <c r="B74" s="9" t="n">
        <v>1</v>
      </c>
      <c r="C74" s="9" t="s">
        <v>558</v>
      </c>
      <c r="D74" s="9" t="n">
        <v>305</v>
      </c>
      <c r="E74" s="9" t="n">
        <v>9</v>
      </c>
      <c r="F74" s="9" t="n">
        <v>0</v>
      </c>
      <c r="G74" s="9" t="n">
        <v>8</v>
      </c>
      <c r="H74" s="9" t="n">
        <v>13</v>
      </c>
      <c r="I74" s="9" t="s">
        <v>567</v>
      </c>
      <c r="J74" s="9" t="s">
        <v>613</v>
      </c>
      <c r="K74" s="9" t="s">
        <v>138</v>
      </c>
    </row>
    <row r="75" customFormat="false" ht="15" hidden="false" customHeight="false" outlineLevel="0" collapsed="false">
      <c r="A75" s="9" t="s">
        <v>135</v>
      </c>
      <c r="B75" s="9" t="n">
        <v>2</v>
      </c>
      <c r="C75" s="9" t="s">
        <v>558</v>
      </c>
      <c r="D75" s="9" t="n">
        <v>168.5</v>
      </c>
      <c r="E75" s="9" t="n">
        <v>9</v>
      </c>
      <c r="F75" s="9" t="n">
        <v>0</v>
      </c>
      <c r="G75" s="9" t="n">
        <v>8</v>
      </c>
      <c r="H75" s="9" t="n">
        <v>13</v>
      </c>
      <c r="I75" s="9" t="s">
        <v>567</v>
      </c>
      <c r="J75" s="9" t="s">
        <v>614</v>
      </c>
      <c r="K75" s="9" t="s">
        <v>138</v>
      </c>
    </row>
    <row r="76" customFormat="false" ht="15" hidden="false" customHeight="false" outlineLevel="0" collapsed="false">
      <c r="A76" s="9" t="s">
        <v>135</v>
      </c>
      <c r="B76" s="9" t="n">
        <v>3</v>
      </c>
      <c r="C76" s="9" t="s">
        <v>558</v>
      </c>
      <c r="D76" s="9" t="n">
        <v>32</v>
      </c>
      <c r="E76" s="9" t="n">
        <v>9</v>
      </c>
      <c r="F76" s="9" t="n">
        <v>0</v>
      </c>
      <c r="G76" s="9" t="n">
        <v>8</v>
      </c>
      <c r="H76" s="9" t="n">
        <v>13</v>
      </c>
      <c r="I76" s="9" t="s">
        <v>567</v>
      </c>
      <c r="J76" s="9" t="s">
        <v>615</v>
      </c>
      <c r="K76" s="9" t="s">
        <v>138</v>
      </c>
    </row>
    <row r="77" customFormat="false" ht="15" hidden="false" customHeight="false" outlineLevel="0" collapsed="false">
      <c r="A77" s="9" t="s">
        <v>135</v>
      </c>
      <c r="B77" s="9" t="n">
        <v>4</v>
      </c>
      <c r="C77" s="9" t="s">
        <v>558</v>
      </c>
      <c r="D77" s="9" t="n">
        <v>305</v>
      </c>
      <c r="E77" s="9" t="n">
        <v>411</v>
      </c>
      <c r="F77" s="9" t="n">
        <v>0</v>
      </c>
      <c r="G77" s="9" t="n">
        <v>8</v>
      </c>
      <c r="H77" s="9" t="n">
        <v>13</v>
      </c>
      <c r="I77" s="9" t="s">
        <v>567</v>
      </c>
      <c r="J77" s="9" t="s">
        <v>616</v>
      </c>
      <c r="K77" s="9" t="s">
        <v>138</v>
      </c>
    </row>
    <row r="78" customFormat="false" ht="15" hidden="false" customHeight="false" outlineLevel="0" collapsed="false">
      <c r="A78" s="9" t="s">
        <v>135</v>
      </c>
      <c r="B78" s="9" t="n">
        <v>5</v>
      </c>
      <c r="C78" s="9" t="s">
        <v>558</v>
      </c>
      <c r="D78" s="9" t="n">
        <v>168.5</v>
      </c>
      <c r="E78" s="9" t="n">
        <v>411</v>
      </c>
      <c r="F78" s="9" t="n">
        <v>0</v>
      </c>
      <c r="G78" s="9" t="n">
        <v>8</v>
      </c>
      <c r="H78" s="9" t="n">
        <v>13</v>
      </c>
      <c r="I78" s="9" t="s">
        <v>567</v>
      </c>
      <c r="J78" s="9" t="s">
        <v>617</v>
      </c>
      <c r="K78" s="9" t="s">
        <v>138</v>
      </c>
    </row>
    <row r="79" customFormat="false" ht="15" hidden="false" customHeight="false" outlineLevel="0" collapsed="false">
      <c r="A79" s="9" t="s">
        <v>135</v>
      </c>
      <c r="B79" s="9" t="n">
        <v>6</v>
      </c>
      <c r="C79" s="9" t="s">
        <v>558</v>
      </c>
      <c r="D79" s="9" t="n">
        <v>32</v>
      </c>
      <c r="E79" s="9" t="n">
        <v>411</v>
      </c>
      <c r="F79" s="9" t="n">
        <v>0</v>
      </c>
      <c r="G79" s="9" t="n">
        <v>8</v>
      </c>
      <c r="H79" s="9" t="n">
        <v>13</v>
      </c>
      <c r="I79" s="9" t="s">
        <v>567</v>
      </c>
      <c r="J79" s="9" t="s">
        <v>618</v>
      </c>
      <c r="K79" s="9" t="s">
        <v>138</v>
      </c>
    </row>
    <row r="80" customFormat="false" ht="15" hidden="false" customHeight="false" outlineLevel="0" collapsed="false">
      <c r="A80" s="9" t="s">
        <v>135</v>
      </c>
      <c r="B80" s="9" t="n">
        <v>7</v>
      </c>
      <c r="C80" s="9" t="s">
        <v>558</v>
      </c>
      <c r="D80" s="9" t="n">
        <v>300</v>
      </c>
      <c r="E80" s="9" t="n">
        <v>53.5</v>
      </c>
      <c r="F80" s="9" t="n">
        <v>0</v>
      </c>
      <c r="G80" s="9" t="n">
        <v>2.5</v>
      </c>
      <c r="H80" s="9" t="n">
        <v>3</v>
      </c>
      <c r="I80" s="9" t="s">
        <v>571</v>
      </c>
      <c r="J80" s="9" t="s">
        <v>619</v>
      </c>
      <c r="K80" s="9" t="s">
        <v>138</v>
      </c>
    </row>
    <row r="81" customFormat="false" ht="15" hidden="false" customHeight="false" outlineLevel="0" collapsed="false">
      <c r="A81" s="9" t="s">
        <v>135</v>
      </c>
      <c r="B81" s="9" t="n">
        <v>8</v>
      </c>
      <c r="C81" s="9" t="s">
        <v>558</v>
      </c>
      <c r="D81" s="9" t="n">
        <v>172</v>
      </c>
      <c r="E81" s="9" t="n">
        <v>53.5</v>
      </c>
      <c r="F81" s="9" t="n">
        <v>0</v>
      </c>
      <c r="G81" s="9" t="n">
        <v>2.5</v>
      </c>
      <c r="H81" s="9" t="n">
        <v>3</v>
      </c>
      <c r="I81" s="9" t="s">
        <v>571</v>
      </c>
      <c r="J81" s="9" t="s">
        <v>620</v>
      </c>
      <c r="K81" s="9" t="s">
        <v>138</v>
      </c>
    </row>
    <row r="82" customFormat="false" ht="15" hidden="false" customHeight="false" outlineLevel="0" collapsed="false">
      <c r="A82" s="9" t="s">
        <v>135</v>
      </c>
      <c r="B82" s="9" t="n">
        <v>9</v>
      </c>
      <c r="C82" s="9" t="s">
        <v>558</v>
      </c>
      <c r="D82" s="9" t="n">
        <v>76</v>
      </c>
      <c r="E82" s="9" t="n">
        <v>53.5</v>
      </c>
      <c r="F82" s="9" t="n">
        <v>0</v>
      </c>
      <c r="G82" s="9" t="n">
        <v>2.5</v>
      </c>
      <c r="H82" s="9" t="n">
        <v>3</v>
      </c>
      <c r="I82" s="9" t="s">
        <v>571</v>
      </c>
      <c r="J82" s="9" t="s">
        <v>621</v>
      </c>
      <c r="K82" s="9" t="s">
        <v>138</v>
      </c>
    </row>
    <row r="83" customFormat="false" ht="15" hidden="false" customHeight="false" outlineLevel="0" collapsed="false">
      <c r="A83" s="9" t="s">
        <v>140</v>
      </c>
      <c r="B83" s="9" t="n">
        <v>1</v>
      </c>
      <c r="C83" s="9" t="s">
        <v>578</v>
      </c>
      <c r="D83" s="9" t="n">
        <v>305</v>
      </c>
      <c r="E83" s="9" t="n">
        <v>9</v>
      </c>
      <c r="F83" s="9" t="n">
        <v>18</v>
      </c>
      <c r="G83" s="9" t="n">
        <v>8</v>
      </c>
      <c r="H83" s="9" t="n">
        <v>13</v>
      </c>
      <c r="I83" s="9" t="s">
        <v>567</v>
      </c>
      <c r="J83" s="9" t="s">
        <v>622</v>
      </c>
      <c r="K83" s="9" t="s">
        <v>141</v>
      </c>
    </row>
    <row r="84" customFormat="false" ht="15" hidden="false" customHeight="false" outlineLevel="0" collapsed="false">
      <c r="A84" s="9" t="s">
        <v>140</v>
      </c>
      <c r="B84" s="9" t="n">
        <v>2</v>
      </c>
      <c r="C84" s="9" t="s">
        <v>578</v>
      </c>
      <c r="D84" s="9" t="n">
        <v>168.5</v>
      </c>
      <c r="E84" s="9" t="n">
        <v>9</v>
      </c>
      <c r="F84" s="9" t="n">
        <v>18</v>
      </c>
      <c r="G84" s="9" t="n">
        <v>8</v>
      </c>
      <c r="H84" s="9" t="n">
        <v>13</v>
      </c>
      <c r="I84" s="9" t="s">
        <v>567</v>
      </c>
      <c r="J84" s="9" t="s">
        <v>623</v>
      </c>
      <c r="K84" s="9" t="s">
        <v>141</v>
      </c>
    </row>
    <row r="85" customFormat="false" ht="15" hidden="false" customHeight="false" outlineLevel="0" collapsed="false">
      <c r="A85" s="9" t="s">
        <v>140</v>
      </c>
      <c r="B85" s="9" t="n">
        <v>3</v>
      </c>
      <c r="C85" s="9" t="s">
        <v>578</v>
      </c>
      <c r="D85" s="9" t="n">
        <v>32</v>
      </c>
      <c r="E85" s="9" t="n">
        <v>9</v>
      </c>
      <c r="F85" s="9" t="n">
        <v>18</v>
      </c>
      <c r="G85" s="9" t="n">
        <v>8</v>
      </c>
      <c r="H85" s="9" t="n">
        <v>13</v>
      </c>
      <c r="I85" s="9" t="s">
        <v>567</v>
      </c>
      <c r="J85" s="9" t="s">
        <v>624</v>
      </c>
      <c r="K85" s="9" t="s">
        <v>141</v>
      </c>
    </row>
    <row r="86" customFormat="false" ht="15" hidden="false" customHeight="false" outlineLevel="0" collapsed="false">
      <c r="A86" s="9" t="s">
        <v>140</v>
      </c>
      <c r="B86" s="9" t="n">
        <v>4</v>
      </c>
      <c r="C86" s="9" t="s">
        <v>578</v>
      </c>
      <c r="D86" s="9" t="n">
        <v>305</v>
      </c>
      <c r="E86" s="9" t="n">
        <v>411</v>
      </c>
      <c r="F86" s="9" t="n">
        <v>18</v>
      </c>
      <c r="G86" s="9" t="n">
        <v>8</v>
      </c>
      <c r="H86" s="9" t="n">
        <v>13</v>
      </c>
      <c r="I86" s="9" t="s">
        <v>567</v>
      </c>
      <c r="J86" s="9" t="s">
        <v>625</v>
      </c>
      <c r="K86" s="9" t="s">
        <v>141</v>
      </c>
    </row>
    <row r="87" customFormat="false" ht="15" hidden="false" customHeight="false" outlineLevel="0" collapsed="false">
      <c r="A87" s="9" t="s">
        <v>140</v>
      </c>
      <c r="B87" s="9" t="n">
        <v>5</v>
      </c>
      <c r="C87" s="9" t="s">
        <v>578</v>
      </c>
      <c r="D87" s="9" t="n">
        <v>168.5</v>
      </c>
      <c r="E87" s="9" t="n">
        <v>411</v>
      </c>
      <c r="F87" s="9" t="n">
        <v>18</v>
      </c>
      <c r="G87" s="9" t="n">
        <v>8</v>
      </c>
      <c r="H87" s="9" t="n">
        <v>13</v>
      </c>
      <c r="I87" s="9" t="s">
        <v>567</v>
      </c>
      <c r="J87" s="9" t="s">
        <v>626</v>
      </c>
      <c r="K87" s="9" t="s">
        <v>141</v>
      </c>
    </row>
    <row r="88" customFormat="false" ht="15" hidden="false" customHeight="false" outlineLevel="0" collapsed="false">
      <c r="A88" s="9" t="s">
        <v>140</v>
      </c>
      <c r="B88" s="9" t="n">
        <v>6</v>
      </c>
      <c r="C88" s="9" t="s">
        <v>578</v>
      </c>
      <c r="D88" s="9" t="n">
        <v>32</v>
      </c>
      <c r="E88" s="9" t="n">
        <v>411</v>
      </c>
      <c r="F88" s="9" t="n">
        <v>18</v>
      </c>
      <c r="G88" s="9" t="n">
        <v>8</v>
      </c>
      <c r="H88" s="9" t="n">
        <v>13</v>
      </c>
      <c r="I88" s="9" t="s">
        <v>567</v>
      </c>
      <c r="J88" s="9" t="s">
        <v>627</v>
      </c>
      <c r="K88" s="9" t="s">
        <v>141</v>
      </c>
    </row>
    <row r="89" customFormat="false" ht="15" hidden="false" customHeight="false" outlineLevel="0" collapsed="false">
      <c r="A89" s="9" t="s">
        <v>140</v>
      </c>
      <c r="B89" s="9" t="n">
        <v>7</v>
      </c>
      <c r="C89" s="9" t="s">
        <v>578</v>
      </c>
      <c r="D89" s="9" t="n">
        <v>300</v>
      </c>
      <c r="E89" s="9" t="n">
        <v>53.5</v>
      </c>
      <c r="F89" s="9" t="n">
        <v>18</v>
      </c>
      <c r="G89" s="9" t="n">
        <v>2.5</v>
      </c>
      <c r="H89" s="9" t="n">
        <v>3</v>
      </c>
      <c r="I89" s="9" t="s">
        <v>571</v>
      </c>
      <c r="J89" s="9" t="s">
        <v>628</v>
      </c>
      <c r="K89" s="9" t="s">
        <v>141</v>
      </c>
    </row>
    <row r="90" customFormat="false" ht="15" hidden="false" customHeight="false" outlineLevel="0" collapsed="false">
      <c r="A90" s="9" t="s">
        <v>140</v>
      </c>
      <c r="B90" s="9" t="n">
        <v>8</v>
      </c>
      <c r="C90" s="9" t="s">
        <v>578</v>
      </c>
      <c r="D90" s="9" t="n">
        <v>172</v>
      </c>
      <c r="E90" s="9" t="n">
        <v>53.5</v>
      </c>
      <c r="F90" s="9" t="n">
        <v>18</v>
      </c>
      <c r="G90" s="9" t="n">
        <v>2.5</v>
      </c>
      <c r="H90" s="9" t="n">
        <v>3</v>
      </c>
      <c r="I90" s="9" t="s">
        <v>571</v>
      </c>
      <c r="J90" s="9" t="s">
        <v>629</v>
      </c>
      <c r="K90" s="9" t="s">
        <v>141</v>
      </c>
    </row>
    <row r="91" customFormat="false" ht="15" hidden="false" customHeight="false" outlineLevel="0" collapsed="false">
      <c r="A91" s="9" t="s">
        <v>140</v>
      </c>
      <c r="B91" s="9" t="n">
        <v>9</v>
      </c>
      <c r="C91" s="9" t="s">
        <v>578</v>
      </c>
      <c r="D91" s="9" t="n">
        <v>76</v>
      </c>
      <c r="E91" s="9" t="n">
        <v>53.5</v>
      </c>
      <c r="F91" s="9" t="n">
        <v>18</v>
      </c>
      <c r="G91" s="9" t="n">
        <v>2.5</v>
      </c>
      <c r="H91" s="9" t="n">
        <v>3</v>
      </c>
      <c r="I91" s="9" t="s">
        <v>571</v>
      </c>
      <c r="J91" s="9" t="s">
        <v>630</v>
      </c>
      <c r="K91" s="9" t="s">
        <v>141</v>
      </c>
    </row>
    <row r="92" customFormat="false" ht="15" hidden="false" customHeight="false" outlineLevel="0" collapsed="false">
      <c r="A92" s="9" t="s">
        <v>143</v>
      </c>
      <c r="B92" s="9" t="n">
        <v>1</v>
      </c>
      <c r="C92" s="9" t="s">
        <v>17</v>
      </c>
      <c r="D92" s="9" t="n">
        <v>389</v>
      </c>
      <c r="E92" s="9" t="n">
        <v>32</v>
      </c>
      <c r="F92" s="9" t="n">
        <v>9</v>
      </c>
      <c r="G92" s="9" t="n">
        <v>8</v>
      </c>
      <c r="H92" s="9" t="n">
        <v>25</v>
      </c>
      <c r="I92" s="9" t="s">
        <v>553</v>
      </c>
      <c r="J92" s="9" t="s">
        <v>622</v>
      </c>
      <c r="K92" s="9" t="s">
        <v>145</v>
      </c>
    </row>
    <row r="93" customFormat="false" ht="15" hidden="false" customHeight="false" outlineLevel="0" collapsed="false">
      <c r="A93" s="9" t="s">
        <v>143</v>
      </c>
      <c r="B93" s="9" t="n">
        <v>2</v>
      </c>
      <c r="C93" s="9" t="s">
        <v>17</v>
      </c>
      <c r="D93" s="9" t="n">
        <v>389</v>
      </c>
      <c r="E93" s="9" t="n">
        <v>168.5</v>
      </c>
      <c r="F93" s="9" t="n">
        <v>9</v>
      </c>
      <c r="G93" s="9" t="n">
        <v>8</v>
      </c>
      <c r="H93" s="9" t="n">
        <v>25</v>
      </c>
      <c r="I93" s="9" t="s">
        <v>553</v>
      </c>
      <c r="J93" s="9" t="s">
        <v>623</v>
      </c>
      <c r="K93" s="9" t="s">
        <v>145</v>
      </c>
    </row>
    <row r="94" customFormat="false" ht="15" hidden="false" customHeight="false" outlineLevel="0" collapsed="false">
      <c r="A94" s="9" t="s">
        <v>143</v>
      </c>
      <c r="B94" s="9" t="n">
        <v>3</v>
      </c>
      <c r="C94" s="9" t="s">
        <v>17</v>
      </c>
      <c r="D94" s="9" t="n">
        <v>389</v>
      </c>
      <c r="E94" s="9" t="n">
        <v>305</v>
      </c>
      <c r="F94" s="9" t="n">
        <v>9</v>
      </c>
      <c r="G94" s="9" t="n">
        <v>8</v>
      </c>
      <c r="H94" s="9" t="n">
        <v>25</v>
      </c>
      <c r="I94" s="9" t="s">
        <v>553</v>
      </c>
      <c r="J94" s="9" t="s">
        <v>624</v>
      </c>
      <c r="K94" s="9" t="s">
        <v>145</v>
      </c>
    </row>
    <row r="95" customFormat="false" ht="15" hidden="false" customHeight="false" outlineLevel="0" collapsed="false">
      <c r="A95" s="9" t="s">
        <v>143</v>
      </c>
      <c r="B95" s="9" t="n">
        <v>4</v>
      </c>
      <c r="C95" s="9" t="s">
        <v>19</v>
      </c>
      <c r="D95" s="9" t="n">
        <v>0</v>
      </c>
      <c r="E95" s="9" t="n">
        <v>32</v>
      </c>
      <c r="F95" s="9" t="n">
        <v>9</v>
      </c>
      <c r="G95" s="9" t="n">
        <v>8</v>
      </c>
      <c r="H95" s="9" t="n">
        <v>25</v>
      </c>
      <c r="I95" s="9" t="s">
        <v>553</v>
      </c>
      <c r="J95" s="9" t="s">
        <v>613</v>
      </c>
      <c r="K95" s="9" t="s">
        <v>145</v>
      </c>
    </row>
    <row r="96" customFormat="false" ht="15" hidden="false" customHeight="false" outlineLevel="0" collapsed="false">
      <c r="A96" s="9" t="s">
        <v>143</v>
      </c>
      <c r="B96" s="9" t="n">
        <v>5</v>
      </c>
      <c r="C96" s="9" t="s">
        <v>19</v>
      </c>
      <c r="D96" s="9" t="n">
        <v>0</v>
      </c>
      <c r="E96" s="9" t="n">
        <v>168.5</v>
      </c>
      <c r="F96" s="9" t="n">
        <v>9</v>
      </c>
      <c r="G96" s="9" t="n">
        <v>8</v>
      </c>
      <c r="H96" s="9" t="n">
        <v>25</v>
      </c>
      <c r="I96" s="9" t="s">
        <v>553</v>
      </c>
      <c r="J96" s="9" t="s">
        <v>614</v>
      </c>
      <c r="K96" s="9" t="s">
        <v>145</v>
      </c>
    </row>
    <row r="97" customFormat="false" ht="15" hidden="false" customHeight="false" outlineLevel="0" collapsed="false">
      <c r="A97" s="9" t="s">
        <v>143</v>
      </c>
      <c r="B97" s="9" t="n">
        <v>6</v>
      </c>
      <c r="C97" s="9" t="s">
        <v>19</v>
      </c>
      <c r="D97" s="9" t="n">
        <v>0</v>
      </c>
      <c r="E97" s="9" t="n">
        <v>305</v>
      </c>
      <c r="F97" s="9" t="n">
        <v>9</v>
      </c>
      <c r="G97" s="9" t="n">
        <v>8</v>
      </c>
      <c r="H97" s="9" t="n">
        <v>25</v>
      </c>
      <c r="I97" s="9" t="s">
        <v>553</v>
      </c>
      <c r="J97" s="9" t="s">
        <v>615</v>
      </c>
      <c r="K97" s="9" t="s">
        <v>145</v>
      </c>
    </row>
    <row r="98" customFormat="false" ht="15" hidden="false" customHeight="false" outlineLevel="0" collapsed="false">
      <c r="A98" s="9" t="s">
        <v>147</v>
      </c>
      <c r="B98" s="9" t="n">
        <v>1</v>
      </c>
      <c r="C98" s="9" t="s">
        <v>17</v>
      </c>
      <c r="D98" s="9" t="n">
        <v>389</v>
      </c>
      <c r="E98" s="9" t="n">
        <v>32</v>
      </c>
      <c r="F98" s="9" t="n">
        <v>9</v>
      </c>
      <c r="G98" s="9" t="n">
        <v>8</v>
      </c>
      <c r="H98" s="9" t="n">
        <v>25</v>
      </c>
      <c r="I98" s="9" t="s">
        <v>553</v>
      </c>
      <c r="J98" s="9" t="s">
        <v>625</v>
      </c>
      <c r="K98" s="9" t="s">
        <v>148</v>
      </c>
    </row>
    <row r="99" customFormat="false" ht="15" hidden="false" customHeight="false" outlineLevel="0" collapsed="false">
      <c r="A99" s="9" t="s">
        <v>147</v>
      </c>
      <c r="B99" s="9" t="n">
        <v>2</v>
      </c>
      <c r="C99" s="9" t="s">
        <v>17</v>
      </c>
      <c r="D99" s="9" t="n">
        <v>389</v>
      </c>
      <c r="E99" s="9" t="n">
        <v>168.5</v>
      </c>
      <c r="F99" s="9" t="n">
        <v>9</v>
      </c>
      <c r="G99" s="9" t="n">
        <v>8</v>
      </c>
      <c r="H99" s="9" t="n">
        <v>25</v>
      </c>
      <c r="I99" s="9" t="s">
        <v>553</v>
      </c>
      <c r="J99" s="9" t="s">
        <v>626</v>
      </c>
      <c r="K99" s="9" t="s">
        <v>148</v>
      </c>
    </row>
    <row r="100" customFormat="false" ht="15" hidden="false" customHeight="false" outlineLevel="0" collapsed="false">
      <c r="A100" s="9" t="s">
        <v>147</v>
      </c>
      <c r="B100" s="9" t="n">
        <v>3</v>
      </c>
      <c r="C100" s="9" t="s">
        <v>17</v>
      </c>
      <c r="D100" s="9" t="n">
        <v>389</v>
      </c>
      <c r="E100" s="9" t="n">
        <v>305</v>
      </c>
      <c r="F100" s="9" t="n">
        <v>9</v>
      </c>
      <c r="G100" s="9" t="n">
        <v>8</v>
      </c>
      <c r="H100" s="9" t="n">
        <v>25</v>
      </c>
      <c r="I100" s="9" t="s">
        <v>553</v>
      </c>
      <c r="J100" s="9" t="s">
        <v>627</v>
      </c>
      <c r="K100" s="9" t="s">
        <v>148</v>
      </c>
    </row>
    <row r="101" customFormat="false" ht="15" hidden="false" customHeight="false" outlineLevel="0" collapsed="false">
      <c r="A101" s="9" t="s">
        <v>147</v>
      </c>
      <c r="B101" s="9" t="n">
        <v>4</v>
      </c>
      <c r="C101" s="9" t="s">
        <v>19</v>
      </c>
      <c r="D101" s="9" t="n">
        <v>0</v>
      </c>
      <c r="E101" s="9" t="n">
        <v>32</v>
      </c>
      <c r="F101" s="9" t="n">
        <v>9</v>
      </c>
      <c r="G101" s="9" t="n">
        <v>8</v>
      </c>
      <c r="H101" s="9" t="n">
        <v>25</v>
      </c>
      <c r="I101" s="9" t="s">
        <v>553</v>
      </c>
      <c r="J101" s="9" t="s">
        <v>616</v>
      </c>
      <c r="K101" s="9" t="s">
        <v>148</v>
      </c>
    </row>
    <row r="102" customFormat="false" ht="15" hidden="false" customHeight="false" outlineLevel="0" collapsed="false">
      <c r="A102" s="9" t="s">
        <v>147</v>
      </c>
      <c r="B102" s="9" t="n">
        <v>5</v>
      </c>
      <c r="C102" s="9" t="s">
        <v>19</v>
      </c>
      <c r="D102" s="9" t="n">
        <v>0</v>
      </c>
      <c r="E102" s="9" t="n">
        <v>168.5</v>
      </c>
      <c r="F102" s="9" t="n">
        <v>9</v>
      </c>
      <c r="G102" s="9" t="n">
        <v>8</v>
      </c>
      <c r="H102" s="9" t="n">
        <v>25</v>
      </c>
      <c r="I102" s="9" t="s">
        <v>553</v>
      </c>
      <c r="J102" s="9" t="s">
        <v>617</v>
      </c>
      <c r="K102" s="9" t="s">
        <v>148</v>
      </c>
    </row>
    <row r="103" customFormat="false" ht="15" hidden="false" customHeight="false" outlineLevel="0" collapsed="false">
      <c r="A103" s="9" t="s">
        <v>147</v>
      </c>
      <c r="B103" s="9" t="n">
        <v>6</v>
      </c>
      <c r="C103" s="9" t="s">
        <v>19</v>
      </c>
      <c r="D103" s="9" t="n">
        <v>0</v>
      </c>
      <c r="E103" s="9" t="n">
        <v>305</v>
      </c>
      <c r="F103" s="9" t="n">
        <v>9</v>
      </c>
      <c r="G103" s="9" t="n">
        <v>8</v>
      </c>
      <c r="H103" s="9" t="n">
        <v>25</v>
      </c>
      <c r="I103" s="9" t="s">
        <v>553</v>
      </c>
      <c r="J103" s="9" t="s">
        <v>618</v>
      </c>
      <c r="K103" s="9" t="s">
        <v>148</v>
      </c>
    </row>
    <row r="104" customFormat="false" ht="15" hidden="false" customHeight="false" outlineLevel="0" collapsed="false">
      <c r="A104" s="9" t="s">
        <v>156</v>
      </c>
      <c r="B104" s="9" t="n">
        <v>1</v>
      </c>
      <c r="C104" s="9" t="s">
        <v>19</v>
      </c>
      <c r="D104" s="9" t="n">
        <v>0</v>
      </c>
      <c r="E104" s="9" t="n">
        <v>7</v>
      </c>
      <c r="F104" s="9" t="n">
        <v>4</v>
      </c>
      <c r="G104" s="9" t="n">
        <v>6</v>
      </c>
      <c r="H104" s="9" t="n">
        <v>10</v>
      </c>
      <c r="I104" s="9" t="s">
        <v>590</v>
      </c>
      <c r="J104" s="9" t="s">
        <v>631</v>
      </c>
      <c r="K104" s="9" t="s">
        <v>158</v>
      </c>
    </row>
    <row r="105" customFormat="false" ht="15" hidden="false" customHeight="false" outlineLevel="0" collapsed="false">
      <c r="A105" s="9" t="s">
        <v>160</v>
      </c>
      <c r="B105" s="9" t="n">
        <v>1</v>
      </c>
      <c r="C105" s="9" t="s">
        <v>19</v>
      </c>
      <c r="D105" s="9" t="n">
        <v>0</v>
      </c>
      <c r="E105" s="9" t="n">
        <v>7</v>
      </c>
      <c r="F105" s="9" t="n">
        <v>11</v>
      </c>
      <c r="G105" s="9" t="n">
        <v>6</v>
      </c>
      <c r="H105" s="9" t="n">
        <v>10</v>
      </c>
      <c r="I105" s="9" t="s">
        <v>590</v>
      </c>
      <c r="J105" s="9" t="s">
        <v>632</v>
      </c>
      <c r="K105" s="9" t="s">
        <v>161</v>
      </c>
    </row>
    <row r="106" customFormat="false" ht="15" hidden="false" customHeight="false" outlineLevel="0" collapsed="false">
      <c r="A106" s="9" t="s">
        <v>171</v>
      </c>
      <c r="B106" s="9" t="n">
        <v>1</v>
      </c>
      <c r="C106" s="9" t="s">
        <v>558</v>
      </c>
      <c r="D106" s="9" t="n">
        <v>305</v>
      </c>
      <c r="E106" s="9" t="n">
        <v>9</v>
      </c>
      <c r="F106" s="9" t="n">
        <v>0</v>
      </c>
      <c r="G106" s="9" t="n">
        <v>8</v>
      </c>
      <c r="H106" s="9" t="n">
        <v>13</v>
      </c>
      <c r="I106" s="9" t="s">
        <v>567</v>
      </c>
      <c r="J106" s="9" t="s">
        <v>633</v>
      </c>
      <c r="K106" s="9" t="s">
        <v>174</v>
      </c>
    </row>
    <row r="107" customFormat="false" ht="15" hidden="false" customHeight="false" outlineLevel="0" collapsed="false">
      <c r="A107" s="9" t="s">
        <v>171</v>
      </c>
      <c r="B107" s="9" t="n">
        <v>2</v>
      </c>
      <c r="C107" s="9" t="s">
        <v>558</v>
      </c>
      <c r="D107" s="9" t="n">
        <v>168.5</v>
      </c>
      <c r="E107" s="9" t="n">
        <v>9</v>
      </c>
      <c r="F107" s="9" t="n">
        <v>0</v>
      </c>
      <c r="G107" s="9" t="n">
        <v>8</v>
      </c>
      <c r="H107" s="9" t="n">
        <v>13</v>
      </c>
      <c r="I107" s="9" t="s">
        <v>567</v>
      </c>
      <c r="J107" s="9" t="s">
        <v>634</v>
      </c>
      <c r="K107" s="9" t="s">
        <v>174</v>
      </c>
    </row>
    <row r="108" customFormat="false" ht="15" hidden="false" customHeight="false" outlineLevel="0" collapsed="false">
      <c r="A108" s="9" t="s">
        <v>171</v>
      </c>
      <c r="B108" s="9" t="n">
        <v>3</v>
      </c>
      <c r="C108" s="9" t="s">
        <v>558</v>
      </c>
      <c r="D108" s="9" t="n">
        <v>32</v>
      </c>
      <c r="E108" s="9" t="n">
        <v>9</v>
      </c>
      <c r="F108" s="9" t="n">
        <v>0</v>
      </c>
      <c r="G108" s="9" t="n">
        <v>8</v>
      </c>
      <c r="H108" s="9" t="n">
        <v>13</v>
      </c>
      <c r="I108" s="9" t="s">
        <v>567</v>
      </c>
      <c r="J108" s="9" t="s">
        <v>635</v>
      </c>
      <c r="K108" s="9" t="s">
        <v>174</v>
      </c>
    </row>
    <row r="109" customFormat="false" ht="15" hidden="false" customHeight="false" outlineLevel="0" collapsed="false">
      <c r="A109" s="9" t="s">
        <v>171</v>
      </c>
      <c r="B109" s="9" t="n">
        <v>4</v>
      </c>
      <c r="C109" s="9" t="s">
        <v>558</v>
      </c>
      <c r="D109" s="9" t="n">
        <v>305</v>
      </c>
      <c r="E109" s="9" t="n">
        <v>411</v>
      </c>
      <c r="F109" s="9" t="n">
        <v>0</v>
      </c>
      <c r="G109" s="9" t="n">
        <v>8</v>
      </c>
      <c r="H109" s="9" t="n">
        <v>13</v>
      </c>
      <c r="I109" s="9" t="s">
        <v>567</v>
      </c>
      <c r="J109" s="9" t="s">
        <v>636</v>
      </c>
      <c r="K109" s="9" t="s">
        <v>174</v>
      </c>
    </row>
    <row r="110" customFormat="false" ht="15" hidden="false" customHeight="false" outlineLevel="0" collapsed="false">
      <c r="A110" s="9" t="s">
        <v>171</v>
      </c>
      <c r="B110" s="9" t="n">
        <v>5</v>
      </c>
      <c r="C110" s="9" t="s">
        <v>558</v>
      </c>
      <c r="D110" s="9" t="n">
        <v>168.5</v>
      </c>
      <c r="E110" s="9" t="n">
        <v>411</v>
      </c>
      <c r="F110" s="9" t="n">
        <v>0</v>
      </c>
      <c r="G110" s="9" t="n">
        <v>8</v>
      </c>
      <c r="H110" s="9" t="n">
        <v>13</v>
      </c>
      <c r="I110" s="9" t="s">
        <v>567</v>
      </c>
      <c r="J110" s="9" t="s">
        <v>637</v>
      </c>
      <c r="K110" s="9" t="s">
        <v>174</v>
      </c>
    </row>
    <row r="111" customFormat="false" ht="15" hidden="false" customHeight="false" outlineLevel="0" collapsed="false">
      <c r="A111" s="9" t="s">
        <v>171</v>
      </c>
      <c r="B111" s="9" t="n">
        <v>6</v>
      </c>
      <c r="C111" s="9" t="s">
        <v>558</v>
      </c>
      <c r="D111" s="9" t="n">
        <v>32</v>
      </c>
      <c r="E111" s="9" t="n">
        <v>411</v>
      </c>
      <c r="F111" s="9" t="n">
        <v>0</v>
      </c>
      <c r="G111" s="9" t="n">
        <v>8</v>
      </c>
      <c r="H111" s="9" t="n">
        <v>13</v>
      </c>
      <c r="I111" s="9" t="s">
        <v>567</v>
      </c>
      <c r="J111" s="9" t="s">
        <v>638</v>
      </c>
      <c r="K111" s="9" t="s">
        <v>174</v>
      </c>
    </row>
    <row r="112" customFormat="false" ht="15" hidden="false" customHeight="false" outlineLevel="0" collapsed="false">
      <c r="A112" s="9" t="s">
        <v>171</v>
      </c>
      <c r="B112" s="9" t="n">
        <v>7</v>
      </c>
      <c r="C112" s="9" t="s">
        <v>558</v>
      </c>
      <c r="D112" s="9" t="n">
        <v>300</v>
      </c>
      <c r="E112" s="9" t="n">
        <v>53.5</v>
      </c>
      <c r="F112" s="9" t="n">
        <v>0</v>
      </c>
      <c r="G112" s="9" t="n">
        <v>2.5</v>
      </c>
      <c r="H112" s="9" t="n">
        <v>3</v>
      </c>
      <c r="I112" s="9" t="s">
        <v>571</v>
      </c>
      <c r="J112" s="9" t="s">
        <v>639</v>
      </c>
      <c r="K112" s="9" t="s">
        <v>174</v>
      </c>
    </row>
    <row r="113" customFormat="false" ht="15" hidden="false" customHeight="false" outlineLevel="0" collapsed="false">
      <c r="A113" s="9" t="s">
        <v>171</v>
      </c>
      <c r="B113" s="9" t="n">
        <v>8</v>
      </c>
      <c r="C113" s="9" t="s">
        <v>558</v>
      </c>
      <c r="D113" s="9" t="n">
        <v>172</v>
      </c>
      <c r="E113" s="9" t="n">
        <v>53.5</v>
      </c>
      <c r="F113" s="9" t="n">
        <v>0</v>
      </c>
      <c r="G113" s="9" t="n">
        <v>2.5</v>
      </c>
      <c r="H113" s="9" t="n">
        <v>3</v>
      </c>
      <c r="I113" s="9" t="s">
        <v>571</v>
      </c>
      <c r="J113" s="9" t="s">
        <v>640</v>
      </c>
      <c r="K113" s="9" t="s">
        <v>174</v>
      </c>
    </row>
    <row r="114" customFormat="false" ht="15" hidden="false" customHeight="false" outlineLevel="0" collapsed="false">
      <c r="A114" s="9" t="s">
        <v>171</v>
      </c>
      <c r="B114" s="9" t="n">
        <v>9</v>
      </c>
      <c r="C114" s="9" t="s">
        <v>558</v>
      </c>
      <c r="D114" s="9" t="n">
        <v>76</v>
      </c>
      <c r="E114" s="9" t="n">
        <v>53.5</v>
      </c>
      <c r="F114" s="9" t="n">
        <v>0</v>
      </c>
      <c r="G114" s="9" t="n">
        <v>2.5</v>
      </c>
      <c r="H114" s="9" t="n">
        <v>3</v>
      </c>
      <c r="I114" s="9" t="s">
        <v>571</v>
      </c>
      <c r="J114" s="9" t="s">
        <v>641</v>
      </c>
      <c r="K114" s="9" t="s">
        <v>174</v>
      </c>
    </row>
    <row r="115" customFormat="false" ht="15" hidden="false" customHeight="false" outlineLevel="0" collapsed="false">
      <c r="A115" s="9" t="s">
        <v>176</v>
      </c>
      <c r="B115" s="9" t="n">
        <v>1</v>
      </c>
      <c r="C115" s="9" t="s">
        <v>578</v>
      </c>
      <c r="D115" s="9" t="n">
        <v>305</v>
      </c>
      <c r="E115" s="9" t="n">
        <v>9</v>
      </c>
      <c r="F115" s="9" t="n">
        <v>18</v>
      </c>
      <c r="G115" s="9" t="n">
        <v>8</v>
      </c>
      <c r="H115" s="9" t="n">
        <v>13</v>
      </c>
      <c r="I115" s="9" t="s">
        <v>567</v>
      </c>
      <c r="J115" s="9" t="s">
        <v>642</v>
      </c>
      <c r="K115" s="9" t="s">
        <v>177</v>
      </c>
    </row>
    <row r="116" customFormat="false" ht="15" hidden="false" customHeight="false" outlineLevel="0" collapsed="false">
      <c r="A116" s="9" t="s">
        <v>176</v>
      </c>
      <c r="B116" s="9" t="n">
        <v>2</v>
      </c>
      <c r="C116" s="9" t="s">
        <v>578</v>
      </c>
      <c r="D116" s="9" t="n">
        <v>168.5</v>
      </c>
      <c r="E116" s="9" t="n">
        <v>9</v>
      </c>
      <c r="F116" s="9" t="n">
        <v>18</v>
      </c>
      <c r="G116" s="9" t="n">
        <v>8</v>
      </c>
      <c r="H116" s="9" t="n">
        <v>13</v>
      </c>
      <c r="I116" s="9" t="s">
        <v>567</v>
      </c>
      <c r="J116" s="9" t="s">
        <v>643</v>
      </c>
      <c r="K116" s="9" t="s">
        <v>177</v>
      </c>
    </row>
    <row r="117" customFormat="false" ht="15" hidden="false" customHeight="false" outlineLevel="0" collapsed="false">
      <c r="A117" s="9" t="s">
        <v>176</v>
      </c>
      <c r="B117" s="9" t="n">
        <v>3</v>
      </c>
      <c r="C117" s="9" t="s">
        <v>578</v>
      </c>
      <c r="D117" s="9" t="n">
        <v>32</v>
      </c>
      <c r="E117" s="9" t="n">
        <v>9</v>
      </c>
      <c r="F117" s="9" t="n">
        <v>18</v>
      </c>
      <c r="G117" s="9" t="n">
        <v>8</v>
      </c>
      <c r="H117" s="9" t="n">
        <v>13</v>
      </c>
      <c r="I117" s="9" t="s">
        <v>567</v>
      </c>
      <c r="J117" s="9" t="s">
        <v>644</v>
      </c>
      <c r="K117" s="9" t="s">
        <v>177</v>
      </c>
    </row>
    <row r="118" customFormat="false" ht="15" hidden="false" customHeight="false" outlineLevel="0" collapsed="false">
      <c r="A118" s="9" t="s">
        <v>176</v>
      </c>
      <c r="B118" s="9" t="n">
        <v>4</v>
      </c>
      <c r="C118" s="9" t="s">
        <v>578</v>
      </c>
      <c r="D118" s="9" t="n">
        <v>305</v>
      </c>
      <c r="E118" s="9" t="n">
        <v>411</v>
      </c>
      <c r="F118" s="9" t="n">
        <v>18</v>
      </c>
      <c r="G118" s="9" t="n">
        <v>8</v>
      </c>
      <c r="H118" s="9" t="n">
        <v>13</v>
      </c>
      <c r="I118" s="9" t="s">
        <v>567</v>
      </c>
      <c r="J118" s="9" t="s">
        <v>645</v>
      </c>
      <c r="K118" s="9" t="s">
        <v>177</v>
      </c>
    </row>
    <row r="119" customFormat="false" ht="15" hidden="false" customHeight="false" outlineLevel="0" collapsed="false">
      <c r="A119" s="9" t="s">
        <v>176</v>
      </c>
      <c r="B119" s="9" t="n">
        <v>5</v>
      </c>
      <c r="C119" s="9" t="s">
        <v>578</v>
      </c>
      <c r="D119" s="9" t="n">
        <v>168.5</v>
      </c>
      <c r="E119" s="9" t="n">
        <v>411</v>
      </c>
      <c r="F119" s="9" t="n">
        <v>18</v>
      </c>
      <c r="G119" s="9" t="n">
        <v>8</v>
      </c>
      <c r="H119" s="9" t="n">
        <v>13</v>
      </c>
      <c r="I119" s="9" t="s">
        <v>567</v>
      </c>
      <c r="J119" s="9" t="s">
        <v>646</v>
      </c>
      <c r="K119" s="9" t="s">
        <v>177</v>
      </c>
    </row>
    <row r="120" customFormat="false" ht="15" hidden="false" customHeight="false" outlineLevel="0" collapsed="false">
      <c r="A120" s="9" t="s">
        <v>176</v>
      </c>
      <c r="B120" s="9" t="n">
        <v>6</v>
      </c>
      <c r="C120" s="9" t="s">
        <v>578</v>
      </c>
      <c r="D120" s="9" t="n">
        <v>32</v>
      </c>
      <c r="E120" s="9" t="n">
        <v>411</v>
      </c>
      <c r="F120" s="9" t="n">
        <v>18</v>
      </c>
      <c r="G120" s="9" t="n">
        <v>8</v>
      </c>
      <c r="H120" s="9" t="n">
        <v>13</v>
      </c>
      <c r="I120" s="9" t="s">
        <v>567</v>
      </c>
      <c r="J120" s="9" t="s">
        <v>647</v>
      </c>
      <c r="K120" s="9" t="s">
        <v>177</v>
      </c>
    </row>
    <row r="121" customFormat="false" ht="15" hidden="false" customHeight="false" outlineLevel="0" collapsed="false">
      <c r="A121" s="9" t="s">
        <v>176</v>
      </c>
      <c r="B121" s="9" t="n">
        <v>7</v>
      </c>
      <c r="C121" s="9" t="s">
        <v>578</v>
      </c>
      <c r="D121" s="9" t="n">
        <v>300</v>
      </c>
      <c r="E121" s="9" t="n">
        <v>53.5</v>
      </c>
      <c r="F121" s="9" t="n">
        <v>18</v>
      </c>
      <c r="G121" s="9" t="n">
        <v>2.5</v>
      </c>
      <c r="H121" s="9" t="n">
        <v>3</v>
      </c>
      <c r="I121" s="9" t="s">
        <v>571</v>
      </c>
      <c r="J121" s="9" t="s">
        <v>648</v>
      </c>
      <c r="K121" s="9" t="s">
        <v>177</v>
      </c>
    </row>
    <row r="122" customFormat="false" ht="15" hidden="false" customHeight="false" outlineLevel="0" collapsed="false">
      <c r="A122" s="9" t="s">
        <v>176</v>
      </c>
      <c r="B122" s="9" t="n">
        <v>8</v>
      </c>
      <c r="C122" s="9" t="s">
        <v>578</v>
      </c>
      <c r="D122" s="9" t="n">
        <v>172</v>
      </c>
      <c r="E122" s="9" t="n">
        <v>53.5</v>
      </c>
      <c r="F122" s="9" t="n">
        <v>18</v>
      </c>
      <c r="G122" s="9" t="n">
        <v>2.5</v>
      </c>
      <c r="H122" s="9" t="n">
        <v>3</v>
      </c>
      <c r="I122" s="9" t="s">
        <v>571</v>
      </c>
      <c r="J122" s="9" t="s">
        <v>649</v>
      </c>
      <c r="K122" s="9" t="s">
        <v>177</v>
      </c>
    </row>
    <row r="123" customFormat="false" ht="15" hidden="false" customHeight="false" outlineLevel="0" collapsed="false">
      <c r="A123" s="9" t="s">
        <v>176</v>
      </c>
      <c r="B123" s="9" t="n">
        <v>9</v>
      </c>
      <c r="C123" s="9" t="s">
        <v>578</v>
      </c>
      <c r="D123" s="9" t="n">
        <v>76</v>
      </c>
      <c r="E123" s="9" t="n">
        <v>53.5</v>
      </c>
      <c r="F123" s="9" t="n">
        <v>18</v>
      </c>
      <c r="G123" s="9" t="n">
        <v>2.5</v>
      </c>
      <c r="H123" s="9" t="n">
        <v>3</v>
      </c>
      <c r="I123" s="9" t="s">
        <v>571</v>
      </c>
      <c r="J123" s="9" t="s">
        <v>650</v>
      </c>
      <c r="K123" s="9" t="s">
        <v>177</v>
      </c>
    </row>
    <row r="124" customFormat="false" ht="15" hidden="false" customHeight="false" outlineLevel="0" collapsed="false">
      <c r="A124" s="9" t="s">
        <v>179</v>
      </c>
      <c r="B124" s="9" t="n">
        <v>1</v>
      </c>
      <c r="C124" s="9" t="s">
        <v>17</v>
      </c>
      <c r="D124" s="9" t="n">
        <v>994</v>
      </c>
      <c r="E124" s="9" t="n">
        <v>32</v>
      </c>
      <c r="F124" s="9" t="n">
        <v>9</v>
      </c>
      <c r="G124" s="9" t="n">
        <v>8</v>
      </c>
      <c r="H124" s="9" t="n">
        <v>25</v>
      </c>
      <c r="I124" s="9" t="s">
        <v>553</v>
      </c>
      <c r="J124" s="9" t="s">
        <v>642</v>
      </c>
      <c r="K124" s="9" t="s">
        <v>181</v>
      </c>
    </row>
    <row r="125" customFormat="false" ht="15" hidden="false" customHeight="false" outlineLevel="0" collapsed="false">
      <c r="A125" s="9" t="s">
        <v>179</v>
      </c>
      <c r="B125" s="9" t="n">
        <v>2</v>
      </c>
      <c r="C125" s="9" t="s">
        <v>17</v>
      </c>
      <c r="D125" s="9" t="n">
        <v>994</v>
      </c>
      <c r="E125" s="9" t="n">
        <v>168.5</v>
      </c>
      <c r="F125" s="9" t="n">
        <v>9</v>
      </c>
      <c r="G125" s="9" t="n">
        <v>8</v>
      </c>
      <c r="H125" s="9" t="n">
        <v>25</v>
      </c>
      <c r="I125" s="9" t="s">
        <v>553</v>
      </c>
      <c r="J125" s="9" t="s">
        <v>643</v>
      </c>
      <c r="K125" s="9" t="s">
        <v>181</v>
      </c>
    </row>
    <row r="126" customFormat="false" ht="15" hidden="false" customHeight="false" outlineLevel="0" collapsed="false">
      <c r="A126" s="9" t="s">
        <v>179</v>
      </c>
      <c r="B126" s="9" t="n">
        <v>3</v>
      </c>
      <c r="C126" s="9" t="s">
        <v>17</v>
      </c>
      <c r="D126" s="9" t="n">
        <v>994</v>
      </c>
      <c r="E126" s="9" t="n">
        <v>305</v>
      </c>
      <c r="F126" s="9" t="n">
        <v>9</v>
      </c>
      <c r="G126" s="9" t="n">
        <v>8</v>
      </c>
      <c r="H126" s="9" t="n">
        <v>25</v>
      </c>
      <c r="I126" s="9" t="s">
        <v>553</v>
      </c>
      <c r="J126" s="9" t="s">
        <v>644</v>
      </c>
      <c r="K126" s="9" t="s">
        <v>181</v>
      </c>
    </row>
    <row r="127" customFormat="false" ht="15" hidden="false" customHeight="false" outlineLevel="0" collapsed="false">
      <c r="A127" s="9" t="s">
        <v>179</v>
      </c>
      <c r="B127" s="9" t="n">
        <v>4</v>
      </c>
      <c r="C127" s="9" t="s">
        <v>19</v>
      </c>
      <c r="D127" s="9" t="n">
        <v>0</v>
      </c>
      <c r="E127" s="9" t="n">
        <v>32</v>
      </c>
      <c r="F127" s="9" t="n">
        <v>9</v>
      </c>
      <c r="G127" s="9" t="n">
        <v>8</v>
      </c>
      <c r="H127" s="9" t="n">
        <v>25</v>
      </c>
      <c r="I127" s="9" t="s">
        <v>553</v>
      </c>
      <c r="J127" s="9" t="s">
        <v>633</v>
      </c>
      <c r="K127" s="9" t="s">
        <v>181</v>
      </c>
    </row>
    <row r="128" customFormat="false" ht="15" hidden="false" customHeight="false" outlineLevel="0" collapsed="false">
      <c r="A128" s="9" t="s">
        <v>179</v>
      </c>
      <c r="B128" s="9" t="n">
        <v>5</v>
      </c>
      <c r="C128" s="9" t="s">
        <v>19</v>
      </c>
      <c r="D128" s="9" t="n">
        <v>0</v>
      </c>
      <c r="E128" s="9" t="n">
        <v>168.5</v>
      </c>
      <c r="F128" s="9" t="n">
        <v>9</v>
      </c>
      <c r="G128" s="9" t="n">
        <v>8</v>
      </c>
      <c r="H128" s="9" t="n">
        <v>25</v>
      </c>
      <c r="I128" s="9" t="s">
        <v>553</v>
      </c>
      <c r="J128" s="9" t="s">
        <v>634</v>
      </c>
      <c r="K128" s="9" t="s">
        <v>181</v>
      </c>
    </row>
    <row r="129" customFormat="false" ht="15" hidden="false" customHeight="false" outlineLevel="0" collapsed="false">
      <c r="A129" s="9" t="s">
        <v>179</v>
      </c>
      <c r="B129" s="9" t="n">
        <v>6</v>
      </c>
      <c r="C129" s="9" t="s">
        <v>19</v>
      </c>
      <c r="D129" s="9" t="n">
        <v>0</v>
      </c>
      <c r="E129" s="9" t="n">
        <v>305</v>
      </c>
      <c r="F129" s="9" t="n">
        <v>9</v>
      </c>
      <c r="G129" s="9" t="n">
        <v>8</v>
      </c>
      <c r="H129" s="9" t="n">
        <v>25</v>
      </c>
      <c r="I129" s="9" t="s">
        <v>553</v>
      </c>
      <c r="J129" s="9" t="s">
        <v>635</v>
      </c>
      <c r="K129" s="9" t="s">
        <v>181</v>
      </c>
    </row>
    <row r="130" customFormat="false" ht="15" hidden="false" customHeight="false" outlineLevel="0" collapsed="false">
      <c r="A130" s="9" t="s">
        <v>183</v>
      </c>
      <c r="B130" s="9" t="n">
        <v>1</v>
      </c>
      <c r="C130" s="9" t="s">
        <v>17</v>
      </c>
      <c r="D130" s="9" t="n">
        <v>994</v>
      </c>
      <c r="E130" s="9" t="n">
        <v>32</v>
      </c>
      <c r="F130" s="9" t="n">
        <v>9</v>
      </c>
      <c r="G130" s="9" t="n">
        <v>8</v>
      </c>
      <c r="H130" s="9" t="n">
        <v>25</v>
      </c>
      <c r="I130" s="9" t="s">
        <v>553</v>
      </c>
      <c r="J130" s="9" t="s">
        <v>645</v>
      </c>
      <c r="K130" s="9" t="s">
        <v>184</v>
      </c>
    </row>
    <row r="131" customFormat="false" ht="15" hidden="false" customHeight="false" outlineLevel="0" collapsed="false">
      <c r="A131" s="9" t="s">
        <v>183</v>
      </c>
      <c r="B131" s="9" t="n">
        <v>2</v>
      </c>
      <c r="C131" s="9" t="s">
        <v>17</v>
      </c>
      <c r="D131" s="9" t="n">
        <v>994</v>
      </c>
      <c r="E131" s="9" t="n">
        <v>168.5</v>
      </c>
      <c r="F131" s="9" t="n">
        <v>9</v>
      </c>
      <c r="G131" s="9" t="n">
        <v>8</v>
      </c>
      <c r="H131" s="9" t="n">
        <v>25</v>
      </c>
      <c r="I131" s="9" t="s">
        <v>553</v>
      </c>
      <c r="J131" s="9" t="s">
        <v>646</v>
      </c>
      <c r="K131" s="9" t="s">
        <v>184</v>
      </c>
    </row>
    <row r="132" customFormat="false" ht="15" hidden="false" customHeight="false" outlineLevel="0" collapsed="false">
      <c r="A132" s="9" t="s">
        <v>183</v>
      </c>
      <c r="B132" s="9" t="n">
        <v>3</v>
      </c>
      <c r="C132" s="9" t="s">
        <v>17</v>
      </c>
      <c r="D132" s="9" t="n">
        <v>994</v>
      </c>
      <c r="E132" s="9" t="n">
        <v>305</v>
      </c>
      <c r="F132" s="9" t="n">
        <v>9</v>
      </c>
      <c r="G132" s="9" t="n">
        <v>8</v>
      </c>
      <c r="H132" s="9" t="n">
        <v>25</v>
      </c>
      <c r="I132" s="9" t="s">
        <v>553</v>
      </c>
      <c r="J132" s="9" t="s">
        <v>647</v>
      </c>
      <c r="K132" s="9" t="s">
        <v>184</v>
      </c>
    </row>
    <row r="133" customFormat="false" ht="15" hidden="false" customHeight="false" outlineLevel="0" collapsed="false">
      <c r="A133" s="9" t="s">
        <v>183</v>
      </c>
      <c r="B133" s="9" t="n">
        <v>4</v>
      </c>
      <c r="C133" s="9" t="s">
        <v>19</v>
      </c>
      <c r="D133" s="9" t="n">
        <v>0</v>
      </c>
      <c r="E133" s="9" t="n">
        <v>32</v>
      </c>
      <c r="F133" s="9" t="n">
        <v>9</v>
      </c>
      <c r="G133" s="9" t="n">
        <v>8</v>
      </c>
      <c r="H133" s="9" t="n">
        <v>25</v>
      </c>
      <c r="I133" s="9" t="s">
        <v>553</v>
      </c>
      <c r="J133" s="9" t="s">
        <v>636</v>
      </c>
      <c r="K133" s="9" t="s">
        <v>184</v>
      </c>
    </row>
    <row r="134" customFormat="false" ht="15" hidden="false" customHeight="false" outlineLevel="0" collapsed="false">
      <c r="A134" s="9" t="s">
        <v>183</v>
      </c>
      <c r="B134" s="9" t="n">
        <v>5</v>
      </c>
      <c r="C134" s="9" t="s">
        <v>19</v>
      </c>
      <c r="D134" s="9" t="n">
        <v>0</v>
      </c>
      <c r="E134" s="9" t="n">
        <v>168.5</v>
      </c>
      <c r="F134" s="9" t="n">
        <v>9</v>
      </c>
      <c r="G134" s="9" t="n">
        <v>8</v>
      </c>
      <c r="H134" s="9" t="n">
        <v>25</v>
      </c>
      <c r="I134" s="9" t="s">
        <v>553</v>
      </c>
      <c r="J134" s="9" t="s">
        <v>637</v>
      </c>
      <c r="K134" s="9" t="s">
        <v>184</v>
      </c>
    </row>
    <row r="135" customFormat="false" ht="15" hidden="false" customHeight="false" outlineLevel="0" collapsed="false">
      <c r="A135" s="9" t="s">
        <v>183</v>
      </c>
      <c r="B135" s="9" t="n">
        <v>6</v>
      </c>
      <c r="C135" s="9" t="s">
        <v>19</v>
      </c>
      <c r="D135" s="9" t="n">
        <v>0</v>
      </c>
      <c r="E135" s="9" t="n">
        <v>305</v>
      </c>
      <c r="F135" s="9" t="n">
        <v>9</v>
      </c>
      <c r="G135" s="9" t="n">
        <v>8</v>
      </c>
      <c r="H135" s="9" t="n">
        <v>25</v>
      </c>
      <c r="I135" s="9" t="s">
        <v>553</v>
      </c>
      <c r="J135" s="9" t="s">
        <v>638</v>
      </c>
      <c r="K135" s="9" t="s">
        <v>184</v>
      </c>
    </row>
    <row r="136" customFormat="false" ht="15" hidden="false" customHeight="false" outlineLevel="0" collapsed="false">
      <c r="A136" s="9" t="s">
        <v>192</v>
      </c>
      <c r="B136" s="9" t="n">
        <v>1</v>
      </c>
      <c r="C136" s="9" t="s">
        <v>19</v>
      </c>
      <c r="D136" s="9" t="n">
        <v>0</v>
      </c>
      <c r="E136" s="9" t="n">
        <v>7</v>
      </c>
      <c r="F136" s="9" t="n">
        <v>4</v>
      </c>
      <c r="G136" s="9" t="n">
        <v>6</v>
      </c>
      <c r="H136" s="9" t="n">
        <v>10</v>
      </c>
      <c r="I136" s="9" t="s">
        <v>590</v>
      </c>
      <c r="J136" s="9" t="s">
        <v>651</v>
      </c>
      <c r="K136" s="9" t="s">
        <v>194</v>
      </c>
    </row>
    <row r="137" customFormat="false" ht="15" hidden="false" customHeight="false" outlineLevel="0" collapsed="false">
      <c r="A137" s="9" t="s">
        <v>196</v>
      </c>
      <c r="B137" s="9" t="n">
        <v>1</v>
      </c>
      <c r="C137" s="9" t="s">
        <v>19</v>
      </c>
      <c r="D137" s="9" t="n">
        <v>0</v>
      </c>
      <c r="E137" s="9" t="n">
        <v>7</v>
      </c>
      <c r="F137" s="9" t="n">
        <v>11</v>
      </c>
      <c r="G137" s="9" t="n">
        <v>6</v>
      </c>
      <c r="H137" s="9" t="n">
        <v>10</v>
      </c>
      <c r="I137" s="9" t="s">
        <v>590</v>
      </c>
      <c r="J137" s="9" t="s">
        <v>652</v>
      </c>
      <c r="K137" s="9" t="s">
        <v>197</v>
      </c>
    </row>
    <row r="138" customFormat="false" ht="15" hidden="false" customHeight="false" outlineLevel="0" collapsed="false">
      <c r="A138" s="9" t="s">
        <v>207</v>
      </c>
      <c r="B138" s="9" t="n">
        <v>1</v>
      </c>
      <c r="C138" s="9" t="s">
        <v>558</v>
      </c>
      <c r="D138" s="9" t="n">
        <v>305</v>
      </c>
      <c r="E138" s="9" t="n">
        <v>9</v>
      </c>
      <c r="F138" s="9" t="n">
        <v>0</v>
      </c>
      <c r="G138" s="9" t="n">
        <v>8</v>
      </c>
      <c r="H138" s="9" t="n">
        <v>13</v>
      </c>
      <c r="I138" s="9" t="s">
        <v>567</v>
      </c>
      <c r="J138" s="9" t="s">
        <v>653</v>
      </c>
      <c r="K138" s="9" t="s">
        <v>210</v>
      </c>
    </row>
    <row r="139" customFormat="false" ht="15" hidden="false" customHeight="false" outlineLevel="0" collapsed="false">
      <c r="A139" s="9" t="s">
        <v>207</v>
      </c>
      <c r="B139" s="9" t="n">
        <v>2</v>
      </c>
      <c r="C139" s="9" t="s">
        <v>558</v>
      </c>
      <c r="D139" s="9" t="n">
        <v>168.5</v>
      </c>
      <c r="E139" s="9" t="n">
        <v>9</v>
      </c>
      <c r="F139" s="9" t="n">
        <v>0</v>
      </c>
      <c r="G139" s="9" t="n">
        <v>8</v>
      </c>
      <c r="H139" s="9" t="n">
        <v>13</v>
      </c>
      <c r="I139" s="9" t="s">
        <v>567</v>
      </c>
      <c r="J139" s="9" t="s">
        <v>654</v>
      </c>
      <c r="K139" s="9" t="s">
        <v>210</v>
      </c>
    </row>
    <row r="140" customFormat="false" ht="15" hidden="false" customHeight="false" outlineLevel="0" collapsed="false">
      <c r="A140" s="9" t="s">
        <v>207</v>
      </c>
      <c r="B140" s="9" t="n">
        <v>3</v>
      </c>
      <c r="C140" s="9" t="s">
        <v>558</v>
      </c>
      <c r="D140" s="9" t="n">
        <v>32</v>
      </c>
      <c r="E140" s="9" t="n">
        <v>9</v>
      </c>
      <c r="F140" s="9" t="n">
        <v>0</v>
      </c>
      <c r="G140" s="9" t="n">
        <v>8</v>
      </c>
      <c r="H140" s="9" t="n">
        <v>13</v>
      </c>
      <c r="I140" s="9" t="s">
        <v>567</v>
      </c>
      <c r="J140" s="9" t="s">
        <v>655</v>
      </c>
      <c r="K140" s="9" t="s">
        <v>210</v>
      </c>
    </row>
    <row r="141" customFormat="false" ht="15" hidden="false" customHeight="false" outlineLevel="0" collapsed="false">
      <c r="A141" s="9" t="s">
        <v>207</v>
      </c>
      <c r="B141" s="9" t="n">
        <v>4</v>
      </c>
      <c r="C141" s="9" t="s">
        <v>558</v>
      </c>
      <c r="D141" s="9" t="n">
        <v>305</v>
      </c>
      <c r="E141" s="9" t="n">
        <v>411</v>
      </c>
      <c r="F141" s="9" t="n">
        <v>0</v>
      </c>
      <c r="G141" s="9" t="n">
        <v>8</v>
      </c>
      <c r="H141" s="9" t="n">
        <v>13</v>
      </c>
      <c r="I141" s="9" t="s">
        <v>567</v>
      </c>
      <c r="J141" s="9" t="s">
        <v>656</v>
      </c>
      <c r="K141" s="9" t="s">
        <v>210</v>
      </c>
    </row>
    <row r="142" customFormat="false" ht="15" hidden="false" customHeight="false" outlineLevel="0" collapsed="false">
      <c r="A142" s="9" t="s">
        <v>207</v>
      </c>
      <c r="B142" s="9" t="n">
        <v>5</v>
      </c>
      <c r="C142" s="9" t="s">
        <v>558</v>
      </c>
      <c r="D142" s="9" t="n">
        <v>168.5</v>
      </c>
      <c r="E142" s="9" t="n">
        <v>411</v>
      </c>
      <c r="F142" s="9" t="n">
        <v>0</v>
      </c>
      <c r="G142" s="9" t="n">
        <v>8</v>
      </c>
      <c r="H142" s="9" t="n">
        <v>13</v>
      </c>
      <c r="I142" s="9" t="s">
        <v>567</v>
      </c>
      <c r="J142" s="9" t="s">
        <v>657</v>
      </c>
      <c r="K142" s="9" t="s">
        <v>210</v>
      </c>
    </row>
    <row r="143" customFormat="false" ht="15" hidden="false" customHeight="false" outlineLevel="0" collapsed="false">
      <c r="A143" s="9" t="s">
        <v>207</v>
      </c>
      <c r="B143" s="9" t="n">
        <v>6</v>
      </c>
      <c r="C143" s="9" t="s">
        <v>558</v>
      </c>
      <c r="D143" s="9" t="n">
        <v>32</v>
      </c>
      <c r="E143" s="9" t="n">
        <v>411</v>
      </c>
      <c r="F143" s="9" t="n">
        <v>0</v>
      </c>
      <c r="G143" s="9" t="n">
        <v>8</v>
      </c>
      <c r="H143" s="9" t="n">
        <v>13</v>
      </c>
      <c r="I143" s="9" t="s">
        <v>567</v>
      </c>
      <c r="J143" s="9" t="s">
        <v>658</v>
      </c>
      <c r="K143" s="9" t="s">
        <v>210</v>
      </c>
    </row>
    <row r="144" customFormat="false" ht="15" hidden="false" customHeight="false" outlineLevel="0" collapsed="false">
      <c r="A144" s="9" t="s">
        <v>207</v>
      </c>
      <c r="B144" s="9" t="n">
        <v>7</v>
      </c>
      <c r="C144" s="9" t="s">
        <v>558</v>
      </c>
      <c r="D144" s="9" t="n">
        <v>300</v>
      </c>
      <c r="E144" s="9" t="n">
        <v>53.5</v>
      </c>
      <c r="F144" s="9" t="n">
        <v>0</v>
      </c>
      <c r="G144" s="9" t="n">
        <v>2.5</v>
      </c>
      <c r="H144" s="9" t="n">
        <v>3</v>
      </c>
      <c r="I144" s="9" t="s">
        <v>571</v>
      </c>
      <c r="J144" s="9" t="s">
        <v>659</v>
      </c>
      <c r="K144" s="9" t="s">
        <v>210</v>
      </c>
    </row>
    <row r="145" customFormat="false" ht="15" hidden="false" customHeight="false" outlineLevel="0" collapsed="false">
      <c r="A145" s="9" t="s">
        <v>207</v>
      </c>
      <c r="B145" s="9" t="n">
        <v>8</v>
      </c>
      <c r="C145" s="9" t="s">
        <v>558</v>
      </c>
      <c r="D145" s="9" t="n">
        <v>172</v>
      </c>
      <c r="E145" s="9" t="n">
        <v>53.5</v>
      </c>
      <c r="F145" s="9" t="n">
        <v>0</v>
      </c>
      <c r="G145" s="9" t="n">
        <v>2.5</v>
      </c>
      <c r="H145" s="9" t="n">
        <v>3</v>
      </c>
      <c r="I145" s="9" t="s">
        <v>571</v>
      </c>
      <c r="J145" s="9" t="s">
        <v>660</v>
      </c>
      <c r="K145" s="9" t="s">
        <v>210</v>
      </c>
    </row>
    <row r="146" customFormat="false" ht="15" hidden="false" customHeight="false" outlineLevel="0" collapsed="false">
      <c r="A146" s="9" t="s">
        <v>207</v>
      </c>
      <c r="B146" s="9" t="n">
        <v>9</v>
      </c>
      <c r="C146" s="9" t="s">
        <v>558</v>
      </c>
      <c r="D146" s="9" t="n">
        <v>76</v>
      </c>
      <c r="E146" s="9" t="n">
        <v>53.5</v>
      </c>
      <c r="F146" s="9" t="n">
        <v>0</v>
      </c>
      <c r="G146" s="9" t="n">
        <v>2.5</v>
      </c>
      <c r="H146" s="9" t="n">
        <v>3</v>
      </c>
      <c r="I146" s="9" t="s">
        <v>571</v>
      </c>
      <c r="J146" s="9" t="s">
        <v>661</v>
      </c>
      <c r="K146" s="9" t="s">
        <v>210</v>
      </c>
    </row>
    <row r="147" customFormat="false" ht="15" hidden="false" customHeight="false" outlineLevel="0" collapsed="false">
      <c r="A147" s="9" t="s">
        <v>212</v>
      </c>
      <c r="B147" s="9" t="n">
        <v>1</v>
      </c>
      <c r="C147" s="9" t="s">
        <v>578</v>
      </c>
      <c r="D147" s="9" t="n">
        <v>305</v>
      </c>
      <c r="E147" s="9" t="n">
        <v>9</v>
      </c>
      <c r="F147" s="9" t="n">
        <v>18</v>
      </c>
      <c r="G147" s="9" t="n">
        <v>8</v>
      </c>
      <c r="H147" s="9" t="n">
        <v>13</v>
      </c>
      <c r="I147" s="9" t="s">
        <v>567</v>
      </c>
      <c r="J147" s="9" t="s">
        <v>662</v>
      </c>
      <c r="K147" s="9" t="s">
        <v>213</v>
      </c>
    </row>
    <row r="148" customFormat="false" ht="15" hidden="false" customHeight="false" outlineLevel="0" collapsed="false">
      <c r="A148" s="9" t="s">
        <v>212</v>
      </c>
      <c r="B148" s="9" t="n">
        <v>2</v>
      </c>
      <c r="C148" s="9" t="s">
        <v>578</v>
      </c>
      <c r="D148" s="9" t="n">
        <v>168.5</v>
      </c>
      <c r="E148" s="9" t="n">
        <v>9</v>
      </c>
      <c r="F148" s="9" t="n">
        <v>18</v>
      </c>
      <c r="G148" s="9" t="n">
        <v>8</v>
      </c>
      <c r="H148" s="9" t="n">
        <v>13</v>
      </c>
      <c r="I148" s="9" t="s">
        <v>567</v>
      </c>
      <c r="J148" s="9" t="s">
        <v>663</v>
      </c>
      <c r="K148" s="9" t="s">
        <v>213</v>
      </c>
    </row>
    <row r="149" customFormat="false" ht="15" hidden="false" customHeight="false" outlineLevel="0" collapsed="false">
      <c r="A149" s="9" t="s">
        <v>212</v>
      </c>
      <c r="B149" s="9" t="n">
        <v>3</v>
      </c>
      <c r="C149" s="9" t="s">
        <v>578</v>
      </c>
      <c r="D149" s="9" t="n">
        <v>32</v>
      </c>
      <c r="E149" s="9" t="n">
        <v>9</v>
      </c>
      <c r="F149" s="9" t="n">
        <v>18</v>
      </c>
      <c r="G149" s="9" t="n">
        <v>8</v>
      </c>
      <c r="H149" s="9" t="n">
        <v>13</v>
      </c>
      <c r="I149" s="9" t="s">
        <v>567</v>
      </c>
      <c r="J149" s="9" t="s">
        <v>664</v>
      </c>
      <c r="K149" s="9" t="s">
        <v>213</v>
      </c>
    </row>
    <row r="150" customFormat="false" ht="15" hidden="false" customHeight="false" outlineLevel="0" collapsed="false">
      <c r="A150" s="9" t="s">
        <v>212</v>
      </c>
      <c r="B150" s="9" t="n">
        <v>4</v>
      </c>
      <c r="C150" s="9" t="s">
        <v>578</v>
      </c>
      <c r="D150" s="9" t="n">
        <v>305</v>
      </c>
      <c r="E150" s="9" t="n">
        <v>411</v>
      </c>
      <c r="F150" s="9" t="n">
        <v>18</v>
      </c>
      <c r="G150" s="9" t="n">
        <v>8</v>
      </c>
      <c r="H150" s="9" t="n">
        <v>13</v>
      </c>
      <c r="I150" s="9" t="s">
        <v>567</v>
      </c>
      <c r="J150" s="9" t="s">
        <v>665</v>
      </c>
      <c r="K150" s="9" t="s">
        <v>213</v>
      </c>
    </row>
    <row r="151" customFormat="false" ht="15" hidden="false" customHeight="false" outlineLevel="0" collapsed="false">
      <c r="A151" s="9" t="s">
        <v>212</v>
      </c>
      <c r="B151" s="9" t="n">
        <v>5</v>
      </c>
      <c r="C151" s="9" t="s">
        <v>578</v>
      </c>
      <c r="D151" s="9" t="n">
        <v>168.5</v>
      </c>
      <c r="E151" s="9" t="n">
        <v>411</v>
      </c>
      <c r="F151" s="9" t="n">
        <v>18</v>
      </c>
      <c r="G151" s="9" t="n">
        <v>8</v>
      </c>
      <c r="H151" s="9" t="n">
        <v>13</v>
      </c>
      <c r="I151" s="9" t="s">
        <v>567</v>
      </c>
      <c r="J151" s="9" t="s">
        <v>666</v>
      </c>
      <c r="K151" s="9" t="s">
        <v>213</v>
      </c>
    </row>
    <row r="152" customFormat="false" ht="15" hidden="false" customHeight="false" outlineLevel="0" collapsed="false">
      <c r="A152" s="9" t="s">
        <v>212</v>
      </c>
      <c r="B152" s="9" t="n">
        <v>6</v>
      </c>
      <c r="C152" s="9" t="s">
        <v>578</v>
      </c>
      <c r="D152" s="9" t="n">
        <v>32</v>
      </c>
      <c r="E152" s="9" t="n">
        <v>411</v>
      </c>
      <c r="F152" s="9" t="n">
        <v>18</v>
      </c>
      <c r="G152" s="9" t="n">
        <v>8</v>
      </c>
      <c r="H152" s="9" t="n">
        <v>13</v>
      </c>
      <c r="I152" s="9" t="s">
        <v>567</v>
      </c>
      <c r="J152" s="9" t="s">
        <v>667</v>
      </c>
      <c r="K152" s="9" t="s">
        <v>213</v>
      </c>
    </row>
    <row r="153" customFormat="false" ht="15" hidden="false" customHeight="false" outlineLevel="0" collapsed="false">
      <c r="A153" s="9" t="s">
        <v>212</v>
      </c>
      <c r="B153" s="9" t="n">
        <v>7</v>
      </c>
      <c r="C153" s="9" t="s">
        <v>578</v>
      </c>
      <c r="D153" s="9" t="n">
        <v>300</v>
      </c>
      <c r="E153" s="9" t="n">
        <v>53.5</v>
      </c>
      <c r="F153" s="9" t="n">
        <v>18</v>
      </c>
      <c r="G153" s="9" t="n">
        <v>2.5</v>
      </c>
      <c r="H153" s="9" t="n">
        <v>3</v>
      </c>
      <c r="I153" s="9" t="s">
        <v>571</v>
      </c>
      <c r="J153" s="9" t="s">
        <v>668</v>
      </c>
      <c r="K153" s="9" t="s">
        <v>213</v>
      </c>
    </row>
    <row r="154" customFormat="false" ht="15" hidden="false" customHeight="false" outlineLevel="0" collapsed="false">
      <c r="A154" s="9" t="s">
        <v>212</v>
      </c>
      <c r="B154" s="9" t="n">
        <v>8</v>
      </c>
      <c r="C154" s="9" t="s">
        <v>578</v>
      </c>
      <c r="D154" s="9" t="n">
        <v>172</v>
      </c>
      <c r="E154" s="9" t="n">
        <v>53.5</v>
      </c>
      <c r="F154" s="9" t="n">
        <v>18</v>
      </c>
      <c r="G154" s="9" t="n">
        <v>2.5</v>
      </c>
      <c r="H154" s="9" t="n">
        <v>3</v>
      </c>
      <c r="I154" s="9" t="s">
        <v>571</v>
      </c>
      <c r="J154" s="9" t="s">
        <v>669</v>
      </c>
      <c r="K154" s="9" t="s">
        <v>213</v>
      </c>
    </row>
    <row r="155" customFormat="false" ht="15" hidden="false" customHeight="false" outlineLevel="0" collapsed="false">
      <c r="A155" s="9" t="s">
        <v>212</v>
      </c>
      <c r="B155" s="9" t="n">
        <v>9</v>
      </c>
      <c r="C155" s="9" t="s">
        <v>578</v>
      </c>
      <c r="D155" s="9" t="n">
        <v>76</v>
      </c>
      <c r="E155" s="9" t="n">
        <v>53.5</v>
      </c>
      <c r="F155" s="9" t="n">
        <v>18</v>
      </c>
      <c r="G155" s="9" t="n">
        <v>2.5</v>
      </c>
      <c r="H155" s="9" t="n">
        <v>3</v>
      </c>
      <c r="I155" s="9" t="s">
        <v>571</v>
      </c>
      <c r="J155" s="9" t="s">
        <v>670</v>
      </c>
      <c r="K155" s="9" t="s">
        <v>213</v>
      </c>
    </row>
    <row r="156" customFormat="false" ht="15" hidden="false" customHeight="false" outlineLevel="0" collapsed="false">
      <c r="A156" s="9" t="s">
        <v>215</v>
      </c>
      <c r="B156" s="9" t="n">
        <v>1</v>
      </c>
      <c r="C156" s="9" t="s">
        <v>17</v>
      </c>
      <c r="D156" s="9" t="n">
        <v>389</v>
      </c>
      <c r="E156" s="9" t="n">
        <v>32</v>
      </c>
      <c r="F156" s="9" t="n">
        <v>9</v>
      </c>
      <c r="G156" s="9" t="n">
        <v>8</v>
      </c>
      <c r="H156" s="9" t="n">
        <v>25</v>
      </c>
      <c r="I156" s="9" t="s">
        <v>553</v>
      </c>
      <c r="J156" s="9" t="s">
        <v>662</v>
      </c>
      <c r="K156" s="9" t="s">
        <v>217</v>
      </c>
    </row>
    <row r="157" customFormat="false" ht="15" hidden="false" customHeight="false" outlineLevel="0" collapsed="false">
      <c r="A157" s="9" t="s">
        <v>215</v>
      </c>
      <c r="B157" s="9" t="n">
        <v>2</v>
      </c>
      <c r="C157" s="9" t="s">
        <v>17</v>
      </c>
      <c r="D157" s="9" t="n">
        <v>389</v>
      </c>
      <c r="E157" s="9" t="n">
        <v>168.5</v>
      </c>
      <c r="F157" s="9" t="n">
        <v>9</v>
      </c>
      <c r="G157" s="9" t="n">
        <v>8</v>
      </c>
      <c r="H157" s="9" t="n">
        <v>25</v>
      </c>
      <c r="I157" s="9" t="s">
        <v>553</v>
      </c>
      <c r="J157" s="9" t="s">
        <v>663</v>
      </c>
      <c r="K157" s="9" t="s">
        <v>217</v>
      </c>
    </row>
    <row r="158" customFormat="false" ht="15" hidden="false" customHeight="false" outlineLevel="0" collapsed="false">
      <c r="A158" s="9" t="s">
        <v>215</v>
      </c>
      <c r="B158" s="9" t="n">
        <v>3</v>
      </c>
      <c r="C158" s="9" t="s">
        <v>17</v>
      </c>
      <c r="D158" s="9" t="n">
        <v>389</v>
      </c>
      <c r="E158" s="9" t="n">
        <v>305</v>
      </c>
      <c r="F158" s="9" t="n">
        <v>9</v>
      </c>
      <c r="G158" s="9" t="n">
        <v>8</v>
      </c>
      <c r="H158" s="9" t="n">
        <v>25</v>
      </c>
      <c r="I158" s="9" t="s">
        <v>553</v>
      </c>
      <c r="J158" s="9" t="s">
        <v>664</v>
      </c>
      <c r="K158" s="9" t="s">
        <v>217</v>
      </c>
    </row>
    <row r="159" customFormat="false" ht="15" hidden="false" customHeight="false" outlineLevel="0" collapsed="false">
      <c r="A159" s="9" t="s">
        <v>215</v>
      </c>
      <c r="B159" s="9" t="n">
        <v>4</v>
      </c>
      <c r="C159" s="9" t="s">
        <v>19</v>
      </c>
      <c r="D159" s="9" t="n">
        <v>0</v>
      </c>
      <c r="E159" s="9" t="n">
        <v>32</v>
      </c>
      <c r="F159" s="9" t="n">
        <v>9</v>
      </c>
      <c r="G159" s="9" t="n">
        <v>8</v>
      </c>
      <c r="H159" s="9" t="n">
        <v>25</v>
      </c>
      <c r="I159" s="9" t="s">
        <v>553</v>
      </c>
      <c r="J159" s="9" t="s">
        <v>653</v>
      </c>
      <c r="K159" s="9" t="s">
        <v>217</v>
      </c>
    </row>
    <row r="160" customFormat="false" ht="15" hidden="false" customHeight="false" outlineLevel="0" collapsed="false">
      <c r="A160" s="9" t="s">
        <v>215</v>
      </c>
      <c r="B160" s="9" t="n">
        <v>5</v>
      </c>
      <c r="C160" s="9" t="s">
        <v>19</v>
      </c>
      <c r="D160" s="9" t="n">
        <v>0</v>
      </c>
      <c r="E160" s="9" t="n">
        <v>168.5</v>
      </c>
      <c r="F160" s="9" t="n">
        <v>9</v>
      </c>
      <c r="G160" s="9" t="n">
        <v>8</v>
      </c>
      <c r="H160" s="9" t="n">
        <v>25</v>
      </c>
      <c r="I160" s="9" t="s">
        <v>553</v>
      </c>
      <c r="J160" s="9" t="s">
        <v>654</v>
      </c>
      <c r="K160" s="9" t="s">
        <v>217</v>
      </c>
    </row>
    <row r="161" customFormat="false" ht="15" hidden="false" customHeight="false" outlineLevel="0" collapsed="false">
      <c r="A161" s="9" t="s">
        <v>215</v>
      </c>
      <c r="B161" s="9" t="n">
        <v>6</v>
      </c>
      <c r="C161" s="9" t="s">
        <v>19</v>
      </c>
      <c r="D161" s="9" t="n">
        <v>0</v>
      </c>
      <c r="E161" s="9" t="n">
        <v>305</v>
      </c>
      <c r="F161" s="9" t="n">
        <v>9</v>
      </c>
      <c r="G161" s="9" t="n">
        <v>8</v>
      </c>
      <c r="H161" s="9" t="n">
        <v>25</v>
      </c>
      <c r="I161" s="9" t="s">
        <v>553</v>
      </c>
      <c r="J161" s="9" t="s">
        <v>655</v>
      </c>
      <c r="K161" s="9" t="s">
        <v>217</v>
      </c>
    </row>
    <row r="162" customFormat="false" ht="15" hidden="false" customHeight="false" outlineLevel="0" collapsed="false">
      <c r="A162" s="9" t="s">
        <v>219</v>
      </c>
      <c r="B162" s="9" t="n">
        <v>1</v>
      </c>
      <c r="C162" s="9" t="s">
        <v>17</v>
      </c>
      <c r="D162" s="9" t="n">
        <v>389</v>
      </c>
      <c r="E162" s="9" t="n">
        <v>32</v>
      </c>
      <c r="F162" s="9" t="n">
        <v>9</v>
      </c>
      <c r="G162" s="9" t="n">
        <v>8</v>
      </c>
      <c r="H162" s="9" t="n">
        <v>25</v>
      </c>
      <c r="I162" s="9" t="s">
        <v>553</v>
      </c>
      <c r="J162" s="9" t="s">
        <v>665</v>
      </c>
      <c r="K162" s="9" t="s">
        <v>220</v>
      </c>
    </row>
    <row r="163" customFormat="false" ht="15" hidden="false" customHeight="false" outlineLevel="0" collapsed="false">
      <c r="A163" s="9" t="s">
        <v>219</v>
      </c>
      <c r="B163" s="9" t="n">
        <v>2</v>
      </c>
      <c r="C163" s="9" t="s">
        <v>17</v>
      </c>
      <c r="D163" s="9" t="n">
        <v>389</v>
      </c>
      <c r="E163" s="9" t="n">
        <v>168.5</v>
      </c>
      <c r="F163" s="9" t="n">
        <v>9</v>
      </c>
      <c r="G163" s="9" t="n">
        <v>8</v>
      </c>
      <c r="H163" s="9" t="n">
        <v>25</v>
      </c>
      <c r="I163" s="9" t="s">
        <v>553</v>
      </c>
      <c r="J163" s="9" t="s">
        <v>666</v>
      </c>
      <c r="K163" s="9" t="s">
        <v>220</v>
      </c>
    </row>
    <row r="164" customFormat="false" ht="15" hidden="false" customHeight="false" outlineLevel="0" collapsed="false">
      <c r="A164" s="9" t="s">
        <v>219</v>
      </c>
      <c r="B164" s="9" t="n">
        <v>3</v>
      </c>
      <c r="C164" s="9" t="s">
        <v>17</v>
      </c>
      <c r="D164" s="9" t="n">
        <v>389</v>
      </c>
      <c r="E164" s="9" t="n">
        <v>305</v>
      </c>
      <c r="F164" s="9" t="n">
        <v>9</v>
      </c>
      <c r="G164" s="9" t="n">
        <v>8</v>
      </c>
      <c r="H164" s="9" t="n">
        <v>25</v>
      </c>
      <c r="I164" s="9" t="s">
        <v>553</v>
      </c>
      <c r="J164" s="9" t="s">
        <v>667</v>
      </c>
      <c r="K164" s="9" t="s">
        <v>220</v>
      </c>
    </row>
    <row r="165" customFormat="false" ht="15" hidden="false" customHeight="false" outlineLevel="0" collapsed="false">
      <c r="A165" s="9" t="s">
        <v>219</v>
      </c>
      <c r="B165" s="9" t="n">
        <v>4</v>
      </c>
      <c r="C165" s="9" t="s">
        <v>19</v>
      </c>
      <c r="D165" s="9" t="n">
        <v>0</v>
      </c>
      <c r="E165" s="9" t="n">
        <v>32</v>
      </c>
      <c r="F165" s="9" t="n">
        <v>9</v>
      </c>
      <c r="G165" s="9" t="n">
        <v>8</v>
      </c>
      <c r="H165" s="9" t="n">
        <v>25</v>
      </c>
      <c r="I165" s="9" t="s">
        <v>553</v>
      </c>
      <c r="J165" s="9" t="s">
        <v>656</v>
      </c>
      <c r="K165" s="9" t="s">
        <v>220</v>
      </c>
    </row>
    <row r="166" customFormat="false" ht="15" hidden="false" customHeight="false" outlineLevel="0" collapsed="false">
      <c r="A166" s="9" t="s">
        <v>219</v>
      </c>
      <c r="B166" s="9" t="n">
        <v>5</v>
      </c>
      <c r="C166" s="9" t="s">
        <v>19</v>
      </c>
      <c r="D166" s="9" t="n">
        <v>0</v>
      </c>
      <c r="E166" s="9" t="n">
        <v>168.5</v>
      </c>
      <c r="F166" s="9" t="n">
        <v>9</v>
      </c>
      <c r="G166" s="9" t="n">
        <v>8</v>
      </c>
      <c r="H166" s="9" t="n">
        <v>25</v>
      </c>
      <c r="I166" s="9" t="s">
        <v>553</v>
      </c>
      <c r="J166" s="9" t="s">
        <v>657</v>
      </c>
      <c r="K166" s="9" t="s">
        <v>220</v>
      </c>
    </row>
    <row r="167" customFormat="false" ht="15" hidden="false" customHeight="false" outlineLevel="0" collapsed="false">
      <c r="A167" s="9" t="s">
        <v>219</v>
      </c>
      <c r="B167" s="9" t="n">
        <v>6</v>
      </c>
      <c r="C167" s="9" t="s">
        <v>19</v>
      </c>
      <c r="D167" s="9" t="n">
        <v>0</v>
      </c>
      <c r="E167" s="9" t="n">
        <v>305</v>
      </c>
      <c r="F167" s="9" t="n">
        <v>9</v>
      </c>
      <c r="G167" s="9" t="n">
        <v>8</v>
      </c>
      <c r="H167" s="9" t="n">
        <v>25</v>
      </c>
      <c r="I167" s="9" t="s">
        <v>553</v>
      </c>
      <c r="J167" s="9" t="s">
        <v>658</v>
      </c>
      <c r="K167" s="9" t="s">
        <v>220</v>
      </c>
    </row>
    <row r="168" customFormat="false" ht="15" hidden="false" customHeight="false" outlineLevel="0" collapsed="false">
      <c r="A168" s="9" t="s">
        <v>228</v>
      </c>
      <c r="B168" s="9" t="n">
        <v>1</v>
      </c>
      <c r="C168" s="9" t="s">
        <v>19</v>
      </c>
      <c r="D168" s="9" t="n">
        <v>0</v>
      </c>
      <c r="E168" s="9" t="n">
        <v>7</v>
      </c>
      <c r="F168" s="9" t="n">
        <v>4</v>
      </c>
      <c r="G168" s="9" t="n">
        <v>6</v>
      </c>
      <c r="H168" s="9" t="n">
        <v>10</v>
      </c>
      <c r="I168" s="9" t="s">
        <v>590</v>
      </c>
      <c r="J168" s="9" t="s">
        <v>671</v>
      </c>
      <c r="K168" s="9" t="s">
        <v>230</v>
      </c>
    </row>
    <row r="169" customFormat="false" ht="15" hidden="false" customHeight="false" outlineLevel="0" collapsed="false">
      <c r="A169" s="9" t="s">
        <v>232</v>
      </c>
      <c r="B169" s="9" t="n">
        <v>1</v>
      </c>
      <c r="C169" s="9" t="s">
        <v>19</v>
      </c>
      <c r="D169" s="9" t="n">
        <v>0</v>
      </c>
      <c r="E169" s="9" t="n">
        <v>7</v>
      </c>
      <c r="F169" s="9" t="n">
        <v>11</v>
      </c>
      <c r="G169" s="9" t="n">
        <v>6</v>
      </c>
      <c r="H169" s="9" t="n">
        <v>10</v>
      </c>
      <c r="I169" s="9" t="s">
        <v>590</v>
      </c>
      <c r="J169" s="9" t="s">
        <v>672</v>
      </c>
      <c r="K169" s="9" t="s">
        <v>233</v>
      </c>
    </row>
    <row r="170" customFormat="false" ht="15" hidden="false" customHeight="false" outlineLevel="0" collapsed="false">
      <c r="A170" s="9" t="s">
        <v>243</v>
      </c>
      <c r="B170" s="9" t="n">
        <v>1</v>
      </c>
      <c r="C170" s="9" t="s">
        <v>558</v>
      </c>
      <c r="D170" s="9" t="n">
        <v>305</v>
      </c>
      <c r="E170" s="9" t="n">
        <v>9</v>
      </c>
      <c r="F170" s="9" t="n">
        <v>0</v>
      </c>
      <c r="G170" s="9" t="n">
        <v>8</v>
      </c>
      <c r="H170" s="9" t="n">
        <v>13</v>
      </c>
      <c r="I170" s="9" t="s">
        <v>567</v>
      </c>
      <c r="J170" s="9" t="s">
        <v>673</v>
      </c>
      <c r="K170" s="9" t="s">
        <v>246</v>
      </c>
    </row>
    <row r="171" customFormat="false" ht="15" hidden="false" customHeight="false" outlineLevel="0" collapsed="false">
      <c r="A171" s="9" t="s">
        <v>243</v>
      </c>
      <c r="B171" s="9" t="n">
        <v>2</v>
      </c>
      <c r="C171" s="9" t="s">
        <v>558</v>
      </c>
      <c r="D171" s="9" t="n">
        <v>168.5</v>
      </c>
      <c r="E171" s="9" t="n">
        <v>9</v>
      </c>
      <c r="F171" s="9" t="n">
        <v>0</v>
      </c>
      <c r="G171" s="9" t="n">
        <v>8</v>
      </c>
      <c r="H171" s="9" t="n">
        <v>13</v>
      </c>
      <c r="I171" s="9" t="s">
        <v>567</v>
      </c>
      <c r="J171" s="9" t="s">
        <v>674</v>
      </c>
      <c r="K171" s="9" t="s">
        <v>246</v>
      </c>
    </row>
    <row r="172" customFormat="false" ht="15" hidden="false" customHeight="false" outlineLevel="0" collapsed="false">
      <c r="A172" s="9" t="s">
        <v>243</v>
      </c>
      <c r="B172" s="9" t="n">
        <v>3</v>
      </c>
      <c r="C172" s="9" t="s">
        <v>558</v>
      </c>
      <c r="D172" s="9" t="n">
        <v>32</v>
      </c>
      <c r="E172" s="9" t="n">
        <v>9</v>
      </c>
      <c r="F172" s="9" t="n">
        <v>0</v>
      </c>
      <c r="G172" s="9" t="n">
        <v>8</v>
      </c>
      <c r="H172" s="9" t="n">
        <v>13</v>
      </c>
      <c r="I172" s="9" t="s">
        <v>567</v>
      </c>
      <c r="J172" s="9" t="s">
        <v>675</v>
      </c>
      <c r="K172" s="9" t="s">
        <v>246</v>
      </c>
    </row>
    <row r="173" customFormat="false" ht="15" hidden="false" customHeight="false" outlineLevel="0" collapsed="false">
      <c r="A173" s="9" t="s">
        <v>243</v>
      </c>
      <c r="B173" s="9" t="n">
        <v>4</v>
      </c>
      <c r="C173" s="9" t="s">
        <v>558</v>
      </c>
      <c r="D173" s="9" t="n">
        <v>305</v>
      </c>
      <c r="E173" s="9" t="n">
        <v>411</v>
      </c>
      <c r="F173" s="9" t="n">
        <v>0</v>
      </c>
      <c r="G173" s="9" t="n">
        <v>8</v>
      </c>
      <c r="H173" s="9" t="n">
        <v>13</v>
      </c>
      <c r="I173" s="9" t="s">
        <v>567</v>
      </c>
      <c r="J173" s="9" t="s">
        <v>676</v>
      </c>
      <c r="K173" s="9" t="s">
        <v>246</v>
      </c>
    </row>
    <row r="174" customFormat="false" ht="15" hidden="false" customHeight="false" outlineLevel="0" collapsed="false">
      <c r="A174" s="9" t="s">
        <v>243</v>
      </c>
      <c r="B174" s="9" t="n">
        <v>5</v>
      </c>
      <c r="C174" s="9" t="s">
        <v>558</v>
      </c>
      <c r="D174" s="9" t="n">
        <v>168.5</v>
      </c>
      <c r="E174" s="9" t="n">
        <v>411</v>
      </c>
      <c r="F174" s="9" t="n">
        <v>0</v>
      </c>
      <c r="G174" s="9" t="n">
        <v>8</v>
      </c>
      <c r="H174" s="9" t="n">
        <v>13</v>
      </c>
      <c r="I174" s="9" t="s">
        <v>567</v>
      </c>
      <c r="J174" s="9" t="s">
        <v>677</v>
      </c>
      <c r="K174" s="9" t="s">
        <v>246</v>
      </c>
    </row>
    <row r="175" customFormat="false" ht="15" hidden="false" customHeight="false" outlineLevel="0" collapsed="false">
      <c r="A175" s="9" t="s">
        <v>243</v>
      </c>
      <c r="B175" s="9" t="n">
        <v>6</v>
      </c>
      <c r="C175" s="9" t="s">
        <v>558</v>
      </c>
      <c r="D175" s="9" t="n">
        <v>32</v>
      </c>
      <c r="E175" s="9" t="n">
        <v>411</v>
      </c>
      <c r="F175" s="9" t="n">
        <v>0</v>
      </c>
      <c r="G175" s="9" t="n">
        <v>8</v>
      </c>
      <c r="H175" s="9" t="n">
        <v>13</v>
      </c>
      <c r="I175" s="9" t="s">
        <v>567</v>
      </c>
      <c r="J175" s="9" t="s">
        <v>678</v>
      </c>
      <c r="K175" s="9" t="s">
        <v>246</v>
      </c>
    </row>
    <row r="176" customFormat="false" ht="15" hidden="false" customHeight="false" outlineLevel="0" collapsed="false">
      <c r="A176" s="9" t="s">
        <v>243</v>
      </c>
      <c r="B176" s="9" t="n">
        <v>7</v>
      </c>
      <c r="C176" s="9" t="s">
        <v>558</v>
      </c>
      <c r="D176" s="9" t="n">
        <v>300</v>
      </c>
      <c r="E176" s="9" t="n">
        <v>88.5</v>
      </c>
      <c r="F176" s="9" t="n">
        <v>0</v>
      </c>
      <c r="G176" s="9" t="n">
        <v>2.5</v>
      </c>
      <c r="H176" s="9" t="n">
        <v>3</v>
      </c>
      <c r="I176" s="9" t="s">
        <v>571</v>
      </c>
      <c r="J176" s="9" t="s">
        <v>679</v>
      </c>
      <c r="K176" s="9" t="s">
        <v>246</v>
      </c>
    </row>
    <row r="177" customFormat="false" ht="15" hidden="false" customHeight="false" outlineLevel="0" collapsed="false">
      <c r="A177" s="9" t="s">
        <v>243</v>
      </c>
      <c r="B177" s="9" t="n">
        <v>8</v>
      </c>
      <c r="C177" s="9" t="s">
        <v>558</v>
      </c>
      <c r="D177" s="9" t="n">
        <v>172</v>
      </c>
      <c r="E177" s="9" t="n">
        <v>88.5</v>
      </c>
      <c r="F177" s="9" t="n">
        <v>0</v>
      </c>
      <c r="G177" s="9" t="n">
        <v>2.5</v>
      </c>
      <c r="H177" s="9" t="n">
        <v>3</v>
      </c>
      <c r="I177" s="9" t="s">
        <v>571</v>
      </c>
      <c r="J177" s="9" t="s">
        <v>680</v>
      </c>
      <c r="K177" s="9" t="s">
        <v>246</v>
      </c>
    </row>
    <row r="178" customFormat="false" ht="15" hidden="false" customHeight="false" outlineLevel="0" collapsed="false">
      <c r="A178" s="9" t="s">
        <v>243</v>
      </c>
      <c r="B178" s="9" t="n">
        <v>9</v>
      </c>
      <c r="C178" s="9" t="s">
        <v>558</v>
      </c>
      <c r="D178" s="9" t="n">
        <v>76</v>
      </c>
      <c r="E178" s="9" t="n">
        <v>88.5</v>
      </c>
      <c r="F178" s="9" t="n">
        <v>0</v>
      </c>
      <c r="G178" s="9" t="n">
        <v>2.5</v>
      </c>
      <c r="H178" s="9" t="n">
        <v>3</v>
      </c>
      <c r="I178" s="9" t="s">
        <v>571</v>
      </c>
      <c r="J178" s="9" t="s">
        <v>681</v>
      </c>
      <c r="K178" s="9" t="s">
        <v>246</v>
      </c>
    </row>
    <row r="179" customFormat="false" ht="15" hidden="false" customHeight="false" outlineLevel="0" collapsed="false">
      <c r="A179" s="9" t="s">
        <v>248</v>
      </c>
      <c r="B179" s="9" t="n">
        <v>1</v>
      </c>
      <c r="C179" s="9" t="s">
        <v>16</v>
      </c>
      <c r="D179" s="9" t="n">
        <v>32</v>
      </c>
      <c r="E179" s="9" t="n">
        <v>0</v>
      </c>
      <c r="F179" s="9" t="n">
        <v>9</v>
      </c>
      <c r="G179" s="9" t="n">
        <v>8</v>
      </c>
      <c r="H179" s="9" t="n">
        <v>25</v>
      </c>
      <c r="I179" s="9" t="s">
        <v>553</v>
      </c>
      <c r="J179" s="9" t="s">
        <v>682</v>
      </c>
      <c r="K179" s="9" t="s">
        <v>683</v>
      </c>
    </row>
    <row r="180" customFormat="false" ht="15" hidden="false" customHeight="false" outlineLevel="0" collapsed="false">
      <c r="A180" s="9" t="s">
        <v>248</v>
      </c>
      <c r="B180" s="9" t="n">
        <v>2</v>
      </c>
      <c r="C180" s="9" t="s">
        <v>16</v>
      </c>
      <c r="D180" s="9" t="n">
        <v>168.5</v>
      </c>
      <c r="E180" s="9" t="n">
        <v>0</v>
      </c>
      <c r="F180" s="9" t="n">
        <v>9</v>
      </c>
      <c r="G180" s="9" t="n">
        <v>8</v>
      </c>
      <c r="H180" s="9" t="n">
        <v>25</v>
      </c>
      <c r="I180" s="9" t="s">
        <v>553</v>
      </c>
      <c r="J180" s="9" t="s">
        <v>684</v>
      </c>
      <c r="K180" s="9" t="s">
        <v>683</v>
      </c>
    </row>
    <row r="181" customFormat="false" ht="15" hidden="false" customHeight="false" outlineLevel="0" collapsed="false">
      <c r="A181" s="9" t="s">
        <v>248</v>
      </c>
      <c r="B181" s="9" t="n">
        <v>3</v>
      </c>
      <c r="C181" s="9" t="s">
        <v>16</v>
      </c>
      <c r="D181" s="9" t="n">
        <v>305</v>
      </c>
      <c r="E181" s="9" t="n">
        <v>0</v>
      </c>
      <c r="F181" s="9" t="n">
        <v>9</v>
      </c>
      <c r="G181" s="9" t="n">
        <v>8</v>
      </c>
      <c r="H181" s="9" t="n">
        <v>25</v>
      </c>
      <c r="I181" s="9" t="s">
        <v>553</v>
      </c>
      <c r="J181" s="9" t="s">
        <v>685</v>
      </c>
      <c r="K181" s="9" t="s">
        <v>683</v>
      </c>
    </row>
    <row r="182" customFormat="false" ht="15" hidden="false" customHeight="false" outlineLevel="0" collapsed="false">
      <c r="A182" s="9" t="s">
        <v>248</v>
      </c>
      <c r="B182" s="9" t="n">
        <v>4</v>
      </c>
      <c r="C182" s="9" t="s">
        <v>558</v>
      </c>
      <c r="D182" s="9" t="n">
        <v>84.25</v>
      </c>
      <c r="E182" s="9" t="n">
        <v>24</v>
      </c>
      <c r="F182" s="9" t="n">
        <v>0</v>
      </c>
      <c r="G182" s="9" t="n">
        <v>15</v>
      </c>
      <c r="H182" s="9" t="n">
        <v>12.5</v>
      </c>
      <c r="I182" s="9" t="s">
        <v>559</v>
      </c>
      <c r="J182" s="9" t="s">
        <v>686</v>
      </c>
      <c r="K182" s="9" t="s">
        <v>687</v>
      </c>
    </row>
    <row r="183" customFormat="false" ht="15" hidden="false" customHeight="false" outlineLevel="0" collapsed="false">
      <c r="A183" s="9" t="s">
        <v>248</v>
      </c>
      <c r="B183" s="9" t="n">
        <v>5</v>
      </c>
      <c r="C183" s="9" t="s">
        <v>16</v>
      </c>
      <c r="D183" s="9" t="n">
        <v>84.25</v>
      </c>
      <c r="E183" s="9" t="n">
        <v>0</v>
      </c>
      <c r="F183" s="9" t="n">
        <v>9</v>
      </c>
      <c r="G183" s="9" t="n">
        <v>8</v>
      </c>
      <c r="H183" s="9" t="n">
        <v>25</v>
      </c>
      <c r="I183" s="9" t="s">
        <v>562</v>
      </c>
      <c r="J183" s="9" t="s">
        <v>686</v>
      </c>
      <c r="K183" s="9" t="s">
        <v>683</v>
      </c>
    </row>
    <row r="184" customFormat="false" ht="15" hidden="false" customHeight="false" outlineLevel="0" collapsed="false">
      <c r="A184" s="9" t="s">
        <v>248</v>
      </c>
      <c r="B184" s="9" t="n">
        <v>6</v>
      </c>
      <c r="C184" s="9" t="s">
        <v>558</v>
      </c>
      <c r="D184" s="9" t="n">
        <v>252.75</v>
      </c>
      <c r="E184" s="9" t="n">
        <v>24</v>
      </c>
      <c r="F184" s="9" t="n">
        <v>0</v>
      </c>
      <c r="G184" s="9" t="n">
        <v>15</v>
      </c>
      <c r="H184" s="9" t="n">
        <v>12.5</v>
      </c>
      <c r="I184" s="9" t="s">
        <v>559</v>
      </c>
      <c r="J184" s="9" t="s">
        <v>688</v>
      </c>
      <c r="K184" s="9" t="s">
        <v>687</v>
      </c>
    </row>
    <row r="185" customFormat="false" ht="15" hidden="false" customHeight="false" outlineLevel="0" collapsed="false">
      <c r="A185" s="9" t="s">
        <v>248</v>
      </c>
      <c r="B185" s="9" t="n">
        <v>7</v>
      </c>
      <c r="C185" s="9" t="s">
        <v>16</v>
      </c>
      <c r="D185" s="9" t="n">
        <v>252.75</v>
      </c>
      <c r="E185" s="9" t="n">
        <v>0</v>
      </c>
      <c r="F185" s="9" t="n">
        <v>9</v>
      </c>
      <c r="G185" s="9" t="n">
        <v>8</v>
      </c>
      <c r="H185" s="9" t="n">
        <v>25</v>
      </c>
      <c r="I185" s="9" t="s">
        <v>562</v>
      </c>
      <c r="J185" s="9" t="s">
        <v>688</v>
      </c>
      <c r="K185" s="9" t="s">
        <v>683</v>
      </c>
    </row>
    <row r="186" customFormat="false" ht="15" hidden="false" customHeight="false" outlineLevel="0" collapsed="false">
      <c r="A186" s="9" t="s">
        <v>248</v>
      </c>
      <c r="B186" s="9" t="n">
        <v>8</v>
      </c>
      <c r="C186" s="9" t="s">
        <v>18</v>
      </c>
      <c r="D186" s="9" t="n">
        <v>32</v>
      </c>
      <c r="E186" s="9" t="n">
        <v>260</v>
      </c>
      <c r="F186" s="9" t="n">
        <v>9</v>
      </c>
      <c r="G186" s="9" t="n">
        <v>8</v>
      </c>
      <c r="H186" s="9" t="n">
        <v>25</v>
      </c>
      <c r="I186" s="9" t="s">
        <v>553</v>
      </c>
      <c r="J186" s="9" t="s">
        <v>689</v>
      </c>
      <c r="K186" s="9" t="s">
        <v>683</v>
      </c>
    </row>
    <row r="187" customFormat="false" ht="15" hidden="false" customHeight="false" outlineLevel="0" collapsed="false">
      <c r="A187" s="9" t="s">
        <v>248</v>
      </c>
      <c r="B187" s="9" t="n">
        <v>9</v>
      </c>
      <c r="C187" s="9" t="s">
        <v>18</v>
      </c>
      <c r="D187" s="9" t="n">
        <v>168.5</v>
      </c>
      <c r="E187" s="9" t="n">
        <v>260</v>
      </c>
      <c r="F187" s="9" t="n">
        <v>9</v>
      </c>
      <c r="G187" s="9" t="n">
        <v>8</v>
      </c>
      <c r="H187" s="9" t="n">
        <v>25</v>
      </c>
      <c r="I187" s="9" t="s">
        <v>553</v>
      </c>
      <c r="J187" s="9" t="s">
        <v>690</v>
      </c>
      <c r="K187" s="9" t="s">
        <v>683</v>
      </c>
    </row>
    <row r="188" customFormat="false" ht="15" hidden="false" customHeight="false" outlineLevel="0" collapsed="false">
      <c r="A188" s="9" t="s">
        <v>248</v>
      </c>
      <c r="B188" s="9" t="n">
        <v>10</v>
      </c>
      <c r="C188" s="9" t="s">
        <v>18</v>
      </c>
      <c r="D188" s="9" t="n">
        <v>305</v>
      </c>
      <c r="E188" s="9" t="n">
        <v>260</v>
      </c>
      <c r="F188" s="9" t="n">
        <v>9</v>
      </c>
      <c r="G188" s="9" t="n">
        <v>8</v>
      </c>
      <c r="H188" s="9" t="n">
        <v>25</v>
      </c>
      <c r="I188" s="9" t="s">
        <v>553</v>
      </c>
      <c r="J188" s="9" t="s">
        <v>691</v>
      </c>
      <c r="K188" s="9" t="s">
        <v>683</v>
      </c>
    </row>
    <row r="189" customFormat="false" ht="15" hidden="false" customHeight="false" outlineLevel="0" collapsed="false">
      <c r="A189" s="9" t="s">
        <v>248</v>
      </c>
      <c r="B189" s="9" t="n">
        <v>11</v>
      </c>
      <c r="C189" s="9" t="s">
        <v>558</v>
      </c>
      <c r="D189" s="9" t="n">
        <v>84.25</v>
      </c>
      <c r="E189" s="9" t="n">
        <v>236</v>
      </c>
      <c r="F189" s="9" t="n">
        <v>0</v>
      </c>
      <c r="G189" s="9" t="n">
        <v>15</v>
      </c>
      <c r="H189" s="9" t="n">
        <v>12.5</v>
      </c>
      <c r="I189" s="9" t="s">
        <v>559</v>
      </c>
      <c r="J189" s="9" t="s">
        <v>692</v>
      </c>
      <c r="K189" s="9" t="s">
        <v>687</v>
      </c>
    </row>
    <row r="190" customFormat="false" ht="15" hidden="false" customHeight="false" outlineLevel="0" collapsed="false">
      <c r="A190" s="9" t="s">
        <v>248</v>
      </c>
      <c r="B190" s="9" t="n">
        <v>12</v>
      </c>
      <c r="C190" s="9" t="s">
        <v>18</v>
      </c>
      <c r="D190" s="9" t="n">
        <v>84.25</v>
      </c>
      <c r="E190" s="9" t="n">
        <v>260</v>
      </c>
      <c r="F190" s="9" t="n">
        <v>9</v>
      </c>
      <c r="G190" s="9" t="n">
        <v>8</v>
      </c>
      <c r="H190" s="9" t="n">
        <v>25</v>
      </c>
      <c r="I190" s="9" t="s">
        <v>562</v>
      </c>
      <c r="J190" s="9" t="s">
        <v>692</v>
      </c>
      <c r="K190" s="9" t="s">
        <v>683</v>
      </c>
    </row>
    <row r="191" customFormat="false" ht="15" hidden="false" customHeight="false" outlineLevel="0" collapsed="false">
      <c r="A191" s="9" t="s">
        <v>248</v>
      </c>
      <c r="B191" s="9" t="n">
        <v>13</v>
      </c>
      <c r="C191" s="9" t="s">
        <v>558</v>
      </c>
      <c r="D191" s="9" t="n">
        <v>252.75</v>
      </c>
      <c r="E191" s="9" t="n">
        <v>236</v>
      </c>
      <c r="F191" s="9" t="n">
        <v>0</v>
      </c>
      <c r="G191" s="9" t="n">
        <v>15</v>
      </c>
      <c r="H191" s="9" t="n">
        <v>12.5</v>
      </c>
      <c r="I191" s="9" t="s">
        <v>559</v>
      </c>
      <c r="J191" s="9" t="s">
        <v>693</v>
      </c>
      <c r="K191" s="9" t="s">
        <v>687</v>
      </c>
    </row>
    <row r="192" customFormat="false" ht="15" hidden="false" customHeight="false" outlineLevel="0" collapsed="false">
      <c r="A192" s="9" t="s">
        <v>248</v>
      </c>
      <c r="B192" s="9" t="n">
        <v>14</v>
      </c>
      <c r="C192" s="9" t="s">
        <v>18</v>
      </c>
      <c r="D192" s="9" t="n">
        <v>252.75</v>
      </c>
      <c r="E192" s="9" t="n">
        <v>260</v>
      </c>
      <c r="F192" s="9" t="n">
        <v>9</v>
      </c>
      <c r="G192" s="9" t="n">
        <v>8</v>
      </c>
      <c r="H192" s="9" t="n">
        <v>25</v>
      </c>
      <c r="I192" s="9" t="s">
        <v>562</v>
      </c>
      <c r="J192" s="9" t="s">
        <v>693</v>
      </c>
      <c r="K192" s="9" t="s">
        <v>683</v>
      </c>
    </row>
    <row r="193" customFormat="false" ht="15" hidden="false" customHeight="false" outlineLevel="0" collapsed="false">
      <c r="A193" s="9" t="s">
        <v>248</v>
      </c>
      <c r="B193" s="9" t="n">
        <v>15</v>
      </c>
      <c r="C193" s="9" t="s">
        <v>558</v>
      </c>
      <c r="D193" s="9" t="n">
        <v>37</v>
      </c>
      <c r="E193" s="9" t="n">
        <v>8.5</v>
      </c>
      <c r="F193" s="9" t="n">
        <v>0</v>
      </c>
      <c r="G193" s="9" t="n">
        <v>2.5</v>
      </c>
      <c r="H193" s="9" t="n">
        <v>3</v>
      </c>
      <c r="I193" s="9" t="s">
        <v>571</v>
      </c>
      <c r="J193" s="9" t="s">
        <v>694</v>
      </c>
      <c r="K193" s="9" t="s">
        <v>687</v>
      </c>
    </row>
    <row r="194" customFormat="false" ht="15" hidden="false" customHeight="false" outlineLevel="0" collapsed="false">
      <c r="A194" s="9" t="s">
        <v>248</v>
      </c>
      <c r="B194" s="9" t="n">
        <v>16</v>
      </c>
      <c r="C194" s="9" t="s">
        <v>558</v>
      </c>
      <c r="D194" s="9" t="n">
        <v>165</v>
      </c>
      <c r="E194" s="9" t="n">
        <v>8.5</v>
      </c>
      <c r="F194" s="9" t="n">
        <v>0</v>
      </c>
      <c r="G194" s="9" t="n">
        <v>2.5</v>
      </c>
      <c r="H194" s="9" t="n">
        <v>3</v>
      </c>
      <c r="I194" s="9" t="s">
        <v>571</v>
      </c>
      <c r="J194" s="9" t="s">
        <v>695</v>
      </c>
      <c r="K194" s="9" t="s">
        <v>687</v>
      </c>
    </row>
    <row r="195" customFormat="false" ht="15" hidden="false" customHeight="false" outlineLevel="0" collapsed="false">
      <c r="A195" s="9" t="s">
        <v>248</v>
      </c>
      <c r="B195" s="9" t="n">
        <v>17</v>
      </c>
      <c r="C195" s="9" t="s">
        <v>558</v>
      </c>
      <c r="D195" s="9" t="n">
        <v>261</v>
      </c>
      <c r="E195" s="9" t="n">
        <v>8.5</v>
      </c>
      <c r="F195" s="9" t="n">
        <v>0</v>
      </c>
      <c r="G195" s="9" t="n">
        <v>2.5</v>
      </c>
      <c r="H195" s="9" t="n">
        <v>3</v>
      </c>
      <c r="I195" s="9" t="s">
        <v>571</v>
      </c>
      <c r="J195" s="9" t="s">
        <v>696</v>
      </c>
      <c r="K195" s="9" t="s">
        <v>687</v>
      </c>
    </row>
    <row r="196" customFormat="false" ht="15" hidden="false" customHeight="false" outlineLevel="0" collapsed="false">
      <c r="A196" s="9" t="s">
        <v>253</v>
      </c>
      <c r="B196" s="9" t="n">
        <v>1</v>
      </c>
      <c r="C196" s="9" t="s">
        <v>17</v>
      </c>
      <c r="D196" s="9" t="n">
        <v>327</v>
      </c>
      <c r="E196" s="9" t="n">
        <v>32</v>
      </c>
      <c r="F196" s="9" t="n">
        <v>9</v>
      </c>
      <c r="G196" s="9" t="n">
        <v>8</v>
      </c>
      <c r="H196" s="9" t="n">
        <v>25</v>
      </c>
      <c r="I196" s="9" t="s">
        <v>553</v>
      </c>
      <c r="J196" s="9" t="s">
        <v>697</v>
      </c>
      <c r="K196" s="9" t="s">
        <v>255</v>
      </c>
    </row>
    <row r="197" customFormat="false" ht="15" hidden="false" customHeight="false" outlineLevel="0" collapsed="false">
      <c r="A197" s="9" t="s">
        <v>253</v>
      </c>
      <c r="B197" s="9" t="n">
        <v>2</v>
      </c>
      <c r="C197" s="9" t="s">
        <v>17</v>
      </c>
      <c r="D197" s="9" t="n">
        <v>327</v>
      </c>
      <c r="E197" s="9" t="n">
        <v>168.5</v>
      </c>
      <c r="F197" s="9" t="n">
        <v>9</v>
      </c>
      <c r="G197" s="9" t="n">
        <v>8</v>
      </c>
      <c r="H197" s="9" t="n">
        <v>25</v>
      </c>
      <c r="I197" s="9" t="s">
        <v>553</v>
      </c>
      <c r="J197" s="9" t="s">
        <v>698</v>
      </c>
      <c r="K197" s="9" t="s">
        <v>255</v>
      </c>
    </row>
    <row r="198" customFormat="false" ht="15" hidden="false" customHeight="false" outlineLevel="0" collapsed="false">
      <c r="A198" s="9" t="s">
        <v>253</v>
      </c>
      <c r="B198" s="9" t="n">
        <v>3</v>
      </c>
      <c r="C198" s="9" t="s">
        <v>17</v>
      </c>
      <c r="D198" s="9" t="n">
        <v>327</v>
      </c>
      <c r="E198" s="9" t="n">
        <v>305</v>
      </c>
      <c r="F198" s="9" t="n">
        <v>9</v>
      </c>
      <c r="G198" s="9" t="n">
        <v>8</v>
      </c>
      <c r="H198" s="9" t="n">
        <v>25</v>
      </c>
      <c r="I198" s="9" t="s">
        <v>553</v>
      </c>
      <c r="J198" s="9" t="s">
        <v>699</v>
      </c>
      <c r="K198" s="9" t="s">
        <v>255</v>
      </c>
    </row>
    <row r="199" customFormat="false" ht="15" hidden="false" customHeight="false" outlineLevel="0" collapsed="false">
      <c r="A199" s="9" t="s">
        <v>253</v>
      </c>
      <c r="B199" s="9" t="n">
        <v>4</v>
      </c>
      <c r="C199" s="9" t="s">
        <v>578</v>
      </c>
      <c r="D199" s="9" t="n">
        <v>303</v>
      </c>
      <c r="E199" s="9" t="n">
        <v>84.25</v>
      </c>
      <c r="F199" s="9" t="n">
        <v>18</v>
      </c>
      <c r="G199" s="9" t="n">
        <v>15</v>
      </c>
      <c r="H199" s="9" t="n">
        <v>12.5</v>
      </c>
      <c r="I199" s="9" t="s">
        <v>559</v>
      </c>
      <c r="J199" s="9" t="s">
        <v>700</v>
      </c>
      <c r="K199" s="9" t="s">
        <v>255</v>
      </c>
    </row>
    <row r="200" customFormat="false" ht="15" hidden="false" customHeight="false" outlineLevel="0" collapsed="false">
      <c r="A200" s="9" t="s">
        <v>253</v>
      </c>
      <c r="B200" s="9" t="n">
        <v>5</v>
      </c>
      <c r="C200" s="9" t="s">
        <v>17</v>
      </c>
      <c r="D200" s="9" t="n">
        <v>327</v>
      </c>
      <c r="E200" s="9" t="n">
        <v>84.25</v>
      </c>
      <c r="F200" s="9" t="n">
        <v>9</v>
      </c>
      <c r="G200" s="9" t="n">
        <v>8</v>
      </c>
      <c r="H200" s="9" t="n">
        <v>25</v>
      </c>
      <c r="I200" s="9" t="s">
        <v>562</v>
      </c>
      <c r="J200" s="9" t="s">
        <v>700</v>
      </c>
      <c r="K200" s="9" t="s">
        <v>255</v>
      </c>
    </row>
    <row r="201" customFormat="false" ht="15" hidden="false" customHeight="false" outlineLevel="0" collapsed="false">
      <c r="A201" s="9" t="s">
        <v>253</v>
      </c>
      <c r="B201" s="9" t="n">
        <v>6</v>
      </c>
      <c r="C201" s="9" t="s">
        <v>578</v>
      </c>
      <c r="D201" s="9" t="n">
        <v>303</v>
      </c>
      <c r="E201" s="9" t="n">
        <v>252.75</v>
      </c>
      <c r="F201" s="9" t="n">
        <v>18</v>
      </c>
      <c r="G201" s="9" t="n">
        <v>15</v>
      </c>
      <c r="H201" s="9" t="n">
        <v>12.5</v>
      </c>
      <c r="I201" s="9" t="s">
        <v>559</v>
      </c>
      <c r="J201" s="9" t="s">
        <v>701</v>
      </c>
      <c r="K201" s="9" t="s">
        <v>255</v>
      </c>
    </row>
    <row r="202" customFormat="false" ht="15" hidden="false" customHeight="false" outlineLevel="0" collapsed="false">
      <c r="A202" s="9" t="s">
        <v>253</v>
      </c>
      <c r="B202" s="9" t="n">
        <v>7</v>
      </c>
      <c r="C202" s="9" t="s">
        <v>17</v>
      </c>
      <c r="D202" s="9" t="n">
        <v>327</v>
      </c>
      <c r="E202" s="9" t="n">
        <v>252.75</v>
      </c>
      <c r="F202" s="9" t="n">
        <v>9</v>
      </c>
      <c r="G202" s="9" t="n">
        <v>8</v>
      </c>
      <c r="H202" s="9" t="n">
        <v>25</v>
      </c>
      <c r="I202" s="9" t="s">
        <v>562</v>
      </c>
      <c r="J202" s="9" t="s">
        <v>701</v>
      </c>
      <c r="K202" s="9" t="s">
        <v>255</v>
      </c>
    </row>
    <row r="203" customFormat="false" ht="15" hidden="false" customHeight="false" outlineLevel="0" collapsed="false">
      <c r="A203" s="9" t="s">
        <v>253</v>
      </c>
      <c r="B203" s="9" t="n">
        <v>8</v>
      </c>
      <c r="C203" s="9" t="s">
        <v>19</v>
      </c>
      <c r="D203" s="9" t="n">
        <v>0</v>
      </c>
      <c r="E203" s="9" t="n">
        <v>32</v>
      </c>
      <c r="F203" s="9" t="n">
        <v>9</v>
      </c>
      <c r="G203" s="9" t="n">
        <v>8</v>
      </c>
      <c r="H203" s="9" t="n">
        <v>25</v>
      </c>
      <c r="I203" s="9" t="s">
        <v>553</v>
      </c>
      <c r="J203" s="9" t="s">
        <v>673</v>
      </c>
      <c r="K203" s="9" t="s">
        <v>255</v>
      </c>
    </row>
    <row r="204" customFormat="false" ht="15" hidden="false" customHeight="false" outlineLevel="0" collapsed="false">
      <c r="A204" s="9" t="s">
        <v>253</v>
      </c>
      <c r="B204" s="9" t="n">
        <v>9</v>
      </c>
      <c r="C204" s="9" t="s">
        <v>19</v>
      </c>
      <c r="D204" s="9" t="n">
        <v>0</v>
      </c>
      <c r="E204" s="9" t="n">
        <v>168.5</v>
      </c>
      <c r="F204" s="9" t="n">
        <v>9</v>
      </c>
      <c r="G204" s="9" t="n">
        <v>8</v>
      </c>
      <c r="H204" s="9" t="n">
        <v>25</v>
      </c>
      <c r="I204" s="9" t="s">
        <v>553</v>
      </c>
      <c r="J204" s="9" t="s">
        <v>674</v>
      </c>
      <c r="K204" s="9" t="s">
        <v>255</v>
      </c>
    </row>
    <row r="205" customFormat="false" ht="15" hidden="false" customHeight="false" outlineLevel="0" collapsed="false">
      <c r="A205" s="9" t="s">
        <v>253</v>
      </c>
      <c r="B205" s="9" t="n">
        <v>10</v>
      </c>
      <c r="C205" s="9" t="s">
        <v>19</v>
      </c>
      <c r="D205" s="9" t="n">
        <v>0</v>
      </c>
      <c r="E205" s="9" t="n">
        <v>305</v>
      </c>
      <c r="F205" s="9" t="n">
        <v>9</v>
      </c>
      <c r="G205" s="9" t="n">
        <v>8</v>
      </c>
      <c r="H205" s="9" t="n">
        <v>25</v>
      </c>
      <c r="I205" s="9" t="s">
        <v>553</v>
      </c>
      <c r="J205" s="9" t="s">
        <v>675</v>
      </c>
      <c r="K205" s="9" t="s">
        <v>255</v>
      </c>
    </row>
    <row r="206" customFormat="false" ht="15" hidden="false" customHeight="false" outlineLevel="0" collapsed="false">
      <c r="A206" s="9" t="s">
        <v>258</v>
      </c>
      <c r="B206" s="9" t="n">
        <v>1</v>
      </c>
      <c r="C206" s="9" t="s">
        <v>17</v>
      </c>
      <c r="D206" s="9" t="n">
        <v>327</v>
      </c>
      <c r="E206" s="9" t="n">
        <v>32</v>
      </c>
      <c r="F206" s="9" t="n">
        <v>9</v>
      </c>
      <c r="G206" s="9" t="n">
        <v>8</v>
      </c>
      <c r="H206" s="9" t="n">
        <v>25</v>
      </c>
      <c r="I206" s="9" t="s">
        <v>553</v>
      </c>
      <c r="J206" s="9" t="s">
        <v>702</v>
      </c>
      <c r="K206" s="9" t="s">
        <v>703</v>
      </c>
    </row>
    <row r="207" customFormat="false" ht="15" hidden="false" customHeight="false" outlineLevel="0" collapsed="false">
      <c r="A207" s="9" t="s">
        <v>258</v>
      </c>
      <c r="B207" s="9" t="n">
        <v>2</v>
      </c>
      <c r="C207" s="9" t="s">
        <v>17</v>
      </c>
      <c r="D207" s="9" t="n">
        <v>327</v>
      </c>
      <c r="E207" s="9" t="n">
        <v>168.5</v>
      </c>
      <c r="F207" s="9" t="n">
        <v>9</v>
      </c>
      <c r="G207" s="9" t="n">
        <v>8</v>
      </c>
      <c r="H207" s="9" t="n">
        <v>25</v>
      </c>
      <c r="I207" s="9" t="s">
        <v>553</v>
      </c>
      <c r="J207" s="9" t="s">
        <v>704</v>
      </c>
      <c r="K207" s="9" t="s">
        <v>703</v>
      </c>
    </row>
    <row r="208" customFormat="false" ht="15" hidden="false" customHeight="false" outlineLevel="0" collapsed="false">
      <c r="A208" s="9" t="s">
        <v>258</v>
      </c>
      <c r="B208" s="9" t="n">
        <v>3</v>
      </c>
      <c r="C208" s="9" t="s">
        <v>17</v>
      </c>
      <c r="D208" s="9" t="n">
        <v>327</v>
      </c>
      <c r="E208" s="9" t="n">
        <v>305</v>
      </c>
      <c r="F208" s="9" t="n">
        <v>9</v>
      </c>
      <c r="G208" s="9" t="n">
        <v>8</v>
      </c>
      <c r="H208" s="9" t="n">
        <v>25</v>
      </c>
      <c r="I208" s="9" t="s">
        <v>553</v>
      </c>
      <c r="J208" s="9" t="s">
        <v>705</v>
      </c>
      <c r="K208" s="9" t="s">
        <v>703</v>
      </c>
    </row>
    <row r="209" customFormat="false" ht="15" hidden="false" customHeight="false" outlineLevel="0" collapsed="false">
      <c r="A209" s="9" t="s">
        <v>258</v>
      </c>
      <c r="B209" s="9" t="n">
        <v>4</v>
      </c>
      <c r="C209" s="9" t="s">
        <v>558</v>
      </c>
      <c r="D209" s="9" t="n">
        <v>303</v>
      </c>
      <c r="E209" s="9" t="n">
        <v>84.25</v>
      </c>
      <c r="F209" s="9" t="n">
        <v>0</v>
      </c>
      <c r="G209" s="9" t="n">
        <v>15</v>
      </c>
      <c r="H209" s="9" t="n">
        <v>12.5</v>
      </c>
      <c r="I209" s="9" t="s">
        <v>559</v>
      </c>
      <c r="J209" s="9" t="s">
        <v>706</v>
      </c>
      <c r="K209" s="9" t="s">
        <v>707</v>
      </c>
    </row>
    <row r="210" customFormat="false" ht="15" hidden="false" customHeight="false" outlineLevel="0" collapsed="false">
      <c r="A210" s="9" t="s">
        <v>258</v>
      </c>
      <c r="B210" s="9" t="n">
        <v>5</v>
      </c>
      <c r="C210" s="9" t="s">
        <v>17</v>
      </c>
      <c r="D210" s="9" t="n">
        <v>327</v>
      </c>
      <c r="E210" s="9" t="n">
        <v>84.25</v>
      </c>
      <c r="F210" s="9" t="n">
        <v>9</v>
      </c>
      <c r="G210" s="9" t="n">
        <v>8</v>
      </c>
      <c r="H210" s="9" t="n">
        <v>25</v>
      </c>
      <c r="I210" s="9" t="s">
        <v>562</v>
      </c>
      <c r="J210" s="9" t="s">
        <v>706</v>
      </c>
      <c r="K210" s="9" t="s">
        <v>703</v>
      </c>
    </row>
    <row r="211" customFormat="false" ht="15" hidden="false" customHeight="false" outlineLevel="0" collapsed="false">
      <c r="A211" s="9" t="s">
        <v>258</v>
      </c>
      <c r="B211" s="9" t="n">
        <v>6</v>
      </c>
      <c r="C211" s="9" t="s">
        <v>558</v>
      </c>
      <c r="D211" s="9" t="n">
        <v>303</v>
      </c>
      <c r="E211" s="9" t="n">
        <v>252.75</v>
      </c>
      <c r="F211" s="9" t="n">
        <v>0</v>
      </c>
      <c r="G211" s="9" t="n">
        <v>15</v>
      </c>
      <c r="H211" s="9" t="n">
        <v>12.5</v>
      </c>
      <c r="I211" s="9" t="s">
        <v>559</v>
      </c>
      <c r="J211" s="9" t="s">
        <v>708</v>
      </c>
      <c r="K211" s="9" t="s">
        <v>707</v>
      </c>
    </row>
    <row r="212" customFormat="false" ht="15" hidden="false" customHeight="false" outlineLevel="0" collapsed="false">
      <c r="A212" s="9" t="s">
        <v>258</v>
      </c>
      <c r="B212" s="9" t="n">
        <v>7</v>
      </c>
      <c r="C212" s="9" t="s">
        <v>17</v>
      </c>
      <c r="D212" s="9" t="n">
        <v>327</v>
      </c>
      <c r="E212" s="9" t="n">
        <v>252.75</v>
      </c>
      <c r="F212" s="9" t="n">
        <v>9</v>
      </c>
      <c r="G212" s="9" t="n">
        <v>8</v>
      </c>
      <c r="H212" s="9" t="n">
        <v>25</v>
      </c>
      <c r="I212" s="9" t="s">
        <v>562</v>
      </c>
      <c r="J212" s="9" t="s">
        <v>708</v>
      </c>
      <c r="K212" s="9" t="s">
        <v>703</v>
      </c>
    </row>
    <row r="213" customFormat="false" ht="15" hidden="false" customHeight="false" outlineLevel="0" collapsed="false">
      <c r="A213" s="9" t="s">
        <v>258</v>
      </c>
      <c r="B213" s="9" t="n">
        <v>8</v>
      </c>
      <c r="C213" s="9" t="s">
        <v>19</v>
      </c>
      <c r="D213" s="9" t="n">
        <v>0</v>
      </c>
      <c r="E213" s="9" t="n">
        <v>32</v>
      </c>
      <c r="F213" s="9" t="n">
        <v>9</v>
      </c>
      <c r="G213" s="9" t="n">
        <v>8</v>
      </c>
      <c r="H213" s="9" t="n">
        <v>25</v>
      </c>
      <c r="I213" s="9" t="s">
        <v>553</v>
      </c>
      <c r="J213" s="9" t="s">
        <v>676</v>
      </c>
      <c r="K213" s="9" t="s">
        <v>703</v>
      </c>
    </row>
    <row r="214" customFormat="false" ht="15" hidden="false" customHeight="false" outlineLevel="0" collapsed="false">
      <c r="A214" s="9" t="s">
        <v>258</v>
      </c>
      <c r="B214" s="9" t="n">
        <v>9</v>
      </c>
      <c r="C214" s="9" t="s">
        <v>19</v>
      </c>
      <c r="D214" s="9" t="n">
        <v>0</v>
      </c>
      <c r="E214" s="9" t="n">
        <v>168.5</v>
      </c>
      <c r="F214" s="9" t="n">
        <v>9</v>
      </c>
      <c r="G214" s="9" t="n">
        <v>8</v>
      </c>
      <c r="H214" s="9" t="n">
        <v>25</v>
      </c>
      <c r="I214" s="9" t="s">
        <v>553</v>
      </c>
      <c r="J214" s="9" t="s">
        <v>677</v>
      </c>
      <c r="K214" s="9" t="s">
        <v>703</v>
      </c>
    </row>
    <row r="215" customFormat="false" ht="15" hidden="false" customHeight="false" outlineLevel="0" collapsed="false">
      <c r="A215" s="9" t="s">
        <v>258</v>
      </c>
      <c r="B215" s="9" t="n">
        <v>10</v>
      </c>
      <c r="C215" s="9" t="s">
        <v>19</v>
      </c>
      <c r="D215" s="9" t="n">
        <v>0</v>
      </c>
      <c r="E215" s="9" t="n">
        <v>305</v>
      </c>
      <c r="F215" s="9" t="n">
        <v>9</v>
      </c>
      <c r="G215" s="9" t="n">
        <v>8</v>
      </c>
      <c r="H215" s="9" t="n">
        <v>25</v>
      </c>
      <c r="I215" s="9" t="s">
        <v>553</v>
      </c>
      <c r="J215" s="9" t="s">
        <v>678</v>
      </c>
      <c r="K215" s="9" t="s">
        <v>703</v>
      </c>
    </row>
    <row r="216" customFormat="false" ht="15" hidden="false" customHeight="false" outlineLevel="0" collapsed="false">
      <c r="A216" s="9" t="s">
        <v>269</v>
      </c>
      <c r="B216" s="9" t="n">
        <v>1</v>
      </c>
      <c r="C216" s="9" t="s">
        <v>19</v>
      </c>
      <c r="D216" s="9" t="n">
        <v>0</v>
      </c>
      <c r="E216" s="9" t="n">
        <v>7</v>
      </c>
      <c r="F216" s="9" t="n">
        <v>4</v>
      </c>
      <c r="G216" s="9" t="n">
        <v>6</v>
      </c>
      <c r="H216" s="9" t="n">
        <v>10</v>
      </c>
      <c r="I216" s="9" t="s">
        <v>590</v>
      </c>
      <c r="J216" s="9" t="s">
        <v>709</v>
      </c>
      <c r="K216" s="9" t="s">
        <v>271</v>
      </c>
    </row>
    <row r="217" customFormat="false" ht="15" hidden="false" customHeight="false" outlineLevel="0" collapsed="false">
      <c r="A217" s="9" t="s">
        <v>273</v>
      </c>
      <c r="B217" s="9" t="n">
        <v>1</v>
      </c>
      <c r="C217" s="9" t="s">
        <v>19</v>
      </c>
      <c r="D217" s="9" t="n">
        <v>0</v>
      </c>
      <c r="E217" s="9" t="n">
        <v>7</v>
      </c>
      <c r="F217" s="9" t="n">
        <v>11</v>
      </c>
      <c r="G217" s="9" t="n">
        <v>6</v>
      </c>
      <c r="H217" s="9" t="n">
        <v>10</v>
      </c>
      <c r="I217" s="9" t="s">
        <v>590</v>
      </c>
      <c r="J217" s="9" t="s">
        <v>710</v>
      </c>
      <c r="K217" s="9" t="s">
        <v>274</v>
      </c>
    </row>
    <row r="218" customFormat="false" ht="15" hidden="false" customHeight="false" outlineLevel="0" collapsed="false">
      <c r="A218" s="9" t="s">
        <v>284</v>
      </c>
      <c r="B218" s="9" t="n">
        <v>1</v>
      </c>
      <c r="C218" s="9" t="s">
        <v>16</v>
      </c>
      <c r="D218" s="9" t="n">
        <v>32</v>
      </c>
      <c r="E218" s="9" t="n">
        <v>0</v>
      </c>
      <c r="F218" s="9" t="n">
        <v>9</v>
      </c>
      <c r="G218" s="9" t="n">
        <v>8</v>
      </c>
      <c r="H218" s="9" t="n">
        <v>25</v>
      </c>
      <c r="I218" s="9" t="s">
        <v>553</v>
      </c>
      <c r="J218" s="9" t="s">
        <v>711</v>
      </c>
      <c r="K218" s="9" t="s">
        <v>712</v>
      </c>
    </row>
    <row r="219" customFormat="false" ht="15" hidden="false" customHeight="false" outlineLevel="0" collapsed="false">
      <c r="A219" s="9" t="s">
        <v>284</v>
      </c>
      <c r="B219" s="9" t="n">
        <v>2</v>
      </c>
      <c r="C219" s="9" t="s">
        <v>16</v>
      </c>
      <c r="D219" s="9" t="n">
        <v>168.5</v>
      </c>
      <c r="E219" s="9" t="n">
        <v>0</v>
      </c>
      <c r="F219" s="9" t="n">
        <v>9</v>
      </c>
      <c r="G219" s="9" t="n">
        <v>8</v>
      </c>
      <c r="H219" s="9" t="n">
        <v>25</v>
      </c>
      <c r="I219" s="9" t="s">
        <v>553</v>
      </c>
      <c r="J219" s="9" t="s">
        <v>713</v>
      </c>
      <c r="K219" s="9" t="s">
        <v>712</v>
      </c>
    </row>
    <row r="220" customFormat="false" ht="15" hidden="false" customHeight="false" outlineLevel="0" collapsed="false">
      <c r="A220" s="9" t="s">
        <v>284</v>
      </c>
      <c r="B220" s="9" t="n">
        <v>3</v>
      </c>
      <c r="C220" s="9" t="s">
        <v>16</v>
      </c>
      <c r="D220" s="9" t="n">
        <v>305</v>
      </c>
      <c r="E220" s="9" t="n">
        <v>0</v>
      </c>
      <c r="F220" s="9" t="n">
        <v>9</v>
      </c>
      <c r="G220" s="9" t="n">
        <v>8</v>
      </c>
      <c r="H220" s="9" t="n">
        <v>25</v>
      </c>
      <c r="I220" s="9" t="s">
        <v>553</v>
      </c>
      <c r="J220" s="9" t="s">
        <v>714</v>
      </c>
      <c r="K220" s="9" t="s">
        <v>712</v>
      </c>
    </row>
    <row r="221" customFormat="false" ht="15" hidden="false" customHeight="false" outlineLevel="0" collapsed="false">
      <c r="A221" s="9" t="s">
        <v>284</v>
      </c>
      <c r="B221" s="9" t="n">
        <v>4</v>
      </c>
      <c r="C221" s="9" t="s">
        <v>558</v>
      </c>
      <c r="D221" s="9" t="n">
        <v>84.25</v>
      </c>
      <c r="E221" s="9" t="n">
        <v>24</v>
      </c>
      <c r="F221" s="9" t="n">
        <v>0</v>
      </c>
      <c r="G221" s="9" t="n">
        <v>15</v>
      </c>
      <c r="H221" s="9" t="n">
        <v>12.5</v>
      </c>
      <c r="I221" s="9" t="s">
        <v>559</v>
      </c>
      <c r="J221" s="9" t="s">
        <v>715</v>
      </c>
      <c r="K221" s="9" t="s">
        <v>716</v>
      </c>
    </row>
    <row r="222" customFormat="false" ht="15" hidden="false" customHeight="false" outlineLevel="0" collapsed="false">
      <c r="A222" s="9" t="s">
        <v>284</v>
      </c>
      <c r="B222" s="9" t="n">
        <v>5</v>
      </c>
      <c r="C222" s="9" t="s">
        <v>16</v>
      </c>
      <c r="D222" s="9" t="n">
        <v>84.25</v>
      </c>
      <c r="E222" s="9" t="n">
        <v>0</v>
      </c>
      <c r="F222" s="9" t="n">
        <v>9</v>
      </c>
      <c r="G222" s="9" t="n">
        <v>8</v>
      </c>
      <c r="H222" s="9" t="n">
        <v>25</v>
      </c>
      <c r="I222" s="9" t="s">
        <v>562</v>
      </c>
      <c r="J222" s="9" t="s">
        <v>715</v>
      </c>
      <c r="K222" s="9" t="s">
        <v>712</v>
      </c>
    </row>
    <row r="223" customFormat="false" ht="15" hidden="false" customHeight="false" outlineLevel="0" collapsed="false">
      <c r="A223" s="9" t="s">
        <v>284</v>
      </c>
      <c r="B223" s="9" t="n">
        <v>6</v>
      </c>
      <c r="C223" s="9" t="s">
        <v>558</v>
      </c>
      <c r="D223" s="9" t="n">
        <v>252.75</v>
      </c>
      <c r="E223" s="9" t="n">
        <v>24</v>
      </c>
      <c r="F223" s="9" t="n">
        <v>0</v>
      </c>
      <c r="G223" s="9" t="n">
        <v>15</v>
      </c>
      <c r="H223" s="9" t="n">
        <v>12.5</v>
      </c>
      <c r="I223" s="9" t="s">
        <v>559</v>
      </c>
      <c r="J223" s="9" t="s">
        <v>717</v>
      </c>
      <c r="K223" s="9" t="s">
        <v>716</v>
      </c>
    </row>
    <row r="224" customFormat="false" ht="15" hidden="false" customHeight="false" outlineLevel="0" collapsed="false">
      <c r="A224" s="9" t="s">
        <v>284</v>
      </c>
      <c r="B224" s="9" t="n">
        <v>7</v>
      </c>
      <c r="C224" s="9" t="s">
        <v>16</v>
      </c>
      <c r="D224" s="9" t="n">
        <v>252.75</v>
      </c>
      <c r="E224" s="9" t="n">
        <v>0</v>
      </c>
      <c r="F224" s="9" t="n">
        <v>9</v>
      </c>
      <c r="G224" s="9" t="n">
        <v>8</v>
      </c>
      <c r="H224" s="9" t="n">
        <v>25</v>
      </c>
      <c r="I224" s="9" t="s">
        <v>562</v>
      </c>
      <c r="J224" s="9" t="s">
        <v>717</v>
      </c>
      <c r="K224" s="9" t="s">
        <v>712</v>
      </c>
    </row>
    <row r="225" customFormat="false" ht="15" hidden="false" customHeight="false" outlineLevel="0" collapsed="false">
      <c r="A225" s="9" t="s">
        <v>284</v>
      </c>
      <c r="B225" s="9" t="n">
        <v>8</v>
      </c>
      <c r="C225" s="9" t="s">
        <v>18</v>
      </c>
      <c r="D225" s="9" t="n">
        <v>32</v>
      </c>
      <c r="E225" s="9" t="n">
        <v>2525</v>
      </c>
      <c r="F225" s="9" t="n">
        <v>9</v>
      </c>
      <c r="G225" s="9" t="n">
        <v>8</v>
      </c>
      <c r="H225" s="9" t="n">
        <v>25</v>
      </c>
      <c r="I225" s="9" t="s">
        <v>553</v>
      </c>
      <c r="J225" s="9" t="s">
        <v>718</v>
      </c>
      <c r="K225" s="9" t="s">
        <v>712</v>
      </c>
    </row>
    <row r="226" customFormat="false" ht="15" hidden="false" customHeight="false" outlineLevel="0" collapsed="false">
      <c r="A226" s="9" t="s">
        <v>284</v>
      </c>
      <c r="B226" s="9" t="n">
        <v>9</v>
      </c>
      <c r="C226" s="9" t="s">
        <v>18</v>
      </c>
      <c r="D226" s="9" t="n">
        <v>168.5</v>
      </c>
      <c r="E226" s="9" t="n">
        <v>2525</v>
      </c>
      <c r="F226" s="9" t="n">
        <v>9</v>
      </c>
      <c r="G226" s="9" t="n">
        <v>8</v>
      </c>
      <c r="H226" s="9" t="n">
        <v>25</v>
      </c>
      <c r="I226" s="9" t="s">
        <v>553</v>
      </c>
      <c r="J226" s="9" t="s">
        <v>719</v>
      </c>
      <c r="K226" s="9" t="s">
        <v>712</v>
      </c>
    </row>
    <row r="227" customFormat="false" ht="15" hidden="false" customHeight="false" outlineLevel="0" collapsed="false">
      <c r="A227" s="9" t="s">
        <v>284</v>
      </c>
      <c r="B227" s="9" t="n">
        <v>10</v>
      </c>
      <c r="C227" s="9" t="s">
        <v>18</v>
      </c>
      <c r="D227" s="9" t="n">
        <v>305</v>
      </c>
      <c r="E227" s="9" t="n">
        <v>2525</v>
      </c>
      <c r="F227" s="9" t="n">
        <v>9</v>
      </c>
      <c r="G227" s="9" t="n">
        <v>8</v>
      </c>
      <c r="H227" s="9" t="n">
        <v>25</v>
      </c>
      <c r="I227" s="9" t="s">
        <v>553</v>
      </c>
      <c r="J227" s="9" t="s">
        <v>720</v>
      </c>
      <c r="K227" s="9" t="s">
        <v>712</v>
      </c>
    </row>
    <row r="228" customFormat="false" ht="15" hidden="false" customHeight="false" outlineLevel="0" collapsed="false">
      <c r="A228" s="9" t="s">
        <v>284</v>
      </c>
      <c r="B228" s="9" t="n">
        <v>11</v>
      </c>
      <c r="C228" s="9" t="s">
        <v>558</v>
      </c>
      <c r="D228" s="9" t="n">
        <v>84.25</v>
      </c>
      <c r="E228" s="9" t="n">
        <v>2501</v>
      </c>
      <c r="F228" s="9" t="n">
        <v>0</v>
      </c>
      <c r="G228" s="9" t="n">
        <v>15</v>
      </c>
      <c r="H228" s="9" t="n">
        <v>12.5</v>
      </c>
      <c r="I228" s="9" t="s">
        <v>559</v>
      </c>
      <c r="J228" s="9" t="s">
        <v>721</v>
      </c>
      <c r="K228" s="9" t="s">
        <v>716</v>
      </c>
    </row>
    <row r="229" customFormat="false" ht="15" hidden="false" customHeight="false" outlineLevel="0" collapsed="false">
      <c r="A229" s="9" t="s">
        <v>284</v>
      </c>
      <c r="B229" s="9" t="n">
        <v>12</v>
      </c>
      <c r="C229" s="9" t="s">
        <v>18</v>
      </c>
      <c r="D229" s="9" t="n">
        <v>84.25</v>
      </c>
      <c r="E229" s="9" t="n">
        <v>2525</v>
      </c>
      <c r="F229" s="9" t="n">
        <v>9</v>
      </c>
      <c r="G229" s="9" t="n">
        <v>8</v>
      </c>
      <c r="H229" s="9" t="n">
        <v>25</v>
      </c>
      <c r="I229" s="9" t="s">
        <v>562</v>
      </c>
      <c r="J229" s="9" t="s">
        <v>721</v>
      </c>
      <c r="K229" s="9" t="s">
        <v>712</v>
      </c>
    </row>
    <row r="230" customFormat="false" ht="15" hidden="false" customHeight="false" outlineLevel="0" collapsed="false">
      <c r="A230" s="9" t="s">
        <v>284</v>
      </c>
      <c r="B230" s="9" t="n">
        <v>13</v>
      </c>
      <c r="C230" s="9" t="s">
        <v>558</v>
      </c>
      <c r="D230" s="9" t="n">
        <v>252.75</v>
      </c>
      <c r="E230" s="9" t="n">
        <v>2501</v>
      </c>
      <c r="F230" s="9" t="n">
        <v>0</v>
      </c>
      <c r="G230" s="9" t="n">
        <v>15</v>
      </c>
      <c r="H230" s="9" t="n">
        <v>12.5</v>
      </c>
      <c r="I230" s="9" t="s">
        <v>559</v>
      </c>
      <c r="J230" s="9" t="s">
        <v>722</v>
      </c>
      <c r="K230" s="9" t="s">
        <v>716</v>
      </c>
    </row>
    <row r="231" customFormat="false" ht="15" hidden="false" customHeight="false" outlineLevel="0" collapsed="false">
      <c r="A231" s="9" t="s">
        <v>284</v>
      </c>
      <c r="B231" s="9" t="n">
        <v>14</v>
      </c>
      <c r="C231" s="9" t="s">
        <v>18</v>
      </c>
      <c r="D231" s="9" t="n">
        <v>252.75</v>
      </c>
      <c r="E231" s="9" t="n">
        <v>2525</v>
      </c>
      <c r="F231" s="9" t="n">
        <v>9</v>
      </c>
      <c r="G231" s="9" t="n">
        <v>8</v>
      </c>
      <c r="H231" s="9" t="n">
        <v>25</v>
      </c>
      <c r="I231" s="9" t="s">
        <v>562</v>
      </c>
      <c r="J231" s="9" t="s">
        <v>722</v>
      </c>
      <c r="K231" s="9" t="s">
        <v>712</v>
      </c>
    </row>
    <row r="232" customFormat="false" ht="15" hidden="false" customHeight="false" outlineLevel="0" collapsed="false">
      <c r="A232" s="9" t="s">
        <v>284</v>
      </c>
      <c r="B232" s="9" t="n">
        <v>15</v>
      </c>
      <c r="C232" s="9" t="s">
        <v>558</v>
      </c>
      <c r="D232" s="9" t="n">
        <v>305</v>
      </c>
      <c r="E232" s="9" t="n">
        <v>329</v>
      </c>
      <c r="F232" s="9" t="n">
        <v>0</v>
      </c>
      <c r="G232" s="9" t="n">
        <v>8</v>
      </c>
      <c r="H232" s="9" t="n">
        <v>13</v>
      </c>
      <c r="I232" s="9" t="s">
        <v>567</v>
      </c>
      <c r="J232" s="9" t="s">
        <v>723</v>
      </c>
      <c r="K232" s="9" t="s">
        <v>716</v>
      </c>
    </row>
    <row r="233" customFormat="false" ht="15" hidden="false" customHeight="false" outlineLevel="0" collapsed="false">
      <c r="A233" s="9" t="s">
        <v>284</v>
      </c>
      <c r="B233" s="9" t="n">
        <v>16</v>
      </c>
      <c r="C233" s="9" t="s">
        <v>558</v>
      </c>
      <c r="D233" s="9" t="n">
        <v>168.5</v>
      </c>
      <c r="E233" s="9" t="n">
        <v>329</v>
      </c>
      <c r="F233" s="9" t="n">
        <v>0</v>
      </c>
      <c r="G233" s="9" t="n">
        <v>8</v>
      </c>
      <c r="H233" s="9" t="n">
        <v>13</v>
      </c>
      <c r="I233" s="9" t="s">
        <v>567</v>
      </c>
      <c r="J233" s="9" t="s">
        <v>724</v>
      </c>
      <c r="K233" s="9" t="s">
        <v>716</v>
      </c>
    </row>
    <row r="234" customFormat="false" ht="15" hidden="false" customHeight="false" outlineLevel="0" collapsed="false">
      <c r="A234" s="9" t="s">
        <v>284</v>
      </c>
      <c r="B234" s="9" t="n">
        <v>17</v>
      </c>
      <c r="C234" s="9" t="s">
        <v>558</v>
      </c>
      <c r="D234" s="9" t="n">
        <v>32</v>
      </c>
      <c r="E234" s="9" t="n">
        <v>329</v>
      </c>
      <c r="F234" s="9" t="n">
        <v>0</v>
      </c>
      <c r="G234" s="9" t="n">
        <v>8</v>
      </c>
      <c r="H234" s="9" t="n">
        <v>13</v>
      </c>
      <c r="I234" s="9" t="s">
        <v>567</v>
      </c>
      <c r="J234" s="9" t="s">
        <v>725</v>
      </c>
      <c r="K234" s="9" t="s">
        <v>716</v>
      </c>
    </row>
    <row r="235" customFormat="false" ht="15" hidden="false" customHeight="false" outlineLevel="0" collapsed="false">
      <c r="A235" s="9" t="s">
        <v>284</v>
      </c>
      <c r="B235" s="9" t="n">
        <v>18</v>
      </c>
      <c r="C235" s="9" t="s">
        <v>558</v>
      </c>
      <c r="D235" s="9" t="n">
        <v>263</v>
      </c>
      <c r="E235" s="9" t="n">
        <v>647</v>
      </c>
      <c r="F235" s="9" t="n">
        <v>0</v>
      </c>
      <c r="G235" s="9" t="n">
        <v>5</v>
      </c>
      <c r="H235" s="9" t="n">
        <v>10</v>
      </c>
      <c r="I235" s="9" t="s">
        <v>526</v>
      </c>
      <c r="J235" s="9" t="s">
        <v>726</v>
      </c>
      <c r="K235" s="9" t="s">
        <v>716</v>
      </c>
    </row>
    <row r="236" customFormat="false" ht="15" hidden="false" customHeight="false" outlineLevel="0" collapsed="false">
      <c r="A236" s="9" t="s">
        <v>284</v>
      </c>
      <c r="B236" s="9" t="n">
        <v>19</v>
      </c>
      <c r="C236" s="9" t="s">
        <v>558</v>
      </c>
      <c r="D236" s="9" t="n">
        <v>263</v>
      </c>
      <c r="E236" s="9" t="n">
        <v>679</v>
      </c>
      <c r="F236" s="9" t="n">
        <v>0</v>
      </c>
      <c r="G236" s="9" t="n">
        <v>5</v>
      </c>
      <c r="H236" s="9" t="n">
        <v>10</v>
      </c>
      <c r="I236" s="9" t="s">
        <v>526</v>
      </c>
      <c r="J236" s="9" t="s">
        <v>726</v>
      </c>
      <c r="K236" s="9" t="s">
        <v>716</v>
      </c>
    </row>
    <row r="237" customFormat="false" ht="15" hidden="false" customHeight="false" outlineLevel="0" collapsed="false">
      <c r="A237" s="9" t="s">
        <v>284</v>
      </c>
      <c r="B237" s="9" t="n">
        <v>20</v>
      </c>
      <c r="C237" s="9" t="s">
        <v>558</v>
      </c>
      <c r="D237" s="9" t="n">
        <v>263</v>
      </c>
      <c r="E237" s="9" t="n">
        <v>711</v>
      </c>
      <c r="F237" s="9" t="n">
        <v>0</v>
      </c>
      <c r="G237" s="9" t="n">
        <v>5</v>
      </c>
      <c r="H237" s="9" t="n">
        <v>10</v>
      </c>
      <c r="I237" s="9" t="s">
        <v>526</v>
      </c>
      <c r="J237" s="9" t="s">
        <v>726</v>
      </c>
      <c r="K237" s="9" t="s">
        <v>716</v>
      </c>
    </row>
    <row r="238" customFormat="false" ht="15" hidden="false" customHeight="false" outlineLevel="0" collapsed="false">
      <c r="A238" s="9" t="s">
        <v>284</v>
      </c>
      <c r="B238" s="9" t="n">
        <v>21</v>
      </c>
      <c r="C238" s="9" t="s">
        <v>558</v>
      </c>
      <c r="D238" s="9" t="n">
        <v>47</v>
      </c>
      <c r="E238" s="9" t="n">
        <v>647</v>
      </c>
      <c r="F238" s="9" t="n">
        <v>0</v>
      </c>
      <c r="G238" s="9" t="n">
        <v>5</v>
      </c>
      <c r="H238" s="9" t="n">
        <v>10</v>
      </c>
      <c r="I238" s="9" t="s">
        <v>526</v>
      </c>
      <c r="J238" s="9" t="s">
        <v>726</v>
      </c>
      <c r="K238" s="9" t="s">
        <v>716</v>
      </c>
    </row>
    <row r="239" customFormat="false" ht="15" hidden="false" customHeight="false" outlineLevel="0" collapsed="false">
      <c r="A239" s="9" t="s">
        <v>284</v>
      </c>
      <c r="B239" s="9" t="n">
        <v>22</v>
      </c>
      <c r="C239" s="9" t="s">
        <v>558</v>
      </c>
      <c r="D239" s="9" t="n">
        <v>47</v>
      </c>
      <c r="E239" s="9" t="n">
        <v>679</v>
      </c>
      <c r="F239" s="9" t="n">
        <v>0</v>
      </c>
      <c r="G239" s="9" t="n">
        <v>5</v>
      </c>
      <c r="H239" s="9" t="n">
        <v>10</v>
      </c>
      <c r="I239" s="9" t="s">
        <v>526</v>
      </c>
      <c r="J239" s="9" t="s">
        <v>726</v>
      </c>
      <c r="K239" s="9" t="s">
        <v>716</v>
      </c>
    </row>
    <row r="240" customFormat="false" ht="15" hidden="false" customHeight="false" outlineLevel="0" collapsed="false">
      <c r="A240" s="9" t="s">
        <v>284</v>
      </c>
      <c r="B240" s="9" t="n">
        <v>23</v>
      </c>
      <c r="C240" s="9" t="s">
        <v>558</v>
      </c>
      <c r="D240" s="9" t="n">
        <v>47</v>
      </c>
      <c r="E240" s="9" t="n">
        <v>711</v>
      </c>
      <c r="F240" s="9" t="n">
        <v>0</v>
      </c>
      <c r="G240" s="9" t="n">
        <v>5</v>
      </c>
      <c r="H240" s="9" t="n">
        <v>10</v>
      </c>
      <c r="I240" s="9" t="s">
        <v>526</v>
      </c>
      <c r="J240" s="9" t="s">
        <v>726</v>
      </c>
      <c r="K240" s="9" t="s">
        <v>716</v>
      </c>
    </row>
    <row r="241" customFormat="false" ht="15" hidden="false" customHeight="false" outlineLevel="0" collapsed="false">
      <c r="A241" s="9" t="s">
        <v>284</v>
      </c>
      <c r="B241" s="9" t="n">
        <v>24</v>
      </c>
      <c r="C241" s="9" t="s">
        <v>558</v>
      </c>
      <c r="D241" s="9" t="n">
        <v>263</v>
      </c>
      <c r="E241" s="9" t="n">
        <v>1032</v>
      </c>
      <c r="F241" s="9" t="n">
        <v>0</v>
      </c>
      <c r="G241" s="9" t="n">
        <v>5</v>
      </c>
      <c r="H241" s="9" t="n">
        <v>10</v>
      </c>
      <c r="I241" s="9" t="s">
        <v>526</v>
      </c>
      <c r="J241" s="9" t="s">
        <v>727</v>
      </c>
      <c r="K241" s="9" t="s">
        <v>716</v>
      </c>
    </row>
    <row r="242" customFormat="false" ht="15" hidden="false" customHeight="false" outlineLevel="0" collapsed="false">
      <c r="A242" s="9" t="s">
        <v>284</v>
      </c>
      <c r="B242" s="9" t="n">
        <v>25</v>
      </c>
      <c r="C242" s="9" t="s">
        <v>558</v>
      </c>
      <c r="D242" s="9" t="n">
        <v>263</v>
      </c>
      <c r="E242" s="9" t="n">
        <v>1064</v>
      </c>
      <c r="F242" s="9" t="n">
        <v>0</v>
      </c>
      <c r="G242" s="9" t="n">
        <v>5</v>
      </c>
      <c r="H242" s="9" t="n">
        <v>10</v>
      </c>
      <c r="I242" s="9" t="s">
        <v>526</v>
      </c>
      <c r="J242" s="9" t="s">
        <v>727</v>
      </c>
      <c r="K242" s="9" t="s">
        <v>716</v>
      </c>
    </row>
    <row r="243" customFormat="false" ht="15" hidden="false" customHeight="false" outlineLevel="0" collapsed="false">
      <c r="A243" s="9" t="s">
        <v>284</v>
      </c>
      <c r="B243" s="9" t="n">
        <v>26</v>
      </c>
      <c r="C243" s="9" t="s">
        <v>558</v>
      </c>
      <c r="D243" s="9" t="n">
        <v>263</v>
      </c>
      <c r="E243" s="9" t="n">
        <v>1096</v>
      </c>
      <c r="F243" s="9" t="n">
        <v>0</v>
      </c>
      <c r="G243" s="9" t="n">
        <v>5</v>
      </c>
      <c r="H243" s="9" t="n">
        <v>10</v>
      </c>
      <c r="I243" s="9" t="s">
        <v>526</v>
      </c>
      <c r="J243" s="9" t="s">
        <v>727</v>
      </c>
      <c r="K243" s="9" t="s">
        <v>716</v>
      </c>
    </row>
    <row r="244" customFormat="false" ht="15" hidden="false" customHeight="false" outlineLevel="0" collapsed="false">
      <c r="A244" s="9" t="s">
        <v>284</v>
      </c>
      <c r="B244" s="9" t="n">
        <v>27</v>
      </c>
      <c r="C244" s="9" t="s">
        <v>558</v>
      </c>
      <c r="D244" s="9" t="n">
        <v>47</v>
      </c>
      <c r="E244" s="9" t="n">
        <v>1032</v>
      </c>
      <c r="F244" s="9" t="n">
        <v>0</v>
      </c>
      <c r="G244" s="9" t="n">
        <v>5</v>
      </c>
      <c r="H244" s="9" t="n">
        <v>10</v>
      </c>
      <c r="I244" s="9" t="s">
        <v>526</v>
      </c>
      <c r="J244" s="9" t="s">
        <v>727</v>
      </c>
      <c r="K244" s="9" t="s">
        <v>716</v>
      </c>
    </row>
    <row r="245" customFormat="false" ht="15" hidden="false" customHeight="false" outlineLevel="0" collapsed="false">
      <c r="A245" s="9" t="s">
        <v>284</v>
      </c>
      <c r="B245" s="9" t="n">
        <v>28</v>
      </c>
      <c r="C245" s="9" t="s">
        <v>558</v>
      </c>
      <c r="D245" s="9" t="n">
        <v>47</v>
      </c>
      <c r="E245" s="9" t="n">
        <v>1064</v>
      </c>
      <c r="F245" s="9" t="n">
        <v>0</v>
      </c>
      <c r="G245" s="9" t="n">
        <v>5</v>
      </c>
      <c r="H245" s="9" t="n">
        <v>10</v>
      </c>
      <c r="I245" s="9" t="s">
        <v>526</v>
      </c>
      <c r="J245" s="9" t="s">
        <v>727</v>
      </c>
      <c r="K245" s="9" t="s">
        <v>716</v>
      </c>
    </row>
    <row r="246" customFormat="false" ht="15" hidden="false" customHeight="false" outlineLevel="0" collapsed="false">
      <c r="A246" s="9" t="s">
        <v>284</v>
      </c>
      <c r="B246" s="9" t="n">
        <v>29</v>
      </c>
      <c r="C246" s="9" t="s">
        <v>558</v>
      </c>
      <c r="D246" s="9" t="n">
        <v>47</v>
      </c>
      <c r="E246" s="9" t="n">
        <v>1096</v>
      </c>
      <c r="F246" s="9" t="n">
        <v>0</v>
      </c>
      <c r="G246" s="9" t="n">
        <v>5</v>
      </c>
      <c r="H246" s="9" t="n">
        <v>10</v>
      </c>
      <c r="I246" s="9" t="s">
        <v>526</v>
      </c>
      <c r="J246" s="9" t="s">
        <v>727</v>
      </c>
      <c r="K246" s="9" t="s">
        <v>716</v>
      </c>
    </row>
    <row r="247" customFormat="false" ht="15" hidden="false" customHeight="false" outlineLevel="0" collapsed="false">
      <c r="A247" s="9" t="s">
        <v>284</v>
      </c>
      <c r="B247" s="9" t="n">
        <v>30</v>
      </c>
      <c r="C247" s="9" t="s">
        <v>558</v>
      </c>
      <c r="D247" s="9" t="n">
        <v>263</v>
      </c>
      <c r="E247" s="9" t="n">
        <v>1417</v>
      </c>
      <c r="F247" s="9" t="n">
        <v>0</v>
      </c>
      <c r="G247" s="9" t="n">
        <v>5</v>
      </c>
      <c r="H247" s="9" t="n">
        <v>10</v>
      </c>
      <c r="I247" s="9" t="s">
        <v>526</v>
      </c>
      <c r="J247" s="9" t="s">
        <v>728</v>
      </c>
      <c r="K247" s="9" t="s">
        <v>716</v>
      </c>
    </row>
    <row r="248" customFormat="false" ht="15" hidden="false" customHeight="false" outlineLevel="0" collapsed="false">
      <c r="A248" s="9" t="s">
        <v>284</v>
      </c>
      <c r="B248" s="9" t="n">
        <v>31</v>
      </c>
      <c r="C248" s="9" t="s">
        <v>558</v>
      </c>
      <c r="D248" s="9" t="n">
        <v>263</v>
      </c>
      <c r="E248" s="9" t="n">
        <v>1449</v>
      </c>
      <c r="F248" s="9" t="n">
        <v>0</v>
      </c>
      <c r="G248" s="9" t="n">
        <v>5</v>
      </c>
      <c r="H248" s="9" t="n">
        <v>10</v>
      </c>
      <c r="I248" s="9" t="s">
        <v>526</v>
      </c>
      <c r="J248" s="9" t="s">
        <v>728</v>
      </c>
      <c r="K248" s="9" t="s">
        <v>716</v>
      </c>
    </row>
    <row r="249" customFormat="false" ht="15" hidden="false" customHeight="false" outlineLevel="0" collapsed="false">
      <c r="A249" s="9" t="s">
        <v>284</v>
      </c>
      <c r="B249" s="9" t="n">
        <v>32</v>
      </c>
      <c r="C249" s="9" t="s">
        <v>558</v>
      </c>
      <c r="D249" s="9" t="n">
        <v>263</v>
      </c>
      <c r="E249" s="9" t="n">
        <v>1481</v>
      </c>
      <c r="F249" s="9" t="n">
        <v>0</v>
      </c>
      <c r="G249" s="9" t="n">
        <v>5</v>
      </c>
      <c r="H249" s="9" t="n">
        <v>10</v>
      </c>
      <c r="I249" s="9" t="s">
        <v>526</v>
      </c>
      <c r="J249" s="9" t="s">
        <v>728</v>
      </c>
      <c r="K249" s="9" t="s">
        <v>716</v>
      </c>
    </row>
    <row r="250" customFormat="false" ht="15" hidden="false" customHeight="false" outlineLevel="0" collapsed="false">
      <c r="A250" s="9" t="s">
        <v>284</v>
      </c>
      <c r="B250" s="9" t="n">
        <v>33</v>
      </c>
      <c r="C250" s="9" t="s">
        <v>558</v>
      </c>
      <c r="D250" s="9" t="n">
        <v>47</v>
      </c>
      <c r="E250" s="9" t="n">
        <v>1417</v>
      </c>
      <c r="F250" s="9" t="n">
        <v>0</v>
      </c>
      <c r="G250" s="9" t="n">
        <v>5</v>
      </c>
      <c r="H250" s="9" t="n">
        <v>10</v>
      </c>
      <c r="I250" s="9" t="s">
        <v>526</v>
      </c>
      <c r="J250" s="9" t="s">
        <v>728</v>
      </c>
      <c r="K250" s="9" t="s">
        <v>716</v>
      </c>
    </row>
    <row r="251" customFormat="false" ht="15" hidden="false" customHeight="false" outlineLevel="0" collapsed="false">
      <c r="A251" s="9" t="s">
        <v>284</v>
      </c>
      <c r="B251" s="9" t="n">
        <v>34</v>
      </c>
      <c r="C251" s="9" t="s">
        <v>558</v>
      </c>
      <c r="D251" s="9" t="n">
        <v>47</v>
      </c>
      <c r="E251" s="9" t="n">
        <v>1449</v>
      </c>
      <c r="F251" s="9" t="n">
        <v>0</v>
      </c>
      <c r="G251" s="9" t="n">
        <v>5</v>
      </c>
      <c r="H251" s="9" t="n">
        <v>10</v>
      </c>
      <c r="I251" s="9" t="s">
        <v>526</v>
      </c>
      <c r="J251" s="9" t="s">
        <v>728</v>
      </c>
      <c r="K251" s="9" t="s">
        <v>716</v>
      </c>
    </row>
    <row r="252" customFormat="false" ht="15" hidden="false" customHeight="false" outlineLevel="0" collapsed="false">
      <c r="A252" s="9" t="s">
        <v>284</v>
      </c>
      <c r="B252" s="9" t="n">
        <v>35</v>
      </c>
      <c r="C252" s="9" t="s">
        <v>558</v>
      </c>
      <c r="D252" s="9" t="n">
        <v>47</v>
      </c>
      <c r="E252" s="9" t="n">
        <v>1481</v>
      </c>
      <c r="F252" s="9" t="n">
        <v>0</v>
      </c>
      <c r="G252" s="9" t="n">
        <v>5</v>
      </c>
      <c r="H252" s="9" t="n">
        <v>10</v>
      </c>
      <c r="I252" s="9" t="s">
        <v>526</v>
      </c>
      <c r="J252" s="9" t="s">
        <v>728</v>
      </c>
      <c r="K252" s="9" t="s">
        <v>716</v>
      </c>
    </row>
    <row r="253" customFormat="false" ht="15" hidden="false" customHeight="false" outlineLevel="0" collapsed="false">
      <c r="A253" s="9" t="s">
        <v>284</v>
      </c>
      <c r="B253" s="9" t="n">
        <v>36</v>
      </c>
      <c r="C253" s="9" t="s">
        <v>558</v>
      </c>
      <c r="D253" s="9" t="n">
        <v>263</v>
      </c>
      <c r="E253" s="9" t="n">
        <v>1802</v>
      </c>
      <c r="F253" s="9" t="n">
        <v>0</v>
      </c>
      <c r="G253" s="9" t="n">
        <v>5</v>
      </c>
      <c r="H253" s="9" t="n">
        <v>10</v>
      </c>
      <c r="I253" s="9" t="s">
        <v>526</v>
      </c>
      <c r="J253" s="9" t="s">
        <v>729</v>
      </c>
      <c r="K253" s="9" t="s">
        <v>716</v>
      </c>
    </row>
    <row r="254" customFormat="false" ht="15" hidden="false" customHeight="false" outlineLevel="0" collapsed="false">
      <c r="A254" s="9" t="s">
        <v>284</v>
      </c>
      <c r="B254" s="9" t="n">
        <v>37</v>
      </c>
      <c r="C254" s="9" t="s">
        <v>558</v>
      </c>
      <c r="D254" s="9" t="n">
        <v>263</v>
      </c>
      <c r="E254" s="9" t="n">
        <v>1834</v>
      </c>
      <c r="F254" s="9" t="n">
        <v>0</v>
      </c>
      <c r="G254" s="9" t="n">
        <v>5</v>
      </c>
      <c r="H254" s="9" t="n">
        <v>10</v>
      </c>
      <c r="I254" s="9" t="s">
        <v>526</v>
      </c>
      <c r="J254" s="9" t="s">
        <v>729</v>
      </c>
      <c r="K254" s="9" t="s">
        <v>716</v>
      </c>
    </row>
    <row r="255" customFormat="false" ht="15" hidden="false" customHeight="false" outlineLevel="0" collapsed="false">
      <c r="A255" s="9" t="s">
        <v>284</v>
      </c>
      <c r="B255" s="9" t="n">
        <v>38</v>
      </c>
      <c r="C255" s="9" t="s">
        <v>558</v>
      </c>
      <c r="D255" s="9" t="n">
        <v>263</v>
      </c>
      <c r="E255" s="9" t="n">
        <v>1866</v>
      </c>
      <c r="F255" s="9" t="n">
        <v>0</v>
      </c>
      <c r="G255" s="9" t="n">
        <v>5</v>
      </c>
      <c r="H255" s="9" t="n">
        <v>10</v>
      </c>
      <c r="I255" s="9" t="s">
        <v>526</v>
      </c>
      <c r="J255" s="9" t="s">
        <v>729</v>
      </c>
      <c r="K255" s="9" t="s">
        <v>716</v>
      </c>
    </row>
    <row r="256" customFormat="false" ht="15" hidden="false" customHeight="false" outlineLevel="0" collapsed="false">
      <c r="A256" s="9" t="s">
        <v>284</v>
      </c>
      <c r="B256" s="9" t="n">
        <v>39</v>
      </c>
      <c r="C256" s="9" t="s">
        <v>558</v>
      </c>
      <c r="D256" s="9" t="n">
        <v>47</v>
      </c>
      <c r="E256" s="9" t="n">
        <v>1802</v>
      </c>
      <c r="F256" s="9" t="n">
        <v>0</v>
      </c>
      <c r="G256" s="9" t="n">
        <v>5</v>
      </c>
      <c r="H256" s="9" t="n">
        <v>10</v>
      </c>
      <c r="I256" s="9" t="s">
        <v>526</v>
      </c>
      <c r="J256" s="9" t="s">
        <v>729</v>
      </c>
      <c r="K256" s="9" t="s">
        <v>716</v>
      </c>
    </row>
    <row r="257" customFormat="false" ht="15" hidden="false" customHeight="false" outlineLevel="0" collapsed="false">
      <c r="A257" s="9" t="s">
        <v>284</v>
      </c>
      <c r="B257" s="9" t="n">
        <v>40</v>
      </c>
      <c r="C257" s="9" t="s">
        <v>558</v>
      </c>
      <c r="D257" s="9" t="n">
        <v>47</v>
      </c>
      <c r="E257" s="9" t="n">
        <v>1834</v>
      </c>
      <c r="F257" s="9" t="n">
        <v>0</v>
      </c>
      <c r="G257" s="9" t="n">
        <v>5</v>
      </c>
      <c r="H257" s="9" t="n">
        <v>10</v>
      </c>
      <c r="I257" s="9" t="s">
        <v>526</v>
      </c>
      <c r="J257" s="9" t="s">
        <v>729</v>
      </c>
      <c r="K257" s="9" t="s">
        <v>716</v>
      </c>
    </row>
    <row r="258" customFormat="false" ht="15" hidden="false" customHeight="false" outlineLevel="0" collapsed="false">
      <c r="A258" s="9" t="s">
        <v>284</v>
      </c>
      <c r="B258" s="9" t="n">
        <v>41</v>
      </c>
      <c r="C258" s="9" t="s">
        <v>558</v>
      </c>
      <c r="D258" s="9" t="n">
        <v>47</v>
      </c>
      <c r="E258" s="9" t="n">
        <v>1866</v>
      </c>
      <c r="F258" s="9" t="n">
        <v>0</v>
      </c>
      <c r="G258" s="9" t="n">
        <v>5</v>
      </c>
      <c r="H258" s="9" t="n">
        <v>10</v>
      </c>
      <c r="I258" s="9" t="s">
        <v>526</v>
      </c>
      <c r="J258" s="9" t="s">
        <v>729</v>
      </c>
      <c r="K258" s="9" t="s">
        <v>716</v>
      </c>
    </row>
    <row r="259" customFormat="false" ht="15" hidden="false" customHeight="false" outlineLevel="0" collapsed="false">
      <c r="A259" s="9" t="s">
        <v>284</v>
      </c>
      <c r="B259" s="9" t="n">
        <v>42</v>
      </c>
      <c r="C259" s="9" t="s">
        <v>558</v>
      </c>
      <c r="D259" s="9" t="n">
        <v>263</v>
      </c>
      <c r="E259" s="9" t="n">
        <v>2187</v>
      </c>
      <c r="F259" s="9" t="n">
        <v>0</v>
      </c>
      <c r="G259" s="9" t="n">
        <v>5</v>
      </c>
      <c r="H259" s="9" t="n">
        <v>10</v>
      </c>
      <c r="I259" s="9" t="s">
        <v>526</v>
      </c>
      <c r="J259" s="9" t="s">
        <v>730</v>
      </c>
      <c r="K259" s="9" t="s">
        <v>716</v>
      </c>
    </row>
    <row r="260" customFormat="false" ht="15" hidden="false" customHeight="false" outlineLevel="0" collapsed="false">
      <c r="A260" s="9" t="s">
        <v>284</v>
      </c>
      <c r="B260" s="9" t="n">
        <v>43</v>
      </c>
      <c r="C260" s="9" t="s">
        <v>558</v>
      </c>
      <c r="D260" s="9" t="n">
        <v>263</v>
      </c>
      <c r="E260" s="9" t="n">
        <v>2219</v>
      </c>
      <c r="F260" s="9" t="n">
        <v>0</v>
      </c>
      <c r="G260" s="9" t="n">
        <v>5</v>
      </c>
      <c r="H260" s="9" t="n">
        <v>10</v>
      </c>
      <c r="I260" s="9" t="s">
        <v>526</v>
      </c>
      <c r="J260" s="9" t="s">
        <v>730</v>
      </c>
      <c r="K260" s="9" t="s">
        <v>716</v>
      </c>
    </row>
    <row r="261" customFormat="false" ht="15" hidden="false" customHeight="false" outlineLevel="0" collapsed="false">
      <c r="A261" s="9" t="s">
        <v>284</v>
      </c>
      <c r="B261" s="9" t="n">
        <v>44</v>
      </c>
      <c r="C261" s="9" t="s">
        <v>558</v>
      </c>
      <c r="D261" s="9" t="n">
        <v>263</v>
      </c>
      <c r="E261" s="9" t="n">
        <v>2251</v>
      </c>
      <c r="F261" s="9" t="n">
        <v>0</v>
      </c>
      <c r="G261" s="9" t="n">
        <v>5</v>
      </c>
      <c r="H261" s="9" t="n">
        <v>10</v>
      </c>
      <c r="I261" s="9" t="s">
        <v>526</v>
      </c>
      <c r="J261" s="9" t="s">
        <v>730</v>
      </c>
      <c r="K261" s="9" t="s">
        <v>716</v>
      </c>
    </row>
    <row r="262" customFormat="false" ht="15" hidden="false" customHeight="false" outlineLevel="0" collapsed="false">
      <c r="A262" s="9" t="s">
        <v>284</v>
      </c>
      <c r="B262" s="9" t="n">
        <v>45</v>
      </c>
      <c r="C262" s="9" t="s">
        <v>558</v>
      </c>
      <c r="D262" s="9" t="n">
        <v>47</v>
      </c>
      <c r="E262" s="9" t="n">
        <v>2187</v>
      </c>
      <c r="F262" s="9" t="n">
        <v>0</v>
      </c>
      <c r="G262" s="9" t="n">
        <v>5</v>
      </c>
      <c r="H262" s="9" t="n">
        <v>10</v>
      </c>
      <c r="I262" s="9" t="s">
        <v>526</v>
      </c>
      <c r="J262" s="9" t="s">
        <v>730</v>
      </c>
      <c r="K262" s="9" t="s">
        <v>716</v>
      </c>
    </row>
    <row r="263" customFormat="false" ht="15" hidden="false" customHeight="false" outlineLevel="0" collapsed="false">
      <c r="A263" s="9" t="s">
        <v>284</v>
      </c>
      <c r="B263" s="9" t="n">
        <v>46</v>
      </c>
      <c r="C263" s="9" t="s">
        <v>558</v>
      </c>
      <c r="D263" s="9" t="n">
        <v>47</v>
      </c>
      <c r="E263" s="9" t="n">
        <v>2219</v>
      </c>
      <c r="F263" s="9" t="n">
        <v>0</v>
      </c>
      <c r="G263" s="9" t="n">
        <v>5</v>
      </c>
      <c r="H263" s="9" t="n">
        <v>10</v>
      </c>
      <c r="I263" s="9" t="s">
        <v>526</v>
      </c>
      <c r="J263" s="9" t="s">
        <v>730</v>
      </c>
      <c r="K263" s="9" t="s">
        <v>716</v>
      </c>
    </row>
    <row r="264" customFormat="false" ht="15" hidden="false" customHeight="false" outlineLevel="0" collapsed="false">
      <c r="A264" s="9" t="s">
        <v>284</v>
      </c>
      <c r="B264" s="9" t="n">
        <v>47</v>
      </c>
      <c r="C264" s="9" t="s">
        <v>558</v>
      </c>
      <c r="D264" s="9" t="n">
        <v>47</v>
      </c>
      <c r="E264" s="9" t="n">
        <v>2251</v>
      </c>
      <c r="F264" s="9" t="n">
        <v>0</v>
      </c>
      <c r="G264" s="9" t="n">
        <v>5</v>
      </c>
      <c r="H264" s="9" t="n">
        <v>10</v>
      </c>
      <c r="I264" s="9" t="s">
        <v>526</v>
      </c>
      <c r="J264" s="9" t="s">
        <v>730</v>
      </c>
      <c r="K264" s="9" t="s">
        <v>716</v>
      </c>
    </row>
    <row r="265" customFormat="false" ht="15" hidden="false" customHeight="false" outlineLevel="0" collapsed="false">
      <c r="A265" s="9" t="s">
        <v>284</v>
      </c>
      <c r="B265" s="9" t="n">
        <v>48</v>
      </c>
      <c r="C265" s="9" t="s">
        <v>558</v>
      </c>
      <c r="D265" s="9" t="n">
        <v>300</v>
      </c>
      <c r="E265" s="9" t="n">
        <v>5</v>
      </c>
      <c r="F265" s="9" t="n">
        <v>0</v>
      </c>
      <c r="G265" s="9" t="n">
        <v>5</v>
      </c>
      <c r="H265" s="9" t="n">
        <v>12</v>
      </c>
      <c r="I265" s="9" t="s">
        <v>731</v>
      </c>
      <c r="J265" s="9" t="s">
        <v>732</v>
      </c>
      <c r="K265" s="9" t="s">
        <v>716</v>
      </c>
    </row>
    <row r="266" customFormat="false" ht="15" hidden="false" customHeight="false" outlineLevel="0" collapsed="false">
      <c r="A266" s="9" t="s">
        <v>284</v>
      </c>
      <c r="B266" s="9" t="n">
        <v>49</v>
      </c>
      <c r="C266" s="9" t="s">
        <v>558</v>
      </c>
      <c r="D266" s="9" t="n">
        <v>300</v>
      </c>
      <c r="E266" s="9" t="n">
        <v>37</v>
      </c>
      <c r="F266" s="9" t="n">
        <v>0</v>
      </c>
      <c r="G266" s="9" t="n">
        <v>5</v>
      </c>
      <c r="H266" s="9" t="n">
        <v>12</v>
      </c>
      <c r="I266" s="9" t="s">
        <v>731</v>
      </c>
      <c r="J266" s="9" t="s">
        <v>732</v>
      </c>
      <c r="K266" s="9" t="s">
        <v>716</v>
      </c>
    </row>
    <row r="267" customFormat="false" ht="15" hidden="false" customHeight="false" outlineLevel="0" collapsed="false">
      <c r="A267" s="9" t="s">
        <v>284</v>
      </c>
      <c r="B267" s="9" t="n">
        <v>50</v>
      </c>
      <c r="C267" s="9" t="s">
        <v>558</v>
      </c>
      <c r="D267" s="9" t="n">
        <v>300</v>
      </c>
      <c r="E267" s="9" t="n">
        <v>501.6</v>
      </c>
      <c r="F267" s="9" t="n">
        <v>0</v>
      </c>
      <c r="G267" s="9" t="n">
        <v>5</v>
      </c>
      <c r="H267" s="9" t="n">
        <v>12</v>
      </c>
      <c r="I267" s="9" t="s">
        <v>731</v>
      </c>
      <c r="J267" s="9" t="s">
        <v>733</v>
      </c>
      <c r="K267" s="9" t="s">
        <v>716</v>
      </c>
    </row>
    <row r="268" customFormat="false" ht="15" hidden="false" customHeight="false" outlineLevel="0" collapsed="false">
      <c r="A268" s="9" t="s">
        <v>284</v>
      </c>
      <c r="B268" s="9" t="n">
        <v>51</v>
      </c>
      <c r="C268" s="9" t="s">
        <v>558</v>
      </c>
      <c r="D268" s="9" t="n">
        <v>300</v>
      </c>
      <c r="E268" s="9" t="n">
        <v>533.6</v>
      </c>
      <c r="F268" s="9" t="n">
        <v>0</v>
      </c>
      <c r="G268" s="9" t="n">
        <v>5</v>
      </c>
      <c r="H268" s="9" t="n">
        <v>12</v>
      </c>
      <c r="I268" s="9" t="s">
        <v>731</v>
      </c>
      <c r="J268" s="9" t="s">
        <v>733</v>
      </c>
      <c r="K268" s="9" t="s">
        <v>716</v>
      </c>
    </row>
    <row r="269" customFormat="false" ht="15" hidden="false" customHeight="false" outlineLevel="0" collapsed="false">
      <c r="A269" s="9" t="s">
        <v>284</v>
      </c>
      <c r="B269" s="9" t="n">
        <v>52</v>
      </c>
      <c r="C269" s="9" t="s">
        <v>558</v>
      </c>
      <c r="D269" s="9" t="n">
        <v>300</v>
      </c>
      <c r="E269" s="9" t="n">
        <v>966.2</v>
      </c>
      <c r="F269" s="9" t="n">
        <v>0</v>
      </c>
      <c r="G269" s="9" t="n">
        <v>5</v>
      </c>
      <c r="H269" s="9" t="n">
        <v>12</v>
      </c>
      <c r="I269" s="9" t="s">
        <v>731</v>
      </c>
      <c r="J269" s="9" t="s">
        <v>734</v>
      </c>
      <c r="K269" s="9" t="s">
        <v>716</v>
      </c>
    </row>
    <row r="270" customFormat="false" ht="15" hidden="false" customHeight="false" outlineLevel="0" collapsed="false">
      <c r="A270" s="9" t="s">
        <v>284</v>
      </c>
      <c r="B270" s="9" t="n">
        <v>53</v>
      </c>
      <c r="C270" s="9" t="s">
        <v>558</v>
      </c>
      <c r="D270" s="9" t="n">
        <v>300</v>
      </c>
      <c r="E270" s="9" t="n">
        <v>998.2</v>
      </c>
      <c r="F270" s="9" t="n">
        <v>0</v>
      </c>
      <c r="G270" s="9" t="n">
        <v>5</v>
      </c>
      <c r="H270" s="9" t="n">
        <v>12</v>
      </c>
      <c r="I270" s="9" t="s">
        <v>731</v>
      </c>
      <c r="J270" s="9" t="s">
        <v>734</v>
      </c>
      <c r="K270" s="9" t="s">
        <v>716</v>
      </c>
    </row>
    <row r="271" customFormat="false" ht="15" hidden="false" customHeight="false" outlineLevel="0" collapsed="false">
      <c r="A271" s="9" t="s">
        <v>284</v>
      </c>
      <c r="B271" s="9" t="n">
        <v>54</v>
      </c>
      <c r="C271" s="9" t="s">
        <v>558</v>
      </c>
      <c r="D271" s="9" t="n">
        <v>300</v>
      </c>
      <c r="E271" s="9" t="n">
        <v>1526.8</v>
      </c>
      <c r="F271" s="9" t="n">
        <v>0</v>
      </c>
      <c r="G271" s="9" t="n">
        <v>5</v>
      </c>
      <c r="H271" s="9" t="n">
        <v>12</v>
      </c>
      <c r="I271" s="9" t="s">
        <v>731</v>
      </c>
      <c r="J271" s="9" t="s">
        <v>735</v>
      </c>
      <c r="K271" s="9" t="s">
        <v>716</v>
      </c>
    </row>
    <row r="272" customFormat="false" ht="15" hidden="false" customHeight="false" outlineLevel="0" collapsed="false">
      <c r="A272" s="9" t="s">
        <v>284</v>
      </c>
      <c r="B272" s="9" t="n">
        <v>55</v>
      </c>
      <c r="C272" s="9" t="s">
        <v>558</v>
      </c>
      <c r="D272" s="9" t="n">
        <v>300</v>
      </c>
      <c r="E272" s="9" t="n">
        <v>1558.8</v>
      </c>
      <c r="F272" s="9" t="n">
        <v>0</v>
      </c>
      <c r="G272" s="9" t="n">
        <v>5</v>
      </c>
      <c r="H272" s="9" t="n">
        <v>12</v>
      </c>
      <c r="I272" s="9" t="s">
        <v>731</v>
      </c>
      <c r="J272" s="9" t="s">
        <v>735</v>
      </c>
      <c r="K272" s="9" t="s">
        <v>716</v>
      </c>
    </row>
    <row r="273" customFormat="false" ht="15" hidden="false" customHeight="false" outlineLevel="0" collapsed="false">
      <c r="A273" s="9" t="s">
        <v>284</v>
      </c>
      <c r="B273" s="9" t="n">
        <v>56</v>
      </c>
      <c r="C273" s="9" t="s">
        <v>558</v>
      </c>
      <c r="D273" s="9" t="n">
        <v>300</v>
      </c>
      <c r="E273" s="9" t="n">
        <v>1991.4</v>
      </c>
      <c r="F273" s="9" t="n">
        <v>0</v>
      </c>
      <c r="G273" s="9" t="n">
        <v>5</v>
      </c>
      <c r="H273" s="9" t="n">
        <v>12</v>
      </c>
      <c r="I273" s="9" t="s">
        <v>731</v>
      </c>
      <c r="J273" s="9" t="s">
        <v>736</v>
      </c>
      <c r="K273" s="9" t="s">
        <v>716</v>
      </c>
    </row>
    <row r="274" customFormat="false" ht="15" hidden="false" customHeight="false" outlineLevel="0" collapsed="false">
      <c r="A274" s="9" t="s">
        <v>284</v>
      </c>
      <c r="B274" s="9" t="n">
        <v>57</v>
      </c>
      <c r="C274" s="9" t="s">
        <v>558</v>
      </c>
      <c r="D274" s="9" t="n">
        <v>300</v>
      </c>
      <c r="E274" s="9" t="n">
        <v>2023.4</v>
      </c>
      <c r="F274" s="9" t="n">
        <v>0</v>
      </c>
      <c r="G274" s="9" t="n">
        <v>5</v>
      </c>
      <c r="H274" s="9" t="n">
        <v>12</v>
      </c>
      <c r="I274" s="9" t="s">
        <v>731</v>
      </c>
      <c r="J274" s="9" t="s">
        <v>736</v>
      </c>
      <c r="K274" s="9" t="s">
        <v>716</v>
      </c>
    </row>
    <row r="275" customFormat="false" ht="15" hidden="false" customHeight="false" outlineLevel="0" collapsed="false">
      <c r="A275" s="9" t="s">
        <v>284</v>
      </c>
      <c r="B275" s="9" t="n">
        <v>58</v>
      </c>
      <c r="C275" s="9" t="s">
        <v>558</v>
      </c>
      <c r="D275" s="9" t="n">
        <v>300</v>
      </c>
      <c r="E275" s="9" t="n">
        <v>2488</v>
      </c>
      <c r="F275" s="9" t="n">
        <v>0</v>
      </c>
      <c r="G275" s="9" t="n">
        <v>5</v>
      </c>
      <c r="H275" s="9" t="n">
        <v>12</v>
      </c>
      <c r="I275" s="9" t="s">
        <v>731</v>
      </c>
      <c r="J275" s="9" t="s">
        <v>737</v>
      </c>
      <c r="K275" s="9" t="s">
        <v>716</v>
      </c>
    </row>
    <row r="276" customFormat="false" ht="15" hidden="false" customHeight="false" outlineLevel="0" collapsed="false">
      <c r="A276" s="9" t="s">
        <v>284</v>
      </c>
      <c r="B276" s="9" t="n">
        <v>59</v>
      </c>
      <c r="C276" s="9" t="s">
        <v>558</v>
      </c>
      <c r="D276" s="9" t="n">
        <v>300</v>
      </c>
      <c r="E276" s="9" t="n">
        <v>2520</v>
      </c>
      <c r="F276" s="9" t="n">
        <v>0</v>
      </c>
      <c r="G276" s="9" t="n">
        <v>5</v>
      </c>
      <c r="H276" s="9" t="n">
        <v>12</v>
      </c>
      <c r="I276" s="9" t="s">
        <v>731</v>
      </c>
      <c r="J276" s="9" t="s">
        <v>737</v>
      </c>
      <c r="K276" s="9" t="s">
        <v>716</v>
      </c>
    </row>
    <row r="277" customFormat="false" ht="15" hidden="false" customHeight="false" outlineLevel="0" collapsed="false">
      <c r="A277" s="9" t="s">
        <v>289</v>
      </c>
      <c r="B277" s="9" t="n">
        <v>1</v>
      </c>
      <c r="C277" s="9" t="s">
        <v>16</v>
      </c>
      <c r="D277" s="9" t="n">
        <v>305</v>
      </c>
      <c r="E277" s="9" t="n">
        <v>0</v>
      </c>
      <c r="F277" s="9" t="n">
        <v>9</v>
      </c>
      <c r="G277" s="9" t="n">
        <v>8</v>
      </c>
      <c r="H277" s="9" t="n">
        <v>17.5</v>
      </c>
      <c r="I277" s="9" t="s">
        <v>553</v>
      </c>
      <c r="J277" s="9" t="s">
        <v>581</v>
      </c>
      <c r="K277" s="9" t="s">
        <v>738</v>
      </c>
    </row>
    <row r="278" customFormat="false" ht="15" hidden="false" customHeight="false" outlineLevel="0" collapsed="false">
      <c r="A278" s="9" t="s">
        <v>289</v>
      </c>
      <c r="B278" s="9" t="n">
        <v>2</v>
      </c>
      <c r="C278" s="9" t="s">
        <v>16</v>
      </c>
      <c r="D278" s="9" t="n">
        <v>168.5</v>
      </c>
      <c r="E278" s="9" t="n">
        <v>0</v>
      </c>
      <c r="F278" s="9" t="n">
        <v>9</v>
      </c>
      <c r="G278" s="9" t="n">
        <v>8</v>
      </c>
      <c r="H278" s="9" t="n">
        <v>17.5</v>
      </c>
      <c r="I278" s="9" t="s">
        <v>553</v>
      </c>
      <c r="J278" s="9" t="s">
        <v>582</v>
      </c>
      <c r="K278" s="9" t="s">
        <v>738</v>
      </c>
    </row>
    <row r="279" customFormat="false" ht="15" hidden="false" customHeight="false" outlineLevel="0" collapsed="false">
      <c r="A279" s="9" t="s">
        <v>289</v>
      </c>
      <c r="B279" s="9" t="n">
        <v>3</v>
      </c>
      <c r="C279" s="9" t="s">
        <v>16</v>
      </c>
      <c r="D279" s="9" t="n">
        <v>32</v>
      </c>
      <c r="E279" s="9" t="n">
        <v>0</v>
      </c>
      <c r="F279" s="9" t="n">
        <v>9</v>
      </c>
      <c r="G279" s="9" t="n">
        <v>8</v>
      </c>
      <c r="H279" s="9" t="n">
        <v>17.5</v>
      </c>
      <c r="I279" s="9" t="s">
        <v>553</v>
      </c>
      <c r="J279" s="9" t="s">
        <v>583</v>
      </c>
      <c r="K279" s="9" t="s">
        <v>738</v>
      </c>
    </row>
    <row r="280" customFormat="false" ht="15" hidden="false" customHeight="false" outlineLevel="0" collapsed="false">
      <c r="A280" s="9" t="s">
        <v>289</v>
      </c>
      <c r="B280" s="9" t="n">
        <v>4</v>
      </c>
      <c r="C280" s="9" t="s">
        <v>18</v>
      </c>
      <c r="D280" s="9" t="n">
        <v>32</v>
      </c>
      <c r="E280" s="9" t="n">
        <v>2205</v>
      </c>
      <c r="F280" s="9" t="n">
        <v>9</v>
      </c>
      <c r="G280" s="9" t="n">
        <v>8</v>
      </c>
      <c r="H280" s="9" t="n">
        <v>25</v>
      </c>
      <c r="I280" s="9" t="s">
        <v>553</v>
      </c>
      <c r="J280" s="9" t="s">
        <v>739</v>
      </c>
      <c r="K280" s="9" t="s">
        <v>738</v>
      </c>
    </row>
    <row r="281" customFormat="false" ht="15" hidden="false" customHeight="false" outlineLevel="0" collapsed="false">
      <c r="A281" s="9" t="s">
        <v>289</v>
      </c>
      <c r="B281" s="9" t="n">
        <v>5</v>
      </c>
      <c r="C281" s="9" t="s">
        <v>18</v>
      </c>
      <c r="D281" s="9" t="n">
        <v>168.5</v>
      </c>
      <c r="E281" s="9" t="n">
        <v>2205</v>
      </c>
      <c r="F281" s="9" t="n">
        <v>9</v>
      </c>
      <c r="G281" s="9" t="n">
        <v>8</v>
      </c>
      <c r="H281" s="9" t="n">
        <v>25</v>
      </c>
      <c r="I281" s="9" t="s">
        <v>553</v>
      </c>
      <c r="J281" s="9" t="s">
        <v>740</v>
      </c>
      <c r="K281" s="9" t="s">
        <v>738</v>
      </c>
    </row>
    <row r="282" customFormat="false" ht="15" hidden="false" customHeight="false" outlineLevel="0" collapsed="false">
      <c r="A282" s="9" t="s">
        <v>289</v>
      </c>
      <c r="B282" s="9" t="n">
        <v>6</v>
      </c>
      <c r="C282" s="9" t="s">
        <v>18</v>
      </c>
      <c r="D282" s="9" t="n">
        <v>305</v>
      </c>
      <c r="E282" s="9" t="n">
        <v>2205</v>
      </c>
      <c r="F282" s="9" t="n">
        <v>9</v>
      </c>
      <c r="G282" s="9" t="n">
        <v>8</v>
      </c>
      <c r="H282" s="9" t="n">
        <v>25</v>
      </c>
      <c r="I282" s="9" t="s">
        <v>553</v>
      </c>
      <c r="J282" s="9" t="s">
        <v>741</v>
      </c>
      <c r="K282" s="9" t="s">
        <v>738</v>
      </c>
    </row>
    <row r="283" customFormat="false" ht="15" hidden="false" customHeight="false" outlineLevel="0" collapsed="false">
      <c r="A283" s="9" t="s">
        <v>289</v>
      </c>
      <c r="B283" s="9" t="n">
        <v>7</v>
      </c>
      <c r="C283" s="9" t="s">
        <v>558</v>
      </c>
      <c r="D283" s="9" t="n">
        <v>84.25</v>
      </c>
      <c r="E283" s="9" t="n">
        <v>2181</v>
      </c>
      <c r="F283" s="9" t="n">
        <v>0</v>
      </c>
      <c r="G283" s="9" t="n">
        <v>15</v>
      </c>
      <c r="H283" s="9" t="n">
        <v>12.5</v>
      </c>
      <c r="I283" s="9" t="s">
        <v>559</v>
      </c>
      <c r="J283" s="9" t="s">
        <v>742</v>
      </c>
      <c r="K283" s="9" t="s">
        <v>743</v>
      </c>
    </row>
    <row r="284" customFormat="false" ht="15" hidden="false" customHeight="false" outlineLevel="0" collapsed="false">
      <c r="A284" s="9" t="s">
        <v>289</v>
      </c>
      <c r="B284" s="9" t="n">
        <v>8</v>
      </c>
      <c r="C284" s="9" t="s">
        <v>18</v>
      </c>
      <c r="D284" s="9" t="n">
        <v>84.25</v>
      </c>
      <c r="E284" s="9" t="n">
        <v>2205</v>
      </c>
      <c r="F284" s="9" t="n">
        <v>9</v>
      </c>
      <c r="G284" s="9" t="n">
        <v>8</v>
      </c>
      <c r="H284" s="9" t="n">
        <v>25</v>
      </c>
      <c r="I284" s="9" t="s">
        <v>562</v>
      </c>
      <c r="J284" s="9" t="s">
        <v>742</v>
      </c>
      <c r="K284" s="9" t="s">
        <v>738</v>
      </c>
    </row>
    <row r="285" customFormat="false" ht="15" hidden="false" customHeight="false" outlineLevel="0" collapsed="false">
      <c r="A285" s="9" t="s">
        <v>289</v>
      </c>
      <c r="B285" s="9" t="n">
        <v>9</v>
      </c>
      <c r="C285" s="9" t="s">
        <v>558</v>
      </c>
      <c r="D285" s="9" t="n">
        <v>252.75</v>
      </c>
      <c r="E285" s="9" t="n">
        <v>2181</v>
      </c>
      <c r="F285" s="9" t="n">
        <v>0</v>
      </c>
      <c r="G285" s="9" t="n">
        <v>15</v>
      </c>
      <c r="H285" s="9" t="n">
        <v>12.5</v>
      </c>
      <c r="I285" s="9" t="s">
        <v>559</v>
      </c>
      <c r="J285" s="9" t="s">
        <v>744</v>
      </c>
      <c r="K285" s="9" t="s">
        <v>743</v>
      </c>
    </row>
    <row r="286" customFormat="false" ht="15" hidden="false" customHeight="false" outlineLevel="0" collapsed="false">
      <c r="A286" s="9" t="s">
        <v>289</v>
      </c>
      <c r="B286" s="9" t="n">
        <v>10</v>
      </c>
      <c r="C286" s="9" t="s">
        <v>18</v>
      </c>
      <c r="D286" s="9" t="n">
        <v>252.75</v>
      </c>
      <c r="E286" s="9" t="n">
        <v>2205</v>
      </c>
      <c r="F286" s="9" t="n">
        <v>9</v>
      </c>
      <c r="G286" s="9" t="n">
        <v>8</v>
      </c>
      <c r="H286" s="9" t="n">
        <v>25</v>
      </c>
      <c r="I286" s="9" t="s">
        <v>562</v>
      </c>
      <c r="J286" s="9" t="s">
        <v>744</v>
      </c>
      <c r="K286" s="9" t="s">
        <v>738</v>
      </c>
    </row>
    <row r="287" customFormat="false" ht="15" hidden="false" customHeight="false" outlineLevel="0" collapsed="false">
      <c r="A287" s="9" t="s">
        <v>289</v>
      </c>
      <c r="B287" s="9" t="n">
        <v>11</v>
      </c>
      <c r="C287" s="9" t="s">
        <v>558</v>
      </c>
      <c r="D287" s="9" t="n">
        <v>32</v>
      </c>
      <c r="E287" s="9" t="n">
        <v>9</v>
      </c>
      <c r="F287" s="9" t="n">
        <v>0</v>
      </c>
      <c r="G287" s="9" t="n">
        <v>8</v>
      </c>
      <c r="H287" s="9" t="n">
        <v>13</v>
      </c>
      <c r="I287" s="9" t="s">
        <v>567</v>
      </c>
      <c r="J287" s="9" t="s">
        <v>745</v>
      </c>
      <c r="K287" s="9" t="s">
        <v>743</v>
      </c>
    </row>
    <row r="288" customFormat="false" ht="15" hidden="false" customHeight="false" outlineLevel="0" collapsed="false">
      <c r="A288" s="9" t="s">
        <v>289</v>
      </c>
      <c r="B288" s="9" t="n">
        <v>12</v>
      </c>
      <c r="C288" s="9" t="s">
        <v>558</v>
      </c>
      <c r="D288" s="9" t="n">
        <v>168.5</v>
      </c>
      <c r="E288" s="9" t="n">
        <v>9</v>
      </c>
      <c r="F288" s="9" t="n">
        <v>0</v>
      </c>
      <c r="G288" s="9" t="n">
        <v>8</v>
      </c>
      <c r="H288" s="9" t="n">
        <v>13</v>
      </c>
      <c r="I288" s="9" t="s">
        <v>567</v>
      </c>
      <c r="J288" s="9" t="s">
        <v>746</v>
      </c>
      <c r="K288" s="9" t="s">
        <v>743</v>
      </c>
    </row>
    <row r="289" customFormat="false" ht="15" hidden="false" customHeight="false" outlineLevel="0" collapsed="false">
      <c r="A289" s="9" t="s">
        <v>289</v>
      </c>
      <c r="B289" s="9" t="n">
        <v>13</v>
      </c>
      <c r="C289" s="9" t="s">
        <v>558</v>
      </c>
      <c r="D289" s="9" t="n">
        <v>305</v>
      </c>
      <c r="E289" s="9" t="n">
        <v>9</v>
      </c>
      <c r="F289" s="9" t="n">
        <v>0</v>
      </c>
      <c r="G289" s="9" t="n">
        <v>8</v>
      </c>
      <c r="H289" s="9" t="n">
        <v>13</v>
      </c>
      <c r="I289" s="9" t="s">
        <v>567</v>
      </c>
      <c r="J289" s="9" t="s">
        <v>747</v>
      </c>
      <c r="K289" s="9" t="s">
        <v>743</v>
      </c>
    </row>
    <row r="290" customFormat="false" ht="15" hidden="false" customHeight="false" outlineLevel="0" collapsed="false">
      <c r="A290" s="9" t="s">
        <v>289</v>
      </c>
      <c r="B290" s="9" t="n">
        <v>14</v>
      </c>
      <c r="C290" s="9" t="s">
        <v>558</v>
      </c>
      <c r="D290" s="9" t="n">
        <v>74</v>
      </c>
      <c r="E290" s="9" t="n">
        <v>327</v>
      </c>
      <c r="F290" s="9" t="n">
        <v>0</v>
      </c>
      <c r="G290" s="9" t="n">
        <v>5</v>
      </c>
      <c r="H290" s="9" t="n">
        <v>10</v>
      </c>
      <c r="I290" s="9" t="s">
        <v>526</v>
      </c>
      <c r="J290" s="9" t="s">
        <v>748</v>
      </c>
      <c r="K290" s="9" t="s">
        <v>743</v>
      </c>
    </row>
    <row r="291" customFormat="false" ht="15" hidden="false" customHeight="false" outlineLevel="0" collapsed="false">
      <c r="A291" s="9" t="s">
        <v>289</v>
      </c>
      <c r="B291" s="9" t="n">
        <v>15</v>
      </c>
      <c r="C291" s="9" t="s">
        <v>558</v>
      </c>
      <c r="D291" s="9" t="n">
        <v>74</v>
      </c>
      <c r="E291" s="9" t="n">
        <v>359</v>
      </c>
      <c r="F291" s="9" t="n">
        <v>0</v>
      </c>
      <c r="G291" s="9" t="n">
        <v>5</v>
      </c>
      <c r="H291" s="9" t="n">
        <v>10</v>
      </c>
      <c r="I291" s="9" t="s">
        <v>526</v>
      </c>
      <c r="J291" s="9" t="s">
        <v>748</v>
      </c>
      <c r="K291" s="9" t="s">
        <v>743</v>
      </c>
    </row>
    <row r="292" customFormat="false" ht="15" hidden="false" customHeight="false" outlineLevel="0" collapsed="false">
      <c r="A292" s="9" t="s">
        <v>289</v>
      </c>
      <c r="B292" s="9" t="n">
        <v>16</v>
      </c>
      <c r="C292" s="9" t="s">
        <v>558</v>
      </c>
      <c r="D292" s="9" t="n">
        <v>74</v>
      </c>
      <c r="E292" s="9" t="n">
        <v>391</v>
      </c>
      <c r="F292" s="9" t="n">
        <v>0</v>
      </c>
      <c r="G292" s="9" t="n">
        <v>5</v>
      </c>
      <c r="H292" s="9" t="n">
        <v>10</v>
      </c>
      <c r="I292" s="9" t="s">
        <v>526</v>
      </c>
      <c r="J292" s="9" t="s">
        <v>748</v>
      </c>
      <c r="K292" s="9" t="s">
        <v>743</v>
      </c>
    </row>
    <row r="293" customFormat="false" ht="15" hidden="false" customHeight="false" outlineLevel="0" collapsed="false">
      <c r="A293" s="9" t="s">
        <v>289</v>
      </c>
      <c r="B293" s="9" t="n">
        <v>17</v>
      </c>
      <c r="C293" s="9" t="s">
        <v>558</v>
      </c>
      <c r="D293" s="9" t="n">
        <v>290</v>
      </c>
      <c r="E293" s="9" t="n">
        <v>327</v>
      </c>
      <c r="F293" s="9" t="n">
        <v>0</v>
      </c>
      <c r="G293" s="9" t="n">
        <v>5</v>
      </c>
      <c r="H293" s="9" t="n">
        <v>10</v>
      </c>
      <c r="I293" s="9" t="s">
        <v>526</v>
      </c>
      <c r="J293" s="9" t="s">
        <v>748</v>
      </c>
      <c r="K293" s="9" t="s">
        <v>743</v>
      </c>
    </row>
    <row r="294" customFormat="false" ht="15" hidden="false" customHeight="false" outlineLevel="0" collapsed="false">
      <c r="A294" s="9" t="s">
        <v>289</v>
      </c>
      <c r="B294" s="9" t="n">
        <v>18</v>
      </c>
      <c r="C294" s="9" t="s">
        <v>558</v>
      </c>
      <c r="D294" s="9" t="n">
        <v>290</v>
      </c>
      <c r="E294" s="9" t="n">
        <v>359</v>
      </c>
      <c r="F294" s="9" t="n">
        <v>0</v>
      </c>
      <c r="G294" s="9" t="n">
        <v>5</v>
      </c>
      <c r="H294" s="9" t="n">
        <v>10</v>
      </c>
      <c r="I294" s="9" t="s">
        <v>526</v>
      </c>
      <c r="J294" s="9" t="s">
        <v>748</v>
      </c>
      <c r="K294" s="9" t="s">
        <v>743</v>
      </c>
    </row>
    <row r="295" customFormat="false" ht="15" hidden="false" customHeight="false" outlineLevel="0" collapsed="false">
      <c r="A295" s="9" t="s">
        <v>289</v>
      </c>
      <c r="B295" s="9" t="n">
        <v>19</v>
      </c>
      <c r="C295" s="9" t="s">
        <v>558</v>
      </c>
      <c r="D295" s="9" t="n">
        <v>290</v>
      </c>
      <c r="E295" s="9" t="n">
        <v>391</v>
      </c>
      <c r="F295" s="9" t="n">
        <v>0</v>
      </c>
      <c r="G295" s="9" t="n">
        <v>5</v>
      </c>
      <c r="H295" s="9" t="n">
        <v>10</v>
      </c>
      <c r="I295" s="9" t="s">
        <v>526</v>
      </c>
      <c r="J295" s="9" t="s">
        <v>748</v>
      </c>
      <c r="K295" s="9" t="s">
        <v>743</v>
      </c>
    </row>
    <row r="296" customFormat="false" ht="15" hidden="false" customHeight="false" outlineLevel="0" collapsed="false">
      <c r="A296" s="9" t="s">
        <v>289</v>
      </c>
      <c r="B296" s="9" t="n">
        <v>20</v>
      </c>
      <c r="C296" s="9" t="s">
        <v>558</v>
      </c>
      <c r="D296" s="9" t="n">
        <v>74</v>
      </c>
      <c r="E296" s="9" t="n">
        <v>712</v>
      </c>
      <c r="F296" s="9" t="n">
        <v>0</v>
      </c>
      <c r="G296" s="9" t="n">
        <v>5</v>
      </c>
      <c r="H296" s="9" t="n">
        <v>10</v>
      </c>
      <c r="I296" s="9" t="s">
        <v>526</v>
      </c>
      <c r="J296" s="9" t="s">
        <v>749</v>
      </c>
      <c r="K296" s="9" t="s">
        <v>743</v>
      </c>
    </row>
    <row r="297" customFormat="false" ht="15" hidden="false" customHeight="false" outlineLevel="0" collapsed="false">
      <c r="A297" s="9" t="s">
        <v>289</v>
      </c>
      <c r="B297" s="9" t="n">
        <v>21</v>
      </c>
      <c r="C297" s="9" t="s">
        <v>558</v>
      </c>
      <c r="D297" s="9" t="n">
        <v>74</v>
      </c>
      <c r="E297" s="9" t="n">
        <v>744</v>
      </c>
      <c r="F297" s="9" t="n">
        <v>0</v>
      </c>
      <c r="G297" s="9" t="n">
        <v>5</v>
      </c>
      <c r="H297" s="9" t="n">
        <v>10</v>
      </c>
      <c r="I297" s="9" t="s">
        <v>526</v>
      </c>
      <c r="J297" s="9" t="s">
        <v>749</v>
      </c>
      <c r="K297" s="9" t="s">
        <v>743</v>
      </c>
    </row>
    <row r="298" customFormat="false" ht="15" hidden="false" customHeight="false" outlineLevel="0" collapsed="false">
      <c r="A298" s="9" t="s">
        <v>289</v>
      </c>
      <c r="B298" s="9" t="n">
        <v>22</v>
      </c>
      <c r="C298" s="9" t="s">
        <v>558</v>
      </c>
      <c r="D298" s="9" t="n">
        <v>74</v>
      </c>
      <c r="E298" s="9" t="n">
        <v>776</v>
      </c>
      <c r="F298" s="9" t="n">
        <v>0</v>
      </c>
      <c r="G298" s="9" t="n">
        <v>5</v>
      </c>
      <c r="H298" s="9" t="n">
        <v>10</v>
      </c>
      <c r="I298" s="9" t="s">
        <v>526</v>
      </c>
      <c r="J298" s="9" t="s">
        <v>749</v>
      </c>
      <c r="K298" s="9" t="s">
        <v>743</v>
      </c>
    </row>
    <row r="299" customFormat="false" ht="15" hidden="false" customHeight="false" outlineLevel="0" collapsed="false">
      <c r="A299" s="9" t="s">
        <v>289</v>
      </c>
      <c r="B299" s="9" t="n">
        <v>23</v>
      </c>
      <c r="C299" s="9" t="s">
        <v>558</v>
      </c>
      <c r="D299" s="9" t="n">
        <v>290</v>
      </c>
      <c r="E299" s="9" t="n">
        <v>712</v>
      </c>
      <c r="F299" s="9" t="n">
        <v>0</v>
      </c>
      <c r="G299" s="9" t="n">
        <v>5</v>
      </c>
      <c r="H299" s="9" t="n">
        <v>10</v>
      </c>
      <c r="I299" s="9" t="s">
        <v>526</v>
      </c>
      <c r="J299" s="9" t="s">
        <v>749</v>
      </c>
      <c r="K299" s="9" t="s">
        <v>743</v>
      </c>
    </row>
    <row r="300" customFormat="false" ht="15" hidden="false" customHeight="false" outlineLevel="0" collapsed="false">
      <c r="A300" s="9" t="s">
        <v>289</v>
      </c>
      <c r="B300" s="9" t="n">
        <v>24</v>
      </c>
      <c r="C300" s="9" t="s">
        <v>558</v>
      </c>
      <c r="D300" s="9" t="n">
        <v>290</v>
      </c>
      <c r="E300" s="9" t="n">
        <v>744</v>
      </c>
      <c r="F300" s="9" t="n">
        <v>0</v>
      </c>
      <c r="G300" s="9" t="n">
        <v>5</v>
      </c>
      <c r="H300" s="9" t="n">
        <v>10</v>
      </c>
      <c r="I300" s="9" t="s">
        <v>526</v>
      </c>
      <c r="J300" s="9" t="s">
        <v>749</v>
      </c>
      <c r="K300" s="9" t="s">
        <v>743</v>
      </c>
    </row>
    <row r="301" customFormat="false" ht="15" hidden="false" customHeight="false" outlineLevel="0" collapsed="false">
      <c r="A301" s="9" t="s">
        <v>289</v>
      </c>
      <c r="B301" s="9" t="n">
        <v>25</v>
      </c>
      <c r="C301" s="9" t="s">
        <v>558</v>
      </c>
      <c r="D301" s="9" t="n">
        <v>290</v>
      </c>
      <c r="E301" s="9" t="n">
        <v>776</v>
      </c>
      <c r="F301" s="9" t="n">
        <v>0</v>
      </c>
      <c r="G301" s="9" t="n">
        <v>5</v>
      </c>
      <c r="H301" s="9" t="n">
        <v>10</v>
      </c>
      <c r="I301" s="9" t="s">
        <v>526</v>
      </c>
      <c r="J301" s="9" t="s">
        <v>749</v>
      </c>
      <c r="K301" s="9" t="s">
        <v>743</v>
      </c>
    </row>
    <row r="302" customFormat="false" ht="15" hidden="false" customHeight="false" outlineLevel="0" collapsed="false">
      <c r="A302" s="9" t="s">
        <v>289</v>
      </c>
      <c r="B302" s="9" t="n">
        <v>26</v>
      </c>
      <c r="C302" s="9" t="s">
        <v>558</v>
      </c>
      <c r="D302" s="9" t="n">
        <v>74</v>
      </c>
      <c r="E302" s="9" t="n">
        <v>1097</v>
      </c>
      <c r="F302" s="9" t="n">
        <v>0</v>
      </c>
      <c r="G302" s="9" t="n">
        <v>5</v>
      </c>
      <c r="H302" s="9" t="n">
        <v>10</v>
      </c>
      <c r="I302" s="9" t="s">
        <v>526</v>
      </c>
      <c r="J302" s="9" t="s">
        <v>750</v>
      </c>
      <c r="K302" s="9" t="s">
        <v>743</v>
      </c>
    </row>
    <row r="303" customFormat="false" ht="15" hidden="false" customHeight="false" outlineLevel="0" collapsed="false">
      <c r="A303" s="9" t="s">
        <v>289</v>
      </c>
      <c r="B303" s="9" t="n">
        <v>27</v>
      </c>
      <c r="C303" s="9" t="s">
        <v>558</v>
      </c>
      <c r="D303" s="9" t="n">
        <v>74</v>
      </c>
      <c r="E303" s="9" t="n">
        <v>1129</v>
      </c>
      <c r="F303" s="9" t="n">
        <v>0</v>
      </c>
      <c r="G303" s="9" t="n">
        <v>5</v>
      </c>
      <c r="H303" s="9" t="n">
        <v>10</v>
      </c>
      <c r="I303" s="9" t="s">
        <v>526</v>
      </c>
      <c r="J303" s="9" t="s">
        <v>750</v>
      </c>
      <c r="K303" s="9" t="s">
        <v>743</v>
      </c>
    </row>
    <row r="304" customFormat="false" ht="15" hidden="false" customHeight="false" outlineLevel="0" collapsed="false">
      <c r="A304" s="9" t="s">
        <v>289</v>
      </c>
      <c r="B304" s="9" t="n">
        <v>28</v>
      </c>
      <c r="C304" s="9" t="s">
        <v>558</v>
      </c>
      <c r="D304" s="9" t="n">
        <v>74</v>
      </c>
      <c r="E304" s="9" t="n">
        <v>1161</v>
      </c>
      <c r="F304" s="9" t="n">
        <v>0</v>
      </c>
      <c r="G304" s="9" t="n">
        <v>5</v>
      </c>
      <c r="H304" s="9" t="n">
        <v>10</v>
      </c>
      <c r="I304" s="9" t="s">
        <v>526</v>
      </c>
      <c r="J304" s="9" t="s">
        <v>750</v>
      </c>
      <c r="K304" s="9" t="s">
        <v>743</v>
      </c>
    </row>
    <row r="305" customFormat="false" ht="15" hidden="false" customHeight="false" outlineLevel="0" collapsed="false">
      <c r="A305" s="9" t="s">
        <v>289</v>
      </c>
      <c r="B305" s="9" t="n">
        <v>29</v>
      </c>
      <c r="C305" s="9" t="s">
        <v>558</v>
      </c>
      <c r="D305" s="9" t="n">
        <v>290</v>
      </c>
      <c r="E305" s="9" t="n">
        <v>1097</v>
      </c>
      <c r="F305" s="9" t="n">
        <v>0</v>
      </c>
      <c r="G305" s="9" t="n">
        <v>5</v>
      </c>
      <c r="H305" s="9" t="n">
        <v>10</v>
      </c>
      <c r="I305" s="9" t="s">
        <v>526</v>
      </c>
      <c r="J305" s="9" t="s">
        <v>750</v>
      </c>
      <c r="K305" s="9" t="s">
        <v>743</v>
      </c>
    </row>
    <row r="306" customFormat="false" ht="15" hidden="false" customHeight="false" outlineLevel="0" collapsed="false">
      <c r="A306" s="9" t="s">
        <v>289</v>
      </c>
      <c r="B306" s="9" t="n">
        <v>30</v>
      </c>
      <c r="C306" s="9" t="s">
        <v>558</v>
      </c>
      <c r="D306" s="9" t="n">
        <v>290</v>
      </c>
      <c r="E306" s="9" t="n">
        <v>1129</v>
      </c>
      <c r="F306" s="9" t="n">
        <v>0</v>
      </c>
      <c r="G306" s="9" t="n">
        <v>5</v>
      </c>
      <c r="H306" s="9" t="n">
        <v>10</v>
      </c>
      <c r="I306" s="9" t="s">
        <v>526</v>
      </c>
      <c r="J306" s="9" t="s">
        <v>750</v>
      </c>
      <c r="K306" s="9" t="s">
        <v>743</v>
      </c>
    </row>
    <row r="307" customFormat="false" ht="15" hidden="false" customHeight="false" outlineLevel="0" collapsed="false">
      <c r="A307" s="9" t="s">
        <v>289</v>
      </c>
      <c r="B307" s="9" t="n">
        <v>31</v>
      </c>
      <c r="C307" s="9" t="s">
        <v>558</v>
      </c>
      <c r="D307" s="9" t="n">
        <v>290</v>
      </c>
      <c r="E307" s="9" t="n">
        <v>1161</v>
      </c>
      <c r="F307" s="9" t="n">
        <v>0</v>
      </c>
      <c r="G307" s="9" t="n">
        <v>5</v>
      </c>
      <c r="H307" s="9" t="n">
        <v>10</v>
      </c>
      <c r="I307" s="9" t="s">
        <v>526</v>
      </c>
      <c r="J307" s="9" t="s">
        <v>750</v>
      </c>
      <c r="K307" s="9" t="s">
        <v>743</v>
      </c>
    </row>
    <row r="308" customFormat="false" ht="15" hidden="false" customHeight="false" outlineLevel="0" collapsed="false">
      <c r="A308" s="9" t="s">
        <v>289</v>
      </c>
      <c r="B308" s="9" t="n">
        <v>32</v>
      </c>
      <c r="C308" s="9" t="s">
        <v>558</v>
      </c>
      <c r="D308" s="9" t="n">
        <v>74</v>
      </c>
      <c r="E308" s="9" t="n">
        <v>1482</v>
      </c>
      <c r="F308" s="9" t="n">
        <v>0</v>
      </c>
      <c r="G308" s="9" t="n">
        <v>5</v>
      </c>
      <c r="H308" s="9" t="n">
        <v>10</v>
      </c>
      <c r="I308" s="9" t="s">
        <v>526</v>
      </c>
      <c r="J308" s="9" t="s">
        <v>751</v>
      </c>
      <c r="K308" s="9" t="s">
        <v>743</v>
      </c>
    </row>
    <row r="309" customFormat="false" ht="15" hidden="false" customHeight="false" outlineLevel="0" collapsed="false">
      <c r="A309" s="9" t="s">
        <v>289</v>
      </c>
      <c r="B309" s="9" t="n">
        <v>33</v>
      </c>
      <c r="C309" s="9" t="s">
        <v>558</v>
      </c>
      <c r="D309" s="9" t="n">
        <v>74</v>
      </c>
      <c r="E309" s="9" t="n">
        <v>1514</v>
      </c>
      <c r="F309" s="9" t="n">
        <v>0</v>
      </c>
      <c r="G309" s="9" t="n">
        <v>5</v>
      </c>
      <c r="H309" s="9" t="n">
        <v>10</v>
      </c>
      <c r="I309" s="9" t="s">
        <v>526</v>
      </c>
      <c r="J309" s="9" t="s">
        <v>751</v>
      </c>
      <c r="K309" s="9" t="s">
        <v>743</v>
      </c>
    </row>
    <row r="310" customFormat="false" ht="15" hidden="false" customHeight="false" outlineLevel="0" collapsed="false">
      <c r="A310" s="9" t="s">
        <v>289</v>
      </c>
      <c r="B310" s="9" t="n">
        <v>34</v>
      </c>
      <c r="C310" s="9" t="s">
        <v>558</v>
      </c>
      <c r="D310" s="9" t="n">
        <v>74</v>
      </c>
      <c r="E310" s="9" t="n">
        <v>1546</v>
      </c>
      <c r="F310" s="9" t="n">
        <v>0</v>
      </c>
      <c r="G310" s="9" t="n">
        <v>5</v>
      </c>
      <c r="H310" s="9" t="n">
        <v>10</v>
      </c>
      <c r="I310" s="9" t="s">
        <v>526</v>
      </c>
      <c r="J310" s="9" t="s">
        <v>751</v>
      </c>
      <c r="K310" s="9" t="s">
        <v>743</v>
      </c>
    </row>
    <row r="311" customFormat="false" ht="15" hidden="false" customHeight="false" outlineLevel="0" collapsed="false">
      <c r="A311" s="9" t="s">
        <v>289</v>
      </c>
      <c r="B311" s="9" t="n">
        <v>35</v>
      </c>
      <c r="C311" s="9" t="s">
        <v>558</v>
      </c>
      <c r="D311" s="9" t="n">
        <v>290</v>
      </c>
      <c r="E311" s="9" t="n">
        <v>1482</v>
      </c>
      <c r="F311" s="9" t="n">
        <v>0</v>
      </c>
      <c r="G311" s="9" t="n">
        <v>5</v>
      </c>
      <c r="H311" s="9" t="n">
        <v>10</v>
      </c>
      <c r="I311" s="9" t="s">
        <v>526</v>
      </c>
      <c r="J311" s="9" t="s">
        <v>751</v>
      </c>
      <c r="K311" s="9" t="s">
        <v>743</v>
      </c>
    </row>
    <row r="312" customFormat="false" ht="15" hidden="false" customHeight="false" outlineLevel="0" collapsed="false">
      <c r="A312" s="9" t="s">
        <v>289</v>
      </c>
      <c r="B312" s="9" t="n">
        <v>36</v>
      </c>
      <c r="C312" s="9" t="s">
        <v>558</v>
      </c>
      <c r="D312" s="9" t="n">
        <v>290</v>
      </c>
      <c r="E312" s="9" t="n">
        <v>1514</v>
      </c>
      <c r="F312" s="9" t="n">
        <v>0</v>
      </c>
      <c r="G312" s="9" t="n">
        <v>5</v>
      </c>
      <c r="H312" s="9" t="n">
        <v>10</v>
      </c>
      <c r="I312" s="9" t="s">
        <v>526</v>
      </c>
      <c r="J312" s="9" t="s">
        <v>751</v>
      </c>
      <c r="K312" s="9" t="s">
        <v>743</v>
      </c>
    </row>
    <row r="313" customFormat="false" ht="15" hidden="false" customHeight="false" outlineLevel="0" collapsed="false">
      <c r="A313" s="9" t="s">
        <v>289</v>
      </c>
      <c r="B313" s="9" t="n">
        <v>37</v>
      </c>
      <c r="C313" s="9" t="s">
        <v>558</v>
      </c>
      <c r="D313" s="9" t="n">
        <v>290</v>
      </c>
      <c r="E313" s="9" t="n">
        <v>1546</v>
      </c>
      <c r="F313" s="9" t="n">
        <v>0</v>
      </c>
      <c r="G313" s="9" t="n">
        <v>5</v>
      </c>
      <c r="H313" s="9" t="n">
        <v>10</v>
      </c>
      <c r="I313" s="9" t="s">
        <v>526</v>
      </c>
      <c r="J313" s="9" t="s">
        <v>751</v>
      </c>
      <c r="K313" s="9" t="s">
        <v>743</v>
      </c>
    </row>
    <row r="314" customFormat="false" ht="15" hidden="false" customHeight="false" outlineLevel="0" collapsed="false">
      <c r="A314" s="9" t="s">
        <v>289</v>
      </c>
      <c r="B314" s="9" t="n">
        <v>38</v>
      </c>
      <c r="C314" s="9" t="s">
        <v>558</v>
      </c>
      <c r="D314" s="9" t="n">
        <v>74</v>
      </c>
      <c r="E314" s="9" t="n">
        <v>1867</v>
      </c>
      <c r="F314" s="9" t="n">
        <v>0</v>
      </c>
      <c r="G314" s="9" t="n">
        <v>5</v>
      </c>
      <c r="H314" s="9" t="n">
        <v>10</v>
      </c>
      <c r="I314" s="9" t="s">
        <v>526</v>
      </c>
      <c r="J314" s="9" t="s">
        <v>752</v>
      </c>
      <c r="K314" s="9" t="s">
        <v>743</v>
      </c>
    </row>
    <row r="315" customFormat="false" ht="15" hidden="false" customHeight="false" outlineLevel="0" collapsed="false">
      <c r="A315" s="9" t="s">
        <v>289</v>
      </c>
      <c r="B315" s="9" t="n">
        <v>39</v>
      </c>
      <c r="C315" s="9" t="s">
        <v>558</v>
      </c>
      <c r="D315" s="9" t="n">
        <v>74</v>
      </c>
      <c r="E315" s="9" t="n">
        <v>1899</v>
      </c>
      <c r="F315" s="9" t="n">
        <v>0</v>
      </c>
      <c r="G315" s="9" t="n">
        <v>5</v>
      </c>
      <c r="H315" s="9" t="n">
        <v>10</v>
      </c>
      <c r="I315" s="9" t="s">
        <v>526</v>
      </c>
      <c r="J315" s="9" t="s">
        <v>752</v>
      </c>
      <c r="K315" s="9" t="s">
        <v>743</v>
      </c>
    </row>
    <row r="316" customFormat="false" ht="15" hidden="false" customHeight="false" outlineLevel="0" collapsed="false">
      <c r="A316" s="9" t="s">
        <v>289</v>
      </c>
      <c r="B316" s="9" t="n">
        <v>40</v>
      </c>
      <c r="C316" s="9" t="s">
        <v>558</v>
      </c>
      <c r="D316" s="9" t="n">
        <v>74</v>
      </c>
      <c r="E316" s="9" t="n">
        <v>1931</v>
      </c>
      <c r="F316" s="9" t="n">
        <v>0</v>
      </c>
      <c r="G316" s="9" t="n">
        <v>5</v>
      </c>
      <c r="H316" s="9" t="n">
        <v>10</v>
      </c>
      <c r="I316" s="9" t="s">
        <v>526</v>
      </c>
      <c r="J316" s="9" t="s">
        <v>752</v>
      </c>
      <c r="K316" s="9" t="s">
        <v>743</v>
      </c>
    </row>
    <row r="317" customFormat="false" ht="15" hidden="false" customHeight="false" outlineLevel="0" collapsed="false">
      <c r="A317" s="9" t="s">
        <v>289</v>
      </c>
      <c r="B317" s="9" t="n">
        <v>41</v>
      </c>
      <c r="C317" s="9" t="s">
        <v>558</v>
      </c>
      <c r="D317" s="9" t="n">
        <v>290</v>
      </c>
      <c r="E317" s="9" t="n">
        <v>1867</v>
      </c>
      <c r="F317" s="9" t="n">
        <v>0</v>
      </c>
      <c r="G317" s="9" t="n">
        <v>5</v>
      </c>
      <c r="H317" s="9" t="n">
        <v>10</v>
      </c>
      <c r="I317" s="9" t="s">
        <v>526</v>
      </c>
      <c r="J317" s="9" t="s">
        <v>752</v>
      </c>
      <c r="K317" s="9" t="s">
        <v>743</v>
      </c>
    </row>
    <row r="318" customFormat="false" ht="15" hidden="false" customHeight="false" outlineLevel="0" collapsed="false">
      <c r="A318" s="9" t="s">
        <v>289</v>
      </c>
      <c r="B318" s="9" t="n">
        <v>42</v>
      </c>
      <c r="C318" s="9" t="s">
        <v>558</v>
      </c>
      <c r="D318" s="9" t="n">
        <v>290</v>
      </c>
      <c r="E318" s="9" t="n">
        <v>1899</v>
      </c>
      <c r="F318" s="9" t="n">
        <v>0</v>
      </c>
      <c r="G318" s="9" t="n">
        <v>5</v>
      </c>
      <c r="H318" s="9" t="n">
        <v>10</v>
      </c>
      <c r="I318" s="9" t="s">
        <v>526</v>
      </c>
      <c r="J318" s="9" t="s">
        <v>752</v>
      </c>
      <c r="K318" s="9" t="s">
        <v>743</v>
      </c>
    </row>
    <row r="319" customFormat="false" ht="15" hidden="false" customHeight="false" outlineLevel="0" collapsed="false">
      <c r="A319" s="9" t="s">
        <v>289</v>
      </c>
      <c r="B319" s="9" t="n">
        <v>43</v>
      </c>
      <c r="C319" s="9" t="s">
        <v>558</v>
      </c>
      <c r="D319" s="9" t="n">
        <v>290</v>
      </c>
      <c r="E319" s="9" t="n">
        <v>1931</v>
      </c>
      <c r="F319" s="9" t="n">
        <v>0</v>
      </c>
      <c r="G319" s="9" t="n">
        <v>5</v>
      </c>
      <c r="H319" s="9" t="n">
        <v>10</v>
      </c>
      <c r="I319" s="9" t="s">
        <v>526</v>
      </c>
      <c r="J319" s="9" t="s">
        <v>752</v>
      </c>
      <c r="K319" s="9" t="s">
        <v>743</v>
      </c>
    </row>
    <row r="320" customFormat="false" ht="15" hidden="false" customHeight="false" outlineLevel="0" collapsed="false">
      <c r="A320" s="9" t="s">
        <v>289</v>
      </c>
      <c r="B320" s="9" t="n">
        <v>44</v>
      </c>
      <c r="C320" s="9" t="s">
        <v>558</v>
      </c>
      <c r="D320" s="9" t="n">
        <v>37</v>
      </c>
      <c r="E320" s="9" t="n">
        <v>87</v>
      </c>
      <c r="F320" s="9" t="n">
        <v>0</v>
      </c>
      <c r="G320" s="9" t="n">
        <v>5</v>
      </c>
      <c r="H320" s="9" t="n">
        <v>12</v>
      </c>
      <c r="I320" s="9" t="s">
        <v>731</v>
      </c>
      <c r="J320" s="9" t="s">
        <v>753</v>
      </c>
      <c r="K320" s="9" t="s">
        <v>743</v>
      </c>
    </row>
    <row r="321" customFormat="false" ht="15" hidden="false" customHeight="false" outlineLevel="0" collapsed="false">
      <c r="A321" s="9" t="s">
        <v>289</v>
      </c>
      <c r="B321" s="9" t="n">
        <v>45</v>
      </c>
      <c r="C321" s="9" t="s">
        <v>558</v>
      </c>
      <c r="D321" s="9" t="n">
        <v>37</v>
      </c>
      <c r="E321" s="9" t="n">
        <v>119</v>
      </c>
      <c r="F321" s="9" t="n">
        <v>0</v>
      </c>
      <c r="G321" s="9" t="n">
        <v>5</v>
      </c>
      <c r="H321" s="9" t="n">
        <v>12</v>
      </c>
      <c r="I321" s="9" t="s">
        <v>731</v>
      </c>
      <c r="J321" s="9" t="s">
        <v>753</v>
      </c>
      <c r="K321" s="9" t="s">
        <v>743</v>
      </c>
    </row>
    <row r="322" customFormat="false" ht="15" hidden="false" customHeight="false" outlineLevel="0" collapsed="false">
      <c r="A322" s="9" t="s">
        <v>289</v>
      </c>
      <c r="B322" s="9" t="n">
        <v>46</v>
      </c>
      <c r="C322" s="9" t="s">
        <v>558</v>
      </c>
      <c r="D322" s="9" t="n">
        <v>37</v>
      </c>
      <c r="E322" s="9" t="n">
        <v>607.25</v>
      </c>
      <c r="F322" s="9" t="n">
        <v>0</v>
      </c>
      <c r="G322" s="9" t="n">
        <v>5</v>
      </c>
      <c r="H322" s="9" t="n">
        <v>12</v>
      </c>
      <c r="I322" s="9" t="s">
        <v>731</v>
      </c>
      <c r="J322" s="9" t="s">
        <v>754</v>
      </c>
      <c r="K322" s="9" t="s">
        <v>743</v>
      </c>
    </row>
    <row r="323" customFormat="false" ht="15" hidden="false" customHeight="false" outlineLevel="0" collapsed="false">
      <c r="A323" s="9" t="s">
        <v>289</v>
      </c>
      <c r="B323" s="9" t="n">
        <v>47</v>
      </c>
      <c r="C323" s="9" t="s">
        <v>558</v>
      </c>
      <c r="D323" s="9" t="n">
        <v>37</v>
      </c>
      <c r="E323" s="9" t="n">
        <v>639.25</v>
      </c>
      <c r="F323" s="9" t="n">
        <v>0</v>
      </c>
      <c r="G323" s="9" t="n">
        <v>5</v>
      </c>
      <c r="H323" s="9" t="n">
        <v>12</v>
      </c>
      <c r="I323" s="9" t="s">
        <v>731</v>
      </c>
      <c r="J323" s="9" t="s">
        <v>754</v>
      </c>
      <c r="K323" s="9" t="s">
        <v>743</v>
      </c>
    </row>
    <row r="324" customFormat="false" ht="15" hidden="false" customHeight="false" outlineLevel="0" collapsed="false">
      <c r="A324" s="9" t="s">
        <v>289</v>
      </c>
      <c r="B324" s="9" t="n">
        <v>48</v>
      </c>
      <c r="C324" s="9" t="s">
        <v>558</v>
      </c>
      <c r="D324" s="9" t="n">
        <v>37</v>
      </c>
      <c r="E324" s="9" t="n">
        <v>1223.5</v>
      </c>
      <c r="F324" s="9" t="n">
        <v>0</v>
      </c>
      <c r="G324" s="9" t="n">
        <v>5</v>
      </c>
      <c r="H324" s="9" t="n">
        <v>12</v>
      </c>
      <c r="I324" s="9" t="s">
        <v>731</v>
      </c>
      <c r="J324" s="9" t="s">
        <v>755</v>
      </c>
      <c r="K324" s="9" t="s">
        <v>743</v>
      </c>
    </row>
    <row r="325" customFormat="false" ht="15" hidden="false" customHeight="false" outlineLevel="0" collapsed="false">
      <c r="A325" s="9" t="s">
        <v>289</v>
      </c>
      <c r="B325" s="9" t="n">
        <v>49</v>
      </c>
      <c r="C325" s="9" t="s">
        <v>558</v>
      </c>
      <c r="D325" s="9" t="n">
        <v>37</v>
      </c>
      <c r="E325" s="9" t="n">
        <v>1255.5</v>
      </c>
      <c r="F325" s="9" t="n">
        <v>0</v>
      </c>
      <c r="G325" s="9" t="n">
        <v>5</v>
      </c>
      <c r="H325" s="9" t="n">
        <v>12</v>
      </c>
      <c r="I325" s="9" t="s">
        <v>731</v>
      </c>
      <c r="J325" s="9" t="s">
        <v>755</v>
      </c>
      <c r="K325" s="9" t="s">
        <v>743</v>
      </c>
    </row>
    <row r="326" customFormat="false" ht="15" hidden="false" customHeight="false" outlineLevel="0" collapsed="false">
      <c r="A326" s="9" t="s">
        <v>289</v>
      </c>
      <c r="B326" s="9" t="n">
        <v>50</v>
      </c>
      <c r="C326" s="9" t="s">
        <v>558</v>
      </c>
      <c r="D326" s="9" t="n">
        <v>37</v>
      </c>
      <c r="E326" s="9" t="n">
        <v>1647.75</v>
      </c>
      <c r="F326" s="9" t="n">
        <v>0</v>
      </c>
      <c r="G326" s="9" t="n">
        <v>5</v>
      </c>
      <c r="H326" s="9" t="n">
        <v>12</v>
      </c>
      <c r="I326" s="9" t="s">
        <v>731</v>
      </c>
      <c r="J326" s="9" t="s">
        <v>756</v>
      </c>
      <c r="K326" s="9" t="s">
        <v>743</v>
      </c>
    </row>
    <row r="327" customFormat="false" ht="15" hidden="false" customHeight="false" outlineLevel="0" collapsed="false">
      <c r="A327" s="9" t="s">
        <v>289</v>
      </c>
      <c r="B327" s="9" t="n">
        <v>51</v>
      </c>
      <c r="C327" s="9" t="s">
        <v>558</v>
      </c>
      <c r="D327" s="9" t="n">
        <v>37</v>
      </c>
      <c r="E327" s="9" t="n">
        <v>1679.75</v>
      </c>
      <c r="F327" s="9" t="n">
        <v>0</v>
      </c>
      <c r="G327" s="9" t="n">
        <v>5</v>
      </c>
      <c r="H327" s="9" t="n">
        <v>12</v>
      </c>
      <c r="I327" s="9" t="s">
        <v>731</v>
      </c>
      <c r="J327" s="9" t="s">
        <v>756</v>
      </c>
      <c r="K327" s="9" t="s">
        <v>743</v>
      </c>
    </row>
    <row r="328" customFormat="false" ht="15" hidden="false" customHeight="false" outlineLevel="0" collapsed="false">
      <c r="A328" s="9" t="s">
        <v>289</v>
      </c>
      <c r="B328" s="9" t="n">
        <v>52</v>
      </c>
      <c r="C328" s="9" t="s">
        <v>558</v>
      </c>
      <c r="D328" s="9" t="n">
        <v>37</v>
      </c>
      <c r="E328" s="9" t="n">
        <v>2168</v>
      </c>
      <c r="F328" s="9" t="n">
        <v>0</v>
      </c>
      <c r="G328" s="9" t="n">
        <v>5</v>
      </c>
      <c r="H328" s="9" t="n">
        <v>12</v>
      </c>
      <c r="I328" s="9" t="s">
        <v>731</v>
      </c>
      <c r="J328" s="9" t="s">
        <v>757</v>
      </c>
      <c r="K328" s="9" t="s">
        <v>743</v>
      </c>
    </row>
    <row r="329" customFormat="false" ht="15" hidden="false" customHeight="false" outlineLevel="0" collapsed="false">
      <c r="A329" s="9" t="s">
        <v>289</v>
      </c>
      <c r="B329" s="9" t="n">
        <v>53</v>
      </c>
      <c r="C329" s="9" t="s">
        <v>558</v>
      </c>
      <c r="D329" s="9" t="n">
        <v>37</v>
      </c>
      <c r="E329" s="9" t="n">
        <v>2200</v>
      </c>
      <c r="F329" s="9" t="n">
        <v>0</v>
      </c>
      <c r="G329" s="9" t="n">
        <v>5</v>
      </c>
      <c r="H329" s="9" t="n">
        <v>12</v>
      </c>
      <c r="I329" s="9" t="s">
        <v>731</v>
      </c>
      <c r="J329" s="9" t="s">
        <v>757</v>
      </c>
      <c r="K329" s="9" t="s">
        <v>743</v>
      </c>
    </row>
    <row r="330" customFormat="false" ht="15" hidden="false" customHeight="false" outlineLevel="0" collapsed="false">
      <c r="A330" s="9" t="s">
        <v>293</v>
      </c>
      <c r="B330" s="9" t="n">
        <v>1</v>
      </c>
      <c r="C330" s="9" t="s">
        <v>558</v>
      </c>
      <c r="D330" s="9" t="n">
        <v>426</v>
      </c>
      <c r="E330" s="9" t="n">
        <v>305</v>
      </c>
      <c r="F330" s="9" t="n">
        <v>0</v>
      </c>
      <c r="G330" s="9" t="n">
        <v>8</v>
      </c>
      <c r="H330" s="9" t="n">
        <v>13</v>
      </c>
      <c r="I330" s="9" t="s">
        <v>567</v>
      </c>
      <c r="J330" s="9" t="s">
        <v>564</v>
      </c>
      <c r="K330" s="9" t="s">
        <v>758</v>
      </c>
    </row>
    <row r="331" customFormat="false" ht="15" hidden="false" customHeight="false" outlineLevel="0" collapsed="false">
      <c r="A331" s="9" t="s">
        <v>293</v>
      </c>
      <c r="B331" s="9" t="n">
        <v>2</v>
      </c>
      <c r="C331" s="9" t="s">
        <v>558</v>
      </c>
      <c r="D331" s="9" t="n">
        <v>426</v>
      </c>
      <c r="E331" s="9" t="n">
        <v>168.5</v>
      </c>
      <c r="F331" s="9" t="n">
        <v>0</v>
      </c>
      <c r="G331" s="9" t="n">
        <v>8</v>
      </c>
      <c r="H331" s="9" t="n">
        <v>13</v>
      </c>
      <c r="I331" s="9" t="s">
        <v>567</v>
      </c>
      <c r="J331" s="9" t="s">
        <v>565</v>
      </c>
      <c r="K331" s="9" t="s">
        <v>758</v>
      </c>
    </row>
    <row r="332" customFormat="false" ht="15" hidden="false" customHeight="false" outlineLevel="0" collapsed="false">
      <c r="A332" s="9" t="s">
        <v>293</v>
      </c>
      <c r="B332" s="9" t="n">
        <v>3</v>
      </c>
      <c r="C332" s="9" t="s">
        <v>558</v>
      </c>
      <c r="D332" s="9" t="n">
        <v>426</v>
      </c>
      <c r="E332" s="9" t="n">
        <v>32</v>
      </c>
      <c r="F332" s="9" t="n">
        <v>0</v>
      </c>
      <c r="G332" s="9" t="n">
        <v>8</v>
      </c>
      <c r="H332" s="9" t="n">
        <v>13</v>
      </c>
      <c r="I332" s="9" t="s">
        <v>567</v>
      </c>
      <c r="J332" s="9" t="s">
        <v>566</v>
      </c>
      <c r="K332" s="9" t="s">
        <v>758</v>
      </c>
    </row>
    <row r="333" customFormat="false" ht="15" hidden="false" customHeight="false" outlineLevel="0" collapsed="false">
      <c r="A333" s="9" t="s">
        <v>293</v>
      </c>
      <c r="B333" s="9" t="n">
        <v>4</v>
      </c>
      <c r="C333" s="9" t="s">
        <v>17</v>
      </c>
      <c r="D333" s="9" t="n">
        <v>834</v>
      </c>
      <c r="E333" s="9" t="n">
        <v>32</v>
      </c>
      <c r="F333" s="9" t="n">
        <v>9</v>
      </c>
      <c r="G333" s="9" t="n">
        <v>8</v>
      </c>
      <c r="H333" s="9" t="n">
        <v>25</v>
      </c>
      <c r="I333" s="9" t="s">
        <v>553</v>
      </c>
      <c r="J333" s="9" t="s">
        <v>745</v>
      </c>
      <c r="K333" s="9" t="s">
        <v>759</v>
      </c>
    </row>
    <row r="334" customFormat="false" ht="15" hidden="false" customHeight="false" outlineLevel="0" collapsed="false">
      <c r="A334" s="9" t="s">
        <v>293</v>
      </c>
      <c r="B334" s="9" t="n">
        <v>5</v>
      </c>
      <c r="C334" s="9" t="s">
        <v>17</v>
      </c>
      <c r="D334" s="9" t="n">
        <v>834</v>
      </c>
      <c r="E334" s="9" t="n">
        <v>168.5</v>
      </c>
      <c r="F334" s="9" t="n">
        <v>9</v>
      </c>
      <c r="G334" s="9" t="n">
        <v>8</v>
      </c>
      <c r="H334" s="9" t="n">
        <v>25</v>
      </c>
      <c r="I334" s="9" t="s">
        <v>553</v>
      </c>
      <c r="J334" s="9" t="s">
        <v>746</v>
      </c>
      <c r="K334" s="9" t="s">
        <v>759</v>
      </c>
    </row>
    <row r="335" customFormat="false" ht="15" hidden="false" customHeight="false" outlineLevel="0" collapsed="false">
      <c r="A335" s="9" t="s">
        <v>293</v>
      </c>
      <c r="B335" s="9" t="n">
        <v>6</v>
      </c>
      <c r="C335" s="9" t="s">
        <v>17</v>
      </c>
      <c r="D335" s="9" t="n">
        <v>834</v>
      </c>
      <c r="E335" s="9" t="n">
        <v>305</v>
      </c>
      <c r="F335" s="9" t="n">
        <v>9</v>
      </c>
      <c r="G335" s="9" t="n">
        <v>8</v>
      </c>
      <c r="H335" s="9" t="n">
        <v>25</v>
      </c>
      <c r="I335" s="9" t="s">
        <v>553</v>
      </c>
      <c r="J335" s="9" t="s">
        <v>747</v>
      </c>
      <c r="K335" s="9" t="s">
        <v>759</v>
      </c>
    </row>
    <row r="336" customFormat="false" ht="15" hidden="false" customHeight="false" outlineLevel="0" collapsed="false">
      <c r="A336" s="9" t="s">
        <v>293</v>
      </c>
      <c r="B336" s="9" t="n">
        <v>7</v>
      </c>
      <c r="C336" s="9" t="s">
        <v>19</v>
      </c>
      <c r="D336" s="9" t="n">
        <v>0</v>
      </c>
      <c r="E336" s="9" t="n">
        <v>32</v>
      </c>
      <c r="F336" s="9" t="n">
        <v>9</v>
      </c>
      <c r="G336" s="9" t="n">
        <v>8</v>
      </c>
      <c r="H336" s="9" t="n">
        <v>25</v>
      </c>
      <c r="I336" s="9" t="s">
        <v>553</v>
      </c>
      <c r="J336" s="9" t="s">
        <v>723</v>
      </c>
      <c r="K336" s="9" t="s">
        <v>759</v>
      </c>
    </row>
    <row r="337" customFormat="false" ht="15" hidden="false" customHeight="false" outlineLevel="0" collapsed="false">
      <c r="A337" s="9" t="s">
        <v>293</v>
      </c>
      <c r="B337" s="9" t="n">
        <v>8</v>
      </c>
      <c r="C337" s="9" t="s">
        <v>19</v>
      </c>
      <c r="D337" s="9" t="n">
        <v>0</v>
      </c>
      <c r="E337" s="9" t="n">
        <v>168.5</v>
      </c>
      <c r="F337" s="9" t="n">
        <v>9</v>
      </c>
      <c r="G337" s="9" t="n">
        <v>8</v>
      </c>
      <c r="H337" s="9" t="n">
        <v>25</v>
      </c>
      <c r="I337" s="9" t="s">
        <v>553</v>
      </c>
      <c r="J337" s="9" t="s">
        <v>724</v>
      </c>
      <c r="K337" s="9" t="s">
        <v>759</v>
      </c>
    </row>
    <row r="338" customFormat="false" ht="15" hidden="false" customHeight="false" outlineLevel="0" collapsed="false">
      <c r="A338" s="9" t="s">
        <v>293</v>
      </c>
      <c r="B338" s="9" t="n">
        <v>9</v>
      </c>
      <c r="C338" s="9" t="s">
        <v>19</v>
      </c>
      <c r="D338" s="9" t="n">
        <v>0</v>
      </c>
      <c r="E338" s="9" t="n">
        <v>305</v>
      </c>
      <c r="F338" s="9" t="n">
        <v>9</v>
      </c>
      <c r="G338" s="9" t="n">
        <v>8</v>
      </c>
      <c r="H338" s="9" t="n">
        <v>25</v>
      </c>
      <c r="I338" s="9" t="s">
        <v>553</v>
      </c>
      <c r="J338" s="9" t="s">
        <v>725</v>
      </c>
      <c r="K338" s="9" t="s">
        <v>759</v>
      </c>
    </row>
    <row r="339" customFormat="false" ht="15" hidden="false" customHeight="false" outlineLevel="0" collapsed="false">
      <c r="A339" s="9" t="s">
        <v>293</v>
      </c>
      <c r="B339" s="9" t="n">
        <v>10</v>
      </c>
      <c r="C339" s="9" t="s">
        <v>578</v>
      </c>
      <c r="D339" s="9" t="n">
        <v>417</v>
      </c>
      <c r="E339" s="9" t="n">
        <v>305</v>
      </c>
      <c r="F339" s="9" t="n">
        <v>18</v>
      </c>
      <c r="G339" s="9" t="n">
        <v>8</v>
      </c>
      <c r="H339" s="9" t="n">
        <v>13</v>
      </c>
      <c r="I339" s="9" t="s">
        <v>567</v>
      </c>
      <c r="J339" s="9" t="s">
        <v>760</v>
      </c>
      <c r="K339" s="9" t="s">
        <v>759</v>
      </c>
    </row>
    <row r="340" customFormat="false" ht="15" hidden="false" customHeight="false" outlineLevel="0" collapsed="false">
      <c r="A340" s="9" t="s">
        <v>293</v>
      </c>
      <c r="B340" s="9" t="n">
        <v>11</v>
      </c>
      <c r="C340" s="9" t="s">
        <v>578</v>
      </c>
      <c r="D340" s="9" t="n">
        <v>417</v>
      </c>
      <c r="E340" s="9" t="n">
        <v>168.5</v>
      </c>
      <c r="F340" s="9" t="n">
        <v>18</v>
      </c>
      <c r="G340" s="9" t="n">
        <v>8</v>
      </c>
      <c r="H340" s="9" t="n">
        <v>13</v>
      </c>
      <c r="I340" s="9" t="s">
        <v>567</v>
      </c>
      <c r="J340" s="9" t="s">
        <v>761</v>
      </c>
      <c r="K340" s="9" t="s">
        <v>759</v>
      </c>
    </row>
    <row r="341" customFormat="false" ht="15" hidden="false" customHeight="false" outlineLevel="0" collapsed="false">
      <c r="A341" s="9" t="s">
        <v>293</v>
      </c>
      <c r="B341" s="9" t="n">
        <v>12</v>
      </c>
      <c r="C341" s="9" t="s">
        <v>578</v>
      </c>
      <c r="D341" s="9" t="n">
        <v>417</v>
      </c>
      <c r="E341" s="9" t="n">
        <v>32</v>
      </c>
      <c r="F341" s="9" t="n">
        <v>18</v>
      </c>
      <c r="G341" s="9" t="n">
        <v>8</v>
      </c>
      <c r="H341" s="9" t="n">
        <v>13</v>
      </c>
      <c r="I341" s="9" t="s">
        <v>567</v>
      </c>
      <c r="J341" s="9" t="s">
        <v>762</v>
      </c>
      <c r="K341" s="9" t="s">
        <v>759</v>
      </c>
    </row>
    <row r="342" customFormat="false" ht="15" hidden="false" customHeight="false" outlineLevel="0" collapsed="false">
      <c r="A342" s="9" t="s">
        <v>293</v>
      </c>
      <c r="B342" s="9" t="n">
        <v>13</v>
      </c>
      <c r="C342" s="9" t="s">
        <v>558</v>
      </c>
      <c r="D342" s="9" t="n">
        <v>408</v>
      </c>
      <c r="E342" s="9" t="n">
        <v>305</v>
      </c>
      <c r="F342" s="9" t="n">
        <v>0</v>
      </c>
      <c r="G342" s="9" t="n">
        <v>8</v>
      </c>
      <c r="H342" s="9" t="n">
        <v>13</v>
      </c>
      <c r="I342" s="9" t="s">
        <v>567</v>
      </c>
      <c r="J342" s="9" t="s">
        <v>763</v>
      </c>
      <c r="K342" s="9" t="s">
        <v>758</v>
      </c>
    </row>
    <row r="343" customFormat="false" ht="15" hidden="false" customHeight="false" outlineLevel="0" collapsed="false">
      <c r="A343" s="9" t="s">
        <v>293</v>
      </c>
      <c r="B343" s="9" t="n">
        <v>14</v>
      </c>
      <c r="C343" s="9" t="s">
        <v>558</v>
      </c>
      <c r="D343" s="9" t="n">
        <v>408</v>
      </c>
      <c r="E343" s="9" t="n">
        <v>168.5</v>
      </c>
      <c r="F343" s="9" t="n">
        <v>0</v>
      </c>
      <c r="G343" s="9" t="n">
        <v>8</v>
      </c>
      <c r="H343" s="9" t="n">
        <v>13</v>
      </c>
      <c r="I343" s="9" t="s">
        <v>567</v>
      </c>
      <c r="J343" s="9" t="s">
        <v>764</v>
      </c>
      <c r="K343" s="9" t="s">
        <v>758</v>
      </c>
    </row>
    <row r="344" customFormat="false" ht="15" hidden="false" customHeight="false" outlineLevel="0" collapsed="false">
      <c r="A344" s="9" t="s">
        <v>293</v>
      </c>
      <c r="B344" s="9" t="n">
        <v>15</v>
      </c>
      <c r="C344" s="9" t="s">
        <v>558</v>
      </c>
      <c r="D344" s="9" t="n">
        <v>408</v>
      </c>
      <c r="E344" s="9" t="n">
        <v>32</v>
      </c>
      <c r="F344" s="9" t="n">
        <v>0</v>
      </c>
      <c r="G344" s="9" t="n">
        <v>8</v>
      </c>
      <c r="H344" s="9" t="n">
        <v>13</v>
      </c>
      <c r="I344" s="9" t="s">
        <v>567</v>
      </c>
      <c r="J344" s="9" t="s">
        <v>765</v>
      </c>
      <c r="K344" s="9" t="s">
        <v>758</v>
      </c>
    </row>
    <row r="345" customFormat="false" ht="15" hidden="false" customHeight="false" outlineLevel="0" collapsed="false">
      <c r="A345" s="9" t="s">
        <v>297</v>
      </c>
      <c r="B345" s="9" t="n">
        <v>1</v>
      </c>
      <c r="C345" s="9" t="s">
        <v>16</v>
      </c>
      <c r="D345" s="9" t="n">
        <v>32</v>
      </c>
      <c r="E345" s="9" t="n">
        <v>0</v>
      </c>
      <c r="F345" s="9" t="n">
        <v>9</v>
      </c>
      <c r="G345" s="9" t="n">
        <v>8</v>
      </c>
      <c r="H345" s="9" t="n">
        <v>25</v>
      </c>
      <c r="I345" s="9" t="s">
        <v>553</v>
      </c>
      <c r="J345" s="9" t="s">
        <v>760</v>
      </c>
      <c r="K345" s="9" t="s">
        <v>766</v>
      </c>
    </row>
    <row r="346" customFormat="false" ht="15" hidden="false" customHeight="false" outlineLevel="0" collapsed="false">
      <c r="A346" s="9" t="s">
        <v>297</v>
      </c>
      <c r="B346" s="9" t="n">
        <v>2</v>
      </c>
      <c r="C346" s="9" t="s">
        <v>16</v>
      </c>
      <c r="D346" s="9" t="n">
        <v>168.5</v>
      </c>
      <c r="E346" s="9" t="n">
        <v>0</v>
      </c>
      <c r="F346" s="9" t="n">
        <v>9</v>
      </c>
      <c r="G346" s="9" t="n">
        <v>8</v>
      </c>
      <c r="H346" s="9" t="n">
        <v>25</v>
      </c>
      <c r="I346" s="9" t="s">
        <v>553</v>
      </c>
      <c r="J346" s="9" t="s">
        <v>761</v>
      </c>
      <c r="K346" s="9" t="s">
        <v>766</v>
      </c>
    </row>
    <row r="347" customFormat="false" ht="15" hidden="false" customHeight="false" outlineLevel="0" collapsed="false">
      <c r="A347" s="9" t="s">
        <v>297</v>
      </c>
      <c r="B347" s="9" t="n">
        <v>3</v>
      </c>
      <c r="C347" s="9" t="s">
        <v>16</v>
      </c>
      <c r="D347" s="9" t="n">
        <v>305</v>
      </c>
      <c r="E347" s="9" t="n">
        <v>0</v>
      </c>
      <c r="F347" s="9" t="n">
        <v>9</v>
      </c>
      <c r="G347" s="9" t="n">
        <v>8</v>
      </c>
      <c r="H347" s="9" t="n">
        <v>25</v>
      </c>
      <c r="I347" s="9" t="s">
        <v>553</v>
      </c>
      <c r="J347" s="9" t="s">
        <v>762</v>
      </c>
      <c r="K347" s="9" t="s">
        <v>766</v>
      </c>
    </row>
    <row r="348" customFormat="false" ht="15" hidden="false" customHeight="false" outlineLevel="0" collapsed="false">
      <c r="A348" s="9" t="s">
        <v>297</v>
      </c>
      <c r="B348" s="9" t="n">
        <v>4</v>
      </c>
      <c r="C348" s="9" t="s">
        <v>18</v>
      </c>
      <c r="D348" s="9" t="n">
        <v>32</v>
      </c>
      <c r="E348" s="9" t="n">
        <v>2269</v>
      </c>
      <c r="F348" s="9" t="n">
        <v>9</v>
      </c>
      <c r="G348" s="9" t="n">
        <v>8</v>
      </c>
      <c r="H348" s="9" t="n">
        <v>25</v>
      </c>
      <c r="I348" s="9" t="s">
        <v>553</v>
      </c>
      <c r="J348" s="9" t="s">
        <v>767</v>
      </c>
      <c r="K348" s="9" t="s">
        <v>766</v>
      </c>
    </row>
    <row r="349" customFormat="false" ht="15" hidden="false" customHeight="false" outlineLevel="0" collapsed="false">
      <c r="A349" s="9" t="s">
        <v>297</v>
      </c>
      <c r="B349" s="9" t="n">
        <v>5</v>
      </c>
      <c r="C349" s="9" t="s">
        <v>18</v>
      </c>
      <c r="D349" s="9" t="n">
        <v>168.5</v>
      </c>
      <c r="E349" s="9" t="n">
        <v>2269</v>
      </c>
      <c r="F349" s="9" t="n">
        <v>9</v>
      </c>
      <c r="G349" s="9" t="n">
        <v>8</v>
      </c>
      <c r="H349" s="9" t="n">
        <v>25</v>
      </c>
      <c r="I349" s="9" t="s">
        <v>553</v>
      </c>
      <c r="J349" s="9" t="s">
        <v>768</v>
      </c>
      <c r="K349" s="9" t="s">
        <v>766</v>
      </c>
    </row>
    <row r="350" customFormat="false" ht="15" hidden="false" customHeight="false" outlineLevel="0" collapsed="false">
      <c r="A350" s="9" t="s">
        <v>297</v>
      </c>
      <c r="B350" s="9" t="n">
        <v>6</v>
      </c>
      <c r="C350" s="9" t="s">
        <v>18</v>
      </c>
      <c r="D350" s="9" t="n">
        <v>305</v>
      </c>
      <c r="E350" s="9" t="n">
        <v>2269</v>
      </c>
      <c r="F350" s="9" t="n">
        <v>9</v>
      </c>
      <c r="G350" s="9" t="n">
        <v>8</v>
      </c>
      <c r="H350" s="9" t="n">
        <v>25</v>
      </c>
      <c r="I350" s="9" t="s">
        <v>553</v>
      </c>
      <c r="J350" s="9" t="s">
        <v>769</v>
      </c>
      <c r="K350" s="9" t="s">
        <v>766</v>
      </c>
    </row>
    <row r="351" customFormat="false" ht="15" hidden="false" customHeight="false" outlineLevel="0" collapsed="false">
      <c r="A351" s="9" t="s">
        <v>297</v>
      </c>
      <c r="B351" s="9" t="n">
        <v>7</v>
      </c>
      <c r="C351" s="9" t="s">
        <v>578</v>
      </c>
      <c r="D351" s="9" t="n">
        <v>84.25</v>
      </c>
      <c r="E351" s="9" t="n">
        <v>2245</v>
      </c>
      <c r="F351" s="9" t="n">
        <v>18</v>
      </c>
      <c r="G351" s="9" t="n">
        <v>15</v>
      </c>
      <c r="H351" s="9" t="n">
        <v>12.5</v>
      </c>
      <c r="I351" s="9" t="s">
        <v>559</v>
      </c>
      <c r="J351" s="9" t="s">
        <v>770</v>
      </c>
      <c r="K351" s="9" t="s">
        <v>766</v>
      </c>
    </row>
    <row r="352" customFormat="false" ht="15" hidden="false" customHeight="false" outlineLevel="0" collapsed="false">
      <c r="A352" s="9" t="s">
        <v>297</v>
      </c>
      <c r="B352" s="9" t="n">
        <v>8</v>
      </c>
      <c r="C352" s="9" t="s">
        <v>18</v>
      </c>
      <c r="D352" s="9" t="n">
        <v>84.25</v>
      </c>
      <c r="E352" s="9" t="n">
        <v>2269</v>
      </c>
      <c r="F352" s="9" t="n">
        <v>9</v>
      </c>
      <c r="G352" s="9" t="n">
        <v>8</v>
      </c>
      <c r="H352" s="9" t="n">
        <v>25</v>
      </c>
      <c r="I352" s="9" t="s">
        <v>562</v>
      </c>
      <c r="J352" s="9" t="s">
        <v>770</v>
      </c>
      <c r="K352" s="9" t="s">
        <v>766</v>
      </c>
    </row>
    <row r="353" customFormat="false" ht="15" hidden="false" customHeight="false" outlineLevel="0" collapsed="false">
      <c r="A353" s="9" t="s">
        <v>297</v>
      </c>
      <c r="B353" s="9" t="n">
        <v>9</v>
      </c>
      <c r="C353" s="9" t="s">
        <v>578</v>
      </c>
      <c r="D353" s="9" t="n">
        <v>252.75</v>
      </c>
      <c r="E353" s="9" t="n">
        <v>2245</v>
      </c>
      <c r="F353" s="9" t="n">
        <v>18</v>
      </c>
      <c r="G353" s="9" t="n">
        <v>15</v>
      </c>
      <c r="H353" s="9" t="n">
        <v>12.5</v>
      </c>
      <c r="I353" s="9" t="s">
        <v>559</v>
      </c>
      <c r="J353" s="9" t="s">
        <v>771</v>
      </c>
      <c r="K353" s="9" t="s">
        <v>766</v>
      </c>
    </row>
    <row r="354" customFormat="false" ht="15" hidden="false" customHeight="false" outlineLevel="0" collapsed="false">
      <c r="A354" s="9" t="s">
        <v>297</v>
      </c>
      <c r="B354" s="9" t="n">
        <v>10</v>
      </c>
      <c r="C354" s="9" t="s">
        <v>18</v>
      </c>
      <c r="D354" s="9" t="n">
        <v>252.75</v>
      </c>
      <c r="E354" s="9" t="n">
        <v>2269</v>
      </c>
      <c r="F354" s="9" t="n">
        <v>9</v>
      </c>
      <c r="G354" s="9" t="n">
        <v>8</v>
      </c>
      <c r="H354" s="9" t="n">
        <v>25</v>
      </c>
      <c r="I354" s="9" t="s">
        <v>562</v>
      </c>
      <c r="J354" s="9" t="s">
        <v>771</v>
      </c>
      <c r="K354" s="9" t="s">
        <v>766</v>
      </c>
    </row>
    <row r="355" customFormat="false" ht="15" hidden="false" customHeight="false" outlineLevel="0" collapsed="false">
      <c r="A355" s="9" t="s">
        <v>297</v>
      </c>
      <c r="B355" s="9" t="n">
        <v>11</v>
      </c>
      <c r="C355" s="9" t="s">
        <v>578</v>
      </c>
      <c r="D355" s="9" t="n">
        <v>263</v>
      </c>
      <c r="E355" s="9" t="n">
        <v>309</v>
      </c>
      <c r="F355" s="9" t="n">
        <v>18</v>
      </c>
      <c r="G355" s="9" t="n">
        <v>5</v>
      </c>
      <c r="H355" s="9" t="n">
        <v>10</v>
      </c>
      <c r="I355" s="9" t="s">
        <v>526</v>
      </c>
      <c r="J355" s="9" t="s">
        <v>726</v>
      </c>
      <c r="K355" s="9" t="s">
        <v>766</v>
      </c>
    </row>
    <row r="356" customFormat="false" ht="15" hidden="false" customHeight="false" outlineLevel="0" collapsed="false">
      <c r="A356" s="9" t="s">
        <v>297</v>
      </c>
      <c r="B356" s="9" t="n">
        <v>12</v>
      </c>
      <c r="C356" s="9" t="s">
        <v>578</v>
      </c>
      <c r="D356" s="9" t="n">
        <v>263</v>
      </c>
      <c r="E356" s="9" t="n">
        <v>341</v>
      </c>
      <c r="F356" s="9" t="n">
        <v>18</v>
      </c>
      <c r="G356" s="9" t="n">
        <v>5</v>
      </c>
      <c r="H356" s="9" t="n">
        <v>10</v>
      </c>
      <c r="I356" s="9" t="s">
        <v>526</v>
      </c>
      <c r="J356" s="9" t="s">
        <v>726</v>
      </c>
      <c r="K356" s="9" t="s">
        <v>766</v>
      </c>
    </row>
    <row r="357" customFormat="false" ht="15" hidden="false" customHeight="false" outlineLevel="0" collapsed="false">
      <c r="A357" s="9" t="s">
        <v>297</v>
      </c>
      <c r="B357" s="9" t="n">
        <v>13</v>
      </c>
      <c r="C357" s="9" t="s">
        <v>578</v>
      </c>
      <c r="D357" s="9" t="n">
        <v>263</v>
      </c>
      <c r="E357" s="9" t="n">
        <v>373</v>
      </c>
      <c r="F357" s="9" t="n">
        <v>18</v>
      </c>
      <c r="G357" s="9" t="n">
        <v>5</v>
      </c>
      <c r="H357" s="9" t="n">
        <v>10</v>
      </c>
      <c r="I357" s="9" t="s">
        <v>526</v>
      </c>
      <c r="J357" s="9" t="s">
        <v>726</v>
      </c>
      <c r="K357" s="9" t="s">
        <v>766</v>
      </c>
    </row>
    <row r="358" customFormat="false" ht="15" hidden="false" customHeight="false" outlineLevel="0" collapsed="false">
      <c r="A358" s="9" t="s">
        <v>297</v>
      </c>
      <c r="B358" s="9" t="n">
        <v>14</v>
      </c>
      <c r="C358" s="9" t="s">
        <v>578</v>
      </c>
      <c r="D358" s="9" t="n">
        <v>47</v>
      </c>
      <c r="E358" s="9" t="n">
        <v>309</v>
      </c>
      <c r="F358" s="9" t="n">
        <v>18</v>
      </c>
      <c r="G358" s="9" t="n">
        <v>5</v>
      </c>
      <c r="H358" s="9" t="n">
        <v>10</v>
      </c>
      <c r="I358" s="9" t="s">
        <v>526</v>
      </c>
      <c r="J358" s="9" t="s">
        <v>726</v>
      </c>
      <c r="K358" s="9" t="s">
        <v>766</v>
      </c>
    </row>
    <row r="359" customFormat="false" ht="15" hidden="false" customHeight="false" outlineLevel="0" collapsed="false">
      <c r="A359" s="9" t="s">
        <v>297</v>
      </c>
      <c r="B359" s="9" t="n">
        <v>15</v>
      </c>
      <c r="C359" s="9" t="s">
        <v>578</v>
      </c>
      <c r="D359" s="9" t="n">
        <v>47</v>
      </c>
      <c r="E359" s="9" t="n">
        <v>341</v>
      </c>
      <c r="F359" s="9" t="n">
        <v>18</v>
      </c>
      <c r="G359" s="9" t="n">
        <v>5</v>
      </c>
      <c r="H359" s="9" t="n">
        <v>10</v>
      </c>
      <c r="I359" s="9" t="s">
        <v>526</v>
      </c>
      <c r="J359" s="9" t="s">
        <v>726</v>
      </c>
      <c r="K359" s="9" t="s">
        <v>766</v>
      </c>
    </row>
    <row r="360" customFormat="false" ht="15" hidden="false" customHeight="false" outlineLevel="0" collapsed="false">
      <c r="A360" s="9" t="s">
        <v>297</v>
      </c>
      <c r="B360" s="9" t="n">
        <v>16</v>
      </c>
      <c r="C360" s="9" t="s">
        <v>578</v>
      </c>
      <c r="D360" s="9" t="n">
        <v>47</v>
      </c>
      <c r="E360" s="9" t="n">
        <v>373</v>
      </c>
      <c r="F360" s="9" t="n">
        <v>18</v>
      </c>
      <c r="G360" s="9" t="n">
        <v>5</v>
      </c>
      <c r="H360" s="9" t="n">
        <v>10</v>
      </c>
      <c r="I360" s="9" t="s">
        <v>526</v>
      </c>
      <c r="J360" s="9" t="s">
        <v>726</v>
      </c>
      <c r="K360" s="9" t="s">
        <v>766</v>
      </c>
    </row>
    <row r="361" customFormat="false" ht="15" hidden="false" customHeight="false" outlineLevel="0" collapsed="false">
      <c r="A361" s="9" t="s">
        <v>297</v>
      </c>
      <c r="B361" s="9" t="n">
        <v>17</v>
      </c>
      <c r="C361" s="9" t="s">
        <v>578</v>
      </c>
      <c r="D361" s="9" t="n">
        <v>263</v>
      </c>
      <c r="E361" s="9" t="n">
        <v>694</v>
      </c>
      <c r="F361" s="9" t="n">
        <v>18</v>
      </c>
      <c r="G361" s="9" t="n">
        <v>5</v>
      </c>
      <c r="H361" s="9" t="n">
        <v>10</v>
      </c>
      <c r="I361" s="9" t="s">
        <v>526</v>
      </c>
      <c r="J361" s="9" t="s">
        <v>727</v>
      </c>
      <c r="K361" s="9" t="s">
        <v>766</v>
      </c>
    </row>
    <row r="362" customFormat="false" ht="15" hidden="false" customHeight="false" outlineLevel="0" collapsed="false">
      <c r="A362" s="9" t="s">
        <v>297</v>
      </c>
      <c r="B362" s="9" t="n">
        <v>18</v>
      </c>
      <c r="C362" s="9" t="s">
        <v>578</v>
      </c>
      <c r="D362" s="9" t="n">
        <v>263</v>
      </c>
      <c r="E362" s="9" t="n">
        <v>726</v>
      </c>
      <c r="F362" s="9" t="n">
        <v>18</v>
      </c>
      <c r="G362" s="9" t="n">
        <v>5</v>
      </c>
      <c r="H362" s="9" t="n">
        <v>10</v>
      </c>
      <c r="I362" s="9" t="s">
        <v>526</v>
      </c>
      <c r="J362" s="9" t="s">
        <v>727</v>
      </c>
      <c r="K362" s="9" t="s">
        <v>766</v>
      </c>
    </row>
    <row r="363" customFormat="false" ht="15" hidden="false" customHeight="false" outlineLevel="0" collapsed="false">
      <c r="A363" s="9" t="s">
        <v>297</v>
      </c>
      <c r="B363" s="9" t="n">
        <v>19</v>
      </c>
      <c r="C363" s="9" t="s">
        <v>578</v>
      </c>
      <c r="D363" s="9" t="n">
        <v>263</v>
      </c>
      <c r="E363" s="9" t="n">
        <v>758</v>
      </c>
      <c r="F363" s="9" t="n">
        <v>18</v>
      </c>
      <c r="G363" s="9" t="n">
        <v>5</v>
      </c>
      <c r="H363" s="9" t="n">
        <v>10</v>
      </c>
      <c r="I363" s="9" t="s">
        <v>526</v>
      </c>
      <c r="J363" s="9" t="s">
        <v>727</v>
      </c>
      <c r="K363" s="9" t="s">
        <v>766</v>
      </c>
    </row>
    <row r="364" customFormat="false" ht="15" hidden="false" customHeight="false" outlineLevel="0" collapsed="false">
      <c r="A364" s="9" t="s">
        <v>297</v>
      </c>
      <c r="B364" s="9" t="n">
        <v>20</v>
      </c>
      <c r="C364" s="9" t="s">
        <v>578</v>
      </c>
      <c r="D364" s="9" t="n">
        <v>47</v>
      </c>
      <c r="E364" s="9" t="n">
        <v>694</v>
      </c>
      <c r="F364" s="9" t="n">
        <v>18</v>
      </c>
      <c r="G364" s="9" t="n">
        <v>5</v>
      </c>
      <c r="H364" s="9" t="n">
        <v>10</v>
      </c>
      <c r="I364" s="9" t="s">
        <v>526</v>
      </c>
      <c r="J364" s="9" t="s">
        <v>727</v>
      </c>
      <c r="K364" s="9" t="s">
        <v>766</v>
      </c>
    </row>
    <row r="365" customFormat="false" ht="15" hidden="false" customHeight="false" outlineLevel="0" collapsed="false">
      <c r="A365" s="9" t="s">
        <v>297</v>
      </c>
      <c r="B365" s="9" t="n">
        <v>21</v>
      </c>
      <c r="C365" s="9" t="s">
        <v>578</v>
      </c>
      <c r="D365" s="9" t="n">
        <v>47</v>
      </c>
      <c r="E365" s="9" t="n">
        <v>726</v>
      </c>
      <c r="F365" s="9" t="n">
        <v>18</v>
      </c>
      <c r="G365" s="9" t="n">
        <v>5</v>
      </c>
      <c r="H365" s="9" t="n">
        <v>10</v>
      </c>
      <c r="I365" s="9" t="s">
        <v>526</v>
      </c>
      <c r="J365" s="9" t="s">
        <v>727</v>
      </c>
      <c r="K365" s="9" t="s">
        <v>766</v>
      </c>
    </row>
    <row r="366" customFormat="false" ht="15" hidden="false" customHeight="false" outlineLevel="0" collapsed="false">
      <c r="A366" s="9" t="s">
        <v>297</v>
      </c>
      <c r="B366" s="9" t="n">
        <v>22</v>
      </c>
      <c r="C366" s="9" t="s">
        <v>578</v>
      </c>
      <c r="D366" s="9" t="n">
        <v>47</v>
      </c>
      <c r="E366" s="9" t="n">
        <v>758</v>
      </c>
      <c r="F366" s="9" t="n">
        <v>18</v>
      </c>
      <c r="G366" s="9" t="n">
        <v>5</v>
      </c>
      <c r="H366" s="9" t="n">
        <v>10</v>
      </c>
      <c r="I366" s="9" t="s">
        <v>526</v>
      </c>
      <c r="J366" s="9" t="s">
        <v>727</v>
      </c>
      <c r="K366" s="9" t="s">
        <v>766</v>
      </c>
    </row>
    <row r="367" customFormat="false" ht="15" hidden="false" customHeight="false" outlineLevel="0" collapsed="false">
      <c r="A367" s="9" t="s">
        <v>297</v>
      </c>
      <c r="B367" s="9" t="n">
        <v>23</v>
      </c>
      <c r="C367" s="9" t="s">
        <v>578</v>
      </c>
      <c r="D367" s="9" t="n">
        <v>263</v>
      </c>
      <c r="E367" s="9" t="n">
        <v>1079</v>
      </c>
      <c r="F367" s="9" t="n">
        <v>18</v>
      </c>
      <c r="G367" s="9" t="n">
        <v>5</v>
      </c>
      <c r="H367" s="9" t="n">
        <v>10</v>
      </c>
      <c r="I367" s="9" t="s">
        <v>526</v>
      </c>
      <c r="J367" s="9" t="s">
        <v>728</v>
      </c>
      <c r="K367" s="9" t="s">
        <v>766</v>
      </c>
    </row>
    <row r="368" customFormat="false" ht="15" hidden="false" customHeight="false" outlineLevel="0" collapsed="false">
      <c r="A368" s="9" t="s">
        <v>297</v>
      </c>
      <c r="B368" s="9" t="n">
        <v>24</v>
      </c>
      <c r="C368" s="9" t="s">
        <v>578</v>
      </c>
      <c r="D368" s="9" t="n">
        <v>263</v>
      </c>
      <c r="E368" s="9" t="n">
        <v>1111</v>
      </c>
      <c r="F368" s="9" t="n">
        <v>18</v>
      </c>
      <c r="G368" s="9" t="n">
        <v>5</v>
      </c>
      <c r="H368" s="9" t="n">
        <v>10</v>
      </c>
      <c r="I368" s="9" t="s">
        <v>526</v>
      </c>
      <c r="J368" s="9" t="s">
        <v>728</v>
      </c>
      <c r="K368" s="9" t="s">
        <v>766</v>
      </c>
    </row>
    <row r="369" customFormat="false" ht="15" hidden="false" customHeight="false" outlineLevel="0" collapsed="false">
      <c r="A369" s="9" t="s">
        <v>297</v>
      </c>
      <c r="B369" s="9" t="n">
        <v>25</v>
      </c>
      <c r="C369" s="9" t="s">
        <v>578</v>
      </c>
      <c r="D369" s="9" t="n">
        <v>263</v>
      </c>
      <c r="E369" s="9" t="n">
        <v>1143</v>
      </c>
      <c r="F369" s="9" t="n">
        <v>18</v>
      </c>
      <c r="G369" s="9" t="n">
        <v>5</v>
      </c>
      <c r="H369" s="9" t="n">
        <v>10</v>
      </c>
      <c r="I369" s="9" t="s">
        <v>526</v>
      </c>
      <c r="J369" s="9" t="s">
        <v>728</v>
      </c>
      <c r="K369" s="9" t="s">
        <v>766</v>
      </c>
    </row>
    <row r="370" customFormat="false" ht="15" hidden="false" customHeight="false" outlineLevel="0" collapsed="false">
      <c r="A370" s="9" t="s">
        <v>297</v>
      </c>
      <c r="B370" s="9" t="n">
        <v>26</v>
      </c>
      <c r="C370" s="9" t="s">
        <v>578</v>
      </c>
      <c r="D370" s="9" t="n">
        <v>47</v>
      </c>
      <c r="E370" s="9" t="n">
        <v>1079</v>
      </c>
      <c r="F370" s="9" t="n">
        <v>18</v>
      </c>
      <c r="G370" s="9" t="n">
        <v>5</v>
      </c>
      <c r="H370" s="9" t="n">
        <v>10</v>
      </c>
      <c r="I370" s="9" t="s">
        <v>526</v>
      </c>
      <c r="J370" s="9" t="s">
        <v>728</v>
      </c>
      <c r="K370" s="9" t="s">
        <v>766</v>
      </c>
    </row>
    <row r="371" customFormat="false" ht="15" hidden="false" customHeight="false" outlineLevel="0" collapsed="false">
      <c r="A371" s="9" t="s">
        <v>297</v>
      </c>
      <c r="B371" s="9" t="n">
        <v>27</v>
      </c>
      <c r="C371" s="9" t="s">
        <v>578</v>
      </c>
      <c r="D371" s="9" t="n">
        <v>47</v>
      </c>
      <c r="E371" s="9" t="n">
        <v>1111</v>
      </c>
      <c r="F371" s="9" t="n">
        <v>18</v>
      </c>
      <c r="G371" s="9" t="n">
        <v>5</v>
      </c>
      <c r="H371" s="9" t="n">
        <v>10</v>
      </c>
      <c r="I371" s="9" t="s">
        <v>526</v>
      </c>
      <c r="J371" s="9" t="s">
        <v>728</v>
      </c>
      <c r="K371" s="9" t="s">
        <v>766</v>
      </c>
    </row>
    <row r="372" customFormat="false" ht="15" hidden="false" customHeight="false" outlineLevel="0" collapsed="false">
      <c r="A372" s="9" t="s">
        <v>297</v>
      </c>
      <c r="B372" s="9" t="n">
        <v>28</v>
      </c>
      <c r="C372" s="9" t="s">
        <v>578</v>
      </c>
      <c r="D372" s="9" t="n">
        <v>47</v>
      </c>
      <c r="E372" s="9" t="n">
        <v>1143</v>
      </c>
      <c r="F372" s="9" t="n">
        <v>18</v>
      </c>
      <c r="G372" s="9" t="n">
        <v>5</v>
      </c>
      <c r="H372" s="9" t="n">
        <v>10</v>
      </c>
      <c r="I372" s="9" t="s">
        <v>526</v>
      </c>
      <c r="J372" s="9" t="s">
        <v>728</v>
      </c>
      <c r="K372" s="9" t="s">
        <v>766</v>
      </c>
    </row>
    <row r="373" customFormat="false" ht="15" hidden="false" customHeight="false" outlineLevel="0" collapsed="false">
      <c r="A373" s="9" t="s">
        <v>297</v>
      </c>
      <c r="B373" s="9" t="n">
        <v>29</v>
      </c>
      <c r="C373" s="9" t="s">
        <v>578</v>
      </c>
      <c r="D373" s="9" t="n">
        <v>263</v>
      </c>
      <c r="E373" s="9" t="n">
        <v>1464</v>
      </c>
      <c r="F373" s="9" t="n">
        <v>18</v>
      </c>
      <c r="G373" s="9" t="n">
        <v>5</v>
      </c>
      <c r="H373" s="9" t="n">
        <v>10</v>
      </c>
      <c r="I373" s="9" t="s">
        <v>526</v>
      </c>
      <c r="J373" s="9" t="s">
        <v>729</v>
      </c>
      <c r="K373" s="9" t="s">
        <v>766</v>
      </c>
    </row>
    <row r="374" customFormat="false" ht="15" hidden="false" customHeight="false" outlineLevel="0" collapsed="false">
      <c r="A374" s="9" t="s">
        <v>297</v>
      </c>
      <c r="B374" s="9" t="n">
        <v>30</v>
      </c>
      <c r="C374" s="9" t="s">
        <v>578</v>
      </c>
      <c r="D374" s="9" t="n">
        <v>263</v>
      </c>
      <c r="E374" s="9" t="n">
        <v>1496</v>
      </c>
      <c r="F374" s="9" t="n">
        <v>18</v>
      </c>
      <c r="G374" s="9" t="n">
        <v>5</v>
      </c>
      <c r="H374" s="9" t="n">
        <v>10</v>
      </c>
      <c r="I374" s="9" t="s">
        <v>526</v>
      </c>
      <c r="J374" s="9" t="s">
        <v>729</v>
      </c>
      <c r="K374" s="9" t="s">
        <v>766</v>
      </c>
    </row>
    <row r="375" customFormat="false" ht="15" hidden="false" customHeight="false" outlineLevel="0" collapsed="false">
      <c r="A375" s="9" t="s">
        <v>297</v>
      </c>
      <c r="B375" s="9" t="n">
        <v>31</v>
      </c>
      <c r="C375" s="9" t="s">
        <v>578</v>
      </c>
      <c r="D375" s="9" t="n">
        <v>263</v>
      </c>
      <c r="E375" s="9" t="n">
        <v>1528</v>
      </c>
      <c r="F375" s="9" t="n">
        <v>18</v>
      </c>
      <c r="G375" s="9" t="n">
        <v>5</v>
      </c>
      <c r="H375" s="9" t="n">
        <v>10</v>
      </c>
      <c r="I375" s="9" t="s">
        <v>526</v>
      </c>
      <c r="J375" s="9" t="s">
        <v>729</v>
      </c>
      <c r="K375" s="9" t="s">
        <v>766</v>
      </c>
    </row>
    <row r="376" customFormat="false" ht="15" hidden="false" customHeight="false" outlineLevel="0" collapsed="false">
      <c r="A376" s="9" t="s">
        <v>297</v>
      </c>
      <c r="B376" s="9" t="n">
        <v>32</v>
      </c>
      <c r="C376" s="9" t="s">
        <v>578</v>
      </c>
      <c r="D376" s="9" t="n">
        <v>47</v>
      </c>
      <c r="E376" s="9" t="n">
        <v>1464</v>
      </c>
      <c r="F376" s="9" t="n">
        <v>18</v>
      </c>
      <c r="G376" s="9" t="n">
        <v>5</v>
      </c>
      <c r="H376" s="9" t="n">
        <v>10</v>
      </c>
      <c r="I376" s="9" t="s">
        <v>526</v>
      </c>
      <c r="J376" s="9" t="s">
        <v>729</v>
      </c>
      <c r="K376" s="9" t="s">
        <v>766</v>
      </c>
    </row>
    <row r="377" customFormat="false" ht="15" hidden="false" customHeight="false" outlineLevel="0" collapsed="false">
      <c r="A377" s="9" t="s">
        <v>297</v>
      </c>
      <c r="B377" s="9" t="n">
        <v>33</v>
      </c>
      <c r="C377" s="9" t="s">
        <v>578</v>
      </c>
      <c r="D377" s="9" t="n">
        <v>47</v>
      </c>
      <c r="E377" s="9" t="n">
        <v>1496</v>
      </c>
      <c r="F377" s="9" t="n">
        <v>18</v>
      </c>
      <c r="G377" s="9" t="n">
        <v>5</v>
      </c>
      <c r="H377" s="9" t="n">
        <v>10</v>
      </c>
      <c r="I377" s="9" t="s">
        <v>526</v>
      </c>
      <c r="J377" s="9" t="s">
        <v>729</v>
      </c>
      <c r="K377" s="9" t="s">
        <v>766</v>
      </c>
    </row>
    <row r="378" customFormat="false" ht="15" hidden="false" customHeight="false" outlineLevel="0" collapsed="false">
      <c r="A378" s="9" t="s">
        <v>297</v>
      </c>
      <c r="B378" s="9" t="n">
        <v>34</v>
      </c>
      <c r="C378" s="9" t="s">
        <v>578</v>
      </c>
      <c r="D378" s="9" t="n">
        <v>47</v>
      </c>
      <c r="E378" s="9" t="n">
        <v>1528</v>
      </c>
      <c r="F378" s="9" t="n">
        <v>18</v>
      </c>
      <c r="G378" s="9" t="n">
        <v>5</v>
      </c>
      <c r="H378" s="9" t="n">
        <v>10</v>
      </c>
      <c r="I378" s="9" t="s">
        <v>526</v>
      </c>
      <c r="J378" s="9" t="s">
        <v>729</v>
      </c>
      <c r="K378" s="9" t="s">
        <v>766</v>
      </c>
    </row>
    <row r="379" customFormat="false" ht="15" hidden="false" customHeight="false" outlineLevel="0" collapsed="false">
      <c r="A379" s="9" t="s">
        <v>297</v>
      </c>
      <c r="B379" s="9" t="n">
        <v>35</v>
      </c>
      <c r="C379" s="9" t="s">
        <v>578</v>
      </c>
      <c r="D379" s="9" t="n">
        <v>263</v>
      </c>
      <c r="E379" s="9" t="n">
        <v>1849</v>
      </c>
      <c r="F379" s="9" t="n">
        <v>18</v>
      </c>
      <c r="G379" s="9" t="n">
        <v>5</v>
      </c>
      <c r="H379" s="9" t="n">
        <v>10</v>
      </c>
      <c r="I379" s="9" t="s">
        <v>526</v>
      </c>
      <c r="J379" s="9" t="s">
        <v>730</v>
      </c>
      <c r="K379" s="9" t="s">
        <v>766</v>
      </c>
    </row>
    <row r="380" customFormat="false" ht="15" hidden="false" customHeight="false" outlineLevel="0" collapsed="false">
      <c r="A380" s="9" t="s">
        <v>297</v>
      </c>
      <c r="B380" s="9" t="n">
        <v>36</v>
      </c>
      <c r="C380" s="9" t="s">
        <v>578</v>
      </c>
      <c r="D380" s="9" t="n">
        <v>263</v>
      </c>
      <c r="E380" s="9" t="n">
        <v>1881</v>
      </c>
      <c r="F380" s="9" t="n">
        <v>18</v>
      </c>
      <c r="G380" s="9" t="n">
        <v>5</v>
      </c>
      <c r="H380" s="9" t="n">
        <v>10</v>
      </c>
      <c r="I380" s="9" t="s">
        <v>526</v>
      </c>
      <c r="J380" s="9" t="s">
        <v>730</v>
      </c>
      <c r="K380" s="9" t="s">
        <v>766</v>
      </c>
    </row>
    <row r="381" customFormat="false" ht="15" hidden="false" customHeight="false" outlineLevel="0" collapsed="false">
      <c r="A381" s="9" t="s">
        <v>297</v>
      </c>
      <c r="B381" s="9" t="n">
        <v>37</v>
      </c>
      <c r="C381" s="9" t="s">
        <v>578</v>
      </c>
      <c r="D381" s="9" t="n">
        <v>263</v>
      </c>
      <c r="E381" s="9" t="n">
        <v>1913</v>
      </c>
      <c r="F381" s="9" t="n">
        <v>18</v>
      </c>
      <c r="G381" s="9" t="n">
        <v>5</v>
      </c>
      <c r="H381" s="9" t="n">
        <v>10</v>
      </c>
      <c r="I381" s="9" t="s">
        <v>526</v>
      </c>
      <c r="J381" s="9" t="s">
        <v>730</v>
      </c>
      <c r="K381" s="9" t="s">
        <v>766</v>
      </c>
    </row>
    <row r="382" customFormat="false" ht="15" hidden="false" customHeight="false" outlineLevel="0" collapsed="false">
      <c r="A382" s="9" t="s">
        <v>297</v>
      </c>
      <c r="B382" s="9" t="n">
        <v>38</v>
      </c>
      <c r="C382" s="9" t="s">
        <v>578</v>
      </c>
      <c r="D382" s="9" t="n">
        <v>47</v>
      </c>
      <c r="E382" s="9" t="n">
        <v>1849</v>
      </c>
      <c r="F382" s="9" t="n">
        <v>18</v>
      </c>
      <c r="G382" s="9" t="n">
        <v>5</v>
      </c>
      <c r="H382" s="9" t="n">
        <v>10</v>
      </c>
      <c r="I382" s="9" t="s">
        <v>526</v>
      </c>
      <c r="J382" s="9" t="s">
        <v>730</v>
      </c>
      <c r="K382" s="9" t="s">
        <v>766</v>
      </c>
    </row>
    <row r="383" customFormat="false" ht="15" hidden="false" customHeight="false" outlineLevel="0" collapsed="false">
      <c r="A383" s="9" t="s">
        <v>297</v>
      </c>
      <c r="B383" s="9" t="n">
        <v>39</v>
      </c>
      <c r="C383" s="9" t="s">
        <v>578</v>
      </c>
      <c r="D383" s="9" t="n">
        <v>47</v>
      </c>
      <c r="E383" s="9" t="n">
        <v>1881</v>
      </c>
      <c r="F383" s="9" t="n">
        <v>18</v>
      </c>
      <c r="G383" s="9" t="n">
        <v>5</v>
      </c>
      <c r="H383" s="9" t="n">
        <v>10</v>
      </c>
      <c r="I383" s="9" t="s">
        <v>526</v>
      </c>
      <c r="J383" s="9" t="s">
        <v>730</v>
      </c>
      <c r="K383" s="9" t="s">
        <v>766</v>
      </c>
    </row>
    <row r="384" customFormat="false" ht="15" hidden="false" customHeight="false" outlineLevel="0" collapsed="false">
      <c r="A384" s="9" t="s">
        <v>297</v>
      </c>
      <c r="B384" s="9" t="n">
        <v>40</v>
      </c>
      <c r="C384" s="9" t="s">
        <v>578</v>
      </c>
      <c r="D384" s="9" t="n">
        <v>47</v>
      </c>
      <c r="E384" s="9" t="n">
        <v>1913</v>
      </c>
      <c r="F384" s="9" t="n">
        <v>18</v>
      </c>
      <c r="G384" s="9" t="n">
        <v>5</v>
      </c>
      <c r="H384" s="9" t="n">
        <v>10</v>
      </c>
      <c r="I384" s="9" t="s">
        <v>526</v>
      </c>
      <c r="J384" s="9" t="s">
        <v>730</v>
      </c>
      <c r="K384" s="9" t="s">
        <v>766</v>
      </c>
    </row>
    <row r="385" customFormat="false" ht="15" hidden="false" customHeight="false" outlineLevel="0" collapsed="false">
      <c r="A385" s="9" t="s">
        <v>297</v>
      </c>
      <c r="B385" s="9" t="n">
        <v>41</v>
      </c>
      <c r="C385" s="9" t="s">
        <v>558</v>
      </c>
      <c r="D385" s="9" t="n">
        <v>263</v>
      </c>
      <c r="E385" s="9" t="n">
        <v>309</v>
      </c>
      <c r="F385" s="9" t="n">
        <v>0</v>
      </c>
      <c r="G385" s="9" t="n">
        <v>5</v>
      </c>
      <c r="H385" s="9" t="n">
        <v>10</v>
      </c>
      <c r="I385" s="9" t="s">
        <v>526</v>
      </c>
      <c r="J385" s="9" t="s">
        <v>748</v>
      </c>
      <c r="K385" s="9" t="s">
        <v>772</v>
      </c>
    </row>
    <row r="386" customFormat="false" ht="15" hidden="false" customHeight="false" outlineLevel="0" collapsed="false">
      <c r="A386" s="9" t="s">
        <v>297</v>
      </c>
      <c r="B386" s="9" t="n">
        <v>42</v>
      </c>
      <c r="C386" s="9" t="s">
        <v>558</v>
      </c>
      <c r="D386" s="9" t="n">
        <v>263</v>
      </c>
      <c r="E386" s="9" t="n">
        <v>341</v>
      </c>
      <c r="F386" s="9" t="n">
        <v>0</v>
      </c>
      <c r="G386" s="9" t="n">
        <v>5</v>
      </c>
      <c r="H386" s="9" t="n">
        <v>10</v>
      </c>
      <c r="I386" s="9" t="s">
        <v>526</v>
      </c>
      <c r="J386" s="9" t="s">
        <v>748</v>
      </c>
      <c r="K386" s="9" t="s">
        <v>772</v>
      </c>
    </row>
    <row r="387" customFormat="false" ht="15" hidden="false" customHeight="false" outlineLevel="0" collapsed="false">
      <c r="A387" s="9" t="s">
        <v>297</v>
      </c>
      <c r="B387" s="9" t="n">
        <v>43</v>
      </c>
      <c r="C387" s="9" t="s">
        <v>558</v>
      </c>
      <c r="D387" s="9" t="n">
        <v>263</v>
      </c>
      <c r="E387" s="9" t="n">
        <v>373</v>
      </c>
      <c r="F387" s="9" t="n">
        <v>0</v>
      </c>
      <c r="G387" s="9" t="n">
        <v>5</v>
      </c>
      <c r="H387" s="9" t="n">
        <v>10</v>
      </c>
      <c r="I387" s="9" t="s">
        <v>526</v>
      </c>
      <c r="J387" s="9" t="s">
        <v>748</v>
      </c>
      <c r="K387" s="9" t="s">
        <v>772</v>
      </c>
    </row>
    <row r="388" customFormat="false" ht="15" hidden="false" customHeight="false" outlineLevel="0" collapsed="false">
      <c r="A388" s="9" t="s">
        <v>297</v>
      </c>
      <c r="B388" s="9" t="n">
        <v>44</v>
      </c>
      <c r="C388" s="9" t="s">
        <v>558</v>
      </c>
      <c r="D388" s="9" t="n">
        <v>47</v>
      </c>
      <c r="E388" s="9" t="n">
        <v>309</v>
      </c>
      <c r="F388" s="9" t="n">
        <v>0</v>
      </c>
      <c r="G388" s="9" t="n">
        <v>5</v>
      </c>
      <c r="H388" s="9" t="n">
        <v>10</v>
      </c>
      <c r="I388" s="9" t="s">
        <v>526</v>
      </c>
      <c r="J388" s="9" t="s">
        <v>748</v>
      </c>
      <c r="K388" s="9" t="s">
        <v>772</v>
      </c>
    </row>
    <row r="389" customFormat="false" ht="15" hidden="false" customHeight="false" outlineLevel="0" collapsed="false">
      <c r="A389" s="9" t="s">
        <v>297</v>
      </c>
      <c r="B389" s="9" t="n">
        <v>45</v>
      </c>
      <c r="C389" s="9" t="s">
        <v>558</v>
      </c>
      <c r="D389" s="9" t="n">
        <v>47</v>
      </c>
      <c r="E389" s="9" t="n">
        <v>341</v>
      </c>
      <c r="F389" s="9" t="n">
        <v>0</v>
      </c>
      <c r="G389" s="9" t="n">
        <v>5</v>
      </c>
      <c r="H389" s="9" t="n">
        <v>10</v>
      </c>
      <c r="I389" s="9" t="s">
        <v>526</v>
      </c>
      <c r="J389" s="9" t="s">
        <v>748</v>
      </c>
      <c r="K389" s="9" t="s">
        <v>772</v>
      </c>
    </row>
    <row r="390" customFormat="false" ht="15" hidden="false" customHeight="false" outlineLevel="0" collapsed="false">
      <c r="A390" s="9" t="s">
        <v>297</v>
      </c>
      <c r="B390" s="9" t="n">
        <v>46</v>
      </c>
      <c r="C390" s="9" t="s">
        <v>558</v>
      </c>
      <c r="D390" s="9" t="n">
        <v>47</v>
      </c>
      <c r="E390" s="9" t="n">
        <v>373</v>
      </c>
      <c r="F390" s="9" t="n">
        <v>0</v>
      </c>
      <c r="G390" s="9" t="n">
        <v>5</v>
      </c>
      <c r="H390" s="9" t="n">
        <v>10</v>
      </c>
      <c r="I390" s="9" t="s">
        <v>526</v>
      </c>
      <c r="J390" s="9" t="s">
        <v>748</v>
      </c>
      <c r="K390" s="9" t="s">
        <v>772</v>
      </c>
    </row>
    <row r="391" customFormat="false" ht="15" hidden="false" customHeight="false" outlineLevel="0" collapsed="false">
      <c r="A391" s="9" t="s">
        <v>297</v>
      </c>
      <c r="B391" s="9" t="n">
        <v>47</v>
      </c>
      <c r="C391" s="9" t="s">
        <v>558</v>
      </c>
      <c r="D391" s="9" t="n">
        <v>263</v>
      </c>
      <c r="E391" s="9" t="n">
        <v>694</v>
      </c>
      <c r="F391" s="9" t="n">
        <v>0</v>
      </c>
      <c r="G391" s="9" t="n">
        <v>5</v>
      </c>
      <c r="H391" s="9" t="n">
        <v>10</v>
      </c>
      <c r="I391" s="9" t="s">
        <v>526</v>
      </c>
      <c r="J391" s="9" t="s">
        <v>749</v>
      </c>
      <c r="K391" s="9" t="s">
        <v>772</v>
      </c>
    </row>
    <row r="392" customFormat="false" ht="15" hidden="false" customHeight="false" outlineLevel="0" collapsed="false">
      <c r="A392" s="9" t="s">
        <v>297</v>
      </c>
      <c r="B392" s="9" t="n">
        <v>48</v>
      </c>
      <c r="C392" s="9" t="s">
        <v>558</v>
      </c>
      <c r="D392" s="9" t="n">
        <v>263</v>
      </c>
      <c r="E392" s="9" t="n">
        <v>726</v>
      </c>
      <c r="F392" s="9" t="n">
        <v>0</v>
      </c>
      <c r="G392" s="9" t="n">
        <v>5</v>
      </c>
      <c r="H392" s="9" t="n">
        <v>10</v>
      </c>
      <c r="I392" s="9" t="s">
        <v>526</v>
      </c>
      <c r="J392" s="9" t="s">
        <v>749</v>
      </c>
      <c r="K392" s="9" t="s">
        <v>772</v>
      </c>
    </row>
    <row r="393" customFormat="false" ht="15" hidden="false" customHeight="false" outlineLevel="0" collapsed="false">
      <c r="A393" s="9" t="s">
        <v>297</v>
      </c>
      <c r="B393" s="9" t="n">
        <v>49</v>
      </c>
      <c r="C393" s="9" t="s">
        <v>558</v>
      </c>
      <c r="D393" s="9" t="n">
        <v>263</v>
      </c>
      <c r="E393" s="9" t="n">
        <v>758</v>
      </c>
      <c r="F393" s="9" t="n">
        <v>0</v>
      </c>
      <c r="G393" s="9" t="n">
        <v>5</v>
      </c>
      <c r="H393" s="9" t="n">
        <v>10</v>
      </c>
      <c r="I393" s="9" t="s">
        <v>526</v>
      </c>
      <c r="J393" s="9" t="s">
        <v>749</v>
      </c>
      <c r="K393" s="9" t="s">
        <v>772</v>
      </c>
    </row>
    <row r="394" customFormat="false" ht="15" hidden="false" customHeight="false" outlineLevel="0" collapsed="false">
      <c r="A394" s="9" t="s">
        <v>297</v>
      </c>
      <c r="B394" s="9" t="n">
        <v>50</v>
      </c>
      <c r="C394" s="9" t="s">
        <v>558</v>
      </c>
      <c r="D394" s="9" t="n">
        <v>47</v>
      </c>
      <c r="E394" s="9" t="n">
        <v>694</v>
      </c>
      <c r="F394" s="9" t="n">
        <v>0</v>
      </c>
      <c r="G394" s="9" t="n">
        <v>5</v>
      </c>
      <c r="H394" s="9" t="n">
        <v>10</v>
      </c>
      <c r="I394" s="9" t="s">
        <v>526</v>
      </c>
      <c r="J394" s="9" t="s">
        <v>749</v>
      </c>
      <c r="K394" s="9" t="s">
        <v>772</v>
      </c>
    </row>
    <row r="395" customFormat="false" ht="15" hidden="false" customHeight="false" outlineLevel="0" collapsed="false">
      <c r="A395" s="9" t="s">
        <v>297</v>
      </c>
      <c r="B395" s="9" t="n">
        <v>51</v>
      </c>
      <c r="C395" s="9" t="s">
        <v>558</v>
      </c>
      <c r="D395" s="9" t="n">
        <v>47</v>
      </c>
      <c r="E395" s="9" t="n">
        <v>726</v>
      </c>
      <c r="F395" s="9" t="n">
        <v>0</v>
      </c>
      <c r="G395" s="9" t="n">
        <v>5</v>
      </c>
      <c r="H395" s="9" t="n">
        <v>10</v>
      </c>
      <c r="I395" s="9" t="s">
        <v>526</v>
      </c>
      <c r="J395" s="9" t="s">
        <v>749</v>
      </c>
      <c r="K395" s="9" t="s">
        <v>772</v>
      </c>
    </row>
    <row r="396" customFormat="false" ht="15" hidden="false" customHeight="false" outlineLevel="0" collapsed="false">
      <c r="A396" s="9" t="s">
        <v>297</v>
      </c>
      <c r="B396" s="9" t="n">
        <v>52</v>
      </c>
      <c r="C396" s="9" t="s">
        <v>558</v>
      </c>
      <c r="D396" s="9" t="n">
        <v>47</v>
      </c>
      <c r="E396" s="9" t="n">
        <v>758</v>
      </c>
      <c r="F396" s="9" t="n">
        <v>0</v>
      </c>
      <c r="G396" s="9" t="n">
        <v>5</v>
      </c>
      <c r="H396" s="9" t="n">
        <v>10</v>
      </c>
      <c r="I396" s="9" t="s">
        <v>526</v>
      </c>
      <c r="J396" s="9" t="s">
        <v>749</v>
      </c>
      <c r="K396" s="9" t="s">
        <v>772</v>
      </c>
    </row>
    <row r="397" customFormat="false" ht="15" hidden="false" customHeight="false" outlineLevel="0" collapsed="false">
      <c r="A397" s="9" t="s">
        <v>297</v>
      </c>
      <c r="B397" s="9" t="n">
        <v>53</v>
      </c>
      <c r="C397" s="9" t="s">
        <v>558</v>
      </c>
      <c r="D397" s="9" t="n">
        <v>263</v>
      </c>
      <c r="E397" s="9" t="n">
        <v>1079</v>
      </c>
      <c r="F397" s="9" t="n">
        <v>0</v>
      </c>
      <c r="G397" s="9" t="n">
        <v>5</v>
      </c>
      <c r="H397" s="9" t="n">
        <v>10</v>
      </c>
      <c r="I397" s="9" t="s">
        <v>526</v>
      </c>
      <c r="J397" s="9" t="s">
        <v>750</v>
      </c>
      <c r="K397" s="9" t="s">
        <v>772</v>
      </c>
    </row>
    <row r="398" customFormat="false" ht="15" hidden="false" customHeight="false" outlineLevel="0" collapsed="false">
      <c r="A398" s="9" t="s">
        <v>297</v>
      </c>
      <c r="B398" s="9" t="n">
        <v>54</v>
      </c>
      <c r="C398" s="9" t="s">
        <v>558</v>
      </c>
      <c r="D398" s="9" t="n">
        <v>263</v>
      </c>
      <c r="E398" s="9" t="n">
        <v>1111</v>
      </c>
      <c r="F398" s="9" t="n">
        <v>0</v>
      </c>
      <c r="G398" s="9" t="n">
        <v>5</v>
      </c>
      <c r="H398" s="9" t="n">
        <v>10</v>
      </c>
      <c r="I398" s="9" t="s">
        <v>526</v>
      </c>
      <c r="J398" s="9" t="s">
        <v>750</v>
      </c>
      <c r="K398" s="9" t="s">
        <v>772</v>
      </c>
    </row>
    <row r="399" customFormat="false" ht="15" hidden="false" customHeight="false" outlineLevel="0" collapsed="false">
      <c r="A399" s="9" t="s">
        <v>297</v>
      </c>
      <c r="B399" s="9" t="n">
        <v>55</v>
      </c>
      <c r="C399" s="9" t="s">
        <v>558</v>
      </c>
      <c r="D399" s="9" t="n">
        <v>263</v>
      </c>
      <c r="E399" s="9" t="n">
        <v>1143</v>
      </c>
      <c r="F399" s="9" t="n">
        <v>0</v>
      </c>
      <c r="G399" s="9" t="n">
        <v>5</v>
      </c>
      <c r="H399" s="9" t="n">
        <v>10</v>
      </c>
      <c r="I399" s="9" t="s">
        <v>526</v>
      </c>
      <c r="J399" s="9" t="s">
        <v>750</v>
      </c>
      <c r="K399" s="9" t="s">
        <v>772</v>
      </c>
    </row>
    <row r="400" customFormat="false" ht="15" hidden="false" customHeight="false" outlineLevel="0" collapsed="false">
      <c r="A400" s="9" t="s">
        <v>297</v>
      </c>
      <c r="B400" s="9" t="n">
        <v>56</v>
      </c>
      <c r="C400" s="9" t="s">
        <v>558</v>
      </c>
      <c r="D400" s="9" t="n">
        <v>47</v>
      </c>
      <c r="E400" s="9" t="n">
        <v>1079</v>
      </c>
      <c r="F400" s="9" t="n">
        <v>0</v>
      </c>
      <c r="G400" s="9" t="n">
        <v>5</v>
      </c>
      <c r="H400" s="9" t="n">
        <v>10</v>
      </c>
      <c r="I400" s="9" t="s">
        <v>526</v>
      </c>
      <c r="J400" s="9" t="s">
        <v>750</v>
      </c>
      <c r="K400" s="9" t="s">
        <v>772</v>
      </c>
    </row>
    <row r="401" customFormat="false" ht="15" hidden="false" customHeight="false" outlineLevel="0" collapsed="false">
      <c r="A401" s="9" t="s">
        <v>297</v>
      </c>
      <c r="B401" s="9" t="n">
        <v>57</v>
      </c>
      <c r="C401" s="9" t="s">
        <v>558</v>
      </c>
      <c r="D401" s="9" t="n">
        <v>47</v>
      </c>
      <c r="E401" s="9" t="n">
        <v>1111</v>
      </c>
      <c r="F401" s="9" t="n">
        <v>0</v>
      </c>
      <c r="G401" s="9" t="n">
        <v>5</v>
      </c>
      <c r="H401" s="9" t="n">
        <v>10</v>
      </c>
      <c r="I401" s="9" t="s">
        <v>526</v>
      </c>
      <c r="J401" s="9" t="s">
        <v>750</v>
      </c>
      <c r="K401" s="9" t="s">
        <v>772</v>
      </c>
    </row>
    <row r="402" customFormat="false" ht="15" hidden="false" customHeight="false" outlineLevel="0" collapsed="false">
      <c r="A402" s="9" t="s">
        <v>297</v>
      </c>
      <c r="B402" s="9" t="n">
        <v>58</v>
      </c>
      <c r="C402" s="9" t="s">
        <v>558</v>
      </c>
      <c r="D402" s="9" t="n">
        <v>47</v>
      </c>
      <c r="E402" s="9" t="n">
        <v>1143</v>
      </c>
      <c r="F402" s="9" t="n">
        <v>0</v>
      </c>
      <c r="G402" s="9" t="n">
        <v>5</v>
      </c>
      <c r="H402" s="9" t="n">
        <v>10</v>
      </c>
      <c r="I402" s="9" t="s">
        <v>526</v>
      </c>
      <c r="J402" s="9" t="s">
        <v>750</v>
      </c>
      <c r="K402" s="9" t="s">
        <v>772</v>
      </c>
    </row>
    <row r="403" customFormat="false" ht="15" hidden="false" customHeight="false" outlineLevel="0" collapsed="false">
      <c r="A403" s="9" t="s">
        <v>297</v>
      </c>
      <c r="B403" s="9" t="n">
        <v>59</v>
      </c>
      <c r="C403" s="9" t="s">
        <v>558</v>
      </c>
      <c r="D403" s="9" t="n">
        <v>263</v>
      </c>
      <c r="E403" s="9" t="n">
        <v>1464</v>
      </c>
      <c r="F403" s="9" t="n">
        <v>0</v>
      </c>
      <c r="G403" s="9" t="n">
        <v>5</v>
      </c>
      <c r="H403" s="9" t="n">
        <v>10</v>
      </c>
      <c r="I403" s="9" t="s">
        <v>526</v>
      </c>
      <c r="J403" s="9" t="s">
        <v>751</v>
      </c>
      <c r="K403" s="9" t="s">
        <v>772</v>
      </c>
    </row>
    <row r="404" customFormat="false" ht="15" hidden="false" customHeight="false" outlineLevel="0" collapsed="false">
      <c r="A404" s="9" t="s">
        <v>297</v>
      </c>
      <c r="B404" s="9" t="n">
        <v>60</v>
      </c>
      <c r="C404" s="9" t="s">
        <v>558</v>
      </c>
      <c r="D404" s="9" t="n">
        <v>263</v>
      </c>
      <c r="E404" s="9" t="n">
        <v>1496</v>
      </c>
      <c r="F404" s="9" t="n">
        <v>0</v>
      </c>
      <c r="G404" s="9" t="n">
        <v>5</v>
      </c>
      <c r="H404" s="9" t="n">
        <v>10</v>
      </c>
      <c r="I404" s="9" t="s">
        <v>526</v>
      </c>
      <c r="J404" s="9" t="s">
        <v>751</v>
      </c>
      <c r="K404" s="9" t="s">
        <v>772</v>
      </c>
    </row>
    <row r="405" customFormat="false" ht="15" hidden="false" customHeight="false" outlineLevel="0" collapsed="false">
      <c r="A405" s="9" t="s">
        <v>297</v>
      </c>
      <c r="B405" s="9" t="n">
        <v>61</v>
      </c>
      <c r="C405" s="9" t="s">
        <v>558</v>
      </c>
      <c r="D405" s="9" t="n">
        <v>263</v>
      </c>
      <c r="E405" s="9" t="n">
        <v>1528</v>
      </c>
      <c r="F405" s="9" t="n">
        <v>0</v>
      </c>
      <c r="G405" s="9" t="n">
        <v>5</v>
      </c>
      <c r="H405" s="9" t="n">
        <v>10</v>
      </c>
      <c r="I405" s="9" t="s">
        <v>526</v>
      </c>
      <c r="J405" s="9" t="s">
        <v>751</v>
      </c>
      <c r="K405" s="9" t="s">
        <v>772</v>
      </c>
    </row>
    <row r="406" customFormat="false" ht="15" hidden="false" customHeight="false" outlineLevel="0" collapsed="false">
      <c r="A406" s="9" t="s">
        <v>297</v>
      </c>
      <c r="B406" s="9" t="n">
        <v>62</v>
      </c>
      <c r="C406" s="9" t="s">
        <v>558</v>
      </c>
      <c r="D406" s="9" t="n">
        <v>47</v>
      </c>
      <c r="E406" s="9" t="n">
        <v>1464</v>
      </c>
      <c r="F406" s="9" t="n">
        <v>0</v>
      </c>
      <c r="G406" s="9" t="n">
        <v>5</v>
      </c>
      <c r="H406" s="9" t="n">
        <v>10</v>
      </c>
      <c r="I406" s="9" t="s">
        <v>526</v>
      </c>
      <c r="J406" s="9" t="s">
        <v>751</v>
      </c>
      <c r="K406" s="9" t="s">
        <v>772</v>
      </c>
    </row>
    <row r="407" customFormat="false" ht="15" hidden="false" customHeight="false" outlineLevel="0" collapsed="false">
      <c r="A407" s="9" t="s">
        <v>297</v>
      </c>
      <c r="B407" s="9" t="n">
        <v>63</v>
      </c>
      <c r="C407" s="9" t="s">
        <v>558</v>
      </c>
      <c r="D407" s="9" t="n">
        <v>47</v>
      </c>
      <c r="E407" s="9" t="n">
        <v>1496</v>
      </c>
      <c r="F407" s="9" t="n">
        <v>0</v>
      </c>
      <c r="G407" s="9" t="n">
        <v>5</v>
      </c>
      <c r="H407" s="9" t="n">
        <v>10</v>
      </c>
      <c r="I407" s="9" t="s">
        <v>526</v>
      </c>
      <c r="J407" s="9" t="s">
        <v>751</v>
      </c>
      <c r="K407" s="9" t="s">
        <v>772</v>
      </c>
    </row>
    <row r="408" customFormat="false" ht="15" hidden="false" customHeight="false" outlineLevel="0" collapsed="false">
      <c r="A408" s="9" t="s">
        <v>297</v>
      </c>
      <c r="B408" s="9" t="n">
        <v>64</v>
      </c>
      <c r="C408" s="9" t="s">
        <v>558</v>
      </c>
      <c r="D408" s="9" t="n">
        <v>47</v>
      </c>
      <c r="E408" s="9" t="n">
        <v>1528</v>
      </c>
      <c r="F408" s="9" t="n">
        <v>0</v>
      </c>
      <c r="G408" s="9" t="n">
        <v>5</v>
      </c>
      <c r="H408" s="9" t="n">
        <v>10</v>
      </c>
      <c r="I408" s="9" t="s">
        <v>526</v>
      </c>
      <c r="J408" s="9" t="s">
        <v>751</v>
      </c>
      <c r="K408" s="9" t="s">
        <v>772</v>
      </c>
    </row>
    <row r="409" customFormat="false" ht="15" hidden="false" customHeight="false" outlineLevel="0" collapsed="false">
      <c r="A409" s="9" t="s">
        <v>297</v>
      </c>
      <c r="B409" s="9" t="n">
        <v>65</v>
      </c>
      <c r="C409" s="9" t="s">
        <v>558</v>
      </c>
      <c r="D409" s="9" t="n">
        <v>263</v>
      </c>
      <c r="E409" s="9" t="n">
        <v>1849</v>
      </c>
      <c r="F409" s="9" t="n">
        <v>0</v>
      </c>
      <c r="G409" s="9" t="n">
        <v>5</v>
      </c>
      <c r="H409" s="9" t="n">
        <v>10</v>
      </c>
      <c r="I409" s="9" t="s">
        <v>526</v>
      </c>
      <c r="J409" s="9" t="s">
        <v>752</v>
      </c>
      <c r="K409" s="9" t="s">
        <v>772</v>
      </c>
    </row>
    <row r="410" customFormat="false" ht="15" hidden="false" customHeight="false" outlineLevel="0" collapsed="false">
      <c r="A410" s="9" t="s">
        <v>297</v>
      </c>
      <c r="B410" s="9" t="n">
        <v>66</v>
      </c>
      <c r="C410" s="9" t="s">
        <v>558</v>
      </c>
      <c r="D410" s="9" t="n">
        <v>263</v>
      </c>
      <c r="E410" s="9" t="n">
        <v>1881</v>
      </c>
      <c r="F410" s="9" t="n">
        <v>0</v>
      </c>
      <c r="G410" s="9" t="n">
        <v>5</v>
      </c>
      <c r="H410" s="9" t="n">
        <v>10</v>
      </c>
      <c r="I410" s="9" t="s">
        <v>526</v>
      </c>
      <c r="J410" s="9" t="s">
        <v>752</v>
      </c>
      <c r="K410" s="9" t="s">
        <v>772</v>
      </c>
    </row>
    <row r="411" customFormat="false" ht="15" hidden="false" customHeight="false" outlineLevel="0" collapsed="false">
      <c r="A411" s="9" t="s">
        <v>297</v>
      </c>
      <c r="B411" s="9" t="n">
        <v>67</v>
      </c>
      <c r="C411" s="9" t="s">
        <v>558</v>
      </c>
      <c r="D411" s="9" t="n">
        <v>263</v>
      </c>
      <c r="E411" s="9" t="n">
        <v>1913</v>
      </c>
      <c r="F411" s="9" t="n">
        <v>0</v>
      </c>
      <c r="G411" s="9" t="n">
        <v>5</v>
      </c>
      <c r="H411" s="9" t="n">
        <v>10</v>
      </c>
      <c r="I411" s="9" t="s">
        <v>526</v>
      </c>
      <c r="J411" s="9" t="s">
        <v>752</v>
      </c>
      <c r="K411" s="9" t="s">
        <v>772</v>
      </c>
    </row>
    <row r="412" customFormat="false" ht="15" hidden="false" customHeight="false" outlineLevel="0" collapsed="false">
      <c r="A412" s="9" t="s">
        <v>297</v>
      </c>
      <c r="B412" s="9" t="n">
        <v>68</v>
      </c>
      <c r="C412" s="9" t="s">
        <v>558</v>
      </c>
      <c r="D412" s="9" t="n">
        <v>47</v>
      </c>
      <c r="E412" s="9" t="n">
        <v>1849</v>
      </c>
      <c r="F412" s="9" t="n">
        <v>0</v>
      </c>
      <c r="G412" s="9" t="n">
        <v>5</v>
      </c>
      <c r="H412" s="9" t="n">
        <v>10</v>
      </c>
      <c r="I412" s="9" t="s">
        <v>526</v>
      </c>
      <c r="J412" s="9" t="s">
        <v>752</v>
      </c>
      <c r="K412" s="9" t="s">
        <v>772</v>
      </c>
    </row>
    <row r="413" customFormat="false" ht="15" hidden="false" customHeight="false" outlineLevel="0" collapsed="false">
      <c r="A413" s="9" t="s">
        <v>297</v>
      </c>
      <c r="B413" s="9" t="n">
        <v>69</v>
      </c>
      <c r="C413" s="9" t="s">
        <v>558</v>
      </c>
      <c r="D413" s="9" t="n">
        <v>47</v>
      </c>
      <c r="E413" s="9" t="n">
        <v>1881</v>
      </c>
      <c r="F413" s="9" t="n">
        <v>0</v>
      </c>
      <c r="G413" s="9" t="n">
        <v>5</v>
      </c>
      <c r="H413" s="9" t="n">
        <v>10</v>
      </c>
      <c r="I413" s="9" t="s">
        <v>526</v>
      </c>
      <c r="J413" s="9" t="s">
        <v>752</v>
      </c>
      <c r="K413" s="9" t="s">
        <v>772</v>
      </c>
    </row>
    <row r="414" customFormat="false" ht="15" hidden="false" customHeight="false" outlineLevel="0" collapsed="false">
      <c r="A414" s="9" t="s">
        <v>297</v>
      </c>
      <c r="B414" s="9" t="n">
        <v>70</v>
      </c>
      <c r="C414" s="9" t="s">
        <v>558</v>
      </c>
      <c r="D414" s="9" t="n">
        <v>47</v>
      </c>
      <c r="E414" s="9" t="n">
        <v>1913</v>
      </c>
      <c r="F414" s="9" t="n">
        <v>0</v>
      </c>
      <c r="G414" s="9" t="n">
        <v>5</v>
      </c>
      <c r="H414" s="9" t="n">
        <v>10</v>
      </c>
      <c r="I414" s="9" t="s">
        <v>526</v>
      </c>
      <c r="J414" s="9" t="s">
        <v>752</v>
      </c>
      <c r="K414" s="9" t="s">
        <v>772</v>
      </c>
    </row>
    <row r="415" customFormat="false" ht="15" hidden="false" customHeight="false" outlineLevel="0" collapsed="false">
      <c r="A415" s="9" t="s">
        <v>334</v>
      </c>
      <c r="B415" s="9" t="n">
        <v>1</v>
      </c>
      <c r="C415" s="9" t="s">
        <v>558</v>
      </c>
      <c r="D415" s="9" t="n">
        <v>20.5</v>
      </c>
      <c r="E415" s="9" t="n">
        <v>100</v>
      </c>
      <c r="F415" s="9" t="n">
        <v>0</v>
      </c>
      <c r="G415" s="9" t="n">
        <v>35</v>
      </c>
      <c r="H415" s="9" t="n">
        <v>13</v>
      </c>
      <c r="I415" s="9" t="s">
        <v>773</v>
      </c>
      <c r="J415" s="9" t="s">
        <v>732</v>
      </c>
      <c r="K415" s="9" t="s">
        <v>336</v>
      </c>
    </row>
    <row r="416" customFormat="false" ht="15" hidden="false" customHeight="false" outlineLevel="0" collapsed="false">
      <c r="A416" s="9" t="s">
        <v>334</v>
      </c>
      <c r="B416" s="9" t="n">
        <v>2</v>
      </c>
      <c r="C416" s="9" t="s">
        <v>558</v>
      </c>
      <c r="D416" s="9" t="n">
        <v>30</v>
      </c>
      <c r="E416" s="9" t="n">
        <v>77.5</v>
      </c>
      <c r="F416" s="9" t="n">
        <v>0</v>
      </c>
      <c r="G416" s="9" t="n">
        <v>8</v>
      </c>
      <c r="H416" s="9" t="n">
        <v>11.5</v>
      </c>
      <c r="I416" s="9" t="s">
        <v>774</v>
      </c>
      <c r="J416" s="9" t="s">
        <v>732</v>
      </c>
      <c r="K416" s="9" t="s">
        <v>336</v>
      </c>
    </row>
    <row r="417" customFormat="false" ht="15" hidden="false" customHeight="false" outlineLevel="0" collapsed="false">
      <c r="A417" s="9" t="s">
        <v>334</v>
      </c>
      <c r="B417" s="9" t="n">
        <v>3</v>
      </c>
      <c r="C417" s="9" t="s">
        <v>558</v>
      </c>
      <c r="D417" s="9" t="n">
        <v>30</v>
      </c>
      <c r="E417" s="9" t="n">
        <v>122.5</v>
      </c>
      <c r="F417" s="9" t="n">
        <v>0</v>
      </c>
      <c r="G417" s="9" t="n">
        <v>8</v>
      </c>
      <c r="H417" s="9" t="n">
        <v>11.5</v>
      </c>
      <c r="I417" s="9" t="s">
        <v>774</v>
      </c>
      <c r="J417" s="9" t="s">
        <v>732</v>
      </c>
      <c r="K417" s="9" t="s">
        <v>336</v>
      </c>
    </row>
    <row r="418" customFormat="false" ht="15" hidden="false" customHeight="false" outlineLevel="0" collapsed="false">
      <c r="A418" s="9" t="s">
        <v>334</v>
      </c>
      <c r="B418" s="9" t="n">
        <v>4</v>
      </c>
      <c r="C418" s="9" t="s">
        <v>558</v>
      </c>
      <c r="D418" s="9" t="n">
        <v>20.5</v>
      </c>
      <c r="E418" s="9" t="n">
        <v>596.6</v>
      </c>
      <c r="F418" s="9" t="n">
        <v>0</v>
      </c>
      <c r="G418" s="9" t="n">
        <v>35</v>
      </c>
      <c r="H418" s="9" t="n">
        <v>13</v>
      </c>
      <c r="I418" s="9" t="s">
        <v>773</v>
      </c>
      <c r="J418" s="9" t="s">
        <v>733</v>
      </c>
      <c r="K418" s="9" t="s">
        <v>336</v>
      </c>
    </row>
    <row r="419" customFormat="false" ht="15" hidden="false" customHeight="false" outlineLevel="0" collapsed="false">
      <c r="A419" s="9" t="s">
        <v>334</v>
      </c>
      <c r="B419" s="9" t="n">
        <v>5</v>
      </c>
      <c r="C419" s="9" t="s">
        <v>558</v>
      </c>
      <c r="D419" s="9" t="n">
        <v>30</v>
      </c>
      <c r="E419" s="9" t="n">
        <v>574.1</v>
      </c>
      <c r="F419" s="9" t="n">
        <v>0</v>
      </c>
      <c r="G419" s="9" t="n">
        <v>8</v>
      </c>
      <c r="H419" s="9" t="n">
        <v>11.5</v>
      </c>
      <c r="I419" s="9" t="s">
        <v>774</v>
      </c>
      <c r="J419" s="9" t="s">
        <v>733</v>
      </c>
      <c r="K419" s="9" t="s">
        <v>336</v>
      </c>
    </row>
    <row r="420" customFormat="false" ht="15" hidden="false" customHeight="false" outlineLevel="0" collapsed="false">
      <c r="A420" s="9" t="s">
        <v>334</v>
      </c>
      <c r="B420" s="9" t="n">
        <v>6</v>
      </c>
      <c r="C420" s="9" t="s">
        <v>558</v>
      </c>
      <c r="D420" s="9" t="n">
        <v>30</v>
      </c>
      <c r="E420" s="9" t="n">
        <v>619.1</v>
      </c>
      <c r="F420" s="9" t="n">
        <v>0</v>
      </c>
      <c r="G420" s="9" t="n">
        <v>8</v>
      </c>
      <c r="H420" s="9" t="n">
        <v>11.5</v>
      </c>
      <c r="I420" s="9" t="s">
        <v>774</v>
      </c>
      <c r="J420" s="9" t="s">
        <v>733</v>
      </c>
      <c r="K420" s="9" t="s">
        <v>336</v>
      </c>
    </row>
    <row r="421" customFormat="false" ht="15" hidden="false" customHeight="false" outlineLevel="0" collapsed="false">
      <c r="A421" s="9" t="s">
        <v>334</v>
      </c>
      <c r="B421" s="9" t="n">
        <v>7</v>
      </c>
      <c r="C421" s="9" t="s">
        <v>558</v>
      </c>
      <c r="D421" s="9" t="n">
        <v>20.5</v>
      </c>
      <c r="E421" s="9" t="n">
        <v>1061.2</v>
      </c>
      <c r="F421" s="9" t="n">
        <v>0</v>
      </c>
      <c r="G421" s="9" t="n">
        <v>35</v>
      </c>
      <c r="H421" s="9" t="n">
        <v>13</v>
      </c>
      <c r="I421" s="9" t="s">
        <v>773</v>
      </c>
      <c r="J421" s="9" t="s">
        <v>734</v>
      </c>
      <c r="K421" s="9" t="s">
        <v>336</v>
      </c>
    </row>
    <row r="422" customFormat="false" ht="15" hidden="false" customHeight="false" outlineLevel="0" collapsed="false">
      <c r="A422" s="9" t="s">
        <v>334</v>
      </c>
      <c r="B422" s="9" t="n">
        <v>8</v>
      </c>
      <c r="C422" s="9" t="s">
        <v>558</v>
      </c>
      <c r="D422" s="9" t="n">
        <v>30</v>
      </c>
      <c r="E422" s="9" t="n">
        <v>1038.7</v>
      </c>
      <c r="F422" s="9" t="n">
        <v>0</v>
      </c>
      <c r="G422" s="9" t="n">
        <v>8</v>
      </c>
      <c r="H422" s="9" t="n">
        <v>11.5</v>
      </c>
      <c r="I422" s="9" t="s">
        <v>774</v>
      </c>
      <c r="J422" s="9" t="s">
        <v>734</v>
      </c>
      <c r="K422" s="9" t="s">
        <v>336</v>
      </c>
    </row>
    <row r="423" customFormat="false" ht="15" hidden="false" customHeight="false" outlineLevel="0" collapsed="false">
      <c r="A423" s="9" t="s">
        <v>334</v>
      </c>
      <c r="B423" s="9" t="n">
        <v>9</v>
      </c>
      <c r="C423" s="9" t="s">
        <v>558</v>
      </c>
      <c r="D423" s="9" t="n">
        <v>30</v>
      </c>
      <c r="E423" s="9" t="n">
        <v>1083.7</v>
      </c>
      <c r="F423" s="9" t="n">
        <v>0</v>
      </c>
      <c r="G423" s="9" t="n">
        <v>8</v>
      </c>
      <c r="H423" s="9" t="n">
        <v>11.5</v>
      </c>
      <c r="I423" s="9" t="s">
        <v>774</v>
      </c>
      <c r="J423" s="9" t="s">
        <v>734</v>
      </c>
      <c r="K423" s="9" t="s">
        <v>336</v>
      </c>
    </row>
    <row r="424" customFormat="false" ht="15" hidden="false" customHeight="false" outlineLevel="0" collapsed="false">
      <c r="A424" s="9" t="s">
        <v>334</v>
      </c>
      <c r="B424" s="9" t="n">
        <v>10</v>
      </c>
      <c r="C424" s="9" t="s">
        <v>558</v>
      </c>
      <c r="D424" s="9" t="n">
        <v>20.5</v>
      </c>
      <c r="E424" s="9" t="n">
        <v>1621.8</v>
      </c>
      <c r="F424" s="9" t="n">
        <v>0</v>
      </c>
      <c r="G424" s="9" t="n">
        <v>35</v>
      </c>
      <c r="H424" s="9" t="n">
        <v>13</v>
      </c>
      <c r="I424" s="9" t="s">
        <v>773</v>
      </c>
      <c r="J424" s="9" t="s">
        <v>735</v>
      </c>
      <c r="K424" s="9" t="s">
        <v>336</v>
      </c>
    </row>
    <row r="425" customFormat="false" ht="15" hidden="false" customHeight="false" outlineLevel="0" collapsed="false">
      <c r="A425" s="9" t="s">
        <v>334</v>
      </c>
      <c r="B425" s="9" t="n">
        <v>11</v>
      </c>
      <c r="C425" s="9" t="s">
        <v>558</v>
      </c>
      <c r="D425" s="9" t="n">
        <v>30</v>
      </c>
      <c r="E425" s="9" t="n">
        <v>1599.3</v>
      </c>
      <c r="F425" s="9" t="n">
        <v>0</v>
      </c>
      <c r="G425" s="9" t="n">
        <v>8</v>
      </c>
      <c r="H425" s="9" t="n">
        <v>11.5</v>
      </c>
      <c r="I425" s="9" t="s">
        <v>774</v>
      </c>
      <c r="J425" s="9" t="s">
        <v>735</v>
      </c>
      <c r="K425" s="9" t="s">
        <v>336</v>
      </c>
    </row>
    <row r="426" customFormat="false" ht="15" hidden="false" customHeight="false" outlineLevel="0" collapsed="false">
      <c r="A426" s="9" t="s">
        <v>334</v>
      </c>
      <c r="B426" s="9" t="n">
        <v>12</v>
      </c>
      <c r="C426" s="9" t="s">
        <v>558</v>
      </c>
      <c r="D426" s="9" t="n">
        <v>30</v>
      </c>
      <c r="E426" s="9" t="n">
        <v>1644.3</v>
      </c>
      <c r="F426" s="9" t="n">
        <v>0</v>
      </c>
      <c r="G426" s="9" t="n">
        <v>8</v>
      </c>
      <c r="H426" s="9" t="n">
        <v>11.5</v>
      </c>
      <c r="I426" s="9" t="s">
        <v>774</v>
      </c>
      <c r="J426" s="9" t="s">
        <v>735</v>
      </c>
      <c r="K426" s="9" t="s">
        <v>336</v>
      </c>
    </row>
    <row r="427" customFormat="false" ht="15" hidden="false" customHeight="false" outlineLevel="0" collapsed="false">
      <c r="A427" s="9" t="s">
        <v>334</v>
      </c>
      <c r="B427" s="9" t="n">
        <v>13</v>
      </c>
      <c r="C427" s="9" t="s">
        <v>558</v>
      </c>
      <c r="D427" s="9" t="n">
        <v>20.5</v>
      </c>
      <c r="E427" s="9" t="n">
        <v>2086.4</v>
      </c>
      <c r="F427" s="9" t="n">
        <v>0</v>
      </c>
      <c r="G427" s="9" t="n">
        <v>35</v>
      </c>
      <c r="H427" s="9" t="n">
        <v>13</v>
      </c>
      <c r="I427" s="9" t="s">
        <v>773</v>
      </c>
      <c r="J427" s="9" t="s">
        <v>736</v>
      </c>
      <c r="K427" s="9" t="s">
        <v>336</v>
      </c>
    </row>
    <row r="428" customFormat="false" ht="15" hidden="false" customHeight="false" outlineLevel="0" collapsed="false">
      <c r="A428" s="9" t="s">
        <v>334</v>
      </c>
      <c r="B428" s="9" t="n">
        <v>14</v>
      </c>
      <c r="C428" s="9" t="s">
        <v>558</v>
      </c>
      <c r="D428" s="9" t="n">
        <v>30</v>
      </c>
      <c r="E428" s="9" t="n">
        <v>2063.9</v>
      </c>
      <c r="F428" s="9" t="n">
        <v>0</v>
      </c>
      <c r="G428" s="9" t="n">
        <v>8</v>
      </c>
      <c r="H428" s="9" t="n">
        <v>11.5</v>
      </c>
      <c r="I428" s="9" t="s">
        <v>774</v>
      </c>
      <c r="J428" s="9" t="s">
        <v>736</v>
      </c>
      <c r="K428" s="9" t="s">
        <v>336</v>
      </c>
    </row>
    <row r="429" customFormat="false" ht="15" hidden="false" customHeight="false" outlineLevel="0" collapsed="false">
      <c r="A429" s="9" t="s">
        <v>334</v>
      </c>
      <c r="B429" s="9" t="n">
        <v>15</v>
      </c>
      <c r="C429" s="9" t="s">
        <v>558</v>
      </c>
      <c r="D429" s="9" t="n">
        <v>30</v>
      </c>
      <c r="E429" s="9" t="n">
        <v>2108.9</v>
      </c>
      <c r="F429" s="9" t="n">
        <v>0</v>
      </c>
      <c r="G429" s="9" t="n">
        <v>8</v>
      </c>
      <c r="H429" s="9" t="n">
        <v>11.5</v>
      </c>
      <c r="I429" s="9" t="s">
        <v>774</v>
      </c>
      <c r="J429" s="9" t="s">
        <v>736</v>
      </c>
      <c r="K429" s="9" t="s">
        <v>336</v>
      </c>
    </row>
    <row r="430" customFormat="false" ht="15" hidden="false" customHeight="false" outlineLevel="0" collapsed="false">
      <c r="A430" s="9" t="s">
        <v>334</v>
      </c>
      <c r="B430" s="9" t="n">
        <v>16</v>
      </c>
      <c r="C430" s="9" t="s">
        <v>558</v>
      </c>
      <c r="D430" s="9" t="n">
        <v>20.5</v>
      </c>
      <c r="E430" s="9" t="n">
        <v>2583</v>
      </c>
      <c r="F430" s="9" t="n">
        <v>0</v>
      </c>
      <c r="G430" s="9" t="n">
        <v>35</v>
      </c>
      <c r="H430" s="9" t="n">
        <v>13</v>
      </c>
      <c r="I430" s="9" t="s">
        <v>773</v>
      </c>
      <c r="J430" s="9" t="s">
        <v>737</v>
      </c>
      <c r="K430" s="9" t="s">
        <v>336</v>
      </c>
    </row>
    <row r="431" customFormat="false" ht="15" hidden="false" customHeight="false" outlineLevel="0" collapsed="false">
      <c r="A431" s="9" t="s">
        <v>334</v>
      </c>
      <c r="B431" s="9" t="n">
        <v>17</v>
      </c>
      <c r="C431" s="9" t="s">
        <v>558</v>
      </c>
      <c r="D431" s="9" t="n">
        <v>30</v>
      </c>
      <c r="E431" s="9" t="n">
        <v>2560.5</v>
      </c>
      <c r="F431" s="9" t="n">
        <v>0</v>
      </c>
      <c r="G431" s="9" t="n">
        <v>8</v>
      </c>
      <c r="H431" s="9" t="n">
        <v>11.5</v>
      </c>
      <c r="I431" s="9" t="s">
        <v>774</v>
      </c>
      <c r="J431" s="9" t="s">
        <v>737</v>
      </c>
      <c r="K431" s="9" t="s">
        <v>336</v>
      </c>
    </row>
    <row r="432" customFormat="false" ht="15" hidden="false" customHeight="false" outlineLevel="0" collapsed="false">
      <c r="A432" s="9" t="s">
        <v>334</v>
      </c>
      <c r="B432" s="9" t="n">
        <v>18</v>
      </c>
      <c r="C432" s="9" t="s">
        <v>558</v>
      </c>
      <c r="D432" s="9" t="n">
        <v>30</v>
      </c>
      <c r="E432" s="9" t="n">
        <v>2605.5</v>
      </c>
      <c r="F432" s="9" t="n">
        <v>0</v>
      </c>
      <c r="G432" s="9" t="n">
        <v>8</v>
      </c>
      <c r="H432" s="9" t="n">
        <v>11.5</v>
      </c>
      <c r="I432" s="9" t="s">
        <v>774</v>
      </c>
      <c r="J432" s="9" t="s">
        <v>737</v>
      </c>
      <c r="K432" s="9" t="s">
        <v>336</v>
      </c>
    </row>
    <row r="433" customFormat="false" ht="15" hidden="false" customHeight="false" outlineLevel="0" collapsed="false">
      <c r="A433" s="9" t="s">
        <v>339</v>
      </c>
      <c r="B433" s="9" t="n">
        <v>1</v>
      </c>
      <c r="C433" s="9" t="s">
        <v>558</v>
      </c>
      <c r="D433" s="9" t="n">
        <v>392</v>
      </c>
      <c r="E433" s="9" t="n">
        <v>100</v>
      </c>
      <c r="F433" s="9" t="n">
        <v>0</v>
      </c>
      <c r="G433" s="9" t="n">
        <v>35</v>
      </c>
      <c r="H433" s="9" t="n">
        <v>13</v>
      </c>
      <c r="I433" s="9" t="s">
        <v>773</v>
      </c>
      <c r="J433" s="9" t="s">
        <v>753</v>
      </c>
      <c r="K433" s="9" t="s">
        <v>340</v>
      </c>
    </row>
    <row r="434" customFormat="false" ht="15" hidden="false" customHeight="false" outlineLevel="0" collapsed="false">
      <c r="A434" s="9" t="s">
        <v>339</v>
      </c>
      <c r="B434" s="9" t="n">
        <v>2</v>
      </c>
      <c r="C434" s="9" t="s">
        <v>558</v>
      </c>
      <c r="D434" s="9" t="n">
        <v>382.5</v>
      </c>
      <c r="E434" s="9" t="n">
        <v>77.5</v>
      </c>
      <c r="F434" s="9" t="n">
        <v>0</v>
      </c>
      <c r="G434" s="9" t="n">
        <v>8</v>
      </c>
      <c r="H434" s="9" t="n">
        <v>11.5</v>
      </c>
      <c r="I434" s="9" t="s">
        <v>774</v>
      </c>
      <c r="J434" s="9" t="s">
        <v>753</v>
      </c>
      <c r="K434" s="9" t="s">
        <v>340</v>
      </c>
    </row>
    <row r="435" customFormat="false" ht="15" hidden="false" customHeight="false" outlineLevel="0" collapsed="false">
      <c r="A435" s="9" t="s">
        <v>339</v>
      </c>
      <c r="B435" s="9" t="n">
        <v>3</v>
      </c>
      <c r="C435" s="9" t="s">
        <v>558</v>
      </c>
      <c r="D435" s="9" t="n">
        <v>382.5</v>
      </c>
      <c r="E435" s="9" t="n">
        <v>122.5</v>
      </c>
      <c r="F435" s="9" t="n">
        <v>0</v>
      </c>
      <c r="G435" s="9" t="n">
        <v>8</v>
      </c>
      <c r="H435" s="9" t="n">
        <v>11.5</v>
      </c>
      <c r="I435" s="9" t="s">
        <v>774</v>
      </c>
      <c r="J435" s="9" t="s">
        <v>753</v>
      </c>
      <c r="K435" s="9" t="s">
        <v>340</v>
      </c>
    </row>
    <row r="436" customFormat="false" ht="15" hidden="false" customHeight="false" outlineLevel="0" collapsed="false">
      <c r="A436" s="9" t="s">
        <v>339</v>
      </c>
      <c r="B436" s="9" t="n">
        <v>4</v>
      </c>
      <c r="C436" s="9" t="s">
        <v>558</v>
      </c>
      <c r="D436" s="9" t="n">
        <v>392</v>
      </c>
      <c r="E436" s="9" t="n">
        <v>620.25</v>
      </c>
      <c r="F436" s="9" t="n">
        <v>0</v>
      </c>
      <c r="G436" s="9" t="n">
        <v>35</v>
      </c>
      <c r="H436" s="9" t="n">
        <v>13</v>
      </c>
      <c r="I436" s="9" t="s">
        <v>773</v>
      </c>
      <c r="J436" s="9" t="s">
        <v>754</v>
      </c>
      <c r="K436" s="9" t="s">
        <v>340</v>
      </c>
    </row>
    <row r="437" customFormat="false" ht="15" hidden="false" customHeight="false" outlineLevel="0" collapsed="false">
      <c r="A437" s="9" t="s">
        <v>339</v>
      </c>
      <c r="B437" s="9" t="n">
        <v>5</v>
      </c>
      <c r="C437" s="9" t="s">
        <v>558</v>
      </c>
      <c r="D437" s="9" t="n">
        <v>382.5</v>
      </c>
      <c r="E437" s="9" t="n">
        <v>597.75</v>
      </c>
      <c r="F437" s="9" t="n">
        <v>0</v>
      </c>
      <c r="G437" s="9" t="n">
        <v>8</v>
      </c>
      <c r="H437" s="9" t="n">
        <v>11.5</v>
      </c>
      <c r="I437" s="9" t="s">
        <v>774</v>
      </c>
      <c r="J437" s="9" t="s">
        <v>754</v>
      </c>
      <c r="K437" s="9" t="s">
        <v>340</v>
      </c>
    </row>
    <row r="438" customFormat="false" ht="15" hidden="false" customHeight="false" outlineLevel="0" collapsed="false">
      <c r="A438" s="9" t="s">
        <v>339</v>
      </c>
      <c r="B438" s="9" t="n">
        <v>6</v>
      </c>
      <c r="C438" s="9" t="s">
        <v>558</v>
      </c>
      <c r="D438" s="9" t="n">
        <v>382.5</v>
      </c>
      <c r="E438" s="9" t="n">
        <v>642.75</v>
      </c>
      <c r="F438" s="9" t="n">
        <v>0</v>
      </c>
      <c r="G438" s="9" t="n">
        <v>8</v>
      </c>
      <c r="H438" s="9" t="n">
        <v>11.5</v>
      </c>
      <c r="I438" s="9" t="s">
        <v>774</v>
      </c>
      <c r="J438" s="9" t="s">
        <v>754</v>
      </c>
      <c r="K438" s="9" t="s">
        <v>340</v>
      </c>
    </row>
    <row r="439" customFormat="false" ht="15" hidden="false" customHeight="false" outlineLevel="0" collapsed="false">
      <c r="A439" s="9" t="s">
        <v>339</v>
      </c>
      <c r="B439" s="9" t="n">
        <v>7</v>
      </c>
      <c r="C439" s="9" t="s">
        <v>558</v>
      </c>
      <c r="D439" s="9" t="n">
        <v>392</v>
      </c>
      <c r="E439" s="9" t="n">
        <v>1236.5</v>
      </c>
      <c r="F439" s="9" t="n">
        <v>0</v>
      </c>
      <c r="G439" s="9" t="n">
        <v>35</v>
      </c>
      <c r="H439" s="9" t="n">
        <v>13</v>
      </c>
      <c r="I439" s="9" t="s">
        <v>773</v>
      </c>
      <c r="J439" s="9" t="s">
        <v>755</v>
      </c>
      <c r="K439" s="9" t="s">
        <v>340</v>
      </c>
    </row>
    <row r="440" customFormat="false" ht="15" hidden="false" customHeight="false" outlineLevel="0" collapsed="false">
      <c r="A440" s="9" t="s">
        <v>339</v>
      </c>
      <c r="B440" s="9" t="n">
        <v>8</v>
      </c>
      <c r="C440" s="9" t="s">
        <v>558</v>
      </c>
      <c r="D440" s="9" t="n">
        <v>382.5</v>
      </c>
      <c r="E440" s="9" t="n">
        <v>1214</v>
      </c>
      <c r="F440" s="9" t="n">
        <v>0</v>
      </c>
      <c r="G440" s="9" t="n">
        <v>8</v>
      </c>
      <c r="H440" s="9" t="n">
        <v>11.5</v>
      </c>
      <c r="I440" s="9" t="s">
        <v>774</v>
      </c>
      <c r="J440" s="9" t="s">
        <v>755</v>
      </c>
      <c r="K440" s="9" t="s">
        <v>340</v>
      </c>
    </row>
    <row r="441" customFormat="false" ht="15" hidden="false" customHeight="false" outlineLevel="0" collapsed="false">
      <c r="A441" s="9" t="s">
        <v>339</v>
      </c>
      <c r="B441" s="9" t="n">
        <v>9</v>
      </c>
      <c r="C441" s="9" t="s">
        <v>558</v>
      </c>
      <c r="D441" s="9" t="n">
        <v>382.5</v>
      </c>
      <c r="E441" s="9" t="n">
        <v>1259</v>
      </c>
      <c r="F441" s="9" t="n">
        <v>0</v>
      </c>
      <c r="G441" s="9" t="n">
        <v>8</v>
      </c>
      <c r="H441" s="9" t="n">
        <v>11.5</v>
      </c>
      <c r="I441" s="9" t="s">
        <v>774</v>
      </c>
      <c r="J441" s="9" t="s">
        <v>755</v>
      </c>
      <c r="K441" s="9" t="s">
        <v>340</v>
      </c>
    </row>
    <row r="442" customFormat="false" ht="15" hidden="false" customHeight="false" outlineLevel="0" collapsed="false">
      <c r="A442" s="9" t="s">
        <v>339</v>
      </c>
      <c r="B442" s="9" t="n">
        <v>10</v>
      </c>
      <c r="C442" s="9" t="s">
        <v>558</v>
      </c>
      <c r="D442" s="9" t="n">
        <v>392</v>
      </c>
      <c r="E442" s="9" t="n">
        <v>1660.75</v>
      </c>
      <c r="F442" s="9" t="n">
        <v>0</v>
      </c>
      <c r="G442" s="9" t="n">
        <v>35</v>
      </c>
      <c r="H442" s="9" t="n">
        <v>13</v>
      </c>
      <c r="I442" s="9" t="s">
        <v>773</v>
      </c>
      <c r="J442" s="9" t="s">
        <v>756</v>
      </c>
      <c r="K442" s="9" t="s">
        <v>340</v>
      </c>
    </row>
    <row r="443" customFormat="false" ht="15" hidden="false" customHeight="false" outlineLevel="0" collapsed="false">
      <c r="A443" s="9" t="s">
        <v>339</v>
      </c>
      <c r="B443" s="9" t="n">
        <v>11</v>
      </c>
      <c r="C443" s="9" t="s">
        <v>558</v>
      </c>
      <c r="D443" s="9" t="n">
        <v>382.5</v>
      </c>
      <c r="E443" s="9" t="n">
        <v>1638.25</v>
      </c>
      <c r="F443" s="9" t="n">
        <v>0</v>
      </c>
      <c r="G443" s="9" t="n">
        <v>8</v>
      </c>
      <c r="H443" s="9" t="n">
        <v>11.5</v>
      </c>
      <c r="I443" s="9" t="s">
        <v>774</v>
      </c>
      <c r="J443" s="9" t="s">
        <v>756</v>
      </c>
      <c r="K443" s="9" t="s">
        <v>340</v>
      </c>
    </row>
    <row r="444" customFormat="false" ht="15" hidden="false" customHeight="false" outlineLevel="0" collapsed="false">
      <c r="A444" s="9" t="s">
        <v>339</v>
      </c>
      <c r="B444" s="9" t="n">
        <v>12</v>
      </c>
      <c r="C444" s="9" t="s">
        <v>558</v>
      </c>
      <c r="D444" s="9" t="n">
        <v>382.5</v>
      </c>
      <c r="E444" s="9" t="n">
        <v>1683.25</v>
      </c>
      <c r="F444" s="9" t="n">
        <v>0</v>
      </c>
      <c r="G444" s="9" t="n">
        <v>8</v>
      </c>
      <c r="H444" s="9" t="n">
        <v>11.5</v>
      </c>
      <c r="I444" s="9" t="s">
        <v>774</v>
      </c>
      <c r="J444" s="9" t="s">
        <v>756</v>
      </c>
      <c r="K444" s="9" t="s">
        <v>340</v>
      </c>
    </row>
    <row r="445" customFormat="false" ht="15" hidden="false" customHeight="false" outlineLevel="0" collapsed="false">
      <c r="A445" s="9" t="s">
        <v>339</v>
      </c>
      <c r="B445" s="9" t="n">
        <v>13</v>
      </c>
      <c r="C445" s="9" t="s">
        <v>558</v>
      </c>
      <c r="D445" s="9" t="n">
        <v>392</v>
      </c>
      <c r="E445" s="9" t="n">
        <v>2181</v>
      </c>
      <c r="F445" s="9" t="n">
        <v>0</v>
      </c>
      <c r="G445" s="9" t="n">
        <v>35</v>
      </c>
      <c r="H445" s="9" t="n">
        <v>13</v>
      </c>
      <c r="I445" s="9" t="s">
        <v>773</v>
      </c>
      <c r="J445" s="9" t="s">
        <v>757</v>
      </c>
      <c r="K445" s="9" t="s">
        <v>340</v>
      </c>
    </row>
    <row r="446" customFormat="false" ht="15" hidden="false" customHeight="false" outlineLevel="0" collapsed="false">
      <c r="A446" s="9" t="s">
        <v>339</v>
      </c>
      <c r="B446" s="9" t="n">
        <v>14</v>
      </c>
      <c r="C446" s="9" t="s">
        <v>558</v>
      </c>
      <c r="D446" s="9" t="n">
        <v>382.5</v>
      </c>
      <c r="E446" s="9" t="n">
        <v>2158.5</v>
      </c>
      <c r="F446" s="9" t="n">
        <v>0</v>
      </c>
      <c r="G446" s="9" t="n">
        <v>8</v>
      </c>
      <c r="H446" s="9" t="n">
        <v>11.5</v>
      </c>
      <c r="I446" s="9" t="s">
        <v>774</v>
      </c>
      <c r="J446" s="9" t="s">
        <v>757</v>
      </c>
      <c r="K446" s="9" t="s">
        <v>340</v>
      </c>
    </row>
    <row r="447" customFormat="false" ht="15" hidden="false" customHeight="false" outlineLevel="0" collapsed="false">
      <c r="A447" s="9" t="s">
        <v>339</v>
      </c>
      <c r="B447" s="9" t="n">
        <v>15</v>
      </c>
      <c r="C447" s="9" t="s">
        <v>558</v>
      </c>
      <c r="D447" s="9" t="n">
        <v>382.5</v>
      </c>
      <c r="E447" s="9" t="n">
        <v>2203.5</v>
      </c>
      <c r="F447" s="9" t="n">
        <v>0</v>
      </c>
      <c r="G447" s="9" t="n">
        <v>8</v>
      </c>
      <c r="H447" s="9" t="n">
        <v>11.5</v>
      </c>
      <c r="I447" s="9" t="s">
        <v>774</v>
      </c>
      <c r="J447" s="9" t="s">
        <v>757</v>
      </c>
      <c r="K447" s="9" t="s">
        <v>340</v>
      </c>
    </row>
    <row r="448" customFormat="false" ht="15" hidden="false" customHeight="false" outlineLevel="0" collapsed="false">
      <c r="A448" s="9" t="s">
        <v>376</v>
      </c>
      <c r="B448" s="9" t="n">
        <v>1</v>
      </c>
      <c r="C448" s="9" t="s">
        <v>16</v>
      </c>
      <c r="D448" s="9" t="n">
        <v>9</v>
      </c>
      <c r="E448" s="9" t="n">
        <v>0</v>
      </c>
      <c r="F448" s="9" t="n">
        <v>32</v>
      </c>
      <c r="G448" s="9" t="n">
        <v>8</v>
      </c>
      <c r="H448" s="9" t="n">
        <v>13</v>
      </c>
      <c r="I448" s="9" t="s">
        <v>567</v>
      </c>
      <c r="J448" s="9" t="s">
        <v>718</v>
      </c>
      <c r="K448" s="9" t="s">
        <v>380</v>
      </c>
    </row>
    <row r="449" customFormat="false" ht="15" hidden="false" customHeight="false" outlineLevel="0" collapsed="false">
      <c r="A449" s="9" t="s">
        <v>376</v>
      </c>
      <c r="B449" s="9" t="n">
        <v>2</v>
      </c>
      <c r="C449" s="9" t="s">
        <v>16</v>
      </c>
      <c r="D449" s="9" t="n">
        <v>9</v>
      </c>
      <c r="E449" s="9" t="n">
        <v>0</v>
      </c>
      <c r="F449" s="9" t="n">
        <v>168.5</v>
      </c>
      <c r="G449" s="9" t="n">
        <v>8</v>
      </c>
      <c r="H449" s="9" t="n">
        <v>13</v>
      </c>
      <c r="I449" s="9" t="s">
        <v>567</v>
      </c>
      <c r="J449" s="9" t="s">
        <v>719</v>
      </c>
      <c r="K449" s="9" t="s">
        <v>380</v>
      </c>
    </row>
    <row r="450" customFormat="false" ht="15" hidden="false" customHeight="false" outlineLevel="0" collapsed="false">
      <c r="A450" s="9" t="s">
        <v>376</v>
      </c>
      <c r="B450" s="9" t="n">
        <v>3</v>
      </c>
      <c r="C450" s="9" t="s">
        <v>16</v>
      </c>
      <c r="D450" s="9" t="n">
        <v>9</v>
      </c>
      <c r="E450" s="9" t="n">
        <v>0</v>
      </c>
      <c r="F450" s="9" t="n">
        <v>305</v>
      </c>
      <c r="G450" s="9" t="n">
        <v>8</v>
      </c>
      <c r="H450" s="9" t="n">
        <v>13</v>
      </c>
      <c r="I450" s="9" t="s">
        <v>567</v>
      </c>
      <c r="J450" s="9" t="s">
        <v>720</v>
      </c>
      <c r="K450" s="9" t="s">
        <v>380</v>
      </c>
    </row>
    <row r="451" customFormat="false" ht="15" hidden="false" customHeight="false" outlineLevel="0" collapsed="false">
      <c r="A451" s="9" t="s">
        <v>376</v>
      </c>
      <c r="B451" s="9" t="n">
        <v>4</v>
      </c>
      <c r="C451" s="9" t="s">
        <v>16</v>
      </c>
      <c r="D451" s="9" t="n">
        <v>9</v>
      </c>
      <c r="E451" s="9" t="n">
        <v>0</v>
      </c>
      <c r="F451" s="9" t="n">
        <v>84.25</v>
      </c>
      <c r="G451" s="9" t="n">
        <v>5</v>
      </c>
      <c r="H451" s="9" t="n">
        <v>11</v>
      </c>
      <c r="I451" s="9" t="s">
        <v>775</v>
      </c>
      <c r="J451" s="9" t="s">
        <v>721</v>
      </c>
      <c r="K451" s="9" t="s">
        <v>380</v>
      </c>
    </row>
    <row r="452" customFormat="false" ht="15" hidden="false" customHeight="false" outlineLevel="0" collapsed="false">
      <c r="A452" s="9" t="s">
        <v>376</v>
      </c>
      <c r="B452" s="9" t="n">
        <v>5</v>
      </c>
      <c r="C452" s="9" t="s">
        <v>16</v>
      </c>
      <c r="D452" s="9" t="n">
        <v>9</v>
      </c>
      <c r="E452" s="9" t="n">
        <v>0</v>
      </c>
      <c r="F452" s="9" t="n">
        <v>252.75</v>
      </c>
      <c r="G452" s="9" t="n">
        <v>5</v>
      </c>
      <c r="H452" s="9" t="n">
        <v>11</v>
      </c>
      <c r="I452" s="9" t="s">
        <v>775</v>
      </c>
      <c r="J452" s="9" t="s">
        <v>722</v>
      </c>
      <c r="K452" s="9" t="s">
        <v>380</v>
      </c>
    </row>
    <row r="453" customFormat="false" ht="15" hidden="false" customHeight="false" outlineLevel="0" collapsed="false">
      <c r="A453" s="9" t="s">
        <v>376</v>
      </c>
      <c r="B453" s="9" t="n">
        <v>6</v>
      </c>
      <c r="C453" s="9" t="s">
        <v>16</v>
      </c>
      <c r="D453" s="9" t="n">
        <v>861</v>
      </c>
      <c r="E453" s="9" t="n">
        <v>0</v>
      </c>
      <c r="F453" s="9" t="n">
        <v>305</v>
      </c>
      <c r="G453" s="9" t="n">
        <v>8</v>
      </c>
      <c r="H453" s="9" t="n">
        <v>13</v>
      </c>
      <c r="I453" s="9" t="s">
        <v>567</v>
      </c>
      <c r="J453" s="9" t="s">
        <v>739</v>
      </c>
      <c r="K453" s="9" t="s">
        <v>380</v>
      </c>
    </row>
    <row r="454" customFormat="false" ht="15" hidden="false" customHeight="false" outlineLevel="0" collapsed="false">
      <c r="A454" s="9" t="s">
        <v>376</v>
      </c>
      <c r="B454" s="9" t="n">
        <v>7</v>
      </c>
      <c r="C454" s="9" t="s">
        <v>16</v>
      </c>
      <c r="D454" s="9" t="n">
        <v>861</v>
      </c>
      <c r="E454" s="9" t="n">
        <v>0</v>
      </c>
      <c r="F454" s="9" t="n">
        <v>168.5</v>
      </c>
      <c r="G454" s="9" t="n">
        <v>8</v>
      </c>
      <c r="H454" s="9" t="n">
        <v>13</v>
      </c>
      <c r="I454" s="9" t="s">
        <v>567</v>
      </c>
      <c r="J454" s="9" t="s">
        <v>740</v>
      </c>
      <c r="K454" s="9" t="s">
        <v>380</v>
      </c>
    </row>
    <row r="455" customFormat="false" ht="15" hidden="false" customHeight="false" outlineLevel="0" collapsed="false">
      <c r="A455" s="9" t="s">
        <v>376</v>
      </c>
      <c r="B455" s="9" t="n">
        <v>8</v>
      </c>
      <c r="C455" s="9" t="s">
        <v>16</v>
      </c>
      <c r="D455" s="9" t="n">
        <v>861</v>
      </c>
      <c r="E455" s="9" t="n">
        <v>0</v>
      </c>
      <c r="F455" s="9" t="n">
        <v>32</v>
      </c>
      <c r="G455" s="9" t="n">
        <v>8</v>
      </c>
      <c r="H455" s="9" t="n">
        <v>13</v>
      </c>
      <c r="I455" s="9" t="s">
        <v>567</v>
      </c>
      <c r="J455" s="9" t="s">
        <v>741</v>
      </c>
      <c r="K455" s="9" t="s">
        <v>380</v>
      </c>
    </row>
    <row r="456" customFormat="false" ht="15" hidden="false" customHeight="false" outlineLevel="0" collapsed="false">
      <c r="A456" s="9" t="s">
        <v>376</v>
      </c>
      <c r="B456" s="9" t="n">
        <v>9</v>
      </c>
      <c r="C456" s="9" t="s">
        <v>16</v>
      </c>
      <c r="D456" s="9" t="n">
        <v>861</v>
      </c>
      <c r="E456" s="9" t="n">
        <v>0</v>
      </c>
      <c r="F456" s="9" t="n">
        <v>252.75</v>
      </c>
      <c r="G456" s="9" t="n">
        <v>5</v>
      </c>
      <c r="H456" s="9" t="n">
        <v>11</v>
      </c>
      <c r="I456" s="9" t="s">
        <v>775</v>
      </c>
      <c r="J456" s="9" t="s">
        <v>742</v>
      </c>
      <c r="K456" s="9" t="s">
        <v>380</v>
      </c>
    </row>
    <row r="457" customFormat="false" ht="15" hidden="false" customHeight="false" outlineLevel="0" collapsed="false">
      <c r="A457" s="9" t="s">
        <v>376</v>
      </c>
      <c r="B457" s="9" t="n">
        <v>10</v>
      </c>
      <c r="C457" s="9" t="s">
        <v>16</v>
      </c>
      <c r="D457" s="9" t="n">
        <v>861</v>
      </c>
      <c r="E457" s="9" t="n">
        <v>0</v>
      </c>
      <c r="F457" s="9" t="n">
        <v>84.25</v>
      </c>
      <c r="G457" s="9" t="n">
        <v>5</v>
      </c>
      <c r="H457" s="9" t="n">
        <v>11</v>
      </c>
      <c r="I457" s="9" t="s">
        <v>775</v>
      </c>
      <c r="J457" s="9" t="s">
        <v>744</v>
      </c>
      <c r="K457" s="9" t="s">
        <v>380</v>
      </c>
    </row>
    <row r="458" customFormat="false" ht="15" hidden="false" customHeight="false" outlineLevel="0" collapsed="false">
      <c r="A458" s="9" t="s">
        <v>376</v>
      </c>
      <c r="B458" s="9" t="n">
        <v>11</v>
      </c>
      <c r="C458" s="9" t="s">
        <v>16</v>
      </c>
      <c r="D458" s="9" t="n">
        <v>435</v>
      </c>
      <c r="E458" s="9" t="n">
        <v>82</v>
      </c>
      <c r="F458" s="9" t="n">
        <v>32</v>
      </c>
      <c r="G458" s="9" t="n">
        <v>8</v>
      </c>
      <c r="H458" s="9" t="n">
        <v>13</v>
      </c>
      <c r="I458" s="9" t="s">
        <v>567</v>
      </c>
      <c r="J458" s="9" t="s">
        <v>767</v>
      </c>
      <c r="K458" s="9" t="s">
        <v>380</v>
      </c>
    </row>
    <row r="459" customFormat="false" ht="15" hidden="false" customHeight="false" outlineLevel="0" collapsed="false">
      <c r="A459" s="9" t="s">
        <v>376</v>
      </c>
      <c r="B459" s="9" t="n">
        <v>12</v>
      </c>
      <c r="C459" s="9" t="s">
        <v>16</v>
      </c>
      <c r="D459" s="9" t="n">
        <v>435</v>
      </c>
      <c r="E459" s="9" t="n">
        <v>82</v>
      </c>
      <c r="F459" s="9" t="n">
        <v>168.5</v>
      </c>
      <c r="G459" s="9" t="n">
        <v>8</v>
      </c>
      <c r="H459" s="9" t="n">
        <v>13</v>
      </c>
      <c r="I459" s="9" t="s">
        <v>567</v>
      </c>
      <c r="J459" s="9" t="s">
        <v>768</v>
      </c>
      <c r="K459" s="9" t="s">
        <v>380</v>
      </c>
    </row>
    <row r="460" customFormat="false" ht="15" hidden="false" customHeight="false" outlineLevel="0" collapsed="false">
      <c r="A460" s="9" t="s">
        <v>376</v>
      </c>
      <c r="B460" s="9" t="n">
        <v>13</v>
      </c>
      <c r="C460" s="9" t="s">
        <v>16</v>
      </c>
      <c r="D460" s="9" t="n">
        <v>435</v>
      </c>
      <c r="E460" s="9" t="n">
        <v>82</v>
      </c>
      <c r="F460" s="9" t="n">
        <v>305</v>
      </c>
      <c r="G460" s="9" t="n">
        <v>8</v>
      </c>
      <c r="H460" s="9" t="n">
        <v>13</v>
      </c>
      <c r="I460" s="9" t="s">
        <v>567</v>
      </c>
      <c r="J460" s="9" t="s">
        <v>769</v>
      </c>
      <c r="K460" s="9" t="s">
        <v>380</v>
      </c>
    </row>
    <row r="461" customFormat="false" ht="15" hidden="false" customHeight="false" outlineLevel="0" collapsed="false">
      <c r="A461" s="9" t="s">
        <v>376</v>
      </c>
      <c r="B461" s="9" t="n">
        <v>14</v>
      </c>
      <c r="C461" s="9" t="s">
        <v>16</v>
      </c>
      <c r="D461" s="9" t="n">
        <v>435</v>
      </c>
      <c r="E461" s="9" t="n">
        <v>82</v>
      </c>
      <c r="F461" s="9" t="n">
        <v>84.25</v>
      </c>
      <c r="G461" s="9" t="n">
        <v>5</v>
      </c>
      <c r="H461" s="9" t="n">
        <v>11</v>
      </c>
      <c r="I461" s="9" t="s">
        <v>775</v>
      </c>
      <c r="J461" s="9" t="s">
        <v>770</v>
      </c>
      <c r="K461" s="9" t="s">
        <v>380</v>
      </c>
    </row>
    <row r="462" customFormat="false" ht="15" hidden="false" customHeight="false" outlineLevel="0" collapsed="false">
      <c r="A462" s="9" t="s">
        <v>376</v>
      </c>
      <c r="B462" s="9" t="n">
        <v>15</v>
      </c>
      <c r="C462" s="9" t="s">
        <v>16</v>
      </c>
      <c r="D462" s="9" t="n">
        <v>435</v>
      </c>
      <c r="E462" s="9" t="n">
        <v>82</v>
      </c>
      <c r="F462" s="9" t="n">
        <v>252.75</v>
      </c>
      <c r="G462" s="9" t="n">
        <v>5</v>
      </c>
      <c r="H462" s="9" t="n">
        <v>11</v>
      </c>
      <c r="I462" s="9" t="s">
        <v>775</v>
      </c>
      <c r="J462" s="9" t="s">
        <v>771</v>
      </c>
      <c r="K462" s="9" t="s">
        <v>380</v>
      </c>
    </row>
    <row r="463" customFormat="false" ht="15" hidden="false" customHeight="false" outlineLevel="0" collapsed="false">
      <c r="A463" s="9" t="s">
        <v>384</v>
      </c>
      <c r="B463" s="9" t="n">
        <v>1</v>
      </c>
      <c r="C463" s="9" t="s">
        <v>16</v>
      </c>
      <c r="D463" s="9" t="n">
        <v>9</v>
      </c>
      <c r="E463" s="9" t="n">
        <v>0</v>
      </c>
      <c r="F463" s="9" t="n">
        <v>9</v>
      </c>
      <c r="G463" s="9" t="n">
        <v>6</v>
      </c>
      <c r="H463" s="9" t="n">
        <v>15</v>
      </c>
      <c r="I463" s="9" t="s">
        <v>553</v>
      </c>
      <c r="J463" s="9" t="s">
        <v>776</v>
      </c>
      <c r="K463" s="9" t="s">
        <v>386</v>
      </c>
    </row>
    <row r="464" customFormat="false" ht="15" hidden="false" customHeight="false" outlineLevel="0" collapsed="false">
      <c r="A464" s="9" t="s">
        <v>384</v>
      </c>
      <c r="B464" s="9" t="n">
        <v>2</v>
      </c>
      <c r="C464" s="9" t="s">
        <v>16</v>
      </c>
      <c r="D464" s="9" t="n">
        <v>861</v>
      </c>
      <c r="E464" s="9" t="n">
        <v>0</v>
      </c>
      <c r="F464" s="9" t="n">
        <v>9</v>
      </c>
      <c r="G464" s="9" t="n">
        <v>6</v>
      </c>
      <c r="H464" s="9" t="n">
        <v>15</v>
      </c>
      <c r="I464" s="9" t="s">
        <v>553</v>
      </c>
      <c r="J464" s="9" t="s">
        <v>777</v>
      </c>
      <c r="K464" s="9" t="s">
        <v>386</v>
      </c>
    </row>
    <row r="465" customFormat="false" ht="15" hidden="false" customHeight="false" outlineLevel="0" collapsed="false">
      <c r="A465" s="9" t="s">
        <v>388</v>
      </c>
      <c r="B465" s="9" t="n">
        <v>1</v>
      </c>
      <c r="C465" s="9" t="s">
        <v>18</v>
      </c>
      <c r="D465" s="9" t="n">
        <v>444</v>
      </c>
      <c r="E465" s="9" t="n">
        <v>18</v>
      </c>
      <c r="F465" s="9" t="n">
        <v>32</v>
      </c>
      <c r="G465" s="9" t="n">
        <v>8</v>
      </c>
      <c r="H465" s="9" t="n">
        <v>13</v>
      </c>
      <c r="I465" s="9" t="s">
        <v>567</v>
      </c>
      <c r="J465" s="9" t="s">
        <v>554</v>
      </c>
      <c r="K465" s="9" t="s">
        <v>390</v>
      </c>
    </row>
    <row r="466" customFormat="false" ht="15" hidden="false" customHeight="false" outlineLevel="0" collapsed="false">
      <c r="A466" s="9" t="s">
        <v>388</v>
      </c>
      <c r="B466" s="9" t="n">
        <v>2</v>
      </c>
      <c r="C466" s="9" t="s">
        <v>18</v>
      </c>
      <c r="D466" s="9" t="n">
        <v>444</v>
      </c>
      <c r="E466" s="9" t="n">
        <v>18</v>
      </c>
      <c r="F466" s="9" t="n">
        <v>168.5</v>
      </c>
      <c r="G466" s="9" t="n">
        <v>8</v>
      </c>
      <c r="H466" s="9" t="n">
        <v>13</v>
      </c>
      <c r="I466" s="9" t="s">
        <v>567</v>
      </c>
      <c r="J466" s="9" t="s">
        <v>556</v>
      </c>
      <c r="K466" s="9" t="s">
        <v>390</v>
      </c>
    </row>
    <row r="467" customFormat="false" ht="15" hidden="false" customHeight="false" outlineLevel="0" collapsed="false">
      <c r="A467" s="9" t="s">
        <v>388</v>
      </c>
      <c r="B467" s="9" t="n">
        <v>3</v>
      </c>
      <c r="C467" s="9" t="s">
        <v>18</v>
      </c>
      <c r="D467" s="9" t="n">
        <v>444</v>
      </c>
      <c r="E467" s="9" t="n">
        <v>18</v>
      </c>
      <c r="F467" s="9" t="n">
        <v>305</v>
      </c>
      <c r="G467" s="9" t="n">
        <v>8</v>
      </c>
      <c r="H467" s="9" t="n">
        <v>13</v>
      </c>
      <c r="I467" s="9" t="s">
        <v>567</v>
      </c>
      <c r="J467" s="9" t="s">
        <v>557</v>
      </c>
      <c r="K467" s="9" t="s">
        <v>390</v>
      </c>
    </row>
    <row r="468" customFormat="false" ht="15" hidden="false" customHeight="false" outlineLevel="0" collapsed="false">
      <c r="A468" s="9" t="s">
        <v>388</v>
      </c>
      <c r="B468" s="9" t="n">
        <v>4</v>
      </c>
      <c r="C468" s="9" t="s">
        <v>18</v>
      </c>
      <c r="D468" s="9" t="n">
        <v>444</v>
      </c>
      <c r="E468" s="9" t="n">
        <v>18</v>
      </c>
      <c r="F468" s="9" t="n">
        <v>84.25</v>
      </c>
      <c r="G468" s="9" t="n">
        <v>5</v>
      </c>
      <c r="H468" s="9" t="n">
        <v>11</v>
      </c>
      <c r="I468" s="9" t="s">
        <v>775</v>
      </c>
      <c r="J468" s="9" t="s">
        <v>560</v>
      </c>
      <c r="K468" s="9" t="s">
        <v>390</v>
      </c>
    </row>
    <row r="469" customFormat="false" ht="15" hidden="false" customHeight="false" outlineLevel="0" collapsed="false">
      <c r="A469" s="9" t="s">
        <v>388</v>
      </c>
      <c r="B469" s="9" t="n">
        <v>5</v>
      </c>
      <c r="C469" s="9" t="s">
        <v>18</v>
      </c>
      <c r="D469" s="9" t="n">
        <v>444</v>
      </c>
      <c r="E469" s="9" t="n">
        <v>18</v>
      </c>
      <c r="F469" s="9" t="n">
        <v>252.75</v>
      </c>
      <c r="G469" s="9" t="n">
        <v>5</v>
      </c>
      <c r="H469" s="9" t="n">
        <v>11</v>
      </c>
      <c r="I469" s="9" t="s">
        <v>775</v>
      </c>
      <c r="J469" s="9" t="s">
        <v>563</v>
      </c>
      <c r="K469" s="9" t="s">
        <v>390</v>
      </c>
    </row>
    <row r="470" customFormat="false" ht="15" hidden="false" customHeight="false" outlineLevel="0" collapsed="false">
      <c r="A470" s="9" t="s">
        <v>388</v>
      </c>
      <c r="B470" s="9" t="n">
        <v>6</v>
      </c>
      <c r="C470" s="9" t="s">
        <v>18</v>
      </c>
      <c r="D470" s="9" t="n">
        <v>861</v>
      </c>
      <c r="E470" s="9" t="n">
        <v>18</v>
      </c>
      <c r="F470" s="9" t="n">
        <v>32</v>
      </c>
      <c r="G470" s="9" t="n">
        <v>8</v>
      </c>
      <c r="H470" s="9" t="n">
        <v>13</v>
      </c>
      <c r="I470" s="9" t="s">
        <v>567</v>
      </c>
      <c r="J470" s="9" t="s">
        <v>575</v>
      </c>
      <c r="K470" s="9" t="s">
        <v>390</v>
      </c>
    </row>
    <row r="471" customFormat="false" ht="15" hidden="false" customHeight="false" outlineLevel="0" collapsed="false">
      <c r="A471" s="9" t="s">
        <v>388</v>
      </c>
      <c r="B471" s="9" t="n">
        <v>7</v>
      </c>
      <c r="C471" s="9" t="s">
        <v>18</v>
      </c>
      <c r="D471" s="9" t="n">
        <v>861</v>
      </c>
      <c r="E471" s="9" t="n">
        <v>18</v>
      </c>
      <c r="F471" s="9" t="n">
        <v>168.5</v>
      </c>
      <c r="G471" s="9" t="n">
        <v>8</v>
      </c>
      <c r="H471" s="9" t="n">
        <v>13</v>
      </c>
      <c r="I471" s="9" t="s">
        <v>567</v>
      </c>
      <c r="J471" s="9" t="s">
        <v>576</v>
      </c>
      <c r="K471" s="9" t="s">
        <v>390</v>
      </c>
    </row>
    <row r="472" customFormat="false" ht="15" hidden="false" customHeight="false" outlineLevel="0" collapsed="false">
      <c r="A472" s="9" t="s">
        <v>388</v>
      </c>
      <c r="B472" s="9" t="n">
        <v>8</v>
      </c>
      <c r="C472" s="9" t="s">
        <v>18</v>
      </c>
      <c r="D472" s="9" t="n">
        <v>861</v>
      </c>
      <c r="E472" s="9" t="n">
        <v>18</v>
      </c>
      <c r="F472" s="9" t="n">
        <v>305</v>
      </c>
      <c r="G472" s="9" t="n">
        <v>8</v>
      </c>
      <c r="H472" s="9" t="n">
        <v>13</v>
      </c>
      <c r="I472" s="9" t="s">
        <v>567</v>
      </c>
      <c r="J472" s="9" t="s">
        <v>577</v>
      </c>
      <c r="K472" s="9" t="s">
        <v>390</v>
      </c>
    </row>
    <row r="473" customFormat="false" ht="15" hidden="false" customHeight="false" outlineLevel="0" collapsed="false">
      <c r="A473" s="9" t="s">
        <v>388</v>
      </c>
      <c r="B473" s="9" t="n">
        <v>9</v>
      </c>
      <c r="C473" s="9" t="s">
        <v>18</v>
      </c>
      <c r="D473" s="9" t="n">
        <v>861</v>
      </c>
      <c r="E473" s="9" t="n">
        <v>18</v>
      </c>
      <c r="F473" s="9" t="n">
        <v>84.25</v>
      </c>
      <c r="G473" s="9" t="n">
        <v>5</v>
      </c>
      <c r="H473" s="9" t="n">
        <v>11</v>
      </c>
      <c r="I473" s="9" t="s">
        <v>775</v>
      </c>
      <c r="J473" s="9" t="s">
        <v>579</v>
      </c>
      <c r="K473" s="9" t="s">
        <v>390</v>
      </c>
    </row>
    <row r="474" customFormat="false" ht="15" hidden="false" customHeight="false" outlineLevel="0" collapsed="false">
      <c r="A474" s="9" t="s">
        <v>388</v>
      </c>
      <c r="B474" s="9" t="n">
        <v>10</v>
      </c>
      <c r="C474" s="9" t="s">
        <v>18</v>
      </c>
      <c r="D474" s="9" t="n">
        <v>861</v>
      </c>
      <c r="E474" s="9" t="n">
        <v>18</v>
      </c>
      <c r="F474" s="9" t="n">
        <v>252.75</v>
      </c>
      <c r="G474" s="9" t="n">
        <v>5</v>
      </c>
      <c r="H474" s="9" t="n">
        <v>11</v>
      </c>
      <c r="I474" s="9" t="s">
        <v>775</v>
      </c>
      <c r="J474" s="9" t="s">
        <v>580</v>
      </c>
      <c r="K474" s="9" t="s">
        <v>390</v>
      </c>
    </row>
    <row r="475" customFormat="false" ht="15" hidden="false" customHeight="false" outlineLevel="0" collapsed="false">
      <c r="A475" s="9" t="s">
        <v>388</v>
      </c>
      <c r="B475" s="9" t="n">
        <v>11</v>
      </c>
      <c r="C475" s="9" t="s">
        <v>18</v>
      </c>
      <c r="D475" s="9" t="n">
        <v>9</v>
      </c>
      <c r="E475" s="9" t="n">
        <v>100</v>
      </c>
      <c r="F475" s="9" t="n">
        <v>32</v>
      </c>
      <c r="G475" s="9" t="n">
        <v>8</v>
      </c>
      <c r="H475" s="9" t="n">
        <v>13</v>
      </c>
      <c r="I475" s="9" t="s">
        <v>567</v>
      </c>
      <c r="J475" s="9" t="s">
        <v>711</v>
      </c>
      <c r="K475" s="9" t="s">
        <v>390</v>
      </c>
    </row>
    <row r="476" customFormat="false" ht="15" hidden="false" customHeight="false" outlineLevel="0" collapsed="false">
      <c r="A476" s="9" t="s">
        <v>388</v>
      </c>
      <c r="B476" s="9" t="n">
        <v>12</v>
      </c>
      <c r="C476" s="9" t="s">
        <v>18</v>
      </c>
      <c r="D476" s="9" t="n">
        <v>9</v>
      </c>
      <c r="E476" s="9" t="n">
        <v>100</v>
      </c>
      <c r="F476" s="9" t="n">
        <v>168.5</v>
      </c>
      <c r="G476" s="9" t="n">
        <v>8</v>
      </c>
      <c r="H476" s="9" t="n">
        <v>13</v>
      </c>
      <c r="I476" s="9" t="s">
        <v>567</v>
      </c>
      <c r="J476" s="9" t="s">
        <v>713</v>
      </c>
      <c r="K476" s="9" t="s">
        <v>390</v>
      </c>
    </row>
    <row r="477" customFormat="false" ht="15" hidden="false" customHeight="false" outlineLevel="0" collapsed="false">
      <c r="A477" s="9" t="s">
        <v>388</v>
      </c>
      <c r="B477" s="9" t="n">
        <v>13</v>
      </c>
      <c r="C477" s="9" t="s">
        <v>18</v>
      </c>
      <c r="D477" s="9" t="n">
        <v>9</v>
      </c>
      <c r="E477" s="9" t="n">
        <v>100</v>
      </c>
      <c r="F477" s="9" t="n">
        <v>305</v>
      </c>
      <c r="G477" s="9" t="n">
        <v>8</v>
      </c>
      <c r="H477" s="9" t="n">
        <v>13</v>
      </c>
      <c r="I477" s="9" t="s">
        <v>567</v>
      </c>
      <c r="J477" s="9" t="s">
        <v>714</v>
      </c>
      <c r="K477" s="9" t="s">
        <v>390</v>
      </c>
    </row>
    <row r="478" customFormat="false" ht="15" hidden="false" customHeight="false" outlineLevel="0" collapsed="false">
      <c r="A478" s="9" t="s">
        <v>388</v>
      </c>
      <c r="B478" s="9" t="n">
        <v>14</v>
      </c>
      <c r="C478" s="9" t="s">
        <v>18</v>
      </c>
      <c r="D478" s="9" t="n">
        <v>9</v>
      </c>
      <c r="E478" s="9" t="n">
        <v>100</v>
      </c>
      <c r="F478" s="9" t="n">
        <v>84.25</v>
      </c>
      <c r="G478" s="9" t="n">
        <v>5</v>
      </c>
      <c r="H478" s="9" t="n">
        <v>11</v>
      </c>
      <c r="I478" s="9" t="s">
        <v>775</v>
      </c>
      <c r="J478" s="9" t="s">
        <v>715</v>
      </c>
      <c r="K478" s="9" t="s">
        <v>390</v>
      </c>
    </row>
    <row r="479" customFormat="false" ht="15" hidden="false" customHeight="false" outlineLevel="0" collapsed="false">
      <c r="A479" s="9" t="s">
        <v>388</v>
      </c>
      <c r="B479" s="9" t="n">
        <v>15</v>
      </c>
      <c r="C479" s="9" t="s">
        <v>18</v>
      </c>
      <c r="D479" s="9" t="n">
        <v>9</v>
      </c>
      <c r="E479" s="9" t="n">
        <v>100</v>
      </c>
      <c r="F479" s="9" t="n">
        <v>252.75</v>
      </c>
      <c r="G479" s="9" t="n">
        <v>5</v>
      </c>
      <c r="H479" s="9" t="n">
        <v>11</v>
      </c>
      <c r="I479" s="9" t="s">
        <v>775</v>
      </c>
      <c r="J479" s="9" t="s">
        <v>717</v>
      </c>
      <c r="K479" s="9" t="s">
        <v>390</v>
      </c>
    </row>
    <row r="480" customFormat="false" ht="15" hidden="false" customHeight="false" outlineLevel="0" collapsed="false">
      <c r="A480" s="9" t="s">
        <v>388</v>
      </c>
      <c r="B480" s="9" t="n">
        <v>16</v>
      </c>
      <c r="C480" s="9" t="s">
        <v>18</v>
      </c>
      <c r="D480" s="9" t="n">
        <v>426</v>
      </c>
      <c r="E480" s="9" t="n">
        <v>18</v>
      </c>
      <c r="F480" s="9" t="n">
        <v>32</v>
      </c>
      <c r="G480" s="9" t="n">
        <v>8</v>
      </c>
      <c r="H480" s="9" t="n">
        <v>13</v>
      </c>
      <c r="I480" s="9" t="s">
        <v>567</v>
      </c>
      <c r="J480" s="9" t="s">
        <v>778</v>
      </c>
      <c r="K480" s="9" t="s">
        <v>390</v>
      </c>
    </row>
    <row r="481" customFormat="false" ht="15" hidden="false" customHeight="false" outlineLevel="0" collapsed="false">
      <c r="A481" s="9" t="s">
        <v>388</v>
      </c>
      <c r="B481" s="9" t="n">
        <v>17</v>
      </c>
      <c r="C481" s="9" t="s">
        <v>18</v>
      </c>
      <c r="D481" s="9" t="n">
        <v>426</v>
      </c>
      <c r="E481" s="9" t="n">
        <v>18</v>
      </c>
      <c r="F481" s="9" t="n">
        <v>168.5</v>
      </c>
      <c r="G481" s="9" t="n">
        <v>8</v>
      </c>
      <c r="H481" s="9" t="n">
        <v>13</v>
      </c>
      <c r="I481" s="9" t="s">
        <v>567</v>
      </c>
      <c r="J481" s="9" t="s">
        <v>779</v>
      </c>
      <c r="K481" s="9" t="s">
        <v>390</v>
      </c>
    </row>
    <row r="482" customFormat="false" ht="15" hidden="false" customHeight="false" outlineLevel="0" collapsed="false">
      <c r="A482" s="9" t="s">
        <v>388</v>
      </c>
      <c r="B482" s="9" t="n">
        <v>18</v>
      </c>
      <c r="C482" s="9" t="s">
        <v>18</v>
      </c>
      <c r="D482" s="9" t="n">
        <v>426</v>
      </c>
      <c r="E482" s="9" t="n">
        <v>18</v>
      </c>
      <c r="F482" s="9" t="n">
        <v>305</v>
      </c>
      <c r="G482" s="9" t="n">
        <v>8</v>
      </c>
      <c r="H482" s="9" t="n">
        <v>13</v>
      </c>
      <c r="I482" s="9" t="s">
        <v>567</v>
      </c>
      <c r="J482" s="9" t="s">
        <v>780</v>
      </c>
      <c r="K482" s="9" t="s">
        <v>390</v>
      </c>
    </row>
    <row r="483" customFormat="false" ht="15" hidden="false" customHeight="false" outlineLevel="0" collapsed="false">
      <c r="A483" s="9" t="s">
        <v>388</v>
      </c>
      <c r="B483" s="9" t="n">
        <v>19</v>
      </c>
      <c r="C483" s="9" t="s">
        <v>18</v>
      </c>
      <c r="D483" s="9" t="n">
        <v>426</v>
      </c>
      <c r="E483" s="9" t="n">
        <v>18</v>
      </c>
      <c r="F483" s="9" t="n">
        <v>84.25</v>
      </c>
      <c r="G483" s="9" t="n">
        <v>5</v>
      </c>
      <c r="H483" s="9" t="n">
        <v>11</v>
      </c>
      <c r="I483" s="9" t="s">
        <v>775</v>
      </c>
      <c r="J483" s="9" t="s">
        <v>781</v>
      </c>
      <c r="K483" s="9" t="s">
        <v>390</v>
      </c>
    </row>
    <row r="484" customFormat="false" ht="15" hidden="false" customHeight="false" outlineLevel="0" collapsed="false">
      <c r="A484" s="9" t="s">
        <v>388</v>
      </c>
      <c r="B484" s="9" t="n">
        <v>20</v>
      </c>
      <c r="C484" s="9" t="s">
        <v>18</v>
      </c>
      <c r="D484" s="9" t="n">
        <v>426</v>
      </c>
      <c r="E484" s="9" t="n">
        <v>18</v>
      </c>
      <c r="F484" s="9" t="n">
        <v>252.75</v>
      </c>
      <c r="G484" s="9" t="n">
        <v>5</v>
      </c>
      <c r="H484" s="9" t="n">
        <v>11</v>
      </c>
      <c r="I484" s="9" t="s">
        <v>775</v>
      </c>
      <c r="J484" s="9" t="s">
        <v>782</v>
      </c>
      <c r="K484" s="9" t="s">
        <v>390</v>
      </c>
    </row>
    <row r="485" customFormat="false" ht="15" hidden="false" customHeight="false" outlineLevel="0" collapsed="false">
      <c r="A485" s="9" t="s">
        <v>393</v>
      </c>
      <c r="B485" s="9" t="n">
        <v>1</v>
      </c>
      <c r="C485" s="9" t="s">
        <v>18</v>
      </c>
      <c r="D485" s="9" t="n">
        <v>9</v>
      </c>
      <c r="E485" s="9" t="n">
        <v>100</v>
      </c>
      <c r="F485" s="9" t="n">
        <v>9</v>
      </c>
      <c r="G485" s="9" t="n">
        <v>6</v>
      </c>
      <c r="H485" s="9" t="n">
        <v>15</v>
      </c>
      <c r="I485" s="9" t="s">
        <v>553</v>
      </c>
      <c r="J485" s="9" t="s">
        <v>783</v>
      </c>
      <c r="K485" s="9" t="s">
        <v>394</v>
      </c>
    </row>
    <row r="486" customFormat="false" ht="15" hidden="false" customHeight="false" outlineLevel="0" collapsed="false">
      <c r="A486" s="9" t="s">
        <v>393</v>
      </c>
      <c r="B486" s="9" t="n">
        <v>2</v>
      </c>
      <c r="C486" s="9" t="s">
        <v>17</v>
      </c>
      <c r="D486" s="9" t="n">
        <v>870</v>
      </c>
      <c r="E486" s="9" t="n">
        <v>9</v>
      </c>
      <c r="F486" s="9" t="n">
        <v>9</v>
      </c>
      <c r="G486" s="9" t="n">
        <v>6</v>
      </c>
      <c r="H486" s="9" t="n">
        <v>15</v>
      </c>
      <c r="I486" s="9" t="s">
        <v>553</v>
      </c>
      <c r="J486" s="9" t="s">
        <v>784</v>
      </c>
      <c r="K486" s="9" t="s">
        <v>394</v>
      </c>
    </row>
    <row r="487" customFormat="false" ht="15" hidden="false" customHeight="false" outlineLevel="0" collapsed="false">
      <c r="A487" s="9" t="s">
        <v>396</v>
      </c>
      <c r="B487" s="9" t="n">
        <v>1</v>
      </c>
      <c r="C487" s="9" t="s">
        <v>16</v>
      </c>
      <c r="D487" s="9" t="n">
        <v>9</v>
      </c>
      <c r="E487" s="9" t="n">
        <v>0</v>
      </c>
      <c r="F487" s="9" t="n">
        <v>9</v>
      </c>
      <c r="G487" s="9" t="n">
        <v>6</v>
      </c>
      <c r="H487" s="9" t="n">
        <v>15</v>
      </c>
      <c r="I487" s="9" t="s">
        <v>553</v>
      </c>
      <c r="J487" s="9" t="s">
        <v>783</v>
      </c>
      <c r="K487" s="9" t="s">
        <v>398</v>
      </c>
    </row>
    <row r="488" customFormat="false" ht="15" hidden="false" customHeight="false" outlineLevel="0" collapsed="false">
      <c r="A488" s="9" t="s">
        <v>396</v>
      </c>
      <c r="B488" s="9" t="n">
        <v>2</v>
      </c>
      <c r="C488" s="9" t="s">
        <v>18</v>
      </c>
      <c r="D488" s="9" t="n">
        <v>9</v>
      </c>
      <c r="E488" s="9" t="n">
        <v>2525</v>
      </c>
      <c r="F488" s="9" t="n">
        <v>9</v>
      </c>
      <c r="G488" s="9" t="n">
        <v>6</v>
      </c>
      <c r="H488" s="9" t="n">
        <v>15</v>
      </c>
      <c r="I488" s="9" t="s">
        <v>553</v>
      </c>
      <c r="J488" s="9" t="s">
        <v>776</v>
      </c>
      <c r="K488" s="9" t="s">
        <v>398</v>
      </c>
    </row>
    <row r="489" customFormat="false" ht="15" hidden="false" customHeight="false" outlineLevel="0" collapsed="false">
      <c r="A489" s="9" t="s">
        <v>401</v>
      </c>
      <c r="B489" s="9" t="n">
        <v>1</v>
      </c>
      <c r="C489" s="9" t="s">
        <v>16</v>
      </c>
      <c r="D489" s="9" t="n">
        <v>9</v>
      </c>
      <c r="E489" s="9" t="n">
        <v>0</v>
      </c>
      <c r="F489" s="9" t="n">
        <v>9</v>
      </c>
      <c r="G489" s="9" t="n">
        <v>6</v>
      </c>
      <c r="H489" s="9" t="n">
        <v>15</v>
      </c>
      <c r="I489" s="9" t="s">
        <v>553</v>
      </c>
      <c r="J489" s="9" t="s">
        <v>785</v>
      </c>
      <c r="K489" s="9" t="s">
        <v>402</v>
      </c>
    </row>
    <row r="490" customFormat="false" ht="15" hidden="false" customHeight="false" outlineLevel="0" collapsed="false">
      <c r="A490" s="9" t="s">
        <v>401</v>
      </c>
      <c r="B490" s="9" t="n">
        <v>2</v>
      </c>
      <c r="C490" s="9" t="s">
        <v>18</v>
      </c>
      <c r="D490" s="9" t="n">
        <v>9</v>
      </c>
      <c r="E490" s="9" t="n">
        <v>2205</v>
      </c>
      <c r="F490" s="9" t="n">
        <v>9</v>
      </c>
      <c r="G490" s="9" t="n">
        <v>6</v>
      </c>
      <c r="H490" s="9" t="n">
        <v>15</v>
      </c>
      <c r="I490" s="9" t="s">
        <v>553</v>
      </c>
      <c r="J490" s="9" t="s">
        <v>777</v>
      </c>
      <c r="K490" s="9" t="s">
        <v>402</v>
      </c>
    </row>
    <row r="491" customFormat="false" ht="15" hidden="false" customHeight="false" outlineLevel="0" collapsed="false">
      <c r="A491" s="9" t="s">
        <v>404</v>
      </c>
      <c r="B491" s="9" t="n">
        <v>1</v>
      </c>
      <c r="C491" s="9" t="s">
        <v>18</v>
      </c>
      <c r="D491" s="9" t="n">
        <v>424.5</v>
      </c>
      <c r="E491" s="9" t="n">
        <v>18</v>
      </c>
      <c r="F491" s="9" t="n">
        <v>9</v>
      </c>
      <c r="G491" s="9" t="n">
        <v>6</v>
      </c>
      <c r="H491" s="9" t="n">
        <v>15</v>
      </c>
      <c r="I491" s="9" t="s">
        <v>553</v>
      </c>
      <c r="J491" s="9" t="s">
        <v>785</v>
      </c>
      <c r="K491" s="9" t="s">
        <v>406</v>
      </c>
    </row>
    <row r="492" customFormat="false" ht="15" hidden="false" customHeight="false" outlineLevel="0" collapsed="false">
      <c r="A492" s="9" t="s">
        <v>404</v>
      </c>
      <c r="B492" s="9" t="n">
        <v>2</v>
      </c>
      <c r="C492" s="9" t="s">
        <v>17</v>
      </c>
      <c r="D492" s="9" t="n">
        <v>433.5</v>
      </c>
      <c r="E492" s="9" t="n">
        <v>9</v>
      </c>
      <c r="F492" s="9" t="n">
        <v>9</v>
      </c>
      <c r="G492" s="9" t="n">
        <v>6</v>
      </c>
      <c r="H492" s="9" t="n">
        <v>15</v>
      </c>
      <c r="I492" s="9" t="s">
        <v>553</v>
      </c>
      <c r="J492" s="9" t="s">
        <v>786</v>
      </c>
      <c r="K492" s="9" t="s">
        <v>406</v>
      </c>
    </row>
    <row r="493" customFormat="false" ht="15" hidden="false" customHeight="false" outlineLevel="0" collapsed="false">
      <c r="A493" s="9" t="s">
        <v>408</v>
      </c>
      <c r="B493" s="9" t="n">
        <v>1</v>
      </c>
      <c r="C493" s="9" t="s">
        <v>17</v>
      </c>
      <c r="D493" s="9" t="n">
        <v>850</v>
      </c>
      <c r="E493" s="9" t="n">
        <v>9</v>
      </c>
      <c r="F493" s="9" t="n">
        <v>9</v>
      </c>
      <c r="G493" s="9" t="n">
        <v>6</v>
      </c>
      <c r="H493" s="9" t="n">
        <v>15</v>
      </c>
      <c r="I493" s="9" t="s">
        <v>553</v>
      </c>
      <c r="J493" s="9" t="s">
        <v>787</v>
      </c>
      <c r="K493" s="9" t="s">
        <v>411</v>
      </c>
    </row>
    <row r="494" customFormat="false" ht="15" hidden="false" customHeight="false" outlineLevel="0" collapsed="false">
      <c r="A494" s="9" t="s">
        <v>408</v>
      </c>
      <c r="B494" s="9" t="n">
        <v>2</v>
      </c>
      <c r="C494" s="9" t="s">
        <v>19</v>
      </c>
      <c r="D494" s="9" t="n">
        <v>0</v>
      </c>
      <c r="E494" s="9" t="n">
        <v>9</v>
      </c>
      <c r="F494" s="9" t="n">
        <v>9</v>
      </c>
      <c r="G494" s="9" t="n">
        <v>6</v>
      </c>
      <c r="H494" s="9" t="n">
        <v>15</v>
      </c>
      <c r="I494" s="9" t="s">
        <v>553</v>
      </c>
      <c r="J494" s="9" t="s">
        <v>784</v>
      </c>
      <c r="K494" s="9" t="s">
        <v>411</v>
      </c>
    </row>
    <row r="495" customFormat="false" ht="15" hidden="false" customHeight="false" outlineLevel="0" collapsed="false">
      <c r="A495" s="9" t="s">
        <v>413</v>
      </c>
      <c r="B495" s="9" t="n">
        <v>1</v>
      </c>
      <c r="C495" s="9" t="s">
        <v>19</v>
      </c>
      <c r="D495" s="9" t="n">
        <v>0</v>
      </c>
      <c r="E495" s="9" t="n">
        <v>9</v>
      </c>
      <c r="F495" s="9" t="n">
        <v>9</v>
      </c>
      <c r="G495" s="9" t="n">
        <v>6</v>
      </c>
      <c r="H495" s="9" t="n">
        <v>15</v>
      </c>
      <c r="I495" s="9" t="s">
        <v>553</v>
      </c>
      <c r="J495" s="9" t="s">
        <v>787</v>
      </c>
      <c r="K495" s="9" t="s">
        <v>414</v>
      </c>
    </row>
    <row r="496" customFormat="false" ht="15" hidden="false" customHeight="false" outlineLevel="0" collapsed="false">
      <c r="A496" s="9" t="s">
        <v>413</v>
      </c>
      <c r="B496" s="9" t="n">
        <v>2</v>
      </c>
      <c r="C496" s="9" t="s">
        <v>17</v>
      </c>
      <c r="D496" s="9" t="n">
        <v>1030</v>
      </c>
      <c r="E496" s="9" t="n">
        <v>9</v>
      </c>
      <c r="F496" s="9" t="n">
        <v>9</v>
      </c>
      <c r="G496" s="9" t="n">
        <v>6</v>
      </c>
      <c r="H496" s="9" t="n">
        <v>15</v>
      </c>
      <c r="I496" s="9" t="s">
        <v>553</v>
      </c>
      <c r="J496" s="9" t="s">
        <v>788</v>
      </c>
      <c r="K496" s="9" t="s">
        <v>414</v>
      </c>
    </row>
    <row r="497" customFormat="false" ht="15" hidden="false" customHeight="false" outlineLevel="0" collapsed="false">
      <c r="A497" s="9" t="s">
        <v>416</v>
      </c>
      <c r="B497" s="9" t="n">
        <v>1</v>
      </c>
      <c r="C497" s="9" t="s">
        <v>19</v>
      </c>
      <c r="D497" s="9" t="n">
        <v>0</v>
      </c>
      <c r="E497" s="9" t="n">
        <v>9</v>
      </c>
      <c r="F497" s="9" t="n">
        <v>9</v>
      </c>
      <c r="G497" s="9" t="n">
        <v>6</v>
      </c>
      <c r="H497" s="9" t="n">
        <v>15</v>
      </c>
      <c r="I497" s="9" t="s">
        <v>553</v>
      </c>
      <c r="J497" s="9" t="s">
        <v>788</v>
      </c>
      <c r="K497" s="9" t="s">
        <v>417</v>
      </c>
    </row>
    <row r="498" customFormat="false" ht="15" hidden="false" customHeight="false" outlineLevel="0" collapsed="false">
      <c r="A498" s="9" t="s">
        <v>416</v>
      </c>
      <c r="B498" s="9" t="n">
        <v>2</v>
      </c>
      <c r="C498" s="9" t="s">
        <v>17</v>
      </c>
      <c r="D498" s="9" t="n">
        <v>770</v>
      </c>
      <c r="E498" s="9" t="n">
        <v>9</v>
      </c>
      <c r="F498" s="9" t="n">
        <v>9</v>
      </c>
      <c r="G498" s="9" t="n">
        <v>6</v>
      </c>
      <c r="H498" s="9" t="n">
        <v>15</v>
      </c>
      <c r="I498" s="9" t="s">
        <v>553</v>
      </c>
      <c r="J498" s="9" t="s">
        <v>789</v>
      </c>
      <c r="K498" s="9" t="s">
        <v>417</v>
      </c>
    </row>
    <row r="499" customFormat="false" ht="15" hidden="false" customHeight="false" outlineLevel="0" collapsed="false">
      <c r="A499" s="9" t="s">
        <v>419</v>
      </c>
      <c r="B499" s="9" t="n">
        <v>1</v>
      </c>
      <c r="C499" s="9" t="s">
        <v>19</v>
      </c>
      <c r="D499" s="9" t="n">
        <v>0</v>
      </c>
      <c r="E499" s="9" t="n">
        <v>9</v>
      </c>
      <c r="F499" s="9" t="n">
        <v>9</v>
      </c>
      <c r="G499" s="9" t="n">
        <v>6</v>
      </c>
      <c r="H499" s="9" t="n">
        <v>15</v>
      </c>
      <c r="I499" s="9" t="s">
        <v>553</v>
      </c>
      <c r="J499" s="9" t="s">
        <v>786</v>
      </c>
      <c r="K499" s="9" t="s">
        <v>420</v>
      </c>
    </row>
    <row r="500" customFormat="false" ht="15" hidden="false" customHeight="false" outlineLevel="0" collapsed="false">
      <c r="A500" s="9" t="s">
        <v>419</v>
      </c>
      <c r="B500" s="9" t="n">
        <v>2</v>
      </c>
      <c r="C500" s="9" t="s">
        <v>17</v>
      </c>
      <c r="D500" s="9" t="n">
        <v>850</v>
      </c>
      <c r="E500" s="9" t="n">
        <v>9</v>
      </c>
      <c r="F500" s="9" t="n">
        <v>9</v>
      </c>
      <c r="G500" s="9" t="n">
        <v>6</v>
      </c>
      <c r="H500" s="9" t="n">
        <v>15</v>
      </c>
      <c r="I500" s="9" t="s">
        <v>553</v>
      </c>
      <c r="J500" s="9" t="s">
        <v>790</v>
      </c>
      <c r="K500" s="9" t="s">
        <v>420</v>
      </c>
    </row>
    <row r="501" customFormat="false" ht="15" hidden="false" customHeight="false" outlineLevel="0" collapsed="false">
      <c r="A501" s="9" t="s">
        <v>422</v>
      </c>
      <c r="B501" s="9" t="n">
        <v>1</v>
      </c>
      <c r="C501" s="9" t="s">
        <v>19</v>
      </c>
      <c r="D501" s="9" t="n">
        <v>0</v>
      </c>
      <c r="E501" s="9" t="n">
        <v>9</v>
      </c>
      <c r="F501" s="9" t="n">
        <v>9</v>
      </c>
      <c r="G501" s="9" t="n">
        <v>6</v>
      </c>
      <c r="H501" s="9" t="n">
        <v>15</v>
      </c>
      <c r="I501" s="9" t="s">
        <v>553</v>
      </c>
      <c r="J501" s="9" t="s">
        <v>790</v>
      </c>
      <c r="K501" s="9" t="s">
        <v>423</v>
      </c>
    </row>
    <row r="502" customFormat="false" ht="15" hidden="false" customHeight="false" outlineLevel="0" collapsed="false">
      <c r="A502" s="9" t="s">
        <v>422</v>
      </c>
      <c r="B502" s="9" t="n">
        <v>2</v>
      </c>
      <c r="C502" s="9" t="s">
        <v>17</v>
      </c>
      <c r="D502" s="9" t="n">
        <v>1030</v>
      </c>
      <c r="E502" s="9" t="n">
        <v>9</v>
      </c>
      <c r="F502" s="9" t="n">
        <v>9</v>
      </c>
      <c r="G502" s="9" t="n">
        <v>6</v>
      </c>
      <c r="H502" s="9" t="n">
        <v>15</v>
      </c>
      <c r="I502" s="9" t="s">
        <v>553</v>
      </c>
      <c r="J502" s="9" t="s">
        <v>791</v>
      </c>
      <c r="K502" s="9" t="s">
        <v>423</v>
      </c>
    </row>
    <row r="503" customFormat="false" ht="15" hidden="false" customHeight="false" outlineLevel="0" collapsed="false">
      <c r="A503" s="9" t="s">
        <v>425</v>
      </c>
      <c r="B503" s="9" t="n">
        <v>1</v>
      </c>
      <c r="C503" s="9" t="s">
        <v>19</v>
      </c>
      <c r="D503" s="9" t="n">
        <v>0</v>
      </c>
      <c r="E503" s="9" t="n">
        <v>9</v>
      </c>
      <c r="F503" s="9" t="n">
        <v>9</v>
      </c>
      <c r="G503" s="9" t="n">
        <v>6</v>
      </c>
      <c r="H503" s="9" t="n">
        <v>15</v>
      </c>
      <c r="I503" s="9" t="s">
        <v>553</v>
      </c>
      <c r="J503" s="9" t="s">
        <v>791</v>
      </c>
      <c r="K503" s="9" t="s">
        <v>426</v>
      </c>
    </row>
    <row r="504" customFormat="false" ht="15" hidden="false" customHeight="false" outlineLevel="0" collapsed="false">
      <c r="A504" s="9" t="s">
        <v>425</v>
      </c>
      <c r="B504" s="9" t="n">
        <v>2</v>
      </c>
      <c r="C504" s="9" t="s">
        <v>17</v>
      </c>
      <c r="D504" s="9" t="n">
        <v>770</v>
      </c>
      <c r="E504" s="9" t="n">
        <v>9</v>
      </c>
      <c r="F504" s="9" t="n">
        <v>9</v>
      </c>
      <c r="G504" s="9" t="n">
        <v>6</v>
      </c>
      <c r="H504" s="9" t="n">
        <v>15</v>
      </c>
      <c r="I504" s="9" t="s">
        <v>553</v>
      </c>
      <c r="J504" s="9" t="s">
        <v>792</v>
      </c>
      <c r="K504" s="9" t="s">
        <v>426</v>
      </c>
    </row>
    <row r="505" customFormat="false" ht="15" hidden="false" customHeight="false" outlineLevel="0" collapsed="false">
      <c r="A505" s="9" t="s">
        <v>428</v>
      </c>
      <c r="B505" s="9" t="n">
        <v>1</v>
      </c>
      <c r="C505" s="9" t="s">
        <v>19</v>
      </c>
      <c r="D505" s="9" t="n">
        <v>0</v>
      </c>
      <c r="E505" s="9" t="n">
        <v>71</v>
      </c>
      <c r="F505" s="9" t="n">
        <v>9</v>
      </c>
      <c r="G505" s="9" t="n">
        <v>6</v>
      </c>
      <c r="H505" s="9" t="n">
        <v>15</v>
      </c>
      <c r="I505" s="9" t="s">
        <v>553</v>
      </c>
      <c r="J505" s="9" t="s">
        <v>792</v>
      </c>
      <c r="K505" s="9" t="s">
        <v>430</v>
      </c>
    </row>
    <row r="506" customFormat="false" ht="15" hidden="false" customHeight="false" outlineLevel="0" collapsed="false">
      <c r="A506" s="9" t="s">
        <v>428</v>
      </c>
      <c r="B506" s="9" t="n">
        <v>2</v>
      </c>
      <c r="C506" s="9" t="s">
        <v>16</v>
      </c>
      <c r="D506" s="9" t="n">
        <v>71</v>
      </c>
      <c r="E506" s="9" t="n">
        <v>0</v>
      </c>
      <c r="F506" s="9" t="n">
        <v>9</v>
      </c>
      <c r="G506" s="9" t="n">
        <v>6</v>
      </c>
      <c r="H506" s="9" t="n">
        <v>15</v>
      </c>
      <c r="I506" s="9" t="s">
        <v>553</v>
      </c>
      <c r="J506" s="9" t="s">
        <v>793</v>
      </c>
      <c r="K506" s="9" t="s">
        <v>430</v>
      </c>
    </row>
    <row r="507" customFormat="false" ht="15" hidden="false" customHeight="false" outlineLevel="0" collapsed="false">
      <c r="A507" s="9" t="s">
        <v>432</v>
      </c>
      <c r="B507" s="9" t="n">
        <v>1</v>
      </c>
      <c r="C507" s="9" t="s">
        <v>16</v>
      </c>
      <c r="D507" s="9" t="n">
        <v>71</v>
      </c>
      <c r="E507" s="9" t="n">
        <v>0</v>
      </c>
      <c r="F507" s="9" t="n">
        <v>305</v>
      </c>
      <c r="G507" s="9" t="n">
        <v>8</v>
      </c>
      <c r="H507" s="9" t="n">
        <v>13</v>
      </c>
      <c r="I507" s="9" t="s">
        <v>567</v>
      </c>
      <c r="J507" s="9" t="s">
        <v>689</v>
      </c>
      <c r="K507" s="9" t="s">
        <v>434</v>
      </c>
    </row>
    <row r="508" customFormat="false" ht="15" hidden="false" customHeight="false" outlineLevel="0" collapsed="false">
      <c r="A508" s="9" t="s">
        <v>432</v>
      </c>
      <c r="B508" s="9" t="n">
        <v>2</v>
      </c>
      <c r="C508" s="9" t="s">
        <v>16</v>
      </c>
      <c r="D508" s="9" t="n">
        <v>71</v>
      </c>
      <c r="E508" s="9" t="n">
        <v>0</v>
      </c>
      <c r="F508" s="9" t="n">
        <v>168.5</v>
      </c>
      <c r="G508" s="9" t="n">
        <v>8</v>
      </c>
      <c r="H508" s="9" t="n">
        <v>13</v>
      </c>
      <c r="I508" s="9" t="s">
        <v>567</v>
      </c>
      <c r="J508" s="9" t="s">
        <v>690</v>
      </c>
      <c r="K508" s="9" t="s">
        <v>434</v>
      </c>
    </row>
    <row r="509" customFormat="false" ht="15" hidden="false" customHeight="false" outlineLevel="0" collapsed="false">
      <c r="A509" s="9" t="s">
        <v>432</v>
      </c>
      <c r="B509" s="9" t="n">
        <v>3</v>
      </c>
      <c r="C509" s="9" t="s">
        <v>16</v>
      </c>
      <c r="D509" s="9" t="n">
        <v>71</v>
      </c>
      <c r="E509" s="9" t="n">
        <v>0</v>
      </c>
      <c r="F509" s="9" t="n">
        <v>32</v>
      </c>
      <c r="G509" s="9" t="n">
        <v>8</v>
      </c>
      <c r="H509" s="9" t="n">
        <v>13</v>
      </c>
      <c r="I509" s="9" t="s">
        <v>567</v>
      </c>
      <c r="J509" s="9" t="s">
        <v>691</v>
      </c>
      <c r="K509" s="9" t="s">
        <v>434</v>
      </c>
    </row>
    <row r="510" customFormat="false" ht="15" hidden="false" customHeight="false" outlineLevel="0" collapsed="false">
      <c r="A510" s="9" t="s">
        <v>432</v>
      </c>
      <c r="B510" s="9" t="n">
        <v>4</v>
      </c>
      <c r="C510" s="9" t="s">
        <v>16</v>
      </c>
      <c r="D510" s="9" t="n">
        <v>71</v>
      </c>
      <c r="E510" s="9" t="n">
        <v>0</v>
      </c>
      <c r="F510" s="9" t="n">
        <v>252.75</v>
      </c>
      <c r="G510" s="9" t="n">
        <v>5</v>
      </c>
      <c r="H510" s="9" t="n">
        <v>11</v>
      </c>
      <c r="I510" s="9" t="s">
        <v>775</v>
      </c>
      <c r="J510" s="9" t="s">
        <v>692</v>
      </c>
      <c r="K510" s="9" t="s">
        <v>434</v>
      </c>
    </row>
    <row r="511" customFormat="false" ht="15" hidden="false" customHeight="false" outlineLevel="0" collapsed="false">
      <c r="A511" s="9" t="s">
        <v>432</v>
      </c>
      <c r="B511" s="9" t="n">
        <v>5</v>
      </c>
      <c r="C511" s="9" t="s">
        <v>16</v>
      </c>
      <c r="D511" s="9" t="n">
        <v>71</v>
      </c>
      <c r="E511" s="9" t="n">
        <v>0</v>
      </c>
      <c r="F511" s="9" t="n">
        <v>84.25</v>
      </c>
      <c r="G511" s="9" t="n">
        <v>5</v>
      </c>
      <c r="H511" s="9" t="n">
        <v>11</v>
      </c>
      <c r="I511" s="9" t="s">
        <v>775</v>
      </c>
      <c r="J511" s="9" t="s">
        <v>693</v>
      </c>
      <c r="K511" s="9" t="s">
        <v>434</v>
      </c>
    </row>
    <row r="512" customFormat="false" ht="15" hidden="false" customHeight="false" outlineLevel="0" collapsed="false">
      <c r="A512" s="9" t="s">
        <v>432</v>
      </c>
      <c r="B512" s="9" t="n">
        <v>6</v>
      </c>
      <c r="C512" s="9" t="s">
        <v>19</v>
      </c>
      <c r="D512" s="9" t="n">
        <v>0</v>
      </c>
      <c r="E512" s="9" t="n">
        <v>71</v>
      </c>
      <c r="F512" s="9" t="n">
        <v>305</v>
      </c>
      <c r="G512" s="9" t="n">
        <v>8</v>
      </c>
      <c r="H512" s="9" t="n">
        <v>13</v>
      </c>
      <c r="I512" s="9" t="s">
        <v>567</v>
      </c>
      <c r="J512" s="9" t="s">
        <v>702</v>
      </c>
      <c r="K512" s="9" t="s">
        <v>434</v>
      </c>
    </row>
    <row r="513" customFormat="false" ht="15" hidden="false" customHeight="false" outlineLevel="0" collapsed="false">
      <c r="A513" s="9" t="s">
        <v>432</v>
      </c>
      <c r="B513" s="9" t="n">
        <v>7</v>
      </c>
      <c r="C513" s="9" t="s">
        <v>19</v>
      </c>
      <c r="D513" s="9" t="n">
        <v>0</v>
      </c>
      <c r="E513" s="9" t="n">
        <v>71</v>
      </c>
      <c r="F513" s="9" t="n">
        <v>168.5</v>
      </c>
      <c r="G513" s="9" t="n">
        <v>8</v>
      </c>
      <c r="H513" s="9" t="n">
        <v>13</v>
      </c>
      <c r="I513" s="9" t="s">
        <v>567</v>
      </c>
      <c r="J513" s="9" t="s">
        <v>704</v>
      </c>
      <c r="K513" s="9" t="s">
        <v>434</v>
      </c>
    </row>
    <row r="514" customFormat="false" ht="15" hidden="false" customHeight="false" outlineLevel="0" collapsed="false">
      <c r="A514" s="9" t="s">
        <v>432</v>
      </c>
      <c r="B514" s="9" t="n">
        <v>8</v>
      </c>
      <c r="C514" s="9" t="s">
        <v>19</v>
      </c>
      <c r="D514" s="9" t="n">
        <v>0</v>
      </c>
      <c r="E514" s="9" t="n">
        <v>71</v>
      </c>
      <c r="F514" s="9" t="n">
        <v>32</v>
      </c>
      <c r="G514" s="9" t="n">
        <v>8</v>
      </c>
      <c r="H514" s="9" t="n">
        <v>13</v>
      </c>
      <c r="I514" s="9" t="s">
        <v>567</v>
      </c>
      <c r="J514" s="9" t="s">
        <v>705</v>
      </c>
      <c r="K514" s="9" t="s">
        <v>434</v>
      </c>
    </row>
    <row r="515" customFormat="false" ht="15" hidden="false" customHeight="false" outlineLevel="0" collapsed="false">
      <c r="A515" s="9" t="s">
        <v>432</v>
      </c>
      <c r="B515" s="9" t="n">
        <v>9</v>
      </c>
      <c r="C515" s="9" t="s">
        <v>19</v>
      </c>
      <c r="D515" s="9" t="n">
        <v>0</v>
      </c>
      <c r="E515" s="9" t="n">
        <v>71</v>
      </c>
      <c r="F515" s="9" t="n">
        <v>252.75</v>
      </c>
      <c r="G515" s="9" t="n">
        <v>5</v>
      </c>
      <c r="H515" s="9" t="n">
        <v>11</v>
      </c>
      <c r="I515" s="9" t="s">
        <v>775</v>
      </c>
      <c r="J515" s="9" t="s">
        <v>706</v>
      </c>
      <c r="K515" s="9" t="s">
        <v>434</v>
      </c>
    </row>
    <row r="516" customFormat="false" ht="15" hidden="false" customHeight="false" outlineLevel="0" collapsed="false">
      <c r="A516" s="9" t="s">
        <v>432</v>
      </c>
      <c r="B516" s="9" t="n">
        <v>10</v>
      </c>
      <c r="C516" s="9" t="s">
        <v>19</v>
      </c>
      <c r="D516" s="9" t="n">
        <v>0</v>
      </c>
      <c r="E516" s="9" t="n">
        <v>71</v>
      </c>
      <c r="F516" s="9" t="n">
        <v>84.25</v>
      </c>
      <c r="G516" s="9" t="n">
        <v>5</v>
      </c>
      <c r="H516" s="9" t="n">
        <v>11</v>
      </c>
      <c r="I516" s="9" t="s">
        <v>775</v>
      </c>
      <c r="J516" s="9" t="s">
        <v>708</v>
      </c>
      <c r="K516" s="9" t="s">
        <v>434</v>
      </c>
    </row>
    <row r="517" customFormat="false" ht="15" hidden="false" customHeight="false" outlineLevel="0" collapsed="false">
      <c r="A517" s="9" t="s">
        <v>436</v>
      </c>
      <c r="B517" s="9" t="n">
        <v>1</v>
      </c>
      <c r="C517" s="9" t="s">
        <v>19</v>
      </c>
      <c r="D517" s="9" t="n">
        <v>0</v>
      </c>
      <c r="E517" s="9" t="n">
        <v>9</v>
      </c>
      <c r="F517" s="9" t="n">
        <v>9</v>
      </c>
      <c r="G517" s="9" t="n">
        <v>6</v>
      </c>
      <c r="H517" s="9" t="n">
        <v>15</v>
      </c>
      <c r="I517" s="9" t="s">
        <v>553</v>
      </c>
      <c r="J517" s="9" t="s">
        <v>789</v>
      </c>
      <c r="K517" s="9" t="s">
        <v>437</v>
      </c>
    </row>
    <row r="518" customFormat="false" ht="15" hidden="false" customHeight="false" outlineLevel="0" collapsed="false">
      <c r="A518" s="9" t="s">
        <v>436</v>
      </c>
      <c r="B518" s="9" t="n">
        <v>2</v>
      </c>
      <c r="C518" s="9" t="s">
        <v>18</v>
      </c>
      <c r="D518" s="9" t="n">
        <v>71</v>
      </c>
      <c r="E518" s="9" t="n">
        <v>80</v>
      </c>
      <c r="F518" s="9" t="n">
        <v>9</v>
      </c>
      <c r="G518" s="9" t="n">
        <v>6</v>
      </c>
      <c r="H518" s="9" t="n">
        <v>15</v>
      </c>
      <c r="I518" s="9" t="s">
        <v>553</v>
      </c>
      <c r="J518" s="9" t="s">
        <v>794</v>
      </c>
      <c r="K518" s="9" t="s">
        <v>437</v>
      </c>
    </row>
    <row r="519" customFormat="false" ht="15" hidden="false" customHeight="false" outlineLevel="0" collapsed="false">
      <c r="A519" s="9" t="s">
        <v>439</v>
      </c>
      <c r="B519" s="9" t="n">
        <v>1</v>
      </c>
      <c r="C519" s="9" t="s">
        <v>18</v>
      </c>
      <c r="D519" s="9" t="n">
        <v>71</v>
      </c>
      <c r="E519" s="9" t="n">
        <v>80</v>
      </c>
      <c r="F519" s="9" t="n">
        <v>305</v>
      </c>
      <c r="G519" s="9" t="n">
        <v>8</v>
      </c>
      <c r="H519" s="9" t="n">
        <v>13</v>
      </c>
      <c r="I519" s="9" t="s">
        <v>567</v>
      </c>
      <c r="J519" s="9" t="s">
        <v>682</v>
      </c>
      <c r="K519" s="9" t="s">
        <v>440</v>
      </c>
    </row>
    <row r="520" customFormat="false" ht="15" hidden="false" customHeight="false" outlineLevel="0" collapsed="false">
      <c r="A520" s="9" t="s">
        <v>439</v>
      </c>
      <c r="B520" s="9" t="n">
        <v>2</v>
      </c>
      <c r="C520" s="9" t="s">
        <v>18</v>
      </c>
      <c r="D520" s="9" t="n">
        <v>71</v>
      </c>
      <c r="E520" s="9" t="n">
        <v>80</v>
      </c>
      <c r="F520" s="9" t="n">
        <v>168.5</v>
      </c>
      <c r="G520" s="9" t="n">
        <v>8</v>
      </c>
      <c r="H520" s="9" t="n">
        <v>13</v>
      </c>
      <c r="I520" s="9" t="s">
        <v>567</v>
      </c>
      <c r="J520" s="9" t="s">
        <v>684</v>
      </c>
      <c r="K520" s="9" t="s">
        <v>440</v>
      </c>
    </row>
    <row r="521" customFormat="false" ht="15" hidden="false" customHeight="false" outlineLevel="0" collapsed="false">
      <c r="A521" s="9" t="s">
        <v>439</v>
      </c>
      <c r="B521" s="9" t="n">
        <v>3</v>
      </c>
      <c r="C521" s="9" t="s">
        <v>18</v>
      </c>
      <c r="D521" s="9" t="n">
        <v>71</v>
      </c>
      <c r="E521" s="9" t="n">
        <v>80</v>
      </c>
      <c r="F521" s="9" t="n">
        <v>32</v>
      </c>
      <c r="G521" s="9" t="n">
        <v>8</v>
      </c>
      <c r="H521" s="9" t="n">
        <v>13</v>
      </c>
      <c r="I521" s="9" t="s">
        <v>567</v>
      </c>
      <c r="J521" s="9" t="s">
        <v>685</v>
      </c>
      <c r="K521" s="9" t="s">
        <v>440</v>
      </c>
    </row>
    <row r="522" customFormat="false" ht="15" hidden="false" customHeight="false" outlineLevel="0" collapsed="false">
      <c r="A522" s="9" t="s">
        <v>439</v>
      </c>
      <c r="B522" s="9" t="n">
        <v>4</v>
      </c>
      <c r="C522" s="9" t="s">
        <v>18</v>
      </c>
      <c r="D522" s="9" t="n">
        <v>71</v>
      </c>
      <c r="E522" s="9" t="n">
        <v>80</v>
      </c>
      <c r="F522" s="9" t="n">
        <v>252.75</v>
      </c>
      <c r="G522" s="9" t="n">
        <v>5</v>
      </c>
      <c r="H522" s="9" t="n">
        <v>11</v>
      </c>
      <c r="I522" s="9" t="s">
        <v>775</v>
      </c>
      <c r="J522" s="9" t="s">
        <v>686</v>
      </c>
      <c r="K522" s="9" t="s">
        <v>440</v>
      </c>
    </row>
    <row r="523" customFormat="false" ht="15" hidden="false" customHeight="false" outlineLevel="0" collapsed="false">
      <c r="A523" s="9" t="s">
        <v>439</v>
      </c>
      <c r="B523" s="9" t="n">
        <v>5</v>
      </c>
      <c r="C523" s="9" t="s">
        <v>18</v>
      </c>
      <c r="D523" s="9" t="n">
        <v>71</v>
      </c>
      <c r="E523" s="9" t="n">
        <v>80</v>
      </c>
      <c r="F523" s="9" t="n">
        <v>84.25</v>
      </c>
      <c r="G523" s="9" t="n">
        <v>5</v>
      </c>
      <c r="H523" s="9" t="n">
        <v>11</v>
      </c>
      <c r="I523" s="9" t="s">
        <v>775</v>
      </c>
      <c r="J523" s="9" t="s">
        <v>688</v>
      </c>
      <c r="K523" s="9" t="s">
        <v>440</v>
      </c>
    </row>
    <row r="524" customFormat="false" ht="15" hidden="false" customHeight="false" outlineLevel="0" collapsed="false">
      <c r="A524" s="9" t="s">
        <v>439</v>
      </c>
      <c r="B524" s="9" t="n">
        <v>6</v>
      </c>
      <c r="C524" s="9" t="s">
        <v>19</v>
      </c>
      <c r="D524" s="9" t="n">
        <v>0</v>
      </c>
      <c r="E524" s="9" t="n">
        <v>9</v>
      </c>
      <c r="F524" s="9" t="n">
        <v>305</v>
      </c>
      <c r="G524" s="9" t="n">
        <v>8</v>
      </c>
      <c r="H524" s="9" t="n">
        <v>13</v>
      </c>
      <c r="I524" s="9" t="s">
        <v>567</v>
      </c>
      <c r="J524" s="9" t="s">
        <v>697</v>
      </c>
      <c r="K524" s="9" t="s">
        <v>440</v>
      </c>
    </row>
    <row r="525" customFormat="false" ht="15" hidden="false" customHeight="false" outlineLevel="0" collapsed="false">
      <c r="A525" s="9" t="s">
        <v>439</v>
      </c>
      <c r="B525" s="9" t="n">
        <v>7</v>
      </c>
      <c r="C525" s="9" t="s">
        <v>19</v>
      </c>
      <c r="D525" s="9" t="n">
        <v>0</v>
      </c>
      <c r="E525" s="9" t="n">
        <v>9</v>
      </c>
      <c r="F525" s="9" t="n">
        <v>168.5</v>
      </c>
      <c r="G525" s="9" t="n">
        <v>8</v>
      </c>
      <c r="H525" s="9" t="n">
        <v>13</v>
      </c>
      <c r="I525" s="9" t="s">
        <v>567</v>
      </c>
      <c r="J525" s="9" t="s">
        <v>698</v>
      </c>
      <c r="K525" s="9" t="s">
        <v>440</v>
      </c>
    </row>
    <row r="526" customFormat="false" ht="15" hidden="false" customHeight="false" outlineLevel="0" collapsed="false">
      <c r="A526" s="9" t="s">
        <v>439</v>
      </c>
      <c r="B526" s="9" t="n">
        <v>8</v>
      </c>
      <c r="C526" s="9" t="s">
        <v>19</v>
      </c>
      <c r="D526" s="9" t="n">
        <v>0</v>
      </c>
      <c r="E526" s="9" t="n">
        <v>9</v>
      </c>
      <c r="F526" s="9" t="n">
        <v>32</v>
      </c>
      <c r="G526" s="9" t="n">
        <v>8</v>
      </c>
      <c r="H526" s="9" t="n">
        <v>13</v>
      </c>
      <c r="I526" s="9" t="s">
        <v>567</v>
      </c>
      <c r="J526" s="9" t="s">
        <v>699</v>
      </c>
      <c r="K526" s="9" t="s">
        <v>440</v>
      </c>
    </row>
    <row r="527" customFormat="false" ht="15" hidden="false" customHeight="false" outlineLevel="0" collapsed="false">
      <c r="A527" s="9" t="s">
        <v>439</v>
      </c>
      <c r="B527" s="9" t="n">
        <v>9</v>
      </c>
      <c r="C527" s="9" t="s">
        <v>19</v>
      </c>
      <c r="D527" s="9" t="n">
        <v>0</v>
      </c>
      <c r="E527" s="9" t="n">
        <v>9</v>
      </c>
      <c r="F527" s="9" t="n">
        <v>252.75</v>
      </c>
      <c r="G527" s="9" t="n">
        <v>5</v>
      </c>
      <c r="H527" s="9" t="n">
        <v>11</v>
      </c>
      <c r="I527" s="9" t="s">
        <v>775</v>
      </c>
      <c r="J527" s="9" t="s">
        <v>700</v>
      </c>
      <c r="K527" s="9" t="s">
        <v>440</v>
      </c>
    </row>
    <row r="528" customFormat="false" ht="15" hidden="false" customHeight="false" outlineLevel="0" collapsed="false">
      <c r="A528" s="9" t="s">
        <v>439</v>
      </c>
      <c r="B528" s="9" t="n">
        <v>10</v>
      </c>
      <c r="C528" s="9" t="s">
        <v>19</v>
      </c>
      <c r="D528" s="9" t="n">
        <v>0</v>
      </c>
      <c r="E528" s="9" t="n">
        <v>9</v>
      </c>
      <c r="F528" s="9" t="n">
        <v>84.25</v>
      </c>
      <c r="G528" s="9" t="n">
        <v>5</v>
      </c>
      <c r="H528" s="9" t="n">
        <v>11</v>
      </c>
      <c r="I528" s="9" t="s">
        <v>775</v>
      </c>
      <c r="J528" s="9" t="s">
        <v>701</v>
      </c>
      <c r="K528" s="9" t="s">
        <v>440</v>
      </c>
    </row>
    <row r="529" customFormat="false" ht="15" hidden="false" customHeight="false" outlineLevel="0" collapsed="false">
      <c r="A529" s="9" t="s">
        <v>442</v>
      </c>
      <c r="B529" s="9" t="n">
        <v>1</v>
      </c>
      <c r="C529" s="9" t="s">
        <v>16</v>
      </c>
      <c r="D529" s="9" t="n">
        <v>9</v>
      </c>
      <c r="E529" s="9" t="n">
        <v>0</v>
      </c>
      <c r="F529" s="9" t="n">
        <v>9</v>
      </c>
      <c r="G529" s="9" t="n">
        <v>6</v>
      </c>
      <c r="H529" s="9" t="n">
        <v>15</v>
      </c>
      <c r="I529" s="9" t="s">
        <v>553</v>
      </c>
      <c r="J529" s="9" t="s">
        <v>794</v>
      </c>
      <c r="K529" s="9" t="s">
        <v>444</v>
      </c>
    </row>
    <row r="530" customFormat="false" ht="15" hidden="false" customHeight="false" outlineLevel="0" collapsed="false">
      <c r="A530" s="9" t="s">
        <v>442</v>
      </c>
      <c r="B530" s="9" t="n">
        <v>2</v>
      </c>
      <c r="C530" s="9" t="s">
        <v>18</v>
      </c>
      <c r="D530" s="9" t="n">
        <v>9</v>
      </c>
      <c r="E530" s="9" t="n">
        <v>260</v>
      </c>
      <c r="F530" s="9" t="n">
        <v>9</v>
      </c>
      <c r="G530" s="9" t="n">
        <v>6</v>
      </c>
      <c r="H530" s="9" t="n">
        <v>15</v>
      </c>
      <c r="I530" s="9" t="s">
        <v>553</v>
      </c>
      <c r="J530" s="9" t="s">
        <v>793</v>
      </c>
      <c r="K530" s="9" t="s">
        <v>444</v>
      </c>
    </row>
    <row r="531" customFormat="false" ht="15" hidden="false" customHeight="false" outlineLevel="0" collapsed="false">
      <c r="A531" s="9" t="s">
        <v>454</v>
      </c>
      <c r="B531" s="9" t="n">
        <v>1</v>
      </c>
      <c r="C531" s="9" t="s">
        <v>16</v>
      </c>
      <c r="D531" s="9" t="n">
        <v>32</v>
      </c>
      <c r="E531" s="9" t="n">
        <v>0</v>
      </c>
      <c r="F531" s="9" t="n">
        <v>9</v>
      </c>
      <c r="G531" s="9" t="n">
        <v>8</v>
      </c>
      <c r="H531" s="9" t="n">
        <v>25</v>
      </c>
      <c r="I531" s="9" t="s">
        <v>553</v>
      </c>
      <c r="J531" s="9" t="s">
        <v>778</v>
      </c>
      <c r="K531" s="9" t="s">
        <v>795</v>
      </c>
    </row>
    <row r="532" customFormat="false" ht="15" hidden="false" customHeight="false" outlineLevel="0" collapsed="false">
      <c r="A532" s="9" t="s">
        <v>454</v>
      </c>
      <c r="B532" s="9" t="n">
        <v>2</v>
      </c>
      <c r="C532" s="9" t="s">
        <v>16</v>
      </c>
      <c r="D532" s="9" t="n">
        <v>168.5</v>
      </c>
      <c r="E532" s="9" t="n">
        <v>0</v>
      </c>
      <c r="F532" s="9" t="n">
        <v>9</v>
      </c>
      <c r="G532" s="9" t="n">
        <v>8</v>
      </c>
      <c r="H532" s="9" t="n">
        <v>25</v>
      </c>
      <c r="I532" s="9" t="s">
        <v>553</v>
      </c>
      <c r="J532" s="9" t="s">
        <v>779</v>
      </c>
      <c r="K532" s="9" t="s">
        <v>795</v>
      </c>
    </row>
    <row r="533" customFormat="false" ht="15" hidden="false" customHeight="false" outlineLevel="0" collapsed="false">
      <c r="A533" s="9" t="s">
        <v>454</v>
      </c>
      <c r="B533" s="9" t="n">
        <v>3</v>
      </c>
      <c r="C533" s="9" t="s">
        <v>16</v>
      </c>
      <c r="D533" s="9" t="n">
        <v>305</v>
      </c>
      <c r="E533" s="9" t="n">
        <v>0</v>
      </c>
      <c r="F533" s="9" t="n">
        <v>9</v>
      </c>
      <c r="G533" s="9" t="n">
        <v>8</v>
      </c>
      <c r="H533" s="9" t="n">
        <v>25</v>
      </c>
      <c r="I533" s="9" t="s">
        <v>553</v>
      </c>
      <c r="J533" s="9" t="s">
        <v>780</v>
      </c>
      <c r="K533" s="9" t="s">
        <v>795</v>
      </c>
    </row>
    <row r="534" customFormat="false" ht="15" hidden="false" customHeight="false" outlineLevel="0" collapsed="false">
      <c r="A534" s="9" t="s">
        <v>454</v>
      </c>
      <c r="B534" s="9" t="n">
        <v>4</v>
      </c>
      <c r="C534" s="9" t="s">
        <v>558</v>
      </c>
      <c r="D534" s="9" t="n">
        <v>84.25</v>
      </c>
      <c r="E534" s="9" t="n">
        <v>24</v>
      </c>
      <c r="F534" s="9" t="n">
        <v>0</v>
      </c>
      <c r="G534" s="9" t="n">
        <v>15</v>
      </c>
      <c r="H534" s="9" t="n">
        <v>12.5</v>
      </c>
      <c r="I534" s="9" t="s">
        <v>559</v>
      </c>
      <c r="J534" s="9" t="s">
        <v>781</v>
      </c>
      <c r="K534" s="9" t="s">
        <v>796</v>
      </c>
    </row>
    <row r="535" customFormat="false" ht="15" hidden="false" customHeight="false" outlineLevel="0" collapsed="false">
      <c r="A535" s="9" t="s">
        <v>454</v>
      </c>
      <c r="B535" s="9" t="n">
        <v>5</v>
      </c>
      <c r="C535" s="9" t="s">
        <v>16</v>
      </c>
      <c r="D535" s="9" t="n">
        <v>84.25</v>
      </c>
      <c r="E535" s="9" t="n">
        <v>0</v>
      </c>
      <c r="F535" s="9" t="n">
        <v>9</v>
      </c>
      <c r="G535" s="9" t="n">
        <v>8</v>
      </c>
      <c r="H535" s="9" t="n">
        <v>25</v>
      </c>
      <c r="I535" s="9" t="s">
        <v>562</v>
      </c>
      <c r="J535" s="9" t="s">
        <v>781</v>
      </c>
      <c r="K535" s="9" t="s">
        <v>795</v>
      </c>
    </row>
    <row r="536" customFormat="false" ht="15" hidden="false" customHeight="false" outlineLevel="0" collapsed="false">
      <c r="A536" s="9" t="s">
        <v>454</v>
      </c>
      <c r="B536" s="9" t="n">
        <v>6</v>
      </c>
      <c r="C536" s="9" t="s">
        <v>558</v>
      </c>
      <c r="D536" s="9" t="n">
        <v>252.75</v>
      </c>
      <c r="E536" s="9" t="n">
        <v>24</v>
      </c>
      <c r="F536" s="9" t="n">
        <v>0</v>
      </c>
      <c r="G536" s="9" t="n">
        <v>15</v>
      </c>
      <c r="H536" s="9" t="n">
        <v>12.5</v>
      </c>
      <c r="I536" s="9" t="s">
        <v>559</v>
      </c>
      <c r="J536" s="9" t="s">
        <v>782</v>
      </c>
      <c r="K536" s="9" t="s">
        <v>796</v>
      </c>
    </row>
    <row r="537" customFormat="false" ht="15" hidden="false" customHeight="false" outlineLevel="0" collapsed="false">
      <c r="A537" s="9" t="s">
        <v>454</v>
      </c>
      <c r="B537" s="9" t="n">
        <v>7</v>
      </c>
      <c r="C537" s="9" t="s">
        <v>16</v>
      </c>
      <c r="D537" s="9" t="n">
        <v>252.75</v>
      </c>
      <c r="E537" s="9" t="n">
        <v>0</v>
      </c>
      <c r="F537" s="9" t="n">
        <v>9</v>
      </c>
      <c r="G537" s="9" t="n">
        <v>8</v>
      </c>
      <c r="H537" s="9" t="n">
        <v>25</v>
      </c>
      <c r="I537" s="9" t="s">
        <v>562</v>
      </c>
      <c r="J537" s="9" t="s">
        <v>782</v>
      </c>
      <c r="K537" s="9" t="s">
        <v>795</v>
      </c>
    </row>
    <row r="538" customFormat="false" ht="15" hidden="false" customHeight="false" outlineLevel="0" collapsed="false">
      <c r="A538" s="9" t="s">
        <v>454</v>
      </c>
      <c r="B538" s="9" t="n">
        <v>8</v>
      </c>
      <c r="C538" s="9" t="s">
        <v>18</v>
      </c>
      <c r="D538" s="9" t="n">
        <v>32</v>
      </c>
      <c r="E538" s="9" t="n">
        <v>402</v>
      </c>
      <c r="F538" s="9" t="n">
        <v>9</v>
      </c>
      <c r="G538" s="9" t="n">
        <v>8</v>
      </c>
      <c r="H538" s="9" t="n">
        <v>25</v>
      </c>
      <c r="I538" s="9" t="s">
        <v>553</v>
      </c>
      <c r="J538" s="9" t="s">
        <v>763</v>
      </c>
      <c r="K538" s="9" t="s">
        <v>795</v>
      </c>
    </row>
    <row r="539" customFormat="false" ht="15" hidden="false" customHeight="false" outlineLevel="0" collapsed="false">
      <c r="A539" s="9" t="s">
        <v>454</v>
      </c>
      <c r="B539" s="9" t="n">
        <v>9</v>
      </c>
      <c r="C539" s="9" t="s">
        <v>18</v>
      </c>
      <c r="D539" s="9" t="n">
        <v>168.5</v>
      </c>
      <c r="E539" s="9" t="n">
        <v>402</v>
      </c>
      <c r="F539" s="9" t="n">
        <v>9</v>
      </c>
      <c r="G539" s="9" t="n">
        <v>8</v>
      </c>
      <c r="H539" s="9" t="n">
        <v>25</v>
      </c>
      <c r="I539" s="9" t="s">
        <v>553</v>
      </c>
      <c r="J539" s="9" t="s">
        <v>764</v>
      </c>
      <c r="K539" s="9" t="s">
        <v>795</v>
      </c>
    </row>
    <row r="540" customFormat="false" ht="15" hidden="false" customHeight="false" outlineLevel="0" collapsed="false">
      <c r="A540" s="9" t="s">
        <v>454</v>
      </c>
      <c r="B540" s="9" t="n">
        <v>10</v>
      </c>
      <c r="C540" s="9" t="s">
        <v>18</v>
      </c>
      <c r="D540" s="9" t="n">
        <v>305</v>
      </c>
      <c r="E540" s="9" t="n">
        <v>402</v>
      </c>
      <c r="F540" s="9" t="n">
        <v>9</v>
      </c>
      <c r="G540" s="9" t="n">
        <v>8</v>
      </c>
      <c r="H540" s="9" t="n">
        <v>25</v>
      </c>
      <c r="I540" s="9" t="s">
        <v>553</v>
      </c>
      <c r="J540" s="9" t="s">
        <v>765</v>
      </c>
      <c r="K540" s="9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0" t="s">
        <v>797</v>
      </c>
      <c r="B1" s="11" t="s">
        <v>798</v>
      </c>
    </row>
    <row r="2" customFormat="false" ht="15" hidden="false" customHeight="false" outlineLevel="0" collapsed="false">
      <c r="A2" s="10" t="s">
        <v>799</v>
      </c>
      <c r="B2" s="11" t="s">
        <v>800</v>
      </c>
    </row>
    <row r="3" customFormat="false" ht="23.85" hidden="false" customHeight="false" outlineLevel="0" collapsed="false">
      <c r="A3" s="10" t="s">
        <v>801</v>
      </c>
      <c r="B3" s="11" t="s">
        <v>802</v>
      </c>
    </row>
    <row r="4" customFormat="false" ht="15" hidden="false" customHeight="false" outlineLevel="0" collapsed="false">
      <c r="A4" s="10" t="s">
        <v>803</v>
      </c>
      <c r="B4" s="11" t="s">
        <v>804</v>
      </c>
    </row>
    <row r="5" customFormat="false" ht="23.85" hidden="false" customHeight="false" outlineLevel="0" collapsed="false">
      <c r="A5" s="10" t="s">
        <v>552</v>
      </c>
      <c r="B5" s="11" t="s">
        <v>805</v>
      </c>
    </row>
    <row r="6" customFormat="false" ht="23.85" hidden="false" customHeight="false" outlineLevel="0" collapsed="false">
      <c r="A6" s="10" t="s">
        <v>806</v>
      </c>
      <c r="B6" s="11" t="s">
        <v>807</v>
      </c>
    </row>
    <row r="7" customFormat="false" ht="23.85" hidden="false" customHeight="false" outlineLevel="0" collapsed="false">
      <c r="A7" s="10" t="s">
        <v>808</v>
      </c>
      <c r="B7" s="11" t="s">
        <v>809</v>
      </c>
    </row>
    <row r="8" customFormat="false" ht="23.85" hidden="false" customHeight="false" outlineLevel="0" collapsed="false">
      <c r="A8" s="10" t="s">
        <v>810</v>
      </c>
      <c r="B8" s="11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34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11"/>
    <col collapsed="false" customWidth="true" hidden="false" outlineLevel="0" max="14" min="14" style="0" width="40"/>
    <col collapsed="false" customWidth="true" hidden="false" outlineLevel="0" max="15" min="15" style="0" width="50"/>
    <col collapsed="false" customWidth="true" hidden="false" outlineLevel="0" max="16" min="16" style="0" width="26"/>
  </cols>
  <sheetData>
    <row r="1" customFormat="false" ht="31.5" hidden="false" customHeight="true" outlineLevel="0" collapsed="false">
      <c r="A1" s="1" t="s">
        <v>812</v>
      </c>
      <c r="B1" s="1" t="s">
        <v>543</v>
      </c>
      <c r="C1" s="1" t="s">
        <v>813</v>
      </c>
      <c r="D1" s="1" t="s">
        <v>814</v>
      </c>
      <c r="E1" s="1" t="s">
        <v>815</v>
      </c>
      <c r="F1" s="1" t="s">
        <v>816</v>
      </c>
      <c r="G1" s="1" t="s">
        <v>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516</v>
      </c>
      <c r="P1" s="1" t="s">
        <v>517</v>
      </c>
    </row>
    <row r="2" customFormat="false" ht="102.2" hidden="false" customHeight="false" outlineLevel="0" collapsed="false">
      <c r="A2" s="12" t="s">
        <v>35</v>
      </c>
      <c r="B2" s="12" t="n">
        <v>1</v>
      </c>
      <c r="C2" s="12" t="s">
        <v>824</v>
      </c>
      <c r="D2" s="12" t="s">
        <v>825</v>
      </c>
      <c r="E2" s="12" t="s">
        <v>826</v>
      </c>
      <c r="F2" s="12" t="s">
        <v>827</v>
      </c>
      <c r="G2" s="12" t="s">
        <v>828</v>
      </c>
      <c r="H2" s="12" t="s">
        <v>829</v>
      </c>
      <c r="I2" s="12" t="s">
        <v>830</v>
      </c>
      <c r="J2" s="12" t="s">
        <v>831</v>
      </c>
      <c r="K2" s="12" t="n">
        <v>29629</v>
      </c>
      <c r="L2" s="12" t="s">
        <v>832</v>
      </c>
      <c r="M2" s="12" t="s">
        <v>833</v>
      </c>
      <c r="N2" s="12" t="s">
        <v>834</v>
      </c>
      <c r="O2" s="12" t="s">
        <v>835</v>
      </c>
      <c r="P2" s="12" t="s">
        <v>836</v>
      </c>
    </row>
    <row r="3" customFormat="false" ht="68.65" hidden="false" customHeight="false" outlineLevel="0" collapsed="false">
      <c r="A3" s="12" t="s">
        <v>35</v>
      </c>
      <c r="B3" s="12" t="n">
        <v>2</v>
      </c>
      <c r="C3" s="12" t="s">
        <v>824</v>
      </c>
      <c r="D3" s="12" t="s">
        <v>837</v>
      </c>
      <c r="E3" s="12" t="s">
        <v>838</v>
      </c>
      <c r="F3" s="12" t="s">
        <v>827</v>
      </c>
      <c r="G3" s="12" t="s">
        <v>828</v>
      </c>
      <c r="H3" s="12" t="s">
        <v>829</v>
      </c>
      <c r="I3" s="12" t="s">
        <v>839</v>
      </c>
      <c r="J3" s="12" t="s">
        <v>840</v>
      </c>
      <c r="K3" s="12" t="n">
        <v>26534</v>
      </c>
      <c r="L3" s="12" t="s">
        <v>841</v>
      </c>
      <c r="M3" s="12" t="s">
        <v>833</v>
      </c>
      <c r="N3" s="12" t="s">
        <v>842</v>
      </c>
      <c r="O3" s="12" t="s">
        <v>843</v>
      </c>
      <c r="P3" s="12" t="s">
        <v>836</v>
      </c>
    </row>
    <row r="4" customFormat="false" ht="113.4" hidden="false" customHeight="false" outlineLevel="0" collapsed="false">
      <c r="A4" s="12" t="s">
        <v>51</v>
      </c>
      <c r="B4" s="12" t="n">
        <v>1</v>
      </c>
      <c r="C4" s="12" t="s">
        <v>844</v>
      </c>
      <c r="D4" s="12" t="s">
        <v>845</v>
      </c>
      <c r="E4" s="12" t="s">
        <v>846</v>
      </c>
      <c r="F4" s="12" t="s">
        <v>847</v>
      </c>
      <c r="G4" s="12" t="s">
        <v>828</v>
      </c>
      <c r="H4" s="12" t="s">
        <v>829</v>
      </c>
      <c r="I4" s="12"/>
      <c r="J4" s="12" t="s">
        <v>848</v>
      </c>
      <c r="K4" s="12" t="n">
        <v>21694</v>
      </c>
      <c r="L4" s="12" t="s">
        <v>849</v>
      </c>
      <c r="M4" s="12" t="s">
        <v>833</v>
      </c>
      <c r="N4" s="12" t="s">
        <v>850</v>
      </c>
      <c r="O4" s="12" t="s">
        <v>851</v>
      </c>
      <c r="P4" s="12" t="s">
        <v>836</v>
      </c>
    </row>
    <row r="5" customFormat="false" ht="68.65" hidden="false" customHeight="false" outlineLevel="0" collapsed="false">
      <c r="A5" s="12" t="s">
        <v>51</v>
      </c>
      <c r="B5" s="12" t="n">
        <v>2</v>
      </c>
      <c r="C5" s="12" t="s">
        <v>852</v>
      </c>
      <c r="D5" s="12" t="s">
        <v>853</v>
      </c>
      <c r="E5" s="12" t="s">
        <v>854</v>
      </c>
      <c r="F5" s="12" t="s">
        <v>855</v>
      </c>
      <c r="G5" s="12" t="s">
        <v>828</v>
      </c>
      <c r="H5" s="12" t="s">
        <v>829</v>
      </c>
      <c r="I5" s="12"/>
      <c r="J5" s="12" t="s">
        <v>856</v>
      </c>
      <c r="K5" s="12"/>
      <c r="L5" s="12"/>
      <c r="M5" s="12"/>
      <c r="N5" s="12" t="s">
        <v>857</v>
      </c>
      <c r="O5" s="12" t="s">
        <v>858</v>
      </c>
      <c r="P5" s="12" t="s">
        <v>836</v>
      </c>
    </row>
    <row r="6" customFormat="false" ht="102.2" hidden="false" customHeight="false" outlineLevel="0" collapsed="false">
      <c r="A6" s="12" t="s">
        <v>68</v>
      </c>
      <c r="B6" s="12" t="n">
        <v>1</v>
      </c>
      <c r="C6" s="12" t="s">
        <v>824</v>
      </c>
      <c r="D6" s="12" t="s">
        <v>859</v>
      </c>
      <c r="E6" s="12" t="s">
        <v>860</v>
      </c>
      <c r="F6" s="12" t="s">
        <v>861</v>
      </c>
      <c r="G6" s="12" t="s">
        <v>828</v>
      </c>
      <c r="H6" s="12" t="s">
        <v>829</v>
      </c>
      <c r="I6" s="12" t="s">
        <v>862</v>
      </c>
      <c r="J6" s="12" t="s">
        <v>863</v>
      </c>
      <c r="K6" s="12" t="n">
        <v>34950</v>
      </c>
      <c r="L6" s="12" t="s">
        <v>864</v>
      </c>
      <c r="M6" s="12" t="s">
        <v>833</v>
      </c>
      <c r="N6" s="12" t="s">
        <v>865</v>
      </c>
      <c r="O6" s="12" t="s">
        <v>866</v>
      </c>
      <c r="P6" s="12" t="s">
        <v>836</v>
      </c>
    </row>
    <row r="7" customFormat="false" ht="35.05" hidden="false" customHeight="false" outlineLevel="0" collapsed="false">
      <c r="A7" s="12" t="s">
        <v>68</v>
      </c>
      <c r="B7" s="12" t="n">
        <v>2</v>
      </c>
      <c r="C7" s="12" t="s">
        <v>824</v>
      </c>
      <c r="D7" s="12" t="s">
        <v>867</v>
      </c>
      <c r="E7" s="12" t="s">
        <v>868</v>
      </c>
      <c r="F7" s="12" t="s">
        <v>869</v>
      </c>
      <c r="G7" s="12" t="s">
        <v>828</v>
      </c>
      <c r="H7" s="12" t="s">
        <v>829</v>
      </c>
      <c r="I7" s="12" t="s">
        <v>870</v>
      </c>
      <c r="J7" s="12" t="s">
        <v>871</v>
      </c>
      <c r="K7" s="12" t="n">
        <v>47960</v>
      </c>
      <c r="L7" s="12" t="s">
        <v>872</v>
      </c>
      <c r="M7" s="12" t="s">
        <v>833</v>
      </c>
      <c r="N7" s="12" t="s">
        <v>873</v>
      </c>
      <c r="O7" s="12" t="s">
        <v>874</v>
      </c>
      <c r="P7" s="12" t="s">
        <v>836</v>
      </c>
    </row>
    <row r="8" customFormat="false" ht="68.65" hidden="false" customHeight="false" outlineLevel="0" collapsed="false">
      <c r="A8" s="12" t="s">
        <v>354</v>
      </c>
      <c r="B8" s="12" t="n">
        <v>1</v>
      </c>
      <c r="C8" s="12" t="s">
        <v>824</v>
      </c>
      <c r="D8" s="12" t="s">
        <v>875</v>
      </c>
      <c r="E8" s="12" t="s">
        <v>876</v>
      </c>
      <c r="F8" s="12" t="s">
        <v>877</v>
      </c>
      <c r="G8" s="12" t="s">
        <v>828</v>
      </c>
      <c r="H8" s="12" t="s">
        <v>829</v>
      </c>
      <c r="I8" s="12" t="s">
        <v>878</v>
      </c>
      <c r="J8" s="12" t="s">
        <v>879</v>
      </c>
      <c r="K8" s="12"/>
      <c r="L8" s="12"/>
      <c r="M8" s="12"/>
      <c r="N8" s="12" t="s">
        <v>880</v>
      </c>
      <c r="O8" s="12" t="s">
        <v>881</v>
      </c>
      <c r="P8" s="12" t="s">
        <v>836</v>
      </c>
    </row>
    <row r="9" customFormat="false" ht="57.45" hidden="false" customHeight="false" outlineLevel="0" collapsed="false">
      <c r="A9" s="12" t="s">
        <v>354</v>
      </c>
      <c r="B9" s="12" t="n">
        <v>2</v>
      </c>
      <c r="C9" s="12" t="s">
        <v>824</v>
      </c>
      <c r="D9" s="12" t="s">
        <v>882</v>
      </c>
      <c r="E9" s="12" t="s">
        <v>883</v>
      </c>
      <c r="F9" s="12" t="s">
        <v>884</v>
      </c>
      <c r="G9" s="12" t="s">
        <v>828</v>
      </c>
      <c r="H9" s="12" t="s">
        <v>829</v>
      </c>
      <c r="I9" s="12" t="s">
        <v>885</v>
      </c>
      <c r="J9" s="12" t="s">
        <v>886</v>
      </c>
      <c r="K9" s="12" t="n">
        <v>45030</v>
      </c>
      <c r="L9" s="12" t="s">
        <v>887</v>
      </c>
      <c r="M9" s="12" t="s">
        <v>833</v>
      </c>
      <c r="N9" s="12" t="s">
        <v>888</v>
      </c>
      <c r="O9" s="12" t="s">
        <v>889</v>
      </c>
      <c r="P9" s="12" t="s">
        <v>836</v>
      </c>
    </row>
    <row r="10" customFormat="false" ht="68.65" hidden="false" customHeight="false" outlineLevel="0" collapsed="false">
      <c r="A10" s="12" t="s">
        <v>345</v>
      </c>
      <c r="B10" s="12" t="n">
        <v>1</v>
      </c>
      <c r="C10" s="12" t="s">
        <v>890</v>
      </c>
      <c r="D10" s="12" t="s">
        <v>891</v>
      </c>
      <c r="E10" s="12" t="s">
        <v>892</v>
      </c>
      <c r="F10" s="12" t="s">
        <v>893</v>
      </c>
      <c r="G10" s="12"/>
      <c r="H10" s="12" t="s">
        <v>894</v>
      </c>
      <c r="I10" s="12"/>
      <c r="J10" s="12" t="s">
        <v>895</v>
      </c>
      <c r="K10" s="12" t="n">
        <v>199</v>
      </c>
      <c r="L10" s="12" t="s">
        <v>896</v>
      </c>
      <c r="M10" s="12" t="s">
        <v>833</v>
      </c>
      <c r="N10" s="12" t="s">
        <v>897</v>
      </c>
      <c r="O10" s="12" t="s">
        <v>898</v>
      </c>
      <c r="P10" s="12" t="s">
        <v>836</v>
      </c>
    </row>
    <row r="11" customFormat="false" ht="57.45" hidden="false" customHeight="false" outlineLevel="0" collapsed="false">
      <c r="A11" s="12" t="s">
        <v>76</v>
      </c>
      <c r="B11" s="12" t="n">
        <v>1</v>
      </c>
      <c r="C11" s="12" t="s">
        <v>899</v>
      </c>
      <c r="D11" s="12" t="s">
        <v>900</v>
      </c>
      <c r="E11" s="12" t="s">
        <v>901</v>
      </c>
      <c r="F11" s="12" t="s">
        <v>902</v>
      </c>
      <c r="G11" s="12" t="s">
        <v>903</v>
      </c>
      <c r="H11" s="12" t="s">
        <v>904</v>
      </c>
      <c r="I11" s="12"/>
      <c r="J11" s="12" t="s">
        <v>905</v>
      </c>
      <c r="K11" s="12" t="n">
        <v>38821</v>
      </c>
      <c r="L11" s="12" t="s">
        <v>906</v>
      </c>
      <c r="M11" s="12" t="s">
        <v>833</v>
      </c>
      <c r="N11" s="12" t="s">
        <v>907</v>
      </c>
      <c r="O11" s="12" t="s">
        <v>908</v>
      </c>
      <c r="P11" s="12" t="s">
        <v>836</v>
      </c>
    </row>
    <row r="12" customFormat="false" ht="79.85" hidden="false" customHeight="false" outlineLevel="0" collapsed="false">
      <c r="A12" s="12" t="s">
        <v>61</v>
      </c>
      <c r="B12" s="12" t="n">
        <v>1</v>
      </c>
      <c r="C12" s="12" t="s">
        <v>824</v>
      </c>
      <c r="D12" s="12" t="s">
        <v>909</v>
      </c>
      <c r="E12" s="12" t="s">
        <v>910</v>
      </c>
      <c r="F12" s="12" t="s">
        <v>911</v>
      </c>
      <c r="G12" s="12" t="s">
        <v>912</v>
      </c>
      <c r="H12" s="12" t="s">
        <v>829</v>
      </c>
      <c r="I12" s="12"/>
      <c r="J12" s="12" t="s">
        <v>913</v>
      </c>
      <c r="K12" s="12"/>
      <c r="L12" s="12"/>
      <c r="M12" s="12"/>
      <c r="N12" s="12" t="s">
        <v>914</v>
      </c>
      <c r="O12" s="12" t="s">
        <v>915</v>
      </c>
      <c r="P12" s="12" t="s">
        <v>836</v>
      </c>
    </row>
    <row r="13" customFormat="false" ht="68.65" hidden="false" customHeight="false" outlineLevel="0" collapsed="false">
      <c r="A13" s="12" t="s">
        <v>61</v>
      </c>
      <c r="B13" s="12" t="n">
        <v>2</v>
      </c>
      <c r="C13" s="12" t="s">
        <v>824</v>
      </c>
      <c r="D13" s="12" t="s">
        <v>916</v>
      </c>
      <c r="E13" s="12" t="s">
        <v>917</v>
      </c>
      <c r="F13" s="12" t="s">
        <v>827</v>
      </c>
      <c r="G13" s="12" t="s">
        <v>918</v>
      </c>
      <c r="H13" s="12" t="s">
        <v>829</v>
      </c>
      <c r="I13" s="12" t="s">
        <v>919</v>
      </c>
      <c r="J13" s="12" t="s">
        <v>920</v>
      </c>
      <c r="K13" s="12"/>
      <c r="L13" s="12"/>
      <c r="M13" s="12"/>
      <c r="N13" s="12" t="s">
        <v>921</v>
      </c>
      <c r="O13" s="12" t="s">
        <v>922</v>
      </c>
      <c r="P13" s="12" t="s">
        <v>836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2026-10-30T17:06:57Z</dcterms:created>
  <dc:creator>openpyxl</dc:creator>
  <dc:description/>
  <dc:language>en-US</dc:language>
  <cp:lastModifiedBy/>
  <dcterms:modified xsi:type="dcterms:W3CDTF">2026-10-30T17:06:57Z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