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c28f03ec74d9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Alkatreszek" sheetId="1" ns1:id="Raabade1f2aec40df"/>
    <sheet name="Cimkek" sheetId="2" ns1:id="R37e013be1b904f87"/>
    <sheet name="Muveletek" sheetId="3" ns1:id="Ra6d243b0332b49bb"/>
    <sheet name="Utmutato" sheetId="4" ns1:id="Rb00b21ab67c54486"/>
    <sheet name="Kotopontok" sheetId="5" ns1:id="R5ab2db1714b84b43"/>
  </sheets>
  <definedNames>
    <definedName name="_xlnm.Print_Area" localSheetId="1">'Cimkek'!$A$1:$I$300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3"/>
      <x:name val="Arial"/>
    </x:font>
    <x:font>
      <x:b/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94743"/>
      </x:patternFill>
    </x:fill>
    <x:fill>
      <x:patternFill patternType="solid">
        <x:fgColor rgb="FFFFF3CF"/>
      </x:patternFill>
    </x:fill>
    <x:fill>
      <x:patternFill patternType="solid">
        <x:fgColor rgb="FFE1E6E0"/>
      </x:patternFill>
    </x:fill>
  </x:fills>
  <x:borders count="9">
    <x:border>
      <x:left/>
      <x:right/>
      <x:top/>
      <x:bottom/>
      <x:diagonal/>
    </x:border>
    <x:border>
      <x:left style="thin">
        <x:color rgb="FFAAAAAA"/>
      </x:left>
      <x:right/>
      <x:top style="thin">
        <x:color rgb="FFAAAAAA"/>
      </x:top>
      <x:bottom/>
      <x:diagonal/>
    </x:border>
    <x:border>
      <x:left/>
      <x:right/>
      <x:top style="thin">
        <x:color rgb="FFAAAAAA"/>
      </x:top>
      <x:bottom/>
      <x:diagonal/>
    </x:border>
    <x:border>
      <x:left/>
      <x:right style="thin">
        <x:color rgb="FFAAAAAA"/>
      </x:right>
      <x:top style="thin">
        <x:color rgb="FFAAAAAA"/>
      </x:top>
      <x:bottom/>
      <x:diagonal/>
    </x:border>
    <x:border>
      <x:left style="thin">
        <x:color rgb="FFAAAAAA"/>
      </x:left>
      <x:right/>
      <x:top/>
      <x:bottom/>
      <x:diagonal/>
    </x:border>
    <x:border>
      <x:left/>
      <x:right style="thin">
        <x:color rgb="FFAAAAAA"/>
      </x:right>
      <x:top/>
      <x:bottom/>
      <x:diagonal/>
    </x:border>
    <x:border>
      <x:left style="thin">
        <x:color rgb="FFAAAAAA"/>
      </x:left>
      <x:right/>
      <x:top/>
      <x:bottom style="thin">
        <x:color rgb="FFAAAAAA"/>
      </x:bottom>
      <x:diagonal/>
    </x:border>
    <x:border>
      <x:left/>
      <x:right/>
      <x:top/>
      <x:bottom style="thin">
        <x:color rgb="FFAAAAAA"/>
      </x:bottom>
      <x:diagonal/>
    </x:border>
    <x:border>
      <x:left/>
      <x:right style="thin">
        <x:color rgb="FFAAAAAA"/>
      </x:right>
      <x:top/>
      <x:bottom style="thin">
        <x:color rgb="FFAAAAAA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4" fillId="0" borderId="1" xfId="0" applyNumberFormat="1" applyFont="1" applyFill="1" applyBorder="1"/>
    <x:xf numFmtId="0" fontId="5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e771b4d004c24" /><Relationship Type="http://schemas.openxmlformats.org/officeDocument/2006/relationships/theme" Target="/xl/theme/theme1.xml" Id="R691012286f6b47c8" /><Relationship Type="http://schemas.openxmlformats.org/officeDocument/2006/relationships/sharedStrings" Target="/xl/sharedStrings.xml" Id="R5c8532c9b1fe4395" /><Relationship Type="http://schemas.openxmlformats.org/officeDocument/2006/relationships/worksheet" Target="/xl/worksheets/sheet1.xml" Id="Raabade1f2aec40df" /><Relationship Type="http://schemas.openxmlformats.org/officeDocument/2006/relationships/worksheet" Target="/xl/worksheets/sheet2.xml" Id="R37e013be1b904f87" /><Relationship Type="http://schemas.openxmlformats.org/officeDocument/2006/relationships/worksheet" Target="/xl/worksheets/sheet3.xml" Id="Ra6d243b0332b49bb" /><Relationship Type="http://schemas.openxmlformats.org/officeDocument/2006/relationships/worksheet" Target="/xl/worksheets/sheet4.xml" Id="Rb00b21ab67c54486" /><Relationship Type="http://schemas.openxmlformats.org/officeDocument/2006/relationships/worksheet" Target="/xl/worksheets/sheet5.xml" Id="R5ab2db1714b84b43" /></Relationships>
</file>

<file path=xl/tables/table1.xml><?xml version="1.0" encoding="utf-8"?>
<x:table xmlns:x="http://schemas.openxmlformats.org/spreadsheetml/2006/main" id="1" name="Darabok" displayName="Darabok" ref="A5:AB58" headerRowCount="1" totalsRowCount="0" totalsRowShown="0">
  <x:tableColumns count="28">
    <x:tableColumn id="1" name="Darabazonosító"/>
    <x:tableColumn id="2" name="MPR fájlnév"/>
    <x:tableColumn id="3" name="Típus"/>
    <x:tableColumn id="4" name="Alkatrész / oldal"/>
    <x:tableColumn id="5" name="Kész X mm"/>
    <x:tableColumn id="6" name="Kész Y mm"/>
    <x:tableColumn id="7" name="Vast. mm"/>
    <x:tableColumn id="8" name="Anyag"/>
    <x:tableColumn id="9" name="A felület"/>
    <x:tableColumn id="10" name="Szál / grafika"/>
    <x:tableColumn id="11" name="Elsődleges tájolóél"/>
    <x:tableColumn id="12" name="Másodlagos tájolóél"/>
    <x:tableColumn id="13" name="Bútor első éle"/>
    <x:tableColumn id="14" name="Élszerepek"/>
    <x:tableColumn id="15" name="E1 él mm"/>
    <x:tableColumn id="16" name="E2 él mm"/>
    <x:tableColumn id="17" name="E3 él mm"/>
    <x:tableColumn id="18" name="E4 él mm"/>
    <x:tableColumn id="19" name="X ráhagyás mm"/>
    <x:tableColumn id="20" name="Y ráhagyás mm"/>
    <x:tableColumn id="21" name="Nyers X mm"/>
    <x:tableColumn id="22" name="Nyers Y mm"/>
    <x:tableColumn id="23" name="Felület m²"/>
    <x:tableColumn id="24" name="C műhelykód"/>
    <x:tableColumn id="25" name="Műhely jóváhagyás"/>
    <x:tableColumn id="26" name="MPR állapot"/>
    <x:tableColumn id="27" name="Rajzlap"/>
    <x:tableColumn id="28" name="Forrás / megjegyzé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dccf300471443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32" hidden="0" customWidth="1"/>
    <x:col min="10" max="10" width="32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9" hidden="0" customWidth="1"/>
    <x:col min="25" max="25" width="29" hidden="0" customWidth="1"/>
    <x:col min="26" max="26" width="29" hidden="0" customWidth="1"/>
    <x:col min="27" max="27" width="20" hidden="0" customWidth="1"/>
    <x:col min="28" max="28" width="65" hidden="0" customWidth="1"/>
  </x:cols>
  <x:sheetData>
    <x:row r="2">
      <x:c r="A2" t="str">
        <x:v>TV-modul R12 - alkatrész és élregiszter</x:v>
      </x:c>
    </x:row>
    <x:row r="3">
      <x:c r="A3" t="str">
        <x:v>53 darab / 18 típus. Kész tervezési méretek. Nem gépi gyártási kiadás.</x:v>
      </x:c>
    </x:row>
    <x:row r="5" ht="40" customHeight="1">
      <x:c r="A5" s="4" t="str">
        <x:v>Darabazonosító</x:v>
      </x:c>
      <x:c r="B5" s="4" t="str">
        <x:v>MPR fájlnév</x:v>
      </x:c>
      <x:c r="C5" s="4" t="str">
        <x:v>Típus</x:v>
      </x:c>
      <x:c r="D5" s="4" t="str">
        <x:v>Alkatrész / oldal</x:v>
      </x:c>
      <x:c r="E5" s="4" t="str">
        <x:v>Kész X mm</x:v>
      </x:c>
      <x:c r="F5" s="4" t="str">
        <x:v>Kész Y mm</x:v>
      </x:c>
      <x:c r="G5" s="4" t="str">
        <x:v>Vast. mm</x:v>
      </x:c>
      <x:c r="H5" s="4" t="str">
        <x:v>Anyag</x:v>
      </x:c>
      <x:c r="I5" s="4" t="str">
        <x:v>A felület</x:v>
      </x:c>
      <x:c r="J5" s="4" t="str">
        <x:v>Szál / grafika</x:v>
      </x:c>
      <x:c r="K5" s="4" t="str">
        <x:v>Elsődleges tájolóél</x:v>
      </x:c>
      <x:c r="L5" s="4" t="str">
        <x:v>Másodlagos tájolóél</x:v>
      </x:c>
      <x:c r="M5" s="4" t="str">
        <x:v>Bútor első éle</x:v>
      </x:c>
      <x:c r="N5" s="4" t="str">
        <x:v>Élszerepek</x:v>
      </x:c>
      <x:c r="O5" s="4" t="str">
        <x:v>E1 él mm</x:v>
      </x:c>
      <x:c r="P5" s="4" t="str">
        <x:v>E2 él mm</x:v>
      </x:c>
      <x:c r="Q5" s="4" t="str">
        <x:v>E3 él mm</x:v>
      </x:c>
      <x:c r="R5" s="4" t="str">
        <x:v>E4 él mm</x:v>
      </x:c>
      <x:c r="S5" s="4" t="str">
        <x:v>X ráhagyás mm</x:v>
      </x:c>
      <x:c r="T5" s="4" t="str">
        <x:v>Y ráhagyás mm</x:v>
      </x:c>
      <x:c r="U5" s="4" t="str">
        <x:v>Nyers X mm</x:v>
      </x:c>
      <x:c r="V5" s="4" t="str">
        <x:v>Nyers Y mm</x:v>
      </x:c>
      <x:c r="W5" s="4" t="str">
        <x:v>Felület m²</x:v>
      </x:c>
      <x:c r="X5" s="4" t="str">
        <x:v>C műhelykód</x:v>
      </x:c>
      <x:c r="Y5" s="4" t="str">
        <x:v>Műhely jóváhagyás</x:v>
      </x:c>
      <x:c r="Z5" s="4" t="str">
        <x:v>MPR állapot</x:v>
      </x:c>
      <x:c r="AA5" s="4" t="str">
        <x:v>Rajzlap</x:v>
      </x:c>
      <x:c r="AB5" s="4" t="str">
        <x:v>Forrás / megjegyzés</x:v>
      </x:c>
    </x:row>
    <x:row r="6" ht="38" customHeight="1">
      <x:c r="A6" s="5" t="str">
        <x:v>KI12-TV01S-01</x:v>
      </x:c>
      <x:c r="B6" s="5" t="str">
        <x:v>KI12-TV01S-01.mpr</x:v>
      </x:c>
      <x:c r="C6" s="5" t="str">
        <x:v>TV01-S</x:v>
      </x:c>
      <x:c r="D6" s="5" t="str">
        <x:v>Torony oldalak / bal oldallap</x:v>
      </x:c>
      <x:c r="E6" s="7" t="n">
        <x:v>2330</x:v>
      </x:c>
      <x:c r="F6" s="7" t="n">
        <x:v>382</x:v>
      </x:c>
      <x:c r="G6" s="7" t="n">
        <x:v>18</x:v>
      </x:c>
      <x:c r="H6" s="7" t="str">
        <x:v>M03</x:v>
      </x:c>
      <x:c r="I6" s="7" t="str">
        <x:v>A = belső/felső használati felület</x:v>
      </x:c>
      <x:c r="J6" s="7" t="str">
        <x:v>egyszínű / mintázat egyeztetendő</x:v>
      </x:c>
      <x:c r="K6" s="7" t="str">
        <x:v>E1 / Y=0 (tervezési javaslat)</x:v>
      </x:c>
      <x:c r="L6" s="7" t="str">
        <x:v>E4 / X=0 (tervezési javaslat)</x:v>
      </x:c>
      <x:c r="M6" s="7" t="str">
        <x:v>E1</x:v>
      </x:c>
      <x:c r="N6" s="7" t="str">
        <x:v>E1 látszó első él; E2/E4 szerkezeti vég; E3 hátoldal</x:v>
      </x:c>
      <x:c r="O6" s="8" t="n">
        <x:v>1</x:v>
      </x:c>
      <x:c r="P6" s="8" t="n">
        <x:v>0</x:v>
      </x:c>
      <x:c r="Q6" s="8" t="n">
        <x:v>0</x:v>
      </x:c>
      <x:c r="R6" s="8" t="n">
        <x:v>0</x:v>
      </x:c>
      <x:c r="S6" s="8"/>
      <x:c r="T6" s="8"/>
      <x:c r="U6" s="7" t="str">
        <x:f>IF(COUNT(P6,R6,S6)=3,E6-P6-R6+S6,"NYITOTT")</x:f>
        <x:v>NYITOTT</x:v>
      </x:c>
      <x:c r="V6" s="7" t="str">
        <x:f>IF(COUNT(O6,Q6,T6)=3,F6-O6-Q6+T6,"NYITOTT")</x:f>
        <x:v>NYITOTT</x:v>
      </x:c>
      <x:c r="W6" s="9" t="n">
        <x:f>E6*F6/1000000</x:f>
        <x:v>0.89006</x:v>
      </x:c>
      <x:c r="X6" s="6" t="str">
        <x:v>NYITOTT</x:v>
      </x:c>
      <x:c r="Y6" s="6" t="str">
        <x:v>NEM</x:v>
      </x:c>
      <x:c r="Z6" s="5" t="str">
        <x:v>ALAP - NINCS MEGMUNKALAS</x:v>
      </x:c>
      <x:c r="AA6" s="5" t="str">
        <x:v>R12 lap 2</x:v>
      </x:c>
      <x:c r="AB6" s="5" t="str">
        <x:v>R11 előzetes lista; Tető/fenék oldalak közé</x:v>
      </x:c>
    </x:row>
    <x:row r="7" ht="38" customHeight="1">
      <x:c r="A7" s="5" t="str">
        <x:v>KI12-TV01S-02</x:v>
      </x:c>
      <x:c r="B7" s="5" t="str">
        <x:v>KI12-TV01S-02.mpr</x:v>
      </x:c>
      <x:c r="C7" s="5" t="str">
        <x:v>TV01-S</x:v>
      </x:c>
      <x:c r="D7" s="5" t="str">
        <x:v>Torony oldalak / jobb oldallap</x:v>
      </x:c>
      <x:c r="E7" s="7" t="n">
        <x:v>2330</x:v>
      </x:c>
      <x:c r="F7" s="7" t="n">
        <x:v>382</x:v>
      </x:c>
      <x:c r="G7" s="7" t="n">
        <x:v>18</x:v>
      </x:c>
      <x:c r="H7" s="7" t="str">
        <x:v>M03</x:v>
      </x:c>
      <x:c r="I7" s="7" t="str">
        <x:v>A = belső/felső használati felület</x:v>
      </x:c>
      <x:c r="J7" s="7" t="str">
        <x:v>egyszínű / mintázat egyeztetendő</x:v>
      </x:c>
      <x:c r="K7" s="7" t="str">
        <x:v>E1 / Y=0 (tervezési javaslat)</x:v>
      </x:c>
      <x:c r="L7" s="7" t="str">
        <x:v>E4 / X=0 (tervezési javaslat)</x:v>
      </x:c>
      <x:c r="M7" s="7" t="str">
        <x:v>E1</x:v>
      </x:c>
      <x:c r="N7" s="7" t="str">
        <x:v>E1 látszó első él; E2/E4 szerkezeti vég; E3 hátoldal</x:v>
      </x:c>
      <x:c r="O7" s="8" t="n">
        <x:v>1</x:v>
      </x:c>
      <x:c r="P7" s="8" t="n">
        <x:v>0</x:v>
      </x:c>
      <x:c r="Q7" s="8" t="n">
        <x:v>0</x:v>
      </x:c>
      <x:c r="R7" s="8" t="n">
        <x:v>0</x:v>
      </x:c>
      <x:c r="S7" s="8"/>
      <x:c r="T7" s="8"/>
      <x:c r="U7" s="7" t="str">
        <x:f>IF(COUNT(P7,R7,S7)=3,E7-P7-R7+S7,"NYITOTT")</x:f>
        <x:v>NYITOTT</x:v>
      </x:c>
      <x:c r="V7" s="7" t="str">
        <x:f>IF(COUNT(O7,Q7,T7)=3,F7-O7-Q7+T7,"NYITOTT")</x:f>
        <x:v>NYITOTT</x:v>
      </x:c>
      <x:c r="W7" s="9" t="n">
        <x:f>E7*F7/1000000</x:f>
        <x:v>0.89006</x:v>
      </x:c>
      <x:c r="X7" s="6" t="str">
        <x:v>NYITOTT</x:v>
      </x:c>
      <x:c r="Y7" s="6" t="str">
        <x:v>NEM</x:v>
      </x:c>
      <x:c r="Z7" s="5" t="str">
        <x:v>ALAP - NINCS MEGMUNKALAS</x:v>
      </x:c>
      <x:c r="AA7" s="5" t="str">
        <x:v>R12 lap 3</x:v>
      </x:c>
      <x:c r="AB7" s="5" t="str">
        <x:v>R11 előzetes lista; Tető/fenék oldalak közé</x:v>
      </x:c>
    </x:row>
    <x:row r="8" ht="38" customHeight="1">
      <x:c r="A8" s="5" t="str">
        <x:v>KI12-TV01T-01</x:v>
      </x:c>
      <x:c r="B8" s="5" t="str">
        <x:v>KI12-TV01T-01.mpr</x:v>
      </x:c>
      <x:c r="C8" s="5" t="str">
        <x:v>TV01-T</x:v>
      </x:c>
      <x:c r="D8" s="5" t="str">
        <x:v>Torony tető/fenék / alsó</x:v>
      </x:c>
      <x:c r="E8" s="7" t="n">
        <x:v>684</x:v>
      </x:c>
      <x:c r="F8" s="7" t="n">
        <x:v>382</x:v>
      </x:c>
      <x:c r="G8" s="7" t="n">
        <x:v>18</x:v>
      </x:c>
      <x:c r="H8" s="7" t="str">
        <x:v>M03</x:v>
      </x:c>
      <x:c r="I8" s="7" t="str">
        <x:v>A = belső/felső használati felület</x:v>
      </x:c>
      <x:c r="J8" s="7" t="str">
        <x:v>egyszínű / mintázat egyeztetendő</x:v>
      </x:c>
      <x:c r="K8" s="7" t="str">
        <x:v>E1 / Y=0 (tervezési javaslat)</x:v>
      </x:c>
      <x:c r="L8" s="7" t="str">
        <x:v>E4 / X=0 (tervezési javaslat)</x:v>
      </x:c>
      <x:c r="M8" s="7" t="str">
        <x:v>E1</x:v>
      </x:c>
      <x:c r="N8" s="7" t="str">
        <x:v>E1 látszó első él; E2/E4 szerkezeti vég; E3 hátoldal</x:v>
      </x:c>
      <x:c r="O8" s="8" t="n">
        <x:v>1</x:v>
      </x:c>
      <x:c r="P8" s="8" t="n">
        <x:v>0</x:v>
      </x:c>
      <x:c r="Q8" s="8" t="n">
        <x:v>0</x:v>
      </x:c>
      <x:c r="R8" s="8" t="n">
        <x:v>0</x:v>
      </x:c>
      <x:c r="S8" s="8"/>
      <x:c r="T8" s="8"/>
      <x:c r="U8" s="7" t="str">
        <x:f>IF(COUNT(P8,R8,S8)=3,E8-P8-R8+S8,"NYITOTT")</x:f>
        <x:v>NYITOTT</x:v>
      </x:c>
      <x:c r="V8" s="7" t="str">
        <x:f>IF(COUNT(O8,Q8,T8)=3,F8-O8-Q8+T8,"NYITOTT")</x:f>
        <x:v>NYITOTT</x:v>
      </x:c>
      <x:c r="W8" s="9" t="n">
        <x:f>E8*F8/1000000</x:f>
        <x:v>0.261288</x:v>
      </x:c>
      <x:c r="X8" s="6" t="str">
        <x:v>NYITOTT</x:v>
      </x:c>
      <x:c r="Y8" s="6" t="str">
        <x:v>NEM</x:v>
      </x:c>
      <x:c r="Z8" s="5" t="str">
        <x:v>ALAP - NINCS MEGMUNKALAS</x:v>
      </x:c>
      <x:c r="AA8" s="5" t="str">
        <x:v>R12 lap 4</x:v>
      </x:c>
      <x:c r="AB8" s="5" t="str">
        <x:v>R11 előzetes lista; Két szélső oldal közé; középosztó hossza végleges kötéstől függ!</x:v>
      </x:c>
    </x:row>
    <x:row r="9" ht="38" customHeight="1">
      <x:c r="A9" s="5" t="str">
        <x:v>KI12-TV01T-02</x:v>
      </x:c>
      <x:c r="B9" s="5" t="str">
        <x:v>KI12-TV01T-02.mpr</x:v>
      </x:c>
      <x:c r="C9" s="5" t="str">
        <x:v>TV01-T</x:v>
      </x:c>
      <x:c r="D9" s="5" t="str">
        <x:v>Torony tető/fenék / felső</x:v>
      </x:c>
      <x:c r="E9" s="7" t="n">
        <x:v>684</x:v>
      </x:c>
      <x:c r="F9" s="7" t="n">
        <x:v>382</x:v>
      </x:c>
      <x:c r="G9" s="7" t="n">
        <x:v>18</x:v>
      </x:c>
      <x:c r="H9" s="7" t="str">
        <x:v>M03</x:v>
      </x:c>
      <x:c r="I9" s="7" t="str">
        <x:v>A = belső/felső használati felület</x:v>
      </x:c>
      <x:c r="J9" s="7" t="str">
        <x:v>egyszínű / mintázat egyeztetendő</x:v>
      </x:c>
      <x:c r="K9" s="7" t="str">
        <x:v>E1 / Y=0 (tervezési javaslat)</x:v>
      </x:c>
      <x:c r="L9" s="7" t="str">
        <x:v>E4 / X=0 (tervezési javaslat)</x:v>
      </x:c>
      <x:c r="M9" s="7" t="str">
        <x:v>E1</x:v>
      </x:c>
      <x:c r="N9" s="7" t="str">
        <x:v>E1 látszó első él; E2/E4 szerkezeti vég; E3 hátoldal</x:v>
      </x:c>
      <x:c r="O9" s="8" t="n">
        <x:v>1</x:v>
      </x:c>
      <x:c r="P9" s="8" t="n">
        <x:v>0</x:v>
      </x:c>
      <x:c r="Q9" s="8" t="n">
        <x:v>0</x:v>
      </x:c>
      <x:c r="R9" s="8" t="n">
        <x:v>0</x:v>
      </x:c>
      <x:c r="S9" s="8"/>
      <x:c r="T9" s="8"/>
      <x:c r="U9" s="7" t="str">
        <x:f>IF(COUNT(P9,R9,S9)=3,E9-P9-R9+S9,"NYITOTT")</x:f>
        <x:v>NYITOTT</x:v>
      </x:c>
      <x:c r="V9" s="7" t="str">
        <x:f>IF(COUNT(O9,Q9,T9)=3,F9-O9-Q9+T9,"NYITOTT")</x:f>
        <x:v>NYITOTT</x:v>
      </x:c>
      <x:c r="W9" s="9" t="n">
        <x:f>E9*F9/1000000</x:f>
        <x:v>0.261288</x:v>
      </x:c>
      <x:c r="X9" s="6" t="str">
        <x:v>NYITOTT</x:v>
      </x:c>
      <x:c r="Y9" s="6" t="str">
        <x:v>NEM</x:v>
      </x:c>
      <x:c r="Z9" s="5" t="str">
        <x:v>ALAP - NINCS MEGMUNKALAS</x:v>
      </x:c>
      <x:c r="AA9" s="5" t="str">
        <x:v>R12 lap 5</x:v>
      </x:c>
      <x:c r="AB9" s="5" t="str">
        <x:v>R11 előzetes lista; Két szélső oldal közé; középosztó hossza végleges kötéstől függ!</x:v>
      </x:c>
    </x:row>
    <x:row r="10" ht="38" customHeight="1">
      <x:c r="A10" s="5" t="str">
        <x:v>KI12-TV01C-01</x:v>
      </x:c>
      <x:c r="B10" s="5" t="str">
        <x:v>KI12-TV01C-01.mpr</x:v>
      </x:c>
      <x:c r="C10" s="5" t="str">
        <x:v>TV01-C</x:v>
      </x:c>
      <x:c r="D10" s="5" t="str">
        <x:v>Torony középosztó / példány 1</x:v>
      </x:c>
      <x:c r="E10" s="7" t="n">
        <x:v>2294</x:v>
      </x:c>
      <x:c r="F10" s="7" t="n">
        <x:v>374</x:v>
      </x:c>
      <x:c r="G10" s="7" t="n">
        <x:v>18</x:v>
      </x:c>
      <x:c r="H10" s="7" t="str">
        <x:v>M03</x:v>
      </x:c>
      <x:c r="I10" s="7" t="str">
        <x:v>A = belső/felső használati felület</x:v>
      </x:c>
      <x:c r="J10" s="7" t="str">
        <x:v>egyszínű / mintázat egyeztetendő</x:v>
      </x:c>
      <x:c r="K10" s="7" t="str">
        <x:v>E1 / Y=0 (tervezési javaslat)</x:v>
      </x:c>
      <x:c r="L10" s="7" t="str">
        <x:v>E4 / X=0 (tervezési javaslat)</x:v>
      </x:c>
      <x:c r="M10" s="7" t="str">
        <x:v>E1</x:v>
      </x:c>
      <x:c r="N10" s="7" t="str">
        <x:v>E1 látszó első él; E2/E4 szerkezeti vég; E3 hátoldal</x:v>
      </x:c>
      <x:c r="O10" s="8" t="n">
        <x:v>1</x:v>
      </x:c>
      <x:c r="P10" s="8" t="n">
        <x:v>0</x:v>
      </x:c>
      <x:c r="Q10" s="8" t="n">
        <x:v>0</x:v>
      </x:c>
      <x:c r="R10" s="8" t="n">
        <x:v>0</x:v>
      </x:c>
      <x:c r="S10" s="8"/>
      <x:c r="T10" s="8"/>
      <x:c r="U10" s="7" t="str">
        <x:f>IF(COUNT(P10,R10,S10)=3,E10-P10-R10+S10,"NYITOTT")</x:f>
        <x:v>NYITOTT</x:v>
      </x:c>
      <x:c r="V10" s="7" t="str">
        <x:f>IF(COUNT(O10,Q10,T10)=3,F10-O10-Q10+T10,"NYITOTT")</x:f>
        <x:v>NYITOTT</x:v>
      </x:c>
      <x:c r="W10" s="9" t="n">
        <x:f>E10*F10/1000000</x:f>
        <x:v>0.857956</x:v>
      </x:c>
      <x:c r="X10" s="6" t="str">
        <x:v>NYITOTT</x:v>
      </x:c>
      <x:c r="Y10" s="6" t="str">
        <x:v>NEM</x:v>
      </x:c>
      <x:c r="Z10" s="5" t="str">
        <x:v>ALAP - NINCS MEGMUNKALAS</x:v>
      </x:c>
      <x:c r="AA10" s="5" t="str">
        <x:v>R12 lap 6</x:v>
      </x:c>
      <x:c r="AB10" s="5" t="str">
        <x:v>R11 előzetes lista; Tervezési darabméret; nem gyártási kiadás</x:v>
      </x:c>
    </x:row>
    <x:row r="11" ht="38" customHeight="1">
      <x:c r="A11" s="5" t="str">
        <x:v>KI12-TV01P-01</x:v>
      </x:c>
      <x:c r="B11" s="5" t="str">
        <x:v>KI12-TV01P-01.mpr</x:v>
      </x:c>
      <x:c r="C11" s="5" t="str">
        <x:v>TV01-P</x:v>
      </x:c>
      <x:c r="D11" s="5" t="str">
        <x:v>Torony állítható polc / példány 1</x:v>
      </x:c>
      <x:c r="E11" s="7" t="n">
        <x:v>331</x:v>
      </x:c>
      <x:c r="F11" s="7" t="n">
        <x:v>320</x:v>
      </x:c>
      <x:c r="G11" s="7" t="n">
        <x:v>18</x:v>
      </x:c>
      <x:c r="H11" s="7" t="str">
        <x:v>M03</x:v>
      </x:c>
      <x:c r="I11" s="7" t="str">
        <x:v>A = belső/felső használati felület</x:v>
      </x:c>
      <x:c r="J11" s="7" t="str">
        <x:v>egyszínű / mintázat egyeztetendő</x:v>
      </x:c>
      <x:c r="K11" s="7" t="str">
        <x:v>E1 / Y=0 (tervezési javaslat)</x:v>
      </x:c>
      <x:c r="L11" s="7" t="str">
        <x:v>E4 / X=0 (tervezési javaslat)</x:v>
      </x:c>
      <x:c r="M11" s="7" t="str">
        <x:v>E1</x:v>
      </x:c>
      <x:c r="N11" s="7" t="str">
        <x:v>E1 látszó első él; E2/E4 szerkezeti vég; E3 hátoldal</x:v>
      </x:c>
      <x:c r="O11" s="8" t="n">
        <x:v>1</x:v>
      </x:c>
      <x:c r="P11" s="8" t="n">
        <x:v>0</x:v>
      </x:c>
      <x:c r="Q11" s="8" t="n">
        <x:v>0</x:v>
      </x:c>
      <x:c r="R11" s="8" t="n">
        <x:v>0</x:v>
      </x:c>
      <x:c r="S11" s="8"/>
      <x:c r="T11" s="8"/>
      <x:c r="U11" s="7" t="str">
        <x:f>IF(COUNT(P11,R11,S11)=3,E11-P11-R11+S11,"NYITOTT")</x:f>
        <x:v>NYITOTT</x:v>
      </x:c>
      <x:c r="V11" s="7" t="str">
        <x:f>IF(COUNT(O11,Q11,T11)=3,F11-O11-Q11+T11,"NYITOTT")</x:f>
        <x:v>NYITOTT</x:v>
      </x:c>
      <x:c r="W11" s="9" t="n">
        <x:f>E11*F11/1000000</x:f>
        <x:v>0.10592</x:v>
      </x:c>
      <x:c r="X11" s="6" t="str">
        <x:v>NYITOTT</x:v>
      </x:c>
      <x:c r="Y11" s="6" t="str">
        <x:v>NEM</x:v>
      </x:c>
      <x:c r="Z11" s="5" t="str">
        <x:v>ALAP - NINCS MEGMUNKALAS</x:v>
      </x:c>
      <x:c r="AA11" s="5" t="str">
        <x:v>R12 lap 7</x:v>
      </x:c>
      <x:c r="AB11" s="5" t="str">
        <x:v>R11 előzetes lista; Tervezési darabméret; nem gyártási kiadás</x:v>
      </x:c>
    </x:row>
    <x:row r="12" ht="38" customHeight="1">
      <x:c r="A12" s="5" t="str">
        <x:v>KI12-TV01P-02</x:v>
      </x:c>
      <x:c r="B12" s="5" t="str">
        <x:v>KI12-TV01P-02.mpr</x:v>
      </x:c>
      <x:c r="C12" s="5" t="str">
        <x:v>TV01-P</x:v>
      </x:c>
      <x:c r="D12" s="5" t="str">
        <x:v>Torony állítható polc / példány 2</x:v>
      </x:c>
      <x:c r="E12" s="7" t="n">
        <x:v>331</x:v>
      </x:c>
      <x:c r="F12" s="7" t="n">
        <x:v>320</x:v>
      </x:c>
      <x:c r="G12" s="7" t="n">
        <x:v>18</x:v>
      </x:c>
      <x:c r="H12" s="7" t="str">
        <x:v>M03</x:v>
      </x:c>
      <x:c r="I12" s="7" t="str">
        <x:v>A = belső/felső használati felület</x:v>
      </x:c>
      <x:c r="J12" s="7" t="str">
        <x:v>egyszínű / mintázat egyeztetendő</x:v>
      </x:c>
      <x:c r="K12" s="7" t="str">
        <x:v>E1 / Y=0 (tervezési javaslat)</x:v>
      </x:c>
      <x:c r="L12" s="7" t="str">
        <x:v>E4 / X=0 (tervezési javaslat)</x:v>
      </x:c>
      <x:c r="M12" s="7" t="str">
        <x:v>E1</x:v>
      </x:c>
      <x:c r="N12" s="7" t="str">
        <x:v>E1 látszó első él; E2/E4 szerkezeti vég; E3 hátoldal</x:v>
      </x:c>
      <x:c r="O12" s="8" t="n">
        <x:v>1</x:v>
      </x:c>
      <x:c r="P12" s="8" t="n">
        <x:v>0</x:v>
      </x:c>
      <x:c r="Q12" s="8" t="n">
        <x:v>0</x:v>
      </x:c>
      <x:c r="R12" s="8" t="n">
        <x:v>0</x:v>
      </x:c>
      <x:c r="S12" s="8"/>
      <x:c r="T12" s="8"/>
      <x:c r="U12" s="7" t="str">
        <x:f>IF(COUNT(P12,R12,S12)=3,E12-P12-R12+S12,"NYITOTT")</x:f>
        <x:v>NYITOTT</x:v>
      </x:c>
      <x:c r="V12" s="7" t="str">
        <x:f>IF(COUNT(O12,Q12,T12)=3,F12-O12-Q12+T12,"NYITOTT")</x:f>
        <x:v>NYITOTT</x:v>
      </x:c>
      <x:c r="W12" s="9" t="n">
        <x:f>E12*F12/1000000</x:f>
        <x:v>0.10592</x:v>
      </x:c>
      <x:c r="X12" s="6" t="str">
        <x:v>NYITOTT</x:v>
      </x:c>
      <x:c r="Y12" s="6" t="str">
        <x:v>NEM</x:v>
      </x:c>
      <x:c r="Z12" s="5" t="str">
        <x:v>ALAP - NINCS MEGMUNKALAS</x:v>
      </x:c>
      <x:c r="AA12" s="5" t="str">
        <x:v>R12 lap 8</x:v>
      </x:c>
      <x:c r="AB12" s="5" t="str">
        <x:v>R11 előzetes lista; Tervezési darabméret; nem gyártási kiadás</x:v>
      </x:c>
    </x:row>
    <x:row r="13" ht="38" customHeight="1">
      <x:c r="A13" s="5" t="str">
        <x:v>KI12-TV01P-03</x:v>
      </x:c>
      <x:c r="B13" s="5" t="str">
        <x:v>KI12-TV01P-03.mpr</x:v>
      </x:c>
      <x:c r="C13" s="5" t="str">
        <x:v>TV01-P</x:v>
      </x:c>
      <x:c r="D13" s="5" t="str">
        <x:v>Torony állítható polc / példány 3</x:v>
      </x:c>
      <x:c r="E13" s="7" t="n">
        <x:v>331</x:v>
      </x:c>
      <x:c r="F13" s="7" t="n">
        <x:v>320</x:v>
      </x:c>
      <x:c r="G13" s="7" t="n">
        <x:v>18</x:v>
      </x:c>
      <x:c r="H13" s="7" t="str">
        <x:v>M03</x:v>
      </x:c>
      <x:c r="I13" s="7" t="str">
        <x:v>A = belső/felső használati felület</x:v>
      </x:c>
      <x:c r="J13" s="7" t="str">
        <x:v>egyszínű / mintázat egyeztetendő</x:v>
      </x:c>
      <x:c r="K13" s="7" t="str">
        <x:v>E1 / Y=0 (tervezési javaslat)</x:v>
      </x:c>
      <x:c r="L13" s="7" t="str">
        <x:v>E4 / X=0 (tervezési javaslat)</x:v>
      </x:c>
      <x:c r="M13" s="7" t="str">
        <x:v>E1</x:v>
      </x:c>
      <x:c r="N13" s="7" t="str">
        <x:v>E1 látszó első él; E2/E4 szerkezeti vég; E3 hátoldal</x:v>
      </x:c>
      <x:c r="O13" s="8" t="n">
        <x:v>1</x:v>
      </x:c>
      <x:c r="P13" s="8" t="n">
        <x:v>0</x:v>
      </x:c>
      <x:c r="Q13" s="8" t="n">
        <x:v>0</x:v>
      </x:c>
      <x:c r="R13" s="8" t="n">
        <x:v>0</x:v>
      </x:c>
      <x:c r="S13" s="8"/>
      <x:c r="T13" s="8"/>
      <x:c r="U13" s="7" t="str">
        <x:f>IF(COUNT(P13,R13,S13)=3,E13-P13-R13+S13,"NYITOTT")</x:f>
        <x:v>NYITOTT</x:v>
      </x:c>
      <x:c r="V13" s="7" t="str">
        <x:f>IF(COUNT(O13,Q13,T13)=3,F13-O13-Q13+T13,"NYITOTT")</x:f>
        <x:v>NYITOTT</x:v>
      </x:c>
      <x:c r="W13" s="9" t="n">
        <x:f>E13*F13/1000000</x:f>
        <x:v>0.10592</x:v>
      </x:c>
      <x:c r="X13" s="6" t="str">
        <x:v>NYITOTT</x:v>
      </x:c>
      <x:c r="Y13" s="6" t="str">
        <x:v>NEM</x:v>
      </x:c>
      <x:c r="Z13" s="5" t="str">
        <x:v>ALAP - NINCS MEGMUNKALAS</x:v>
      </x:c>
      <x:c r="AA13" s="5" t="str">
        <x:v>R12 lap 9</x:v>
      </x:c>
      <x:c r="AB13" s="5" t="str">
        <x:v>R11 előzetes lista; Tervezési darabméret; nem gyártási kiadás</x:v>
      </x:c>
    </x:row>
    <x:row r="14" ht="38" customHeight="1">
      <x:c r="A14" s="5" t="str">
        <x:v>KI12-TV01P-04</x:v>
      </x:c>
      <x:c r="B14" s="5" t="str">
        <x:v>KI12-TV01P-04.mpr</x:v>
      </x:c>
      <x:c r="C14" s="5" t="str">
        <x:v>TV01-P</x:v>
      </x:c>
      <x:c r="D14" s="5" t="str">
        <x:v>Torony állítható polc / példány 4</x:v>
      </x:c>
      <x:c r="E14" s="7" t="n">
        <x:v>331</x:v>
      </x:c>
      <x:c r="F14" s="7" t="n">
        <x:v>320</x:v>
      </x:c>
      <x:c r="G14" s="7" t="n">
        <x:v>18</x:v>
      </x:c>
      <x:c r="H14" s="7" t="str">
        <x:v>M03</x:v>
      </x:c>
      <x:c r="I14" s="7" t="str">
        <x:v>A = belső/felső használati felület</x:v>
      </x:c>
      <x:c r="J14" s="7" t="str">
        <x:v>egyszínű / mintázat egyeztetendő</x:v>
      </x:c>
      <x:c r="K14" s="7" t="str">
        <x:v>E1 / Y=0 (tervezési javaslat)</x:v>
      </x:c>
      <x:c r="L14" s="7" t="str">
        <x:v>E4 / X=0 (tervezési javaslat)</x:v>
      </x:c>
      <x:c r="M14" s="7" t="str">
        <x:v>E1</x:v>
      </x:c>
      <x:c r="N14" s="7" t="str">
        <x:v>E1 látszó első él; E2/E4 szerkezeti vég; E3 hátoldal</x:v>
      </x:c>
      <x:c r="O14" s="8" t="n">
        <x:v>1</x:v>
      </x:c>
      <x:c r="P14" s="8" t="n">
        <x:v>0</x:v>
      </x:c>
      <x:c r="Q14" s="8" t="n">
        <x:v>0</x:v>
      </x:c>
      <x:c r="R14" s="8" t="n">
        <x:v>0</x:v>
      </x:c>
      <x:c r="S14" s="8"/>
      <x:c r="T14" s="8"/>
      <x:c r="U14" s="7" t="str">
        <x:f>IF(COUNT(P14,R14,S14)=3,E14-P14-R14+S14,"NYITOTT")</x:f>
        <x:v>NYITOTT</x:v>
      </x:c>
      <x:c r="V14" s="7" t="str">
        <x:f>IF(COUNT(O14,Q14,T14)=3,F14-O14-Q14+T14,"NYITOTT")</x:f>
        <x:v>NYITOTT</x:v>
      </x:c>
      <x:c r="W14" s="9" t="n">
        <x:f>E14*F14/1000000</x:f>
        <x:v>0.10592</x:v>
      </x:c>
      <x:c r="X14" s="6" t="str">
        <x:v>NYITOTT</x:v>
      </x:c>
      <x:c r="Y14" s="6" t="str">
        <x:v>NEM</x:v>
      </x:c>
      <x:c r="Z14" s="5" t="str">
        <x:v>ALAP - NINCS MEGMUNKALAS</x:v>
      </x:c>
      <x:c r="AA14" s="5" t="str">
        <x:v>R12 lap 10</x:v>
      </x:c>
      <x:c r="AB14" s="5" t="str">
        <x:v>R11 előzetes lista; Tervezési darabméret; nem gyártási kiadás</x:v>
      </x:c>
    </x:row>
    <x:row r="15" ht="38" customHeight="1">
      <x:c r="A15" s="5" t="str">
        <x:v>KI12-TV01P-05</x:v>
      </x:c>
      <x:c r="B15" s="5" t="str">
        <x:v>KI12-TV01P-05.mpr</x:v>
      </x:c>
      <x:c r="C15" s="5" t="str">
        <x:v>TV01-P</x:v>
      </x:c>
      <x:c r="D15" s="5" t="str">
        <x:v>Torony állítható polc / példány 5</x:v>
      </x:c>
      <x:c r="E15" s="7" t="n">
        <x:v>331</x:v>
      </x:c>
      <x:c r="F15" s="7" t="n">
        <x:v>320</x:v>
      </x:c>
      <x:c r="G15" s="7" t="n">
        <x:v>18</x:v>
      </x:c>
      <x:c r="H15" s="7" t="str">
        <x:v>M03</x:v>
      </x:c>
      <x:c r="I15" s="7" t="str">
        <x:v>A = belső/felső használati felület</x:v>
      </x:c>
      <x:c r="J15" s="7" t="str">
        <x:v>egyszínű / mintázat egyeztetendő</x:v>
      </x:c>
      <x:c r="K15" s="7" t="str">
        <x:v>E1 / Y=0 (tervezési javaslat)</x:v>
      </x:c>
      <x:c r="L15" s="7" t="str">
        <x:v>E4 / X=0 (tervezési javaslat)</x:v>
      </x:c>
      <x:c r="M15" s="7" t="str">
        <x:v>E1</x:v>
      </x:c>
      <x:c r="N15" s="7" t="str">
        <x:v>E1 látszó első él; E2/E4 szerkezeti vég; E3 hátoldal</x:v>
      </x:c>
      <x:c r="O15" s="8" t="n">
        <x:v>1</x:v>
      </x:c>
      <x:c r="P15" s="8" t="n">
        <x:v>0</x:v>
      </x:c>
      <x:c r="Q15" s="8" t="n">
        <x:v>0</x:v>
      </x:c>
      <x:c r="R15" s="8" t="n">
        <x:v>0</x:v>
      </x:c>
      <x:c r="S15" s="8"/>
      <x:c r="T15" s="8"/>
      <x:c r="U15" s="7" t="str">
        <x:f>IF(COUNT(P15,R15,S15)=3,E15-P15-R15+S15,"NYITOTT")</x:f>
        <x:v>NYITOTT</x:v>
      </x:c>
      <x:c r="V15" s="7" t="str">
        <x:f>IF(COUNT(O15,Q15,T15)=3,F15-O15-Q15+T15,"NYITOTT")</x:f>
        <x:v>NYITOTT</x:v>
      </x:c>
      <x:c r="W15" s="9" t="n">
        <x:f>E15*F15/1000000</x:f>
        <x:v>0.10592</x:v>
      </x:c>
      <x:c r="X15" s="6" t="str">
        <x:v>NYITOTT</x:v>
      </x:c>
      <x:c r="Y15" s="6" t="str">
        <x:v>NEM</x:v>
      </x:c>
      <x:c r="Z15" s="5" t="str">
        <x:v>ALAP - NINCS MEGMUNKALAS</x:v>
      </x:c>
      <x:c r="AA15" s="5" t="str">
        <x:v>R12 lap 11</x:v>
      </x:c>
      <x:c r="AB15" s="5" t="str">
        <x:v>R11 előzetes lista; Tervezési darabméret; nem gyártási kiadás</x:v>
      </x:c>
    </x:row>
    <x:row r="16" ht="38" customHeight="1">
      <x:c r="A16" s="5" t="str">
        <x:v>KI12-TV01P-06</x:v>
      </x:c>
      <x:c r="B16" s="5" t="str">
        <x:v>KI12-TV01P-06.mpr</x:v>
      </x:c>
      <x:c r="C16" s="5" t="str">
        <x:v>TV01-P</x:v>
      </x:c>
      <x:c r="D16" s="5" t="str">
        <x:v>Torony állítható polc / példány 6</x:v>
      </x:c>
      <x:c r="E16" s="7" t="n">
        <x:v>331</x:v>
      </x:c>
      <x:c r="F16" s="7" t="n">
        <x:v>320</x:v>
      </x:c>
      <x:c r="G16" s="7" t="n">
        <x:v>18</x:v>
      </x:c>
      <x:c r="H16" s="7" t="str">
        <x:v>M03</x:v>
      </x:c>
      <x:c r="I16" s="7" t="str">
        <x:v>A = belső/felső használati felület</x:v>
      </x:c>
      <x:c r="J16" s="7" t="str">
        <x:v>egyszínű / mintázat egyeztetendő</x:v>
      </x:c>
      <x:c r="K16" s="7" t="str">
        <x:v>E1 / Y=0 (tervezési javaslat)</x:v>
      </x:c>
      <x:c r="L16" s="7" t="str">
        <x:v>E4 / X=0 (tervezési javaslat)</x:v>
      </x:c>
      <x:c r="M16" s="7" t="str">
        <x:v>E1</x:v>
      </x:c>
      <x:c r="N16" s="7" t="str">
        <x:v>E1 látszó első él; E2/E4 szerkezeti vég; E3 hátoldal</x:v>
      </x:c>
      <x:c r="O16" s="8" t="n">
        <x:v>1</x:v>
      </x:c>
      <x:c r="P16" s="8" t="n">
        <x:v>0</x:v>
      </x:c>
      <x:c r="Q16" s="8" t="n">
        <x:v>0</x:v>
      </x:c>
      <x:c r="R16" s="8" t="n">
        <x:v>0</x:v>
      </x:c>
      <x:c r="S16" s="8"/>
      <x:c r="T16" s="8"/>
      <x:c r="U16" s="7" t="str">
        <x:f>IF(COUNT(P16,R16,S16)=3,E16-P16-R16+S16,"NYITOTT")</x:f>
        <x:v>NYITOTT</x:v>
      </x:c>
      <x:c r="V16" s="7" t="str">
        <x:f>IF(COUNT(O16,Q16,T16)=3,F16-O16-Q16+T16,"NYITOTT")</x:f>
        <x:v>NYITOTT</x:v>
      </x:c>
      <x:c r="W16" s="9" t="n">
        <x:f>E16*F16/1000000</x:f>
        <x:v>0.10592</x:v>
      </x:c>
      <x:c r="X16" s="6" t="str">
        <x:v>NYITOTT</x:v>
      </x:c>
      <x:c r="Y16" s="6" t="str">
        <x:v>NEM</x:v>
      </x:c>
      <x:c r="Z16" s="5" t="str">
        <x:v>ALAP - NINCS MEGMUNKALAS</x:v>
      </x:c>
      <x:c r="AA16" s="5" t="str">
        <x:v>R12 lap 12</x:v>
      </x:c>
      <x:c r="AB16" s="5" t="str">
        <x:v>R11 előzetes lista; Tervezési darabméret; nem gyártási kiadás</x:v>
      </x:c>
    </x:row>
    <x:row r="17" ht="38" customHeight="1">
      <x:c r="A17" s="5" t="str">
        <x:v>KI12-TV01P-07</x:v>
      </x:c>
      <x:c r="B17" s="5" t="str">
        <x:v>KI12-TV01P-07.mpr</x:v>
      </x:c>
      <x:c r="C17" s="5" t="str">
        <x:v>TV01-P</x:v>
      </x:c>
      <x:c r="D17" s="5" t="str">
        <x:v>Torony állítható polc / példány 7</x:v>
      </x:c>
      <x:c r="E17" s="7" t="n">
        <x:v>331</x:v>
      </x:c>
      <x:c r="F17" s="7" t="n">
        <x:v>320</x:v>
      </x:c>
      <x:c r="G17" s="7" t="n">
        <x:v>18</x:v>
      </x:c>
      <x:c r="H17" s="7" t="str">
        <x:v>M03</x:v>
      </x:c>
      <x:c r="I17" s="7" t="str">
        <x:v>A = belső/felső használati felület</x:v>
      </x:c>
      <x:c r="J17" s="7" t="str">
        <x:v>egyszínű / mintázat egyeztetendő</x:v>
      </x:c>
      <x:c r="K17" s="7" t="str">
        <x:v>E1 / Y=0 (tervezési javaslat)</x:v>
      </x:c>
      <x:c r="L17" s="7" t="str">
        <x:v>E4 / X=0 (tervezési javaslat)</x:v>
      </x:c>
      <x:c r="M17" s="7" t="str">
        <x:v>E1</x:v>
      </x:c>
      <x:c r="N17" s="7" t="str">
        <x:v>E1 látszó első él; E2/E4 szerkezeti vég; E3 hátoldal</x:v>
      </x:c>
      <x:c r="O17" s="8" t="n">
        <x:v>1</x:v>
      </x:c>
      <x:c r="P17" s="8" t="n">
        <x:v>0</x:v>
      </x:c>
      <x:c r="Q17" s="8" t="n">
        <x:v>0</x:v>
      </x:c>
      <x:c r="R17" s="8" t="n">
        <x:v>0</x:v>
      </x:c>
      <x:c r="S17" s="8"/>
      <x:c r="T17" s="8"/>
      <x:c r="U17" s="7" t="str">
        <x:f>IF(COUNT(P17,R17,S17)=3,E17-P17-R17+S17,"NYITOTT")</x:f>
        <x:v>NYITOTT</x:v>
      </x:c>
      <x:c r="V17" s="7" t="str">
        <x:f>IF(COUNT(O17,Q17,T17)=3,F17-O17-Q17+T17,"NYITOTT")</x:f>
        <x:v>NYITOTT</x:v>
      </x:c>
      <x:c r="W17" s="9" t="n">
        <x:f>E17*F17/1000000</x:f>
        <x:v>0.10592</x:v>
      </x:c>
      <x:c r="X17" s="6" t="str">
        <x:v>NYITOTT</x:v>
      </x:c>
      <x:c r="Y17" s="6" t="str">
        <x:v>NEM</x:v>
      </x:c>
      <x:c r="Z17" s="5" t="str">
        <x:v>ALAP - NINCS MEGMUNKALAS</x:v>
      </x:c>
      <x:c r="AA17" s="5" t="str">
        <x:v>R12 lap 13</x:v>
      </x:c>
      <x:c r="AB17" s="5" t="str">
        <x:v>R11 előzetes lista; Tervezési darabméret; nem gyártási kiadás</x:v>
      </x:c>
    </x:row>
    <x:row r="18" ht="38" customHeight="1">
      <x:c r="A18" s="5" t="str">
        <x:v>KI12-TV01P-08</x:v>
      </x:c>
      <x:c r="B18" s="5" t="str">
        <x:v>KI12-TV01P-08.mpr</x:v>
      </x:c>
      <x:c r="C18" s="5" t="str">
        <x:v>TV01-P</x:v>
      </x:c>
      <x:c r="D18" s="5" t="str">
        <x:v>Torony állítható polc / példány 8</x:v>
      </x:c>
      <x:c r="E18" s="7" t="n">
        <x:v>331</x:v>
      </x:c>
      <x:c r="F18" s="7" t="n">
        <x:v>320</x:v>
      </x:c>
      <x:c r="G18" s="7" t="n">
        <x:v>18</x:v>
      </x:c>
      <x:c r="H18" s="7" t="str">
        <x:v>M03</x:v>
      </x:c>
      <x:c r="I18" s="7" t="str">
        <x:v>A = belső/felső használati felület</x:v>
      </x:c>
      <x:c r="J18" s="7" t="str">
        <x:v>egyszínű / mintázat egyeztetendő</x:v>
      </x:c>
      <x:c r="K18" s="7" t="str">
        <x:v>E1 / Y=0 (tervezési javaslat)</x:v>
      </x:c>
      <x:c r="L18" s="7" t="str">
        <x:v>E4 / X=0 (tervezési javaslat)</x:v>
      </x:c>
      <x:c r="M18" s="7" t="str">
        <x:v>E1</x:v>
      </x:c>
      <x:c r="N18" s="7" t="str">
        <x:v>E1 látszó első él; E2/E4 szerkezeti vég; E3 hátoldal</x:v>
      </x:c>
      <x:c r="O18" s="8" t="n">
        <x:v>1</x:v>
      </x:c>
      <x:c r="P18" s="8" t="n">
        <x:v>0</x:v>
      </x:c>
      <x:c r="Q18" s="8" t="n">
        <x:v>0</x:v>
      </x:c>
      <x:c r="R18" s="8" t="n">
        <x:v>0</x:v>
      </x:c>
      <x:c r="S18" s="8"/>
      <x:c r="T18" s="8"/>
      <x:c r="U18" s="7" t="str">
        <x:f>IF(COUNT(P18,R18,S18)=3,E18-P18-R18+S18,"NYITOTT")</x:f>
        <x:v>NYITOTT</x:v>
      </x:c>
      <x:c r="V18" s="7" t="str">
        <x:f>IF(COUNT(O18,Q18,T18)=3,F18-O18-Q18+T18,"NYITOTT")</x:f>
        <x:v>NYITOTT</x:v>
      </x:c>
      <x:c r="W18" s="9" t="n">
        <x:f>E18*F18/1000000</x:f>
        <x:v>0.10592</x:v>
      </x:c>
      <x:c r="X18" s="6" t="str">
        <x:v>NYITOTT</x:v>
      </x:c>
      <x:c r="Y18" s="6" t="str">
        <x:v>NEM</x:v>
      </x:c>
      <x:c r="Z18" s="5" t="str">
        <x:v>ALAP - NINCS MEGMUNKALAS</x:v>
      </x:c>
      <x:c r="AA18" s="5" t="str">
        <x:v>R12 lap 14</x:v>
      </x:c>
      <x:c r="AB18" s="5" t="str">
        <x:v>R11 előzetes lista; Tervezési darabméret; nem gyártási kiadás</x:v>
      </x:c>
    </x:row>
    <x:row r="19" ht="38" customHeight="1">
      <x:c r="A19" s="5" t="str">
        <x:v>KI12-TV01P-09</x:v>
      </x:c>
      <x:c r="B19" s="5" t="str">
        <x:v>KI12-TV01P-09.mpr</x:v>
      </x:c>
      <x:c r="C19" s="5" t="str">
        <x:v>TV01-P</x:v>
      </x:c>
      <x:c r="D19" s="5" t="str">
        <x:v>Torony állítható polc / példány 9</x:v>
      </x:c>
      <x:c r="E19" s="7" t="n">
        <x:v>331</x:v>
      </x:c>
      <x:c r="F19" s="7" t="n">
        <x:v>320</x:v>
      </x:c>
      <x:c r="G19" s="7" t="n">
        <x:v>18</x:v>
      </x:c>
      <x:c r="H19" s="7" t="str">
        <x:v>M03</x:v>
      </x:c>
      <x:c r="I19" s="7" t="str">
        <x:v>A = belső/felső használati felület</x:v>
      </x:c>
      <x:c r="J19" s="7" t="str">
        <x:v>egyszínű / mintázat egyeztetendő</x:v>
      </x:c>
      <x:c r="K19" s="7" t="str">
        <x:v>E1 / Y=0 (tervezési javaslat)</x:v>
      </x:c>
      <x:c r="L19" s="7" t="str">
        <x:v>E4 / X=0 (tervezési javaslat)</x:v>
      </x:c>
      <x:c r="M19" s="7" t="str">
        <x:v>E1</x:v>
      </x:c>
      <x:c r="N19" s="7" t="str">
        <x:v>E1 látszó első él; E2/E4 szerkezeti vég; E3 hátoldal</x:v>
      </x:c>
      <x:c r="O19" s="8" t="n">
        <x:v>1</x:v>
      </x:c>
      <x:c r="P19" s="8" t="n">
        <x:v>0</x:v>
      </x:c>
      <x:c r="Q19" s="8" t="n">
        <x:v>0</x:v>
      </x:c>
      <x:c r="R19" s="8" t="n">
        <x:v>0</x:v>
      </x:c>
      <x:c r="S19" s="8"/>
      <x:c r="T19" s="8"/>
      <x:c r="U19" s="7" t="str">
        <x:f>IF(COUNT(P19,R19,S19)=3,E19-P19-R19+S19,"NYITOTT")</x:f>
        <x:v>NYITOTT</x:v>
      </x:c>
      <x:c r="V19" s="7" t="str">
        <x:f>IF(COUNT(O19,Q19,T19)=3,F19-O19-Q19+T19,"NYITOTT")</x:f>
        <x:v>NYITOTT</x:v>
      </x:c>
      <x:c r="W19" s="9" t="n">
        <x:f>E19*F19/1000000</x:f>
        <x:v>0.10592</x:v>
      </x:c>
      <x:c r="X19" s="6" t="str">
        <x:v>NYITOTT</x:v>
      </x:c>
      <x:c r="Y19" s="6" t="str">
        <x:v>NEM</x:v>
      </x:c>
      <x:c r="Z19" s="5" t="str">
        <x:v>ALAP - NINCS MEGMUNKALAS</x:v>
      </x:c>
      <x:c r="AA19" s="5" t="str">
        <x:v>R12 lap 15</x:v>
      </x:c>
      <x:c r="AB19" s="5" t="str">
        <x:v>R11 előzetes lista; Tervezési darabméret; nem gyártási kiadás</x:v>
      </x:c>
    </x:row>
    <x:row r="20" ht="38" customHeight="1">
      <x:c r="A20" s="5" t="str">
        <x:v>KI12-TV01P-10</x:v>
      </x:c>
      <x:c r="B20" s="5" t="str">
        <x:v>KI12-TV01P-10.mpr</x:v>
      </x:c>
      <x:c r="C20" s="5" t="str">
        <x:v>TV01-P</x:v>
      </x:c>
      <x:c r="D20" s="5" t="str">
        <x:v>Torony állítható polc / példány 10</x:v>
      </x:c>
      <x:c r="E20" s="7" t="n">
        <x:v>331</x:v>
      </x:c>
      <x:c r="F20" s="7" t="n">
        <x:v>320</x:v>
      </x:c>
      <x:c r="G20" s="7" t="n">
        <x:v>18</x:v>
      </x:c>
      <x:c r="H20" s="7" t="str">
        <x:v>M03</x:v>
      </x:c>
      <x:c r="I20" s="7" t="str">
        <x:v>A = belső/felső használati felület</x:v>
      </x:c>
      <x:c r="J20" s="7" t="str">
        <x:v>egyszínű / mintázat egyeztetendő</x:v>
      </x:c>
      <x:c r="K20" s="7" t="str">
        <x:v>E1 / Y=0 (tervezési javaslat)</x:v>
      </x:c>
      <x:c r="L20" s="7" t="str">
        <x:v>E4 / X=0 (tervezési javaslat)</x:v>
      </x:c>
      <x:c r="M20" s="7" t="str">
        <x:v>E1</x:v>
      </x:c>
      <x:c r="N20" s="7" t="str">
        <x:v>E1 látszó első él; E2/E4 szerkezeti vég; E3 hátoldal</x:v>
      </x:c>
      <x:c r="O20" s="8" t="n">
        <x:v>1</x:v>
      </x:c>
      <x:c r="P20" s="8" t="n">
        <x:v>0</x:v>
      </x:c>
      <x:c r="Q20" s="8" t="n">
        <x:v>0</x:v>
      </x:c>
      <x:c r="R20" s="8" t="n">
        <x:v>0</x:v>
      </x:c>
      <x:c r="S20" s="8"/>
      <x:c r="T20" s="8"/>
      <x:c r="U20" s="7" t="str">
        <x:f>IF(COUNT(P20,R20,S20)=3,E20-P20-R20+S20,"NYITOTT")</x:f>
        <x:v>NYITOTT</x:v>
      </x:c>
      <x:c r="V20" s="7" t="str">
        <x:f>IF(COUNT(O20,Q20,T20)=3,F20-O20-Q20+T20,"NYITOTT")</x:f>
        <x:v>NYITOTT</x:v>
      </x:c>
      <x:c r="W20" s="9" t="n">
        <x:f>E20*F20/1000000</x:f>
        <x:v>0.10592</x:v>
      </x:c>
      <x:c r="X20" s="6" t="str">
        <x:v>NYITOTT</x:v>
      </x:c>
      <x:c r="Y20" s="6" t="str">
        <x:v>NEM</x:v>
      </x:c>
      <x:c r="Z20" s="5" t="str">
        <x:v>ALAP - NINCS MEGMUNKALAS</x:v>
      </x:c>
      <x:c r="AA20" s="5" t="str">
        <x:v>R12 lap 16</x:v>
      </x:c>
      <x:c r="AB20" s="5" t="str">
        <x:v>R11 előzetes lista; Tervezési darabméret; nem gyártási kiadás</x:v>
      </x:c>
    </x:row>
    <x:row r="21" ht="38" customHeight="1">
      <x:c r="A21" s="5" t="str">
        <x:v>KI12-TV01F-01</x:v>
      </x:c>
      <x:c r="B21" s="5" t="str">
        <x:v>KI12-TV01F-01.mpr</x:v>
      </x:c>
      <x:c r="C21" s="5" t="str">
        <x:v>TV01-F</x:v>
      </x:c>
      <x:c r="D21" s="5" t="str">
        <x:v>Torony front / bal ajtó</x:v>
      </x:c>
      <x:c r="E21" s="7" t="n">
        <x:v>2327</x:v>
      </x:c>
      <x:c r="F21" s="7" t="n">
        <x:v>357</x:v>
      </x:c>
      <x:c r="G21" s="7" t="n">
        <x:v>18</x:v>
      </x:c>
      <x:c r="H21" s="7" t="str">
        <x:v>M01+nyomat</x:v>
      </x:c>
      <x:c r="I21" s="7" t="str">
        <x:v>A = látszó homlokfelület</x:v>
      </x:c>
      <x:c r="J21" s="7" t="str">
        <x:v>X irány: magasság</x:v>
      </x:c>
      <x:c r="K21" s="7" t="str">
        <x:v>E1 / Y=0 (tervezési javaslat)</x:v>
      </x:c>
      <x:c r="L21" s="7" t="str">
        <x:v>E4 / X=0 (tervezési javaslat)</x:v>
      </x:c>
      <x:c r="M21" s="7" t="str">
        <x:v>mind4 él</x:v>
      </x:c>
      <x:c r="N21" s="7" t="str">
        <x:v>E1..E4 látszó kerület; ajtó esetén pántoldal még kijelölendő</x:v>
      </x:c>
      <x:c r="O21" s="8" t="n">
        <x:v>1</x:v>
      </x:c>
      <x:c r="P21" s="8" t="n">
        <x:v>1</x:v>
      </x:c>
      <x:c r="Q21" s="8" t="n">
        <x:v>1</x:v>
      </x:c>
      <x:c r="R21" s="8" t="n">
        <x:v>1</x:v>
      </x:c>
      <x:c r="S21" s="8"/>
      <x:c r="T21" s="8"/>
      <x:c r="U21" s="7" t="str">
        <x:f>IF(COUNT(P21,R21,S21)=3,E21-P21-R21+S21,"NYITOTT")</x:f>
        <x:v>NYITOTT</x:v>
      </x:c>
      <x:c r="V21" s="7" t="str">
        <x:f>IF(COUNT(O21,Q21,T21)=3,F21-O21-Q21+T21,"NYITOTT")</x:f>
        <x:v>NYITOTT</x:v>
      </x:c>
      <x:c r="W21" s="9" t="n">
        <x:f>E21*F21/1000000</x:f>
        <x:v>0.830739</x:v>
      </x:c>
      <x:c r="X21" s="6" t="str">
        <x:v>NYITOTT</x:v>
      </x:c>
      <x:c r="Y21" s="6" t="str">
        <x:v>NEM</x:v>
      </x:c>
      <x:c r="Z21" s="5" t="str">
        <x:v>ALAP - NINCS MEGMUNKALAS</x:v>
      </x:c>
      <x:c r="AA21" s="5" t="str">
        <x:v>R12 lap 17</x:v>
      </x:c>
      <x:c r="AB21" s="5" t="str">
        <x:v>R11 előzetes lista; Nyomat és vetemedés gyártóval egyeztetendő</x:v>
      </x:c>
    </x:row>
    <x:row r="22" ht="38" customHeight="1">
      <x:c r="A22" s="5" t="str">
        <x:v>KI12-TV01F-02</x:v>
      </x:c>
      <x:c r="B22" s="5" t="str">
        <x:v>KI12-TV01F-02.mpr</x:v>
      </x:c>
      <x:c r="C22" s="5" t="str">
        <x:v>TV01-F</x:v>
      </x:c>
      <x:c r="D22" s="5" t="str">
        <x:v>Torony front / jobb ajtó</x:v>
      </x:c>
      <x:c r="E22" s="7" t="n">
        <x:v>2327</x:v>
      </x:c>
      <x:c r="F22" s="7" t="n">
        <x:v>357</x:v>
      </x:c>
      <x:c r="G22" s="7" t="n">
        <x:v>18</x:v>
      </x:c>
      <x:c r="H22" s="7" t="str">
        <x:v>M01+nyomat</x:v>
      </x:c>
      <x:c r="I22" s="7" t="str">
        <x:v>A = látszó homlokfelület</x:v>
      </x:c>
      <x:c r="J22" s="7" t="str">
        <x:v>X irány: magasság</x:v>
      </x:c>
      <x:c r="K22" s="7" t="str">
        <x:v>E1 / Y=0 (tervezési javaslat)</x:v>
      </x:c>
      <x:c r="L22" s="7" t="str">
        <x:v>E4 / X=0 (tervezési javaslat)</x:v>
      </x:c>
      <x:c r="M22" s="7" t="str">
        <x:v>mind4 él</x:v>
      </x:c>
      <x:c r="N22" s="7" t="str">
        <x:v>E1..E4 látszó kerület; ajtó esetén pántoldal még kijelölendő</x:v>
      </x:c>
      <x:c r="O22" s="8" t="n">
        <x:v>1</x:v>
      </x:c>
      <x:c r="P22" s="8" t="n">
        <x:v>1</x:v>
      </x:c>
      <x:c r="Q22" s="8" t="n">
        <x:v>1</x:v>
      </x:c>
      <x:c r="R22" s="8" t="n">
        <x:v>1</x:v>
      </x:c>
      <x:c r="S22" s="8"/>
      <x:c r="T22" s="8"/>
      <x:c r="U22" s="7" t="str">
        <x:f>IF(COUNT(P22,R22,S22)=3,E22-P22-R22+S22,"NYITOTT")</x:f>
        <x:v>NYITOTT</x:v>
      </x:c>
      <x:c r="V22" s="7" t="str">
        <x:f>IF(COUNT(O22,Q22,T22)=3,F22-O22-Q22+T22,"NYITOTT")</x:f>
        <x:v>NYITOTT</x:v>
      </x:c>
      <x:c r="W22" s="9" t="n">
        <x:f>E22*F22/1000000</x:f>
        <x:v>0.830739</x:v>
      </x:c>
      <x:c r="X22" s="6" t="str">
        <x:v>NYITOTT</x:v>
      </x:c>
      <x:c r="Y22" s="6" t="str">
        <x:v>NEM</x:v>
      </x:c>
      <x:c r="Z22" s="5" t="str">
        <x:v>ALAP - NINCS MEGMUNKALAS</x:v>
      </x:c>
      <x:c r="AA22" s="5" t="str">
        <x:v>R12 lap 18</x:v>
      </x:c>
      <x:c r="AB22" s="5" t="str">
        <x:v>R11 előzetes lista; Nyomat és vetemedés gyártóval egyeztetendő</x:v>
      </x:c>
    </x:row>
    <x:row r="23" ht="38" customHeight="1">
      <x:c r="A23" s="5" t="str">
        <x:v>KI12-TV01H-01</x:v>
      </x:c>
      <x:c r="B23" s="5" t="str">
        <x:v>KI12-TV01H-01.mpr</x:v>
      </x:c>
      <x:c r="C23" s="5" t="str">
        <x:v>TV01-H</x:v>
      </x:c>
      <x:c r="D23" s="5" t="str">
        <x:v>Torony hátlap / példány 1</x:v>
      </x:c>
      <x:c r="E23" s="7" t="n">
        <x:v>2294</x:v>
      </x:c>
      <x:c r="F23" s="7" t="n">
        <x:v>684</x:v>
      </x:c>
      <x:c r="G23" s="7" t="n">
        <x:v>8</x:v>
      </x:c>
      <x:c r="H23" s="7" t="str">
        <x:v>M03</x:v>
      </x:c>
      <x:c r="I23" s="7" t="str">
        <x:v>A = bútor belseje felé</x:v>
      </x:c>
      <x:c r="J23" s="7" t="str">
        <x:v>egyszínű / mintázat egyeztetendő</x:v>
      </x:c>
      <x:c r="K23" s="7" t="str">
        <x:v>E1 / Y=0 (tervezési javaslat)</x:v>
      </x:c>
      <x:c r="L23" s="7" t="str">
        <x:v>E4 / X=0 (tervezési javaslat)</x:v>
      </x:c>
      <x:c r="M23" s="7" t="str">
        <x:v>nincs homlokél</x:v>
      </x:c>
      <x:c r="N23" s="7" t="str">
        <x:v>E1 alsó helyi él; mind4 él hátfalcsatlakozás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/>
      <x:c r="T23" s="8"/>
      <x:c r="U23" s="7" t="str">
        <x:f>IF(COUNT(P23,R23,S23)=3,E23-P23-R23+S23,"NYITOTT")</x:f>
        <x:v>NYITOTT</x:v>
      </x:c>
      <x:c r="V23" s="7" t="str">
        <x:f>IF(COUNT(O23,Q23,T23)=3,F23-O23-Q23+T23,"NYITOTT")</x:f>
        <x:v>NYITOTT</x:v>
      </x:c>
      <x:c r="W23" s="9" t="n">
        <x:f>E23*F23/1000000</x:f>
        <x:v>1.569096</x:v>
      </x:c>
      <x:c r="X23" s="6" t="str">
        <x:v>NYITOTT</x:v>
      </x:c>
      <x:c r="Y23" s="6" t="str">
        <x:v>NEM</x:v>
      </x:c>
      <x:c r="Z23" s="5" t="str">
        <x:v>ALAP - NINCS MEGMUNKALAS</x:v>
      </x:c>
      <x:c r="AA23" s="5" t="str">
        <x:v>R12 lap 19</x:v>
      </x:c>
      <x:c r="AB23" s="5" t="str">
        <x:v>R11 előzetes lista; Hátlap rögzítés és csatlakozás szerint pontosítandó</x:v>
      </x:c>
    </x:row>
    <x:row r="24" ht="38" customHeight="1">
      <x:c r="A24" s="5" t="str">
        <x:v>KI12-TV02S-01</x:v>
      </x:c>
      <x:c r="B24" s="5" t="str">
        <x:v>KI12-TV02S-01.mpr</x:v>
      </x:c>
      <x:c r="C24" s="5" t="str">
        <x:v>TV02-S</x:v>
      </x:c>
      <x:c r="D24" s="5" t="str">
        <x:v>Alsó oldalak / bal oldallap</x:v>
      </x:c>
      <x:c r="E24" s="7" t="n">
        <x:v>382</x:v>
      </x:c>
      <x:c r="F24" s="7" t="n">
        <x:v>382</x:v>
      </x:c>
      <x:c r="G24" s="7" t="n">
        <x:v>18</x:v>
      </x:c>
      <x:c r="H24" s="7" t="str">
        <x:v>M03</x:v>
      </x:c>
      <x:c r="I24" s="7" t="str">
        <x:v>A = belső/felső használati felület</x:v>
      </x:c>
      <x:c r="J24" s="7" t="str">
        <x:v>egyszínű / mintázat egyeztetendő</x:v>
      </x:c>
      <x:c r="K24" s="7" t="str">
        <x:v>E1 / Y=0 (tervezési javaslat)</x:v>
      </x:c>
      <x:c r="L24" s="7" t="str">
        <x:v>E4 / X=0 (tervezési javaslat)</x:v>
      </x:c>
      <x:c r="M24" s="7" t="str">
        <x:v>E1</x:v>
      </x:c>
      <x:c r="N24" s="7" t="str">
        <x:v>E1 látszó első él; E2/E4 szerkezeti vég; E3 hátoldal</x:v>
      </x:c>
      <x:c r="O24" s="8" t="n">
        <x:v>1</x:v>
      </x:c>
      <x:c r="P24" s="8" t="n">
        <x:v>0</x:v>
      </x:c>
      <x:c r="Q24" s="8" t="n">
        <x:v>0</x:v>
      </x:c>
      <x:c r="R24" s="8" t="n">
        <x:v>0</x:v>
      </x:c>
      <x:c r="S24" s="8"/>
      <x:c r="T24" s="8"/>
      <x:c r="U24" s="7" t="str">
        <x:f>IF(COUNT(P24,R24,S24)=3,E24-P24-R24+S24,"NYITOTT")</x:f>
        <x:v>NYITOTT</x:v>
      </x:c>
      <x:c r="V24" s="7" t="str">
        <x:f>IF(COUNT(O24,Q24,T24)=3,F24-O24-Q24+T24,"NYITOTT")</x:f>
        <x:v>NYITOTT</x:v>
      </x:c>
      <x:c r="W24" s="9" t="n">
        <x:f>E24*F24/1000000</x:f>
        <x:v>0.145924</x:v>
      </x:c>
      <x:c r="X24" s="6" t="str">
        <x:v>NYITOTT</x:v>
      </x:c>
      <x:c r="Y24" s="6" t="str">
        <x:v>NEM</x:v>
      </x:c>
      <x:c r="Z24" s="5" t="str">
        <x:v>ALAP - NINCS MEGMUNKALAS</x:v>
      </x:c>
      <x:c r="AA24" s="5" t="str">
        <x:v>R12 lap 20</x:v>
      </x:c>
      <x:c r="AB24" s="5" t="str">
        <x:v>R11 előzetes lista; Tervezési darabméret; nem gyártási kiadás</x:v>
      </x:c>
    </x:row>
    <x:row r="25" ht="38" customHeight="1">
      <x:c r="A25" s="5" t="str">
        <x:v>KI12-TV02S-02</x:v>
      </x:c>
      <x:c r="B25" s="5" t="str">
        <x:v>KI12-TV02S-02.mpr</x:v>
      </x:c>
      <x:c r="C25" s="5" t="str">
        <x:v>TV02-S</x:v>
      </x:c>
      <x:c r="D25" s="5" t="str">
        <x:v>Alsó oldalak / jobb oldallap</x:v>
      </x:c>
      <x:c r="E25" s="7" t="n">
        <x:v>382</x:v>
      </x:c>
      <x:c r="F25" s="7" t="n">
        <x:v>382</x:v>
      </x:c>
      <x:c r="G25" s="7" t="n">
        <x:v>18</x:v>
      </x:c>
      <x:c r="H25" s="7" t="str">
        <x:v>M03</x:v>
      </x:c>
      <x:c r="I25" s="7" t="str">
        <x:v>A = belső/felső használati felület</x:v>
      </x:c>
      <x:c r="J25" s="7" t="str">
        <x:v>egyszínű / mintázat egyeztetendő</x:v>
      </x:c>
      <x:c r="K25" s="7" t="str">
        <x:v>E1 / Y=0 (tervezési javaslat)</x:v>
      </x:c>
      <x:c r="L25" s="7" t="str">
        <x:v>E4 / X=0 (tervezési javaslat)</x:v>
      </x:c>
      <x:c r="M25" s="7" t="str">
        <x:v>E1</x:v>
      </x:c>
      <x:c r="N25" s="7" t="str">
        <x:v>E1 látszó első él; E2/E4 szerkezeti vég; E3 hátoldal</x:v>
      </x:c>
      <x:c r="O25" s="8" t="n">
        <x:v>1</x:v>
      </x:c>
      <x:c r="P25" s="8" t="n">
        <x:v>0</x:v>
      </x:c>
      <x:c r="Q25" s="8" t="n">
        <x:v>0</x:v>
      </x:c>
      <x:c r="R25" s="8" t="n">
        <x:v>0</x:v>
      </x:c>
      <x:c r="S25" s="8"/>
      <x:c r="T25" s="8"/>
      <x:c r="U25" s="7" t="str">
        <x:f>IF(COUNT(P25,R25,S25)=3,E25-P25-R25+S25,"NYITOTT")</x:f>
        <x:v>NYITOTT</x:v>
      </x:c>
      <x:c r="V25" s="7" t="str">
        <x:f>IF(COUNT(O25,Q25,T25)=3,F25-O25-Q25+T25,"NYITOTT")</x:f>
        <x:v>NYITOTT</x:v>
      </x:c>
      <x:c r="W25" s="9" t="n">
        <x:f>E25*F25/1000000</x:f>
        <x:v>0.145924</x:v>
      </x:c>
      <x:c r="X25" s="6" t="str">
        <x:v>NYITOTT</x:v>
      </x:c>
      <x:c r="Y25" s="6" t="str">
        <x:v>NEM</x:v>
      </x:c>
      <x:c r="Z25" s="5" t="str">
        <x:v>ALAP - NINCS MEGMUNKALAS</x:v>
      </x:c>
      <x:c r="AA25" s="5" t="str">
        <x:v>R12 lap 21</x:v>
      </x:c>
      <x:c r="AB25" s="5" t="str">
        <x:v>R11 előzetes lista; Tervezési darabméret; nem gyártási kiadás</x:v>
      </x:c>
    </x:row>
    <x:row r="26" ht="38" customHeight="1">
      <x:c r="A26" s="5" t="str">
        <x:v>KI12-TV02S-03</x:v>
      </x:c>
      <x:c r="B26" s="5" t="str">
        <x:v>KI12-TV02S-03.mpr</x:v>
      </x:c>
      <x:c r="C26" s="5" t="str">
        <x:v>TV02-S</x:v>
      </x:c>
      <x:c r="D26" s="5" t="str">
        <x:v>Alsó oldalak / bal oldallap</x:v>
      </x:c>
      <x:c r="E26" s="7" t="n">
        <x:v>382</x:v>
      </x:c>
      <x:c r="F26" s="7" t="n">
        <x:v>382</x:v>
      </x:c>
      <x:c r="G26" s="7" t="n">
        <x:v>18</x:v>
      </x:c>
      <x:c r="H26" s="7" t="str">
        <x:v>M03</x:v>
      </x:c>
      <x:c r="I26" s="7" t="str">
        <x:v>A = belső/felső használati felület</x:v>
      </x:c>
      <x:c r="J26" s="7" t="str">
        <x:v>egyszínű / mintázat egyeztetendő</x:v>
      </x:c>
      <x:c r="K26" s="7" t="str">
        <x:v>E1 / Y=0 (tervezési javaslat)</x:v>
      </x:c>
      <x:c r="L26" s="7" t="str">
        <x:v>E4 / X=0 (tervezési javaslat)</x:v>
      </x:c>
      <x:c r="M26" s="7" t="str">
        <x:v>E1</x:v>
      </x:c>
      <x:c r="N26" s="7" t="str">
        <x:v>E1 látszó első él; E2/E4 szerkezeti vég; E3 hátoldal</x:v>
      </x:c>
      <x:c r="O26" s="8" t="n">
        <x:v>1</x:v>
      </x:c>
      <x:c r="P26" s="8" t="n">
        <x:v>0</x:v>
      </x:c>
      <x:c r="Q26" s="8" t="n">
        <x:v>0</x:v>
      </x:c>
      <x:c r="R26" s="8" t="n">
        <x:v>0</x:v>
      </x:c>
      <x:c r="S26" s="8"/>
      <x:c r="T26" s="8"/>
      <x:c r="U26" s="7" t="str">
        <x:f>IF(COUNT(P26,R26,S26)=3,E26-P26-R26+S26,"NYITOTT")</x:f>
        <x:v>NYITOTT</x:v>
      </x:c>
      <x:c r="V26" s="7" t="str">
        <x:f>IF(COUNT(O26,Q26,T26)=3,F26-O26-Q26+T26,"NYITOTT")</x:f>
        <x:v>NYITOTT</x:v>
      </x:c>
      <x:c r="W26" s="9" t="n">
        <x:f>E26*F26/1000000</x:f>
        <x:v>0.145924</x:v>
      </x:c>
      <x:c r="X26" s="6" t="str">
        <x:v>NYITOTT</x:v>
      </x:c>
      <x:c r="Y26" s="6" t="str">
        <x:v>NEM</x:v>
      </x:c>
      <x:c r="Z26" s="5" t="str">
        <x:v>ALAP - NINCS MEGMUNKALAS</x:v>
      </x:c>
      <x:c r="AA26" s="5" t="str">
        <x:v>R12 lap 22</x:v>
      </x:c>
      <x:c r="AB26" s="5" t="str">
        <x:v>R11 előzetes lista; Tervezési darabméret; nem gyártási kiadás</x:v>
      </x:c>
    </x:row>
    <x:row r="27" ht="38" customHeight="1">
      <x:c r="A27" s="5" t="str">
        <x:v>KI12-TV02S-04</x:v>
      </x:c>
      <x:c r="B27" s="5" t="str">
        <x:v>KI12-TV02S-04.mpr</x:v>
      </x:c>
      <x:c r="C27" s="5" t="str">
        <x:v>TV02-S</x:v>
      </x:c>
      <x:c r="D27" s="5" t="str">
        <x:v>Alsó oldalak / jobb oldallap</x:v>
      </x:c>
      <x:c r="E27" s="7" t="n">
        <x:v>382</x:v>
      </x:c>
      <x:c r="F27" s="7" t="n">
        <x:v>382</x:v>
      </x:c>
      <x:c r="G27" s="7" t="n">
        <x:v>18</x:v>
      </x:c>
      <x:c r="H27" s="7" t="str">
        <x:v>M03</x:v>
      </x:c>
      <x:c r="I27" s="7" t="str">
        <x:v>A = belső/felső használati felület</x:v>
      </x:c>
      <x:c r="J27" s="7" t="str">
        <x:v>egyszínű / mintázat egyeztetendő</x:v>
      </x:c>
      <x:c r="K27" s="7" t="str">
        <x:v>E1 / Y=0 (tervezési javaslat)</x:v>
      </x:c>
      <x:c r="L27" s="7" t="str">
        <x:v>E4 / X=0 (tervezési javaslat)</x:v>
      </x:c>
      <x:c r="M27" s="7" t="str">
        <x:v>E1</x:v>
      </x:c>
      <x:c r="N27" s="7" t="str">
        <x:v>E1 látszó első él; E2/E4 szerkezeti vég; E3 hátoldal</x:v>
      </x:c>
      <x:c r="O27" s="8" t="n">
        <x:v>1</x:v>
      </x:c>
      <x:c r="P27" s="8" t="n">
        <x:v>0</x:v>
      </x:c>
      <x:c r="Q27" s="8" t="n">
        <x:v>0</x:v>
      </x:c>
      <x:c r="R27" s="8" t="n">
        <x:v>0</x:v>
      </x:c>
      <x:c r="S27" s="8"/>
      <x:c r="T27" s="8"/>
      <x:c r="U27" s="7" t="str">
        <x:f>IF(COUNT(P27,R27,S27)=3,E27-P27-R27+S27,"NYITOTT")</x:f>
        <x:v>NYITOTT</x:v>
      </x:c>
      <x:c r="V27" s="7" t="str">
        <x:f>IF(COUNT(O27,Q27,T27)=3,F27-O27-Q27+T27,"NYITOTT")</x:f>
        <x:v>NYITOTT</x:v>
      </x:c>
      <x:c r="W27" s="9" t="n">
        <x:f>E27*F27/1000000</x:f>
        <x:v>0.145924</x:v>
      </x:c>
      <x:c r="X27" s="6" t="str">
        <x:v>NYITOTT</x:v>
      </x:c>
      <x:c r="Y27" s="6" t="str">
        <x:v>NEM</x:v>
      </x:c>
      <x:c r="Z27" s="5" t="str">
        <x:v>ALAP - NINCS MEGMUNKALAS</x:v>
      </x:c>
      <x:c r="AA27" s="5" t="str">
        <x:v>R12 lap 23</x:v>
      </x:c>
      <x:c r="AB27" s="5" t="str">
        <x:v>R11 előzetes lista; Tervezési darabméret; nem gyártási kiadás</x:v>
      </x:c>
    </x:row>
    <x:row r="28" ht="38" customHeight="1">
      <x:c r="A28" s="5" t="str">
        <x:v>KI12-TV02S-05</x:v>
      </x:c>
      <x:c r="B28" s="5" t="str">
        <x:v>KI12-TV02S-05.mpr</x:v>
      </x:c>
      <x:c r="C28" s="5" t="str">
        <x:v>TV02-S</x:v>
      </x:c>
      <x:c r="D28" s="5" t="str">
        <x:v>Alsó oldalak / bal oldallap</x:v>
      </x:c>
      <x:c r="E28" s="7" t="n">
        <x:v>382</x:v>
      </x:c>
      <x:c r="F28" s="7" t="n">
        <x:v>382</x:v>
      </x:c>
      <x:c r="G28" s="7" t="n">
        <x:v>18</x:v>
      </x:c>
      <x:c r="H28" s="7" t="str">
        <x:v>M03</x:v>
      </x:c>
      <x:c r="I28" s="7" t="str">
        <x:v>A = belső/felső használati felület</x:v>
      </x:c>
      <x:c r="J28" s="7" t="str">
        <x:v>egyszínű / mintázat egyeztetendő</x:v>
      </x:c>
      <x:c r="K28" s="7" t="str">
        <x:v>E1 / Y=0 (tervezési javaslat)</x:v>
      </x:c>
      <x:c r="L28" s="7" t="str">
        <x:v>E4 / X=0 (tervezési javaslat)</x:v>
      </x:c>
      <x:c r="M28" s="7" t="str">
        <x:v>E1</x:v>
      </x:c>
      <x:c r="N28" s="7" t="str">
        <x:v>E1 látszó első él; E2/E4 szerkezeti vég; E3 hátoldal</x:v>
      </x:c>
      <x:c r="O28" s="8" t="n">
        <x:v>1</x:v>
      </x:c>
      <x:c r="P28" s="8" t="n">
        <x:v>0</x:v>
      </x:c>
      <x:c r="Q28" s="8" t="n">
        <x:v>0</x:v>
      </x:c>
      <x:c r="R28" s="8" t="n">
        <x:v>0</x:v>
      </x:c>
      <x:c r="S28" s="8"/>
      <x:c r="T28" s="8"/>
      <x:c r="U28" s="7" t="str">
        <x:f>IF(COUNT(P28,R28,S28)=3,E28-P28-R28+S28,"NYITOTT")</x:f>
        <x:v>NYITOTT</x:v>
      </x:c>
      <x:c r="V28" s="7" t="str">
        <x:f>IF(COUNT(O28,Q28,T28)=3,F28-O28-Q28+T28,"NYITOTT")</x:f>
        <x:v>NYITOTT</x:v>
      </x:c>
      <x:c r="W28" s="9" t="n">
        <x:f>E28*F28/1000000</x:f>
        <x:v>0.145924</x:v>
      </x:c>
      <x:c r="X28" s="6" t="str">
        <x:v>NYITOTT</x:v>
      </x:c>
      <x:c r="Y28" s="6" t="str">
        <x:v>NEM</x:v>
      </x:c>
      <x:c r="Z28" s="5" t="str">
        <x:v>ALAP - NINCS MEGMUNKALAS</x:v>
      </x:c>
      <x:c r="AA28" s="5" t="str">
        <x:v>R12 lap 24</x:v>
      </x:c>
      <x:c r="AB28" s="5" t="str">
        <x:v>R11 előzetes lista; Tervezési darabméret; nem gyártási kiadás</x:v>
      </x:c>
    </x:row>
    <x:row r="29" ht="38" customHeight="1">
      <x:c r="A29" s="5" t="str">
        <x:v>KI12-TV02S-06</x:v>
      </x:c>
      <x:c r="B29" s="5" t="str">
        <x:v>KI12-TV02S-06.mpr</x:v>
      </x:c>
      <x:c r="C29" s="5" t="str">
        <x:v>TV02-S</x:v>
      </x:c>
      <x:c r="D29" s="5" t="str">
        <x:v>Alsó oldalak / jobb oldallap</x:v>
      </x:c>
      <x:c r="E29" s="7" t="n">
        <x:v>382</x:v>
      </x:c>
      <x:c r="F29" s="7" t="n">
        <x:v>382</x:v>
      </x:c>
      <x:c r="G29" s="7" t="n">
        <x:v>18</x:v>
      </x:c>
      <x:c r="H29" s="7" t="str">
        <x:v>M03</x:v>
      </x:c>
      <x:c r="I29" s="7" t="str">
        <x:v>A = belső/felső használati felület</x:v>
      </x:c>
      <x:c r="J29" s="7" t="str">
        <x:v>egyszínű / mintázat egyeztetendő</x:v>
      </x:c>
      <x:c r="K29" s="7" t="str">
        <x:v>E1 / Y=0 (tervezési javaslat)</x:v>
      </x:c>
      <x:c r="L29" s="7" t="str">
        <x:v>E4 / X=0 (tervezési javaslat)</x:v>
      </x:c>
      <x:c r="M29" s="7" t="str">
        <x:v>E1</x:v>
      </x:c>
      <x:c r="N29" s="7" t="str">
        <x:v>E1 látszó első él; E2/E4 szerkezeti vég; E3 hátoldal</x:v>
      </x:c>
      <x:c r="O29" s="8" t="n">
        <x:v>1</x:v>
      </x:c>
      <x:c r="P29" s="8" t="n">
        <x:v>0</x:v>
      </x:c>
      <x:c r="Q29" s="8" t="n">
        <x:v>0</x:v>
      </x:c>
      <x:c r="R29" s="8" t="n">
        <x:v>0</x:v>
      </x:c>
      <x:c r="S29" s="8"/>
      <x:c r="T29" s="8"/>
      <x:c r="U29" s="7" t="str">
        <x:f>IF(COUNT(P29,R29,S29)=3,E29-P29-R29+S29,"NYITOTT")</x:f>
        <x:v>NYITOTT</x:v>
      </x:c>
      <x:c r="V29" s="7" t="str">
        <x:f>IF(COUNT(O29,Q29,T29)=3,F29-O29-Q29+T29,"NYITOTT")</x:f>
        <x:v>NYITOTT</x:v>
      </x:c>
      <x:c r="W29" s="9" t="n">
        <x:f>E29*F29/1000000</x:f>
        <x:v>0.145924</x:v>
      </x:c>
      <x:c r="X29" s="6" t="str">
        <x:v>NYITOTT</x:v>
      </x:c>
      <x:c r="Y29" s="6" t="str">
        <x:v>NEM</x:v>
      </x:c>
      <x:c r="Z29" s="5" t="str">
        <x:v>ALAP - NINCS MEGMUNKALAS</x:v>
      </x:c>
      <x:c r="AA29" s="5" t="str">
        <x:v>R12 lap 25</x:v>
      </x:c>
      <x:c r="AB29" s="5" t="str">
        <x:v>R11 előzetes lista; Tervezési darabméret; nem gyártási kiadás</x:v>
      </x:c>
    </x:row>
    <x:row r="30" ht="38" customHeight="1">
      <x:c r="A30" s="5" t="str">
        <x:v>KI12-TV02S-07</x:v>
      </x:c>
      <x:c r="B30" s="5" t="str">
        <x:v>KI12-TV02S-07.mpr</x:v>
      </x:c>
      <x:c r="C30" s="5" t="str">
        <x:v>TV02-S</x:v>
      </x:c>
      <x:c r="D30" s="5" t="str">
        <x:v>Alsó oldalak / bal oldallap</x:v>
      </x:c>
      <x:c r="E30" s="7" t="n">
        <x:v>382</x:v>
      </x:c>
      <x:c r="F30" s="7" t="n">
        <x:v>382</x:v>
      </x:c>
      <x:c r="G30" s="7" t="n">
        <x:v>18</x:v>
      </x:c>
      <x:c r="H30" s="7" t="str">
        <x:v>M03</x:v>
      </x:c>
      <x:c r="I30" s="7" t="str">
        <x:v>A = belső/felső használati felület</x:v>
      </x:c>
      <x:c r="J30" s="7" t="str">
        <x:v>egyszínű / mintázat egyeztetendő</x:v>
      </x:c>
      <x:c r="K30" s="7" t="str">
        <x:v>E1 / Y=0 (tervezési javaslat)</x:v>
      </x:c>
      <x:c r="L30" s="7" t="str">
        <x:v>E4 / X=0 (tervezési javaslat)</x:v>
      </x:c>
      <x:c r="M30" s="7" t="str">
        <x:v>E1</x:v>
      </x:c>
      <x:c r="N30" s="7" t="str">
        <x:v>E1 látszó első él; E2/E4 szerkezeti vég; E3 hátoldal</x:v>
      </x:c>
      <x:c r="O30" s="8" t="n">
        <x:v>1</x:v>
      </x:c>
      <x:c r="P30" s="8" t="n">
        <x:v>0</x:v>
      </x:c>
      <x:c r="Q30" s="8" t="n">
        <x:v>0</x:v>
      </x:c>
      <x:c r="R30" s="8" t="n">
        <x:v>0</x:v>
      </x:c>
      <x:c r="S30" s="8"/>
      <x:c r="T30" s="8"/>
      <x:c r="U30" s="7" t="str">
        <x:f>IF(COUNT(P30,R30,S30)=3,E30-P30-R30+S30,"NYITOTT")</x:f>
        <x:v>NYITOTT</x:v>
      </x:c>
      <x:c r="V30" s="7" t="str">
        <x:f>IF(COUNT(O30,Q30,T30)=3,F30-O30-Q30+T30,"NYITOTT")</x:f>
        <x:v>NYITOTT</x:v>
      </x:c>
      <x:c r="W30" s="9" t="n">
        <x:f>E30*F30/1000000</x:f>
        <x:v>0.145924</x:v>
      </x:c>
      <x:c r="X30" s="6" t="str">
        <x:v>NYITOTT</x:v>
      </x:c>
      <x:c r="Y30" s="6" t="str">
        <x:v>NEM</x:v>
      </x:c>
      <x:c r="Z30" s="5" t="str">
        <x:v>ALAP - NINCS MEGMUNKALAS</x:v>
      </x:c>
      <x:c r="AA30" s="5" t="str">
        <x:v>R12 lap 26</x:v>
      </x:c>
      <x:c r="AB30" s="5" t="str">
        <x:v>R11 előzetes lista; Tervezési darabméret; nem gyártási kiadás</x:v>
      </x:c>
    </x:row>
    <x:row r="31" ht="38" customHeight="1">
      <x:c r="A31" s="5" t="str">
        <x:v>KI12-TV02S-08</x:v>
      </x:c>
      <x:c r="B31" s="5" t="str">
        <x:v>KI12-TV02S-08.mpr</x:v>
      </x:c>
      <x:c r="C31" s="5" t="str">
        <x:v>TV02-S</x:v>
      </x:c>
      <x:c r="D31" s="5" t="str">
        <x:v>Alsó oldalak / jobb oldallap</x:v>
      </x:c>
      <x:c r="E31" s="7" t="n">
        <x:v>382</x:v>
      </x:c>
      <x:c r="F31" s="7" t="n">
        <x:v>382</x:v>
      </x:c>
      <x:c r="G31" s="7" t="n">
        <x:v>18</x:v>
      </x:c>
      <x:c r="H31" s="7" t="str">
        <x:v>M03</x:v>
      </x:c>
      <x:c r="I31" s="7" t="str">
        <x:v>A = belső/felső használati felület</x:v>
      </x:c>
      <x:c r="J31" s="7" t="str">
        <x:v>egyszínű / mintázat egyeztetendő</x:v>
      </x:c>
      <x:c r="K31" s="7" t="str">
        <x:v>E1 / Y=0 (tervezési javaslat)</x:v>
      </x:c>
      <x:c r="L31" s="7" t="str">
        <x:v>E4 / X=0 (tervezési javaslat)</x:v>
      </x:c>
      <x:c r="M31" s="7" t="str">
        <x:v>E1</x:v>
      </x:c>
      <x:c r="N31" s="7" t="str">
        <x:v>E1 látszó első él; E2/E4 szerkezeti vég; E3 hátoldal</x:v>
      </x:c>
      <x:c r="O31" s="8" t="n">
        <x:v>1</x:v>
      </x:c>
      <x:c r="P31" s="8" t="n">
        <x:v>0</x:v>
      </x:c>
      <x:c r="Q31" s="8" t="n">
        <x:v>0</x:v>
      </x:c>
      <x:c r="R31" s="8" t="n">
        <x:v>0</x:v>
      </x:c>
      <x:c r="S31" s="8"/>
      <x:c r="T31" s="8"/>
      <x:c r="U31" s="7" t="str">
        <x:f>IF(COUNT(P31,R31,S31)=3,E31-P31-R31+S31,"NYITOTT")</x:f>
        <x:v>NYITOTT</x:v>
      </x:c>
      <x:c r="V31" s="7" t="str">
        <x:f>IF(COUNT(O31,Q31,T31)=3,F31-O31-Q31+T31,"NYITOTT")</x:f>
        <x:v>NYITOTT</x:v>
      </x:c>
      <x:c r="W31" s="9" t="n">
        <x:f>E31*F31/1000000</x:f>
        <x:v>0.145924</x:v>
      </x:c>
      <x:c r="X31" s="6" t="str">
        <x:v>NYITOTT</x:v>
      </x:c>
      <x:c r="Y31" s="6" t="str">
        <x:v>NEM</x:v>
      </x:c>
      <x:c r="Z31" s="5" t="str">
        <x:v>ALAP - NINCS MEGMUNKALAS</x:v>
      </x:c>
      <x:c r="AA31" s="5" t="str">
        <x:v>R12 lap 27</x:v>
      </x:c>
      <x:c r="AB31" s="5" t="str">
        <x:v>R11 előzetes lista; Tervezési darabméret; nem gyártási kiadás</x:v>
      </x:c>
    </x:row>
    <x:row r="32" ht="38" customHeight="1">
      <x:c r="A32" s="5" t="str">
        <x:v>KI12-TV02S-09</x:v>
      </x:c>
      <x:c r="B32" s="5" t="str">
        <x:v>KI12-TV02S-09.mpr</x:v>
      </x:c>
      <x:c r="C32" s="5" t="str">
        <x:v>TV02-S</x:v>
      </x:c>
      <x:c r="D32" s="5" t="str">
        <x:v>Alsó oldalak / bal oldallap</x:v>
      </x:c>
      <x:c r="E32" s="7" t="n">
        <x:v>382</x:v>
      </x:c>
      <x:c r="F32" s="7" t="n">
        <x:v>382</x:v>
      </x:c>
      <x:c r="G32" s="7" t="n">
        <x:v>18</x:v>
      </x:c>
      <x:c r="H32" s="7" t="str">
        <x:v>M03</x:v>
      </x:c>
      <x:c r="I32" s="7" t="str">
        <x:v>A = belső/felső használati felület</x:v>
      </x:c>
      <x:c r="J32" s="7" t="str">
        <x:v>egyszínű / mintázat egyeztetendő</x:v>
      </x:c>
      <x:c r="K32" s="7" t="str">
        <x:v>E1 / Y=0 (tervezési javaslat)</x:v>
      </x:c>
      <x:c r="L32" s="7" t="str">
        <x:v>E4 / X=0 (tervezési javaslat)</x:v>
      </x:c>
      <x:c r="M32" s="7" t="str">
        <x:v>E1</x:v>
      </x:c>
      <x:c r="N32" s="7" t="str">
        <x:v>E1 látszó első él; E2/E4 szerkezeti vég; E3 hátoldal</x:v>
      </x:c>
      <x:c r="O32" s="8" t="n">
        <x:v>1</x:v>
      </x:c>
      <x:c r="P32" s="8" t="n">
        <x:v>0</x:v>
      </x:c>
      <x:c r="Q32" s="8" t="n">
        <x:v>0</x:v>
      </x:c>
      <x:c r="R32" s="8" t="n">
        <x:v>0</x:v>
      </x:c>
      <x:c r="S32" s="8"/>
      <x:c r="T32" s="8"/>
      <x:c r="U32" s="7" t="str">
        <x:f>IF(COUNT(P32,R32,S32)=3,E32-P32-R32+S32,"NYITOTT")</x:f>
        <x:v>NYITOTT</x:v>
      </x:c>
      <x:c r="V32" s="7" t="str">
        <x:f>IF(COUNT(O32,Q32,T32)=3,F32-O32-Q32+T32,"NYITOTT")</x:f>
        <x:v>NYITOTT</x:v>
      </x:c>
      <x:c r="W32" s="9" t="n">
        <x:f>E32*F32/1000000</x:f>
        <x:v>0.145924</x:v>
      </x:c>
      <x:c r="X32" s="6" t="str">
        <x:v>NYITOTT</x:v>
      </x:c>
      <x:c r="Y32" s="6" t="str">
        <x:v>NEM</x:v>
      </x:c>
      <x:c r="Z32" s="5" t="str">
        <x:v>ALAP - NINCS MEGMUNKALAS</x:v>
      </x:c>
      <x:c r="AA32" s="5" t="str">
        <x:v>R12 lap 28</x:v>
      </x:c>
      <x:c r="AB32" s="5" t="str">
        <x:v>R11 előzetes lista; Tervezési darabméret; nem gyártási kiadás</x:v>
      </x:c>
    </x:row>
    <x:row r="33" ht="38" customHeight="1">
      <x:c r="A33" s="5" t="str">
        <x:v>KI12-TV02S-10</x:v>
      </x:c>
      <x:c r="B33" s="5" t="str">
        <x:v>KI12-TV02S-10.mpr</x:v>
      </x:c>
      <x:c r="C33" s="5" t="str">
        <x:v>TV02-S</x:v>
      </x:c>
      <x:c r="D33" s="5" t="str">
        <x:v>Alsó oldalak / jobb oldallap</x:v>
      </x:c>
      <x:c r="E33" s="7" t="n">
        <x:v>382</x:v>
      </x:c>
      <x:c r="F33" s="7" t="n">
        <x:v>382</x:v>
      </x:c>
      <x:c r="G33" s="7" t="n">
        <x:v>18</x:v>
      </x:c>
      <x:c r="H33" s="7" t="str">
        <x:v>M03</x:v>
      </x:c>
      <x:c r="I33" s="7" t="str">
        <x:v>A = belső/felső használati felület</x:v>
      </x:c>
      <x:c r="J33" s="7" t="str">
        <x:v>egyszínű / mintázat egyeztetendő</x:v>
      </x:c>
      <x:c r="K33" s="7" t="str">
        <x:v>E1 / Y=0 (tervezési javaslat)</x:v>
      </x:c>
      <x:c r="L33" s="7" t="str">
        <x:v>E4 / X=0 (tervezési javaslat)</x:v>
      </x:c>
      <x:c r="M33" s="7" t="str">
        <x:v>E1</x:v>
      </x:c>
      <x:c r="N33" s="7" t="str">
        <x:v>E1 látszó első él; E2/E4 szerkezeti vég; E3 hátoldal</x:v>
      </x:c>
      <x:c r="O33" s="8" t="n">
        <x:v>1</x:v>
      </x:c>
      <x:c r="P33" s="8" t="n">
        <x:v>0</x:v>
      </x:c>
      <x:c r="Q33" s="8" t="n">
        <x:v>0</x:v>
      </x:c>
      <x:c r="R33" s="8" t="n">
        <x:v>0</x:v>
      </x:c>
      <x:c r="S33" s="8"/>
      <x:c r="T33" s="8"/>
      <x:c r="U33" s="7" t="str">
        <x:f>IF(COUNT(P33,R33,S33)=3,E33-P33-R33+S33,"NYITOTT")</x:f>
        <x:v>NYITOTT</x:v>
      </x:c>
      <x:c r="V33" s="7" t="str">
        <x:f>IF(COUNT(O33,Q33,T33)=3,F33-O33-Q33+T33,"NYITOTT")</x:f>
        <x:v>NYITOTT</x:v>
      </x:c>
      <x:c r="W33" s="9" t="n">
        <x:f>E33*F33/1000000</x:f>
        <x:v>0.145924</x:v>
      </x:c>
      <x:c r="X33" s="6" t="str">
        <x:v>NYITOTT</x:v>
      </x:c>
      <x:c r="Y33" s="6" t="str">
        <x:v>NEM</x:v>
      </x:c>
      <x:c r="Z33" s="5" t="str">
        <x:v>ALAP - NINCS MEGMUNKALAS</x:v>
      </x:c>
      <x:c r="AA33" s="5" t="str">
        <x:v>R12 lap 29</x:v>
      </x:c>
      <x:c r="AB33" s="5" t="str">
        <x:v>R11 előzetes lista; Tervezési darabméret; nem gyártási kiadás</x:v>
      </x:c>
    </x:row>
    <x:row r="34" ht="38" customHeight="1">
      <x:c r="A34" s="5" t="str">
        <x:v>KI12-TV02T1-01</x:v>
      </x:c>
      <x:c r="B34" s="5" t="str">
        <x:v>KI12-TV02T1-01.mpr</x:v>
      </x:c>
      <x:c r="C34" s="5" t="str">
        <x:v>TV02-T1</x:v>
      </x:c>
      <x:c r="D34" s="5" t="str">
        <x:v>720-as modul fenék / példány 1</x:v>
      </x:c>
      <x:c r="E34" s="7" t="n">
        <x:v>684</x:v>
      </x:c>
      <x:c r="F34" s="7" t="n">
        <x:v>382</x:v>
      </x:c>
      <x:c r="G34" s="7" t="n">
        <x:v>18</x:v>
      </x:c>
      <x:c r="H34" s="7" t="str">
        <x:v>M03</x:v>
      </x:c>
      <x:c r="I34" s="7" t="str">
        <x:v>A = belső/felső használati felület</x:v>
      </x:c>
      <x:c r="J34" s="7" t="str">
        <x:v>egyszínű / mintázat egyeztetendő</x:v>
      </x:c>
      <x:c r="K34" s="7" t="str">
        <x:v>E1 / Y=0 (tervezési javaslat)</x:v>
      </x:c>
      <x:c r="L34" s="7" t="str">
        <x:v>E4 / X=0 (tervezési javaslat)</x:v>
      </x:c>
      <x:c r="M34" s="7" t="str">
        <x:v>E1</x:v>
      </x:c>
      <x:c r="N34" s="7" t="str">
        <x:v>E1 látszó első él; E2/E4 szerkezeti vég; E3 hátoldal</x:v>
      </x:c>
      <x:c r="O34" s="8" t="n">
        <x:v>1</x:v>
      </x:c>
      <x:c r="P34" s="8" t="n">
        <x:v>0</x:v>
      </x:c>
      <x:c r="Q34" s="8" t="n">
        <x:v>0</x:v>
      </x:c>
      <x:c r="R34" s="8" t="n">
        <x:v>0</x:v>
      </x:c>
      <x:c r="S34" s="8"/>
      <x:c r="T34" s="8"/>
      <x:c r="U34" s="7" t="str">
        <x:f>IF(COUNT(P34,R34,S34)=3,E34-P34-R34+S34,"NYITOTT")</x:f>
        <x:v>NYITOTT</x:v>
      </x:c>
      <x:c r="V34" s="7" t="str">
        <x:f>IF(COUNT(O34,Q34,T34)=3,F34-O34-Q34+T34,"NYITOTT")</x:f>
        <x:v>NYITOTT</x:v>
      </x:c>
      <x:c r="W34" s="9" t="n">
        <x:f>E34*F34/1000000</x:f>
        <x:v>0.261288</x:v>
      </x:c>
      <x:c r="X34" s="6" t="str">
        <x:v>NYITOTT</x:v>
      </x:c>
      <x:c r="Y34" s="6" t="str">
        <x:v>NEM</x:v>
      </x:c>
      <x:c r="Z34" s="5" t="str">
        <x:v>ALAP - NINCS MEGMUNKALAS</x:v>
      </x:c>
      <x:c r="AA34" s="5" t="str">
        <x:v>R12 lap 30</x:v>
      </x:c>
      <x:c r="AB34" s="5" t="str">
        <x:v>R11 előzetes lista; Tervezési darabméret; nem gyártási kiadás</x:v>
      </x:c>
    </x:row>
    <x:row r="35" ht="38" customHeight="1">
      <x:c r="A35" s="5" t="str">
        <x:v>KI12-TV02T2-01</x:v>
      </x:c>
      <x:c r="B35" s="5" t="str">
        <x:v>KI12-TV02T2-01.mpr</x:v>
      </x:c>
      <x:c r="C35" s="5" t="str">
        <x:v>TV02-T2</x:v>
      </x:c>
      <x:c r="D35" s="5" t="str">
        <x:v>690-es modul fenék / példány 1</x:v>
      </x:c>
      <x:c r="E35" s="7" t="n">
        <x:v>654</x:v>
      </x:c>
      <x:c r="F35" s="7" t="n">
        <x:v>382</x:v>
      </x:c>
      <x:c r="G35" s="7" t="n">
        <x:v>18</x:v>
      </x:c>
      <x:c r="H35" s="7" t="str">
        <x:v>M03</x:v>
      </x:c>
      <x:c r="I35" s="7" t="str">
        <x:v>A = belső/felső használati felület</x:v>
      </x:c>
      <x:c r="J35" s="7" t="str">
        <x:v>egyszínű / mintázat egyeztetendő</x:v>
      </x:c>
      <x:c r="K35" s="7" t="str">
        <x:v>E1 / Y=0 (tervezési javaslat)</x:v>
      </x:c>
      <x:c r="L35" s="7" t="str">
        <x:v>E4 / X=0 (tervezési javaslat)</x:v>
      </x:c>
      <x:c r="M35" s="7" t="str">
        <x:v>E1</x:v>
      </x:c>
      <x:c r="N35" s="7" t="str">
        <x:v>E1 látszó első él; E2/E4 szerkezeti vég; E3 hátoldal</x:v>
      </x:c>
      <x:c r="O35" s="8" t="n">
        <x:v>1</x:v>
      </x:c>
      <x:c r="P35" s="8" t="n">
        <x:v>0</x:v>
      </x:c>
      <x:c r="Q35" s="8" t="n">
        <x:v>0</x:v>
      </x:c>
      <x:c r="R35" s="8" t="n">
        <x:v>0</x:v>
      </x:c>
      <x:c r="S35" s="8"/>
      <x:c r="T35" s="8"/>
      <x:c r="U35" s="7" t="str">
        <x:f>IF(COUNT(P35,R35,S35)=3,E35-P35-R35+S35,"NYITOTT")</x:f>
        <x:v>NYITOTT</x:v>
      </x:c>
      <x:c r="V35" s="7" t="str">
        <x:f>IF(COUNT(O35,Q35,T35)=3,F35-O35-Q35+T35,"NYITOTT")</x:f>
        <x:v>NYITOTT</x:v>
      </x:c>
      <x:c r="W35" s="9" t="n">
        <x:f>E35*F35/1000000</x:f>
        <x:v>0.249828</x:v>
      </x:c>
      <x:c r="X35" s="6" t="str">
        <x:v>NYITOTT</x:v>
      </x:c>
      <x:c r="Y35" s="6" t="str">
        <x:v>NEM</x:v>
      </x:c>
      <x:c r="Z35" s="5" t="str">
        <x:v>ALAP - NINCS MEGMUNKALAS</x:v>
      </x:c>
      <x:c r="AA35" s="5" t="str">
        <x:v>R12 lap 31</x:v>
      </x:c>
      <x:c r="AB35" s="5" t="str">
        <x:v>R11 előzetes lista; Tervezési darabméret; nem gyártási kiadás</x:v>
      </x:c>
    </x:row>
    <x:row r="36" ht="38" customHeight="1">
      <x:c r="A36" s="5" t="str">
        <x:v>KI12-TV02T2-02</x:v>
      </x:c>
      <x:c r="B36" s="5" t="str">
        <x:v>KI12-TV02T2-02.mpr</x:v>
      </x:c>
      <x:c r="C36" s="5" t="str">
        <x:v>TV02-T2</x:v>
      </x:c>
      <x:c r="D36" s="5" t="str">
        <x:v>690-es modul fenék / példány 2</x:v>
      </x:c>
      <x:c r="E36" s="7" t="n">
        <x:v>654</x:v>
      </x:c>
      <x:c r="F36" s="7" t="n">
        <x:v>382</x:v>
      </x:c>
      <x:c r="G36" s="7" t="n">
        <x:v>18</x:v>
      </x:c>
      <x:c r="H36" s="7" t="str">
        <x:v>M03</x:v>
      </x:c>
      <x:c r="I36" s="7" t="str">
        <x:v>A = belső/felső használati felület</x:v>
      </x:c>
      <x:c r="J36" s="7" t="str">
        <x:v>egyszínű / mintázat egyeztetendő</x:v>
      </x:c>
      <x:c r="K36" s="7" t="str">
        <x:v>E1 / Y=0 (tervezési javaslat)</x:v>
      </x:c>
      <x:c r="L36" s="7" t="str">
        <x:v>E4 / X=0 (tervezési javaslat)</x:v>
      </x:c>
      <x:c r="M36" s="7" t="str">
        <x:v>E1</x:v>
      </x:c>
      <x:c r="N36" s="7" t="str">
        <x:v>E1 látszó első él; E2/E4 szerkezeti vég; E3 hátoldal</x:v>
      </x:c>
      <x:c r="O36" s="8" t="n">
        <x:v>1</x:v>
      </x:c>
      <x:c r="P36" s="8" t="n">
        <x:v>0</x:v>
      </x:c>
      <x:c r="Q36" s="8" t="n">
        <x:v>0</x:v>
      </x:c>
      <x:c r="R36" s="8" t="n">
        <x:v>0</x:v>
      </x:c>
      <x:c r="S36" s="8"/>
      <x:c r="T36" s="8"/>
      <x:c r="U36" s="7" t="str">
        <x:f>IF(COUNT(P36,R36,S36)=3,E36-P36-R36+S36,"NYITOTT")</x:f>
        <x:v>NYITOTT</x:v>
      </x:c>
      <x:c r="V36" s="7" t="str">
        <x:f>IF(COUNT(O36,Q36,T36)=3,F36-O36-Q36+T36,"NYITOTT")</x:f>
        <x:v>NYITOTT</x:v>
      </x:c>
      <x:c r="W36" s="9" t="n">
        <x:f>E36*F36/1000000</x:f>
        <x:v>0.249828</x:v>
      </x:c>
      <x:c r="X36" s="6" t="str">
        <x:v>NYITOTT</x:v>
      </x:c>
      <x:c r="Y36" s="6" t="str">
        <x:v>NEM</x:v>
      </x:c>
      <x:c r="Z36" s="5" t="str">
        <x:v>ALAP - NINCS MEGMUNKALAS</x:v>
      </x:c>
      <x:c r="AA36" s="5" t="str">
        <x:v>R12 lap 32</x:v>
      </x:c>
      <x:c r="AB36" s="5" t="str">
        <x:v>R11 előzetes lista; Tervezési darabméret; nem gyártási kiadás</x:v>
      </x:c>
    </x:row>
    <x:row r="37" ht="38" customHeight="1">
      <x:c r="A37" s="5" t="str">
        <x:v>KI12-TV02T2-03</x:v>
      </x:c>
      <x:c r="B37" s="5" t="str">
        <x:v>KI12-TV02T2-03.mpr</x:v>
      </x:c>
      <x:c r="C37" s="5" t="str">
        <x:v>TV02-T2</x:v>
      </x:c>
      <x:c r="D37" s="5" t="str">
        <x:v>690-es modul fenék / példány 3</x:v>
      </x:c>
      <x:c r="E37" s="7" t="n">
        <x:v>654</x:v>
      </x:c>
      <x:c r="F37" s="7" t="n">
        <x:v>382</x:v>
      </x:c>
      <x:c r="G37" s="7" t="n">
        <x:v>18</x:v>
      </x:c>
      <x:c r="H37" s="7" t="str">
        <x:v>M03</x:v>
      </x:c>
      <x:c r="I37" s="7" t="str">
        <x:v>A = belső/felső használati felület</x:v>
      </x:c>
      <x:c r="J37" s="7" t="str">
        <x:v>egyszínű / mintázat egyeztetendő</x:v>
      </x:c>
      <x:c r="K37" s="7" t="str">
        <x:v>E1 / Y=0 (tervezési javaslat)</x:v>
      </x:c>
      <x:c r="L37" s="7" t="str">
        <x:v>E4 / X=0 (tervezési javaslat)</x:v>
      </x:c>
      <x:c r="M37" s="7" t="str">
        <x:v>E1</x:v>
      </x:c>
      <x:c r="N37" s="7" t="str">
        <x:v>E1 látszó első él; E2/E4 szerkezeti vég; E3 hátoldal</x:v>
      </x:c>
      <x:c r="O37" s="8" t="n">
        <x:v>1</x:v>
      </x:c>
      <x:c r="P37" s="8" t="n">
        <x:v>0</x:v>
      </x:c>
      <x:c r="Q37" s="8" t="n">
        <x:v>0</x:v>
      </x:c>
      <x:c r="R37" s="8" t="n">
        <x:v>0</x:v>
      </x:c>
      <x:c r="S37" s="8"/>
      <x:c r="T37" s="8"/>
      <x:c r="U37" s="7" t="str">
        <x:f>IF(COUNT(P37,R37,S37)=3,E37-P37-R37+S37,"NYITOTT")</x:f>
        <x:v>NYITOTT</x:v>
      </x:c>
      <x:c r="V37" s="7" t="str">
        <x:f>IF(COUNT(O37,Q37,T37)=3,F37-O37-Q37+T37,"NYITOTT")</x:f>
        <x:v>NYITOTT</x:v>
      </x:c>
      <x:c r="W37" s="9" t="n">
        <x:f>E37*F37/1000000</x:f>
        <x:v>0.249828</x:v>
      </x:c>
      <x:c r="X37" s="6" t="str">
        <x:v>NYITOTT</x:v>
      </x:c>
      <x:c r="Y37" s="6" t="str">
        <x:v>NEM</x:v>
      </x:c>
      <x:c r="Z37" s="5" t="str">
        <x:v>ALAP - NINCS MEGMUNKALAS</x:v>
      </x:c>
      <x:c r="AA37" s="5" t="str">
        <x:v>R12 lap 33</x:v>
      </x:c>
      <x:c r="AB37" s="5" t="str">
        <x:v>R11 előzetes lista; Tervezési darabméret; nem gyártási kiadás</x:v>
      </x:c>
    </x:row>
    <x:row r="38" ht="38" customHeight="1">
      <x:c r="A38" s="5" t="str">
        <x:v>KI12-TV02T2-04</x:v>
      </x:c>
      <x:c r="B38" s="5" t="str">
        <x:v>KI12-TV02T2-04.mpr</x:v>
      </x:c>
      <x:c r="C38" s="5" t="str">
        <x:v>TV02-T2</x:v>
      </x:c>
      <x:c r="D38" s="5" t="str">
        <x:v>690-es modul fenék / példány 4</x:v>
      </x:c>
      <x:c r="E38" s="7" t="n">
        <x:v>654</x:v>
      </x:c>
      <x:c r="F38" s="7" t="n">
        <x:v>382</x:v>
      </x:c>
      <x:c r="G38" s="7" t="n">
        <x:v>18</x:v>
      </x:c>
      <x:c r="H38" s="7" t="str">
        <x:v>M03</x:v>
      </x:c>
      <x:c r="I38" s="7" t="str">
        <x:v>A = belső/felső használati felület</x:v>
      </x:c>
      <x:c r="J38" s="7" t="str">
        <x:v>egyszínű / mintázat egyeztetendő</x:v>
      </x:c>
      <x:c r="K38" s="7" t="str">
        <x:v>E1 / Y=0 (tervezési javaslat)</x:v>
      </x:c>
      <x:c r="L38" s="7" t="str">
        <x:v>E4 / X=0 (tervezési javaslat)</x:v>
      </x:c>
      <x:c r="M38" s="7" t="str">
        <x:v>E1</x:v>
      </x:c>
      <x:c r="N38" s="7" t="str">
        <x:v>E1 látszó első él; E2/E4 szerkezeti vég; E3 hátoldal</x:v>
      </x:c>
      <x:c r="O38" s="8" t="n">
        <x:v>1</x:v>
      </x:c>
      <x:c r="P38" s="8" t="n">
        <x:v>0</x:v>
      </x:c>
      <x:c r="Q38" s="8" t="n">
        <x:v>0</x:v>
      </x:c>
      <x:c r="R38" s="8" t="n">
        <x:v>0</x:v>
      </x:c>
      <x:c r="S38" s="8"/>
      <x:c r="T38" s="8"/>
      <x:c r="U38" s="7" t="str">
        <x:f>IF(COUNT(P38,R38,S38)=3,E38-P38-R38+S38,"NYITOTT")</x:f>
        <x:v>NYITOTT</x:v>
      </x:c>
      <x:c r="V38" s="7" t="str">
        <x:f>IF(COUNT(O38,Q38,T38)=3,F38-O38-Q38+T38,"NYITOTT")</x:f>
        <x:v>NYITOTT</x:v>
      </x:c>
      <x:c r="W38" s="9" t="n">
        <x:f>E38*F38/1000000</x:f>
        <x:v>0.249828</x:v>
      </x:c>
      <x:c r="X38" s="6" t="str">
        <x:v>NYITOTT</x:v>
      </x:c>
      <x:c r="Y38" s="6" t="str">
        <x:v>NEM</x:v>
      </x:c>
      <x:c r="Z38" s="5" t="str">
        <x:v>ALAP - NINCS MEGMUNKALAS</x:v>
      </x:c>
      <x:c r="AA38" s="5" t="str">
        <x:v>R12 lap 34</x:v>
      </x:c>
      <x:c r="AB38" s="5" t="str">
        <x:v>R11 előzetes lista; Tervezési darabméret; nem gyártási kiadás</x:v>
      </x:c>
    </x:row>
    <x:row r="39" ht="38" customHeight="1">
      <x:c r="A39" s="5" t="str">
        <x:v>KI12-TV02P1-01</x:v>
      </x:c>
      <x:c r="B39" s="5" t="str">
        <x:v>KI12-TV02P1-01.mpr</x:v>
      </x:c>
      <x:c r="C39" s="5" t="str">
        <x:v>TV02-P1</x:v>
      </x:c>
      <x:c r="D39" s="5" t="str">
        <x:v>720-as modul polc / példány 1</x:v>
      </x:c>
      <x:c r="E39" s="7" t="n">
        <x:v>682</x:v>
      </x:c>
      <x:c r="F39" s="7" t="n">
        <x:v>320</x:v>
      </x:c>
      <x:c r="G39" s="7" t="n">
        <x:v>18</x:v>
      </x:c>
      <x:c r="H39" s="7" t="str">
        <x:v>M03</x:v>
      </x:c>
      <x:c r="I39" s="7" t="str">
        <x:v>A = belső/felső használati felület</x:v>
      </x:c>
      <x:c r="J39" s="7" t="str">
        <x:v>egyszínű / mintázat egyeztetendő</x:v>
      </x:c>
      <x:c r="K39" s="7" t="str">
        <x:v>E1 / Y=0 (tervezési javaslat)</x:v>
      </x:c>
      <x:c r="L39" s="7" t="str">
        <x:v>E4 / X=0 (tervezési javaslat)</x:v>
      </x:c>
      <x:c r="M39" s="7" t="str">
        <x:v>E1</x:v>
      </x:c>
      <x:c r="N39" s="7" t="str">
        <x:v>E1 látszó első él; E2/E4 szerkezeti vég; E3 hátoldal</x:v>
      </x:c>
      <x:c r="O39" s="8" t="n">
        <x:v>1</x:v>
      </x:c>
      <x:c r="P39" s="8" t="n">
        <x:v>0</x:v>
      </x:c>
      <x:c r="Q39" s="8" t="n">
        <x:v>0</x:v>
      </x:c>
      <x:c r="R39" s="8" t="n">
        <x:v>0</x:v>
      </x:c>
      <x:c r="S39" s="8"/>
      <x:c r="T39" s="8"/>
      <x:c r="U39" s="7" t="str">
        <x:f>IF(COUNT(P39,R39,S39)=3,E39-P39-R39+S39,"NYITOTT")</x:f>
        <x:v>NYITOTT</x:v>
      </x:c>
      <x:c r="V39" s="7" t="str">
        <x:f>IF(COUNT(O39,Q39,T39)=3,F39-O39-Q39+T39,"NYITOTT")</x:f>
        <x:v>NYITOTT</x:v>
      </x:c>
      <x:c r="W39" s="9" t="n">
        <x:f>E39*F39/1000000</x:f>
        <x:v>0.21824</x:v>
      </x:c>
      <x:c r="X39" s="6" t="str">
        <x:v>NYITOTT</x:v>
      </x:c>
      <x:c r="Y39" s="6" t="str">
        <x:v>NEM</x:v>
      </x:c>
      <x:c r="Z39" s="5" t="str">
        <x:v>ALAP - NINCS MEGMUNKALAS</x:v>
      </x:c>
      <x:c r="AA39" s="5" t="str">
        <x:v>R12 lap 35</x:v>
      </x:c>
      <x:c r="AB39" s="5" t="str">
        <x:v>R11 előzetes lista; Tervezési darabméret; nem gyártási kiadás</x:v>
      </x:c>
    </x:row>
    <x:row r="40" ht="38" customHeight="1">
      <x:c r="A40" s="5" t="str">
        <x:v>KI12-TV02P2-01</x:v>
      </x:c>
      <x:c r="B40" s="5" t="str">
        <x:v>KI12-TV02P2-01.mpr</x:v>
      </x:c>
      <x:c r="C40" s="5" t="str">
        <x:v>TV02-P2</x:v>
      </x:c>
      <x:c r="D40" s="5" t="str">
        <x:v>690-es modul polc / példány 1</x:v>
      </x:c>
      <x:c r="E40" s="7" t="n">
        <x:v>652</x:v>
      </x:c>
      <x:c r="F40" s="7" t="n">
        <x:v>320</x:v>
      </x:c>
      <x:c r="G40" s="7" t="n">
        <x:v>18</x:v>
      </x:c>
      <x:c r="H40" s="7" t="str">
        <x:v>M03</x:v>
      </x:c>
      <x:c r="I40" s="7" t="str">
        <x:v>A = belső/felső használati felület</x:v>
      </x:c>
      <x:c r="J40" s="7" t="str">
        <x:v>egyszínű / mintázat egyeztetendő</x:v>
      </x:c>
      <x:c r="K40" s="7" t="str">
        <x:v>E1 / Y=0 (tervezési javaslat)</x:v>
      </x:c>
      <x:c r="L40" s="7" t="str">
        <x:v>E4 / X=0 (tervezési javaslat)</x:v>
      </x:c>
      <x:c r="M40" s="7" t="str">
        <x:v>E1</x:v>
      </x:c>
      <x:c r="N40" s="7" t="str">
        <x:v>E1 látszó első él; E2/E4 szerkezeti vég; E3 hátoldal</x:v>
      </x:c>
      <x:c r="O40" s="8" t="n">
        <x:v>1</x:v>
      </x:c>
      <x:c r="P40" s="8" t="n">
        <x:v>0</x:v>
      </x:c>
      <x:c r="Q40" s="8" t="n">
        <x:v>0</x:v>
      </x:c>
      <x:c r="R40" s="8" t="n">
        <x:v>0</x:v>
      </x:c>
      <x:c r="S40" s="8"/>
      <x:c r="T40" s="8"/>
      <x:c r="U40" s="7" t="str">
        <x:f>IF(COUNT(P40,R40,S40)=3,E40-P40-R40+S40,"NYITOTT")</x:f>
        <x:v>NYITOTT</x:v>
      </x:c>
      <x:c r="V40" s="7" t="str">
        <x:f>IF(COUNT(O40,Q40,T40)=3,F40-O40-Q40+T40,"NYITOTT")</x:f>
        <x:v>NYITOTT</x:v>
      </x:c>
      <x:c r="W40" s="9" t="n">
        <x:f>E40*F40/1000000</x:f>
        <x:v>0.20864</x:v>
      </x:c>
      <x:c r="X40" s="6" t="str">
        <x:v>NYITOTT</x:v>
      </x:c>
      <x:c r="Y40" s="6" t="str">
        <x:v>NEM</x:v>
      </x:c>
      <x:c r="Z40" s="5" t="str">
        <x:v>ALAP - NINCS MEGMUNKALAS</x:v>
      </x:c>
      <x:c r="AA40" s="5" t="str">
        <x:v>R12 lap 36</x:v>
      </x:c>
      <x:c r="AB40" s="5" t="str">
        <x:v>R11 előzetes lista; Tervezési darabméret; nem gyártási kiadás</x:v>
      </x:c>
    </x:row>
    <x:row r="41" ht="38" customHeight="1">
      <x:c r="A41" s="5" t="str">
        <x:v>KI12-TV02P2-02</x:v>
      </x:c>
      <x:c r="B41" s="5" t="str">
        <x:v>KI12-TV02P2-02.mpr</x:v>
      </x:c>
      <x:c r="C41" s="5" t="str">
        <x:v>TV02-P2</x:v>
      </x:c>
      <x:c r="D41" s="5" t="str">
        <x:v>690-es modul polc / példány 2</x:v>
      </x:c>
      <x:c r="E41" s="7" t="n">
        <x:v>652</x:v>
      </x:c>
      <x:c r="F41" s="7" t="n">
        <x:v>320</x:v>
      </x:c>
      <x:c r="G41" s="7" t="n">
        <x:v>18</x:v>
      </x:c>
      <x:c r="H41" s="7" t="str">
        <x:v>M03</x:v>
      </x:c>
      <x:c r="I41" s="7" t="str">
        <x:v>A = belső/felső használati felület</x:v>
      </x:c>
      <x:c r="J41" s="7" t="str">
        <x:v>egyszínű / mintázat egyeztetendő</x:v>
      </x:c>
      <x:c r="K41" s="7" t="str">
        <x:v>E1 / Y=0 (tervezési javaslat)</x:v>
      </x:c>
      <x:c r="L41" s="7" t="str">
        <x:v>E4 / X=0 (tervezési javaslat)</x:v>
      </x:c>
      <x:c r="M41" s="7" t="str">
        <x:v>E1</x:v>
      </x:c>
      <x:c r="N41" s="7" t="str">
        <x:v>E1 látszó első él; E2/E4 szerkezeti vég; E3 hátoldal</x:v>
      </x:c>
      <x:c r="O41" s="8" t="n">
        <x:v>1</x:v>
      </x:c>
      <x:c r="P41" s="8" t="n">
        <x:v>0</x:v>
      </x:c>
      <x:c r="Q41" s="8" t="n">
        <x:v>0</x:v>
      </x:c>
      <x:c r="R41" s="8" t="n">
        <x:v>0</x:v>
      </x:c>
      <x:c r="S41" s="8"/>
      <x:c r="T41" s="8"/>
      <x:c r="U41" s="7" t="str">
        <x:f>IF(COUNT(P41,R41,S41)=3,E41-P41-R41+S41,"NYITOTT")</x:f>
        <x:v>NYITOTT</x:v>
      </x:c>
      <x:c r="V41" s="7" t="str">
        <x:f>IF(COUNT(O41,Q41,T41)=3,F41-O41-Q41+T41,"NYITOTT")</x:f>
        <x:v>NYITOTT</x:v>
      </x:c>
      <x:c r="W41" s="9" t="n">
        <x:f>E41*F41/1000000</x:f>
        <x:v>0.20864</x:v>
      </x:c>
      <x:c r="X41" s="6" t="str">
        <x:v>NYITOTT</x:v>
      </x:c>
      <x:c r="Y41" s="6" t="str">
        <x:v>NEM</x:v>
      </x:c>
      <x:c r="Z41" s="5" t="str">
        <x:v>ALAP - NINCS MEGMUNKALAS</x:v>
      </x:c>
      <x:c r="AA41" s="5" t="str">
        <x:v>R12 lap 37</x:v>
      </x:c>
      <x:c r="AB41" s="5" t="str">
        <x:v>R11 előzetes lista; Tervezési darabméret; nem gyártási kiadás</x:v>
      </x:c>
    </x:row>
    <x:row r="42" ht="38" customHeight="1">
      <x:c r="A42" s="5" t="str">
        <x:v>KI12-TV02P2-03</x:v>
      </x:c>
      <x:c r="B42" s="5" t="str">
        <x:v>KI12-TV02P2-03.mpr</x:v>
      </x:c>
      <x:c r="C42" s="5" t="str">
        <x:v>TV02-P2</x:v>
      </x:c>
      <x:c r="D42" s="5" t="str">
        <x:v>690-es modul polc / példány 3</x:v>
      </x:c>
      <x:c r="E42" s="7" t="n">
        <x:v>652</x:v>
      </x:c>
      <x:c r="F42" s="7" t="n">
        <x:v>320</x:v>
      </x:c>
      <x:c r="G42" s="7" t="n">
        <x:v>18</x:v>
      </x:c>
      <x:c r="H42" s="7" t="str">
        <x:v>M03</x:v>
      </x:c>
      <x:c r="I42" s="7" t="str">
        <x:v>A = belső/felső használati felület</x:v>
      </x:c>
      <x:c r="J42" s="7" t="str">
        <x:v>egyszínű / mintázat egyeztetendő</x:v>
      </x:c>
      <x:c r="K42" s="7" t="str">
        <x:v>E1 / Y=0 (tervezési javaslat)</x:v>
      </x:c>
      <x:c r="L42" s="7" t="str">
        <x:v>E4 / X=0 (tervezési javaslat)</x:v>
      </x:c>
      <x:c r="M42" s="7" t="str">
        <x:v>E1</x:v>
      </x:c>
      <x:c r="N42" s="7" t="str">
        <x:v>E1 látszó első él; E2/E4 szerkezeti vég; E3 hátoldal</x:v>
      </x:c>
      <x:c r="O42" s="8" t="n">
        <x:v>1</x:v>
      </x:c>
      <x:c r="P42" s="8" t="n">
        <x:v>0</x:v>
      </x:c>
      <x:c r="Q42" s="8" t="n">
        <x:v>0</x:v>
      </x:c>
      <x:c r="R42" s="8" t="n">
        <x:v>0</x:v>
      </x:c>
      <x:c r="S42" s="8"/>
      <x:c r="T42" s="8"/>
      <x:c r="U42" s="7" t="str">
        <x:f>IF(COUNT(P42,R42,S42)=3,E42-P42-R42+S42,"NYITOTT")</x:f>
        <x:v>NYITOTT</x:v>
      </x:c>
      <x:c r="V42" s="7" t="str">
        <x:f>IF(COUNT(O42,Q42,T42)=3,F42-O42-Q42+T42,"NYITOTT")</x:f>
        <x:v>NYITOTT</x:v>
      </x:c>
      <x:c r="W42" s="9" t="n">
        <x:f>E42*F42/1000000</x:f>
        <x:v>0.20864</x:v>
      </x:c>
      <x:c r="X42" s="6" t="str">
        <x:v>NYITOTT</x:v>
      </x:c>
      <x:c r="Y42" s="6" t="str">
        <x:v>NEM</x:v>
      </x:c>
      <x:c r="Z42" s="5" t="str">
        <x:v>ALAP - NINCS MEGMUNKALAS</x:v>
      </x:c>
      <x:c r="AA42" s="5" t="str">
        <x:v>R12 lap 38</x:v>
      </x:c>
      <x:c r="AB42" s="5" t="str">
        <x:v>R11 előzetes lista; Tervezési darabméret; nem gyártási kiadás</x:v>
      </x:c>
    </x:row>
    <x:row r="43" ht="38" customHeight="1">
      <x:c r="A43" s="5" t="str">
        <x:v>KI12-TV02F1-01</x:v>
      </x:c>
      <x:c r="B43" s="5" t="str">
        <x:v>KI12-TV02F1-01.mpr</x:v>
      </x:c>
      <x:c r="C43" s="5" t="str">
        <x:v>TV02-F1</x:v>
      </x:c>
      <x:c r="D43" s="5" t="str">
        <x:v>Alsó front720 / példány 1</x:v>
      </x:c>
      <x:c r="E43" s="7" t="n">
        <x:v>717</x:v>
      </x:c>
      <x:c r="F43" s="7" t="n">
        <x:v>397</x:v>
      </x:c>
      <x:c r="G43" s="7" t="n">
        <x:v>18</x:v>
      </x:c>
      <x:c r="H43" s="7" t="str">
        <x:v>M01</x:v>
      </x:c>
      <x:c r="I43" s="7" t="str">
        <x:v>A = látszó homlokfelület</x:v>
      </x:c>
      <x:c r="J43" s="7" t="str">
        <x:v>egyszínű / mintázat egyeztetendő</x:v>
      </x:c>
      <x:c r="K43" s="7" t="str">
        <x:v>E1 / Y=0 (tervezési javaslat)</x:v>
      </x:c>
      <x:c r="L43" s="7" t="str">
        <x:v>E4 / X=0 (tervezési javaslat)</x:v>
      </x:c>
      <x:c r="M43" s="7" t="str">
        <x:v>mind4 él</x:v>
      </x:c>
      <x:c r="N43" s="7" t="str">
        <x:v>E1..E4 látszó kerület; ajtó esetén pántoldal még kijelölendő</x:v>
      </x:c>
      <x:c r="O43" s="8" t="n">
        <x:v>1</x:v>
      </x:c>
      <x:c r="P43" s="8" t="n">
        <x:v>1</x:v>
      </x:c>
      <x:c r="Q43" s="8" t="n">
        <x:v>1</x:v>
      </x:c>
      <x:c r="R43" s="8" t="n">
        <x:v>1</x:v>
      </x:c>
      <x:c r="S43" s="8"/>
      <x:c r="T43" s="8"/>
      <x:c r="U43" s="7" t="str">
        <x:f>IF(COUNT(P43,R43,S43)=3,E43-P43-R43+S43,"NYITOTT")</x:f>
        <x:v>NYITOTT</x:v>
      </x:c>
      <x:c r="V43" s="7" t="str">
        <x:f>IF(COUNT(O43,Q43,T43)=3,F43-O43-Q43+T43,"NYITOTT")</x:f>
        <x:v>NYITOTT</x:v>
      </x:c>
      <x:c r="W43" s="9" t="n">
        <x:f>E43*F43/1000000</x:f>
        <x:v>0.284649</x:v>
      </x:c>
      <x:c r="X43" s="6" t="str">
        <x:v>NYITOTT</x:v>
      </x:c>
      <x:c r="Y43" s="6" t="str">
        <x:v>NEM</x:v>
      </x:c>
      <x:c r="Z43" s="5" t="str">
        <x:v>ALAP - NINCS MEGMUNKALAS</x:v>
      </x:c>
      <x:c r="AA43" s="5" t="str">
        <x:v>R12 lap 39</x:v>
      </x:c>
      <x:c r="AB43" s="5" t="str">
        <x:v>R11 előzetes lista; Tervezési darabméret; nem gyártási kiadás</x:v>
      </x:c>
    </x:row>
    <x:row r="44" ht="38" customHeight="1">
      <x:c r="A44" s="5" t="str">
        <x:v>KI12-TV02F2-01</x:v>
      </x:c>
      <x:c r="B44" s="5" t="str">
        <x:v>KI12-TV02F2-01.mpr</x:v>
      </x:c>
      <x:c r="C44" s="5" t="str">
        <x:v>TV02-F2</x:v>
      </x:c>
      <x:c r="D44" s="5" t="str">
        <x:v>Alsó front690 / példány 1</x:v>
      </x:c>
      <x:c r="E44" s="7" t="n">
        <x:v>687</x:v>
      </x:c>
      <x:c r="F44" s="7" t="n">
        <x:v>397</x:v>
      </x:c>
      <x:c r="G44" s="7" t="n">
        <x:v>18</x:v>
      </x:c>
      <x:c r="H44" s="7" t="str">
        <x:v>M01</x:v>
      </x:c>
      <x:c r="I44" s="7" t="str">
        <x:v>A = látszó homlokfelület</x:v>
      </x:c>
      <x:c r="J44" s="7" t="str">
        <x:v>egyszínű / mintázat egyeztetendő</x:v>
      </x:c>
      <x:c r="K44" s="7" t="str">
        <x:v>E1 / Y=0 (tervezési javaslat)</x:v>
      </x:c>
      <x:c r="L44" s="7" t="str">
        <x:v>E4 / X=0 (tervezési javaslat)</x:v>
      </x:c>
      <x:c r="M44" s="7" t="str">
        <x:v>mind4 él</x:v>
      </x:c>
      <x:c r="N44" s="7" t="str">
        <x:v>E1..E4 látszó kerület; ajtó esetén pántoldal még kijelölendő</x:v>
      </x:c>
      <x:c r="O44" s="8" t="n">
        <x:v>1</x:v>
      </x:c>
      <x:c r="P44" s="8" t="n">
        <x:v>1</x:v>
      </x:c>
      <x:c r="Q44" s="8" t="n">
        <x:v>1</x:v>
      </x:c>
      <x:c r="R44" s="8" t="n">
        <x:v>1</x:v>
      </x:c>
      <x:c r="S44" s="8"/>
      <x:c r="T44" s="8"/>
      <x:c r="U44" s="7" t="str">
        <x:f>IF(COUNT(P44,R44,S44)=3,E44-P44-R44+S44,"NYITOTT")</x:f>
        <x:v>NYITOTT</x:v>
      </x:c>
      <x:c r="V44" s="7" t="str">
        <x:f>IF(COUNT(O44,Q44,T44)=3,F44-O44-Q44+T44,"NYITOTT")</x:f>
        <x:v>NYITOTT</x:v>
      </x:c>
      <x:c r="W44" s="9" t="n">
        <x:f>E44*F44/1000000</x:f>
        <x:v>0.272739</x:v>
      </x:c>
      <x:c r="X44" s="6" t="str">
        <x:v>NYITOTT</x:v>
      </x:c>
      <x:c r="Y44" s="6" t="str">
        <x:v>NEM</x:v>
      </x:c>
      <x:c r="Z44" s="5" t="str">
        <x:v>ALAP - NINCS MEGMUNKALAS</x:v>
      </x:c>
      <x:c r="AA44" s="5" t="str">
        <x:v>R12 lap 40</x:v>
      </x:c>
      <x:c r="AB44" s="5" t="str">
        <x:v>R11 előzetes lista; Tervezési darabméret; nem gyártási kiadás</x:v>
      </x:c>
    </x:row>
    <x:row r="45" ht="38" customHeight="1">
      <x:c r="A45" s="5" t="str">
        <x:v>KI12-TV02F2-02</x:v>
      </x:c>
      <x:c r="B45" s="5" t="str">
        <x:v>KI12-TV02F2-02.mpr</x:v>
      </x:c>
      <x:c r="C45" s="5" t="str">
        <x:v>TV02-F2</x:v>
      </x:c>
      <x:c r="D45" s="5" t="str">
        <x:v>Alsó front690 / példány 2</x:v>
      </x:c>
      <x:c r="E45" s="7" t="n">
        <x:v>687</x:v>
      </x:c>
      <x:c r="F45" s="7" t="n">
        <x:v>397</x:v>
      </x:c>
      <x:c r="G45" s="7" t="n">
        <x:v>18</x:v>
      </x:c>
      <x:c r="H45" s="7" t="str">
        <x:v>M01</x:v>
      </x:c>
      <x:c r="I45" s="7" t="str">
        <x:v>A = látszó homlokfelület</x:v>
      </x:c>
      <x:c r="J45" s="7" t="str">
        <x:v>egyszínű / mintázat egyeztetendő</x:v>
      </x:c>
      <x:c r="K45" s="7" t="str">
        <x:v>E1 / Y=0 (tervezési javaslat)</x:v>
      </x:c>
      <x:c r="L45" s="7" t="str">
        <x:v>E4 / X=0 (tervezési javaslat)</x:v>
      </x:c>
      <x:c r="M45" s="7" t="str">
        <x:v>mind4 él</x:v>
      </x:c>
      <x:c r="N45" s="7" t="str">
        <x:v>E1..E4 látszó kerület; ajtó esetén pántoldal még kijelölendő</x:v>
      </x:c>
      <x:c r="O45" s="8" t="n">
        <x:v>1</x:v>
      </x:c>
      <x:c r="P45" s="8" t="n">
        <x:v>1</x:v>
      </x:c>
      <x:c r="Q45" s="8" t="n">
        <x:v>1</x:v>
      </x:c>
      <x:c r="R45" s="8" t="n">
        <x:v>1</x:v>
      </x:c>
      <x:c r="S45" s="8"/>
      <x:c r="T45" s="8"/>
      <x:c r="U45" s="7" t="str">
        <x:f>IF(COUNT(P45,R45,S45)=3,E45-P45-R45+S45,"NYITOTT")</x:f>
        <x:v>NYITOTT</x:v>
      </x:c>
      <x:c r="V45" s="7" t="str">
        <x:f>IF(COUNT(O45,Q45,T45)=3,F45-O45-Q45+T45,"NYITOTT")</x:f>
        <x:v>NYITOTT</x:v>
      </x:c>
      <x:c r="W45" s="9" t="n">
        <x:f>E45*F45/1000000</x:f>
        <x:v>0.272739</x:v>
      </x:c>
      <x:c r="X45" s="6" t="str">
        <x:v>NYITOTT</x:v>
      </x:c>
      <x:c r="Y45" s="6" t="str">
        <x:v>NEM</x:v>
      </x:c>
      <x:c r="Z45" s="5" t="str">
        <x:v>ALAP - NINCS MEGMUNKALAS</x:v>
      </x:c>
      <x:c r="AA45" s="5" t="str">
        <x:v>R12 lap 41</x:v>
      </x:c>
      <x:c r="AB45" s="5" t="str">
        <x:v>R11 előzetes lista; Tervezési darabméret; nem gyártási kiadás</x:v>
      </x:c>
    </x:row>
    <x:row r="46" ht="38" customHeight="1">
      <x:c r="A46" s="5" t="str">
        <x:v>KI12-TV02F2-03</x:v>
      </x:c>
      <x:c r="B46" s="5" t="str">
        <x:v>KI12-TV02F2-03.mpr</x:v>
      </x:c>
      <x:c r="C46" s="5" t="str">
        <x:v>TV02-F2</x:v>
      </x:c>
      <x:c r="D46" s="5" t="str">
        <x:v>Alsó front690 / példány 3</x:v>
      </x:c>
      <x:c r="E46" s="7" t="n">
        <x:v>687</x:v>
      </x:c>
      <x:c r="F46" s="7" t="n">
        <x:v>397</x:v>
      </x:c>
      <x:c r="G46" s="7" t="n">
        <x:v>18</x:v>
      </x:c>
      <x:c r="H46" s="7" t="str">
        <x:v>M01</x:v>
      </x:c>
      <x:c r="I46" s="7" t="str">
        <x:v>A = látszó homlokfelület</x:v>
      </x:c>
      <x:c r="J46" s="7" t="str">
        <x:v>egyszínű / mintázat egyeztetendő</x:v>
      </x:c>
      <x:c r="K46" s="7" t="str">
        <x:v>E1 / Y=0 (tervezési javaslat)</x:v>
      </x:c>
      <x:c r="L46" s="7" t="str">
        <x:v>E4 / X=0 (tervezési javaslat)</x:v>
      </x:c>
      <x:c r="M46" s="7" t="str">
        <x:v>mind4 él</x:v>
      </x:c>
      <x:c r="N46" s="7" t="str">
        <x:v>E1..E4 látszó kerület; ajtó esetén pántoldal még kijelölendő</x:v>
      </x:c>
      <x:c r="O46" s="8" t="n">
        <x:v>1</x:v>
      </x:c>
      <x:c r="P46" s="8" t="n">
        <x:v>1</x:v>
      </x:c>
      <x:c r="Q46" s="8" t="n">
        <x:v>1</x:v>
      </x:c>
      <x:c r="R46" s="8" t="n">
        <x:v>1</x:v>
      </x:c>
      <x:c r="S46" s="8"/>
      <x:c r="T46" s="8"/>
      <x:c r="U46" s="7" t="str">
        <x:f>IF(COUNT(P46,R46,S46)=3,E46-P46-R46+S46,"NYITOTT")</x:f>
        <x:v>NYITOTT</x:v>
      </x:c>
      <x:c r="V46" s="7" t="str">
        <x:f>IF(COUNT(O46,Q46,T46)=3,F46-O46-Q46+T46,"NYITOTT")</x:f>
        <x:v>NYITOTT</x:v>
      </x:c>
      <x:c r="W46" s="9" t="n">
        <x:f>E46*F46/1000000</x:f>
        <x:v>0.272739</x:v>
      </x:c>
      <x:c r="X46" s="6" t="str">
        <x:v>NYITOTT</x:v>
      </x:c>
      <x:c r="Y46" s="6" t="str">
        <x:v>NEM</x:v>
      </x:c>
      <x:c r="Z46" s="5" t="str">
        <x:v>ALAP - NINCS MEGMUNKALAS</x:v>
      </x:c>
      <x:c r="AA46" s="5" t="str">
        <x:v>R12 lap 42</x:v>
      </x:c>
      <x:c r="AB46" s="5" t="str">
        <x:v>R11 előzetes lista; Tervezési darabméret; nem gyártási kiadás</x:v>
      </x:c>
    </x:row>
    <x:row r="47" ht="38" customHeight="1">
      <x:c r="A47" s="5" t="str">
        <x:v>KI12-TV02F2-04</x:v>
      </x:c>
      <x:c r="B47" s="5" t="str">
        <x:v>KI12-TV02F2-04.mpr</x:v>
      </x:c>
      <x:c r="C47" s="5" t="str">
        <x:v>TV02-F2</x:v>
      </x:c>
      <x:c r="D47" s="5" t="str">
        <x:v>Alsó front690 / példány 4</x:v>
      </x:c>
      <x:c r="E47" s="7" t="n">
        <x:v>687</x:v>
      </x:c>
      <x:c r="F47" s="7" t="n">
        <x:v>397</x:v>
      </x:c>
      <x:c r="G47" s="7" t="n">
        <x:v>18</x:v>
      </x:c>
      <x:c r="H47" s="7" t="str">
        <x:v>M01</x:v>
      </x:c>
      <x:c r="I47" s="7" t="str">
        <x:v>A = látszó homlokfelület</x:v>
      </x:c>
      <x:c r="J47" s="7" t="str">
        <x:v>egyszínű / mintázat egyeztetendő</x:v>
      </x:c>
      <x:c r="K47" s="7" t="str">
        <x:v>E1 / Y=0 (tervezési javaslat)</x:v>
      </x:c>
      <x:c r="L47" s="7" t="str">
        <x:v>E4 / X=0 (tervezési javaslat)</x:v>
      </x:c>
      <x:c r="M47" s="7" t="str">
        <x:v>mind4 él</x:v>
      </x:c>
      <x:c r="N47" s="7" t="str">
        <x:v>E1..E4 látszó kerület; ajtó esetén pántoldal még kijelölendő</x:v>
      </x:c>
      <x:c r="O47" s="8" t="n">
        <x:v>1</x:v>
      </x:c>
      <x:c r="P47" s="8" t="n">
        <x:v>1</x:v>
      </x:c>
      <x:c r="Q47" s="8" t="n">
        <x:v>1</x:v>
      </x:c>
      <x:c r="R47" s="8" t="n">
        <x:v>1</x:v>
      </x:c>
      <x:c r="S47" s="8"/>
      <x:c r="T47" s="8"/>
      <x:c r="U47" s="7" t="str">
        <x:f>IF(COUNT(P47,R47,S47)=3,E47-P47-R47+S47,"NYITOTT")</x:f>
        <x:v>NYITOTT</x:v>
      </x:c>
      <x:c r="V47" s="7" t="str">
        <x:f>IF(COUNT(O47,Q47,T47)=3,F47-O47-Q47+T47,"NYITOTT")</x:f>
        <x:v>NYITOTT</x:v>
      </x:c>
      <x:c r="W47" s="9" t="n">
        <x:f>E47*F47/1000000</x:f>
        <x:v>0.272739</x:v>
      </x:c>
      <x:c r="X47" s="6" t="str">
        <x:v>NYITOTT</x:v>
      </x:c>
      <x:c r="Y47" s="6" t="str">
        <x:v>NEM</x:v>
      </x:c>
      <x:c r="Z47" s="5" t="str">
        <x:v>ALAP - NINCS MEGMUNKALAS</x:v>
      </x:c>
      <x:c r="AA47" s="5" t="str">
        <x:v>R12 lap 43</x:v>
      </x:c>
      <x:c r="AB47" s="5" t="str">
        <x:v>R11 előzetes lista; Tervezési darabméret; nem gyártási kiadás</x:v>
      </x:c>
    </x:row>
    <x:row r="48" ht="38" customHeight="1">
      <x:c r="A48" s="5" t="str">
        <x:v>KI12-TV02H1-01</x:v>
      </x:c>
      <x:c r="B48" s="5" t="str">
        <x:v>KI12-TV02H1-01.mpr</x:v>
      </x:c>
      <x:c r="C48" s="5" t="str">
        <x:v>TV02-H1</x:v>
      </x:c>
      <x:c r="D48" s="5" t="str">
        <x:v>Hátlap720 / példány 1</x:v>
      </x:c>
      <x:c r="E48" s="7" t="n">
        <x:v>684</x:v>
      </x:c>
      <x:c r="F48" s="7" t="n">
        <x:v>364</x:v>
      </x:c>
      <x:c r="G48" s="7" t="n">
        <x:v>8</x:v>
      </x:c>
      <x:c r="H48" s="7" t="str">
        <x:v>M03</x:v>
      </x:c>
      <x:c r="I48" s="7" t="str">
        <x:v>A = bútor belseje felé</x:v>
      </x:c>
      <x:c r="J48" s="7" t="str">
        <x:v>egyszínű / mintázat egyeztetendő</x:v>
      </x:c>
      <x:c r="K48" s="7" t="str">
        <x:v>E1 / Y=0 (tervezési javaslat)</x:v>
      </x:c>
      <x:c r="L48" s="7" t="str">
        <x:v>E4 / X=0 (tervezési javaslat)</x:v>
      </x:c>
      <x:c r="M48" s="7" t="str">
        <x:v>nincs homlokél</x:v>
      </x:c>
      <x:c r="N48" s="7" t="str">
        <x:v>E1 alsó helyi él; mind4 él hátfalcsatlakozás</x:v>
      </x:c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/>
      <x:c r="T48" s="8"/>
      <x:c r="U48" s="7" t="str">
        <x:f>IF(COUNT(P48,R48,S48)=3,E48-P48-R48+S48,"NYITOTT")</x:f>
        <x:v>NYITOTT</x:v>
      </x:c>
      <x:c r="V48" s="7" t="str">
        <x:f>IF(COUNT(O48,Q48,T48)=3,F48-O48-Q48+T48,"NYITOTT")</x:f>
        <x:v>NYITOTT</x:v>
      </x:c>
      <x:c r="W48" s="9" t="n">
        <x:f>E48*F48/1000000</x:f>
        <x:v>0.248976</x:v>
      </x:c>
      <x:c r="X48" s="6" t="str">
        <x:v>NYITOTT</x:v>
      </x:c>
      <x:c r="Y48" s="6" t="str">
        <x:v>NEM</x:v>
      </x:c>
      <x:c r="Z48" s="5" t="str">
        <x:v>ALAP - NINCS MEGMUNKALAS</x:v>
      </x:c>
      <x:c r="AA48" s="5" t="str">
        <x:v>R12 lap 44</x:v>
      </x:c>
      <x:c r="AB48" s="5" t="str">
        <x:v>R11 előzetes lista; R12 javítás: 382-18=364 mm; R11 346 mm téves. Illesztési játék még nincs levonva.</x:v>
      </x:c>
    </x:row>
    <x:row r="49" ht="38" customHeight="1">
      <x:c r="A49" s="5" t="str">
        <x:v>KI12-TV02H2-01</x:v>
      </x:c>
      <x:c r="B49" s="5" t="str">
        <x:v>KI12-TV02H2-01.mpr</x:v>
      </x:c>
      <x:c r="C49" s="5" t="str">
        <x:v>TV02-H2</x:v>
      </x:c>
      <x:c r="D49" s="5" t="str">
        <x:v>Hátlap690 / példány 1</x:v>
      </x:c>
      <x:c r="E49" s="7" t="n">
        <x:v>654</x:v>
      </x:c>
      <x:c r="F49" s="7" t="n">
        <x:v>364</x:v>
      </x:c>
      <x:c r="G49" s="7" t="n">
        <x:v>8</x:v>
      </x:c>
      <x:c r="H49" s="7" t="str">
        <x:v>M03</x:v>
      </x:c>
      <x:c r="I49" s="7" t="str">
        <x:v>A = bútor belseje felé</x:v>
      </x:c>
      <x:c r="J49" s="7" t="str">
        <x:v>egyszínű / mintázat egyeztetendő</x:v>
      </x:c>
      <x:c r="K49" s="7" t="str">
        <x:v>E1 / Y=0 (tervezési javaslat)</x:v>
      </x:c>
      <x:c r="L49" s="7" t="str">
        <x:v>E4 / X=0 (tervezési javaslat)</x:v>
      </x:c>
      <x:c r="M49" s="7" t="str">
        <x:v>nincs homlokél</x:v>
      </x:c>
      <x:c r="N49" s="7" t="str">
        <x:v>E1 alsó helyi él; mind4 él hátfalcsatlakozás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/>
      <x:c r="T49" s="8"/>
      <x:c r="U49" s="7" t="str">
        <x:f>IF(COUNT(P49,R49,S49)=3,E49-P49-R49+S49,"NYITOTT")</x:f>
        <x:v>NYITOTT</x:v>
      </x:c>
      <x:c r="V49" s="7" t="str">
        <x:f>IF(COUNT(O49,Q49,T49)=3,F49-O49-Q49+T49,"NYITOTT")</x:f>
        <x:v>NYITOTT</x:v>
      </x:c>
      <x:c r="W49" s="9" t="n">
        <x:f>E49*F49/1000000</x:f>
        <x:v>0.238056</x:v>
      </x:c>
      <x:c r="X49" s="6" t="str">
        <x:v>NYITOTT</x:v>
      </x:c>
      <x:c r="Y49" s="6" t="str">
        <x:v>NEM</x:v>
      </x:c>
      <x:c r="Z49" s="5" t="str">
        <x:v>ALAP - NINCS MEGMUNKALAS</x:v>
      </x:c>
      <x:c r="AA49" s="5" t="str">
        <x:v>R12 lap 45</x:v>
      </x:c>
      <x:c r="AB49" s="5" t="str">
        <x:v>R11 előzetes lista; R12 javítás: 382-18=364 mm; R11 346 mm téves. Illesztési játék még nincs levonva.</x:v>
      </x:c>
    </x:row>
    <x:row r="50" ht="38" customHeight="1">
      <x:c r="A50" s="5" t="str">
        <x:v>KI12-TV02H2-02</x:v>
      </x:c>
      <x:c r="B50" s="5" t="str">
        <x:v>KI12-TV02H2-02.mpr</x:v>
      </x:c>
      <x:c r="C50" s="5" t="str">
        <x:v>TV02-H2</x:v>
      </x:c>
      <x:c r="D50" s="5" t="str">
        <x:v>Hátlap690 / példány 2</x:v>
      </x:c>
      <x:c r="E50" s="7" t="n">
        <x:v>654</x:v>
      </x:c>
      <x:c r="F50" s="7" t="n">
        <x:v>364</x:v>
      </x:c>
      <x:c r="G50" s="7" t="n">
        <x:v>8</x:v>
      </x:c>
      <x:c r="H50" s="7" t="str">
        <x:v>M03</x:v>
      </x:c>
      <x:c r="I50" s="7" t="str">
        <x:v>A = bútor belseje felé</x:v>
      </x:c>
      <x:c r="J50" s="7" t="str">
        <x:v>egyszínű / mintázat egyeztetendő</x:v>
      </x:c>
      <x:c r="K50" s="7" t="str">
        <x:v>E1 / Y=0 (tervezési javaslat)</x:v>
      </x:c>
      <x:c r="L50" s="7" t="str">
        <x:v>E4 / X=0 (tervezési javaslat)</x:v>
      </x:c>
      <x:c r="M50" s="7" t="str">
        <x:v>nincs homlokél</x:v>
      </x:c>
      <x:c r="N50" s="7" t="str">
        <x:v>E1 alsó helyi él; mind4 él hátfalcsatlakozás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/>
      <x:c r="T50" s="8"/>
      <x:c r="U50" s="7" t="str">
        <x:f>IF(COUNT(P50,R50,S50)=3,E50-P50-R50+S50,"NYITOTT")</x:f>
        <x:v>NYITOTT</x:v>
      </x:c>
      <x:c r="V50" s="7" t="str">
        <x:f>IF(COUNT(O50,Q50,T50)=3,F50-O50-Q50+T50,"NYITOTT")</x:f>
        <x:v>NYITOTT</x:v>
      </x:c>
      <x:c r="W50" s="9" t="n">
        <x:f>E50*F50/1000000</x:f>
        <x:v>0.238056</x:v>
      </x:c>
      <x:c r="X50" s="6" t="str">
        <x:v>NYITOTT</x:v>
      </x:c>
      <x:c r="Y50" s="6" t="str">
        <x:v>NEM</x:v>
      </x:c>
      <x:c r="Z50" s="5" t="str">
        <x:v>ALAP - NINCS MEGMUNKALAS</x:v>
      </x:c>
      <x:c r="AA50" s="5" t="str">
        <x:v>R12 lap 46</x:v>
      </x:c>
      <x:c r="AB50" s="5" t="str">
        <x:v>R11 előzetes lista; R12 javítás: 382-18=364 mm; R11 346 mm téves. Illesztési játék még nincs levonva.</x:v>
      </x:c>
    </x:row>
    <x:row r="51" ht="38" customHeight="1">
      <x:c r="A51" s="5" t="str">
        <x:v>KI12-TV02H2-03</x:v>
      </x:c>
      <x:c r="B51" s="5" t="str">
        <x:v>KI12-TV02H2-03.mpr</x:v>
      </x:c>
      <x:c r="C51" s="5" t="str">
        <x:v>TV02-H2</x:v>
      </x:c>
      <x:c r="D51" s="5" t="str">
        <x:v>Hátlap690 / példány 3</x:v>
      </x:c>
      <x:c r="E51" s="7" t="n">
        <x:v>654</x:v>
      </x:c>
      <x:c r="F51" s="7" t="n">
        <x:v>364</x:v>
      </x:c>
      <x:c r="G51" s="7" t="n">
        <x:v>8</x:v>
      </x:c>
      <x:c r="H51" s="7" t="str">
        <x:v>M03</x:v>
      </x:c>
      <x:c r="I51" s="7" t="str">
        <x:v>A = bútor belseje felé</x:v>
      </x:c>
      <x:c r="J51" s="7" t="str">
        <x:v>egyszínű / mintázat egyeztetendő</x:v>
      </x:c>
      <x:c r="K51" s="7" t="str">
        <x:v>E1 / Y=0 (tervezési javaslat)</x:v>
      </x:c>
      <x:c r="L51" s="7" t="str">
        <x:v>E4 / X=0 (tervezési javaslat)</x:v>
      </x:c>
      <x:c r="M51" s="7" t="str">
        <x:v>nincs homlokél</x:v>
      </x:c>
      <x:c r="N51" s="7" t="str">
        <x:v>E1 alsó helyi él; mind4 él hátfalcsatlakozás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/>
      <x:c r="T51" s="8"/>
      <x:c r="U51" s="7" t="str">
        <x:f>IF(COUNT(P51,R51,S51)=3,E51-P51-R51+S51,"NYITOTT")</x:f>
        <x:v>NYITOTT</x:v>
      </x:c>
      <x:c r="V51" s="7" t="str">
        <x:f>IF(COUNT(O51,Q51,T51)=3,F51-O51-Q51+T51,"NYITOTT")</x:f>
        <x:v>NYITOTT</x:v>
      </x:c>
      <x:c r="W51" s="9" t="n">
        <x:f>E51*F51/1000000</x:f>
        <x:v>0.238056</x:v>
      </x:c>
      <x:c r="X51" s="6" t="str">
        <x:v>NYITOTT</x:v>
      </x:c>
      <x:c r="Y51" s="6" t="str">
        <x:v>NEM</x:v>
      </x:c>
      <x:c r="Z51" s="5" t="str">
        <x:v>ALAP - NINCS MEGMUNKALAS</x:v>
      </x:c>
      <x:c r="AA51" s="5" t="str">
        <x:v>R12 lap 47</x:v>
      </x:c>
      <x:c r="AB51" s="5" t="str">
        <x:v>R11 előzetes lista; R12 javítás: 382-18=364 mm; R11 346 mm téves. Illesztési játék még nincs levonva.</x:v>
      </x:c>
    </x:row>
    <x:row r="52" ht="38" customHeight="1">
      <x:c r="A52" s="5" t="str">
        <x:v>KI12-TV02H2-04</x:v>
      </x:c>
      <x:c r="B52" s="5" t="str">
        <x:v>KI12-TV02H2-04.mpr</x:v>
      </x:c>
      <x:c r="C52" s="5" t="str">
        <x:v>TV02-H2</x:v>
      </x:c>
      <x:c r="D52" s="5" t="str">
        <x:v>Hátlap690 / példány 4</x:v>
      </x:c>
      <x:c r="E52" s="7" t="n">
        <x:v>654</x:v>
      </x:c>
      <x:c r="F52" s="7" t="n">
        <x:v>364</x:v>
      </x:c>
      <x:c r="G52" s="7" t="n">
        <x:v>8</x:v>
      </x:c>
      <x:c r="H52" s="7" t="str">
        <x:v>M03</x:v>
      </x:c>
      <x:c r="I52" s="7" t="str">
        <x:v>A = bútor belseje felé</x:v>
      </x:c>
      <x:c r="J52" s="7" t="str">
        <x:v>egyszínű / mintázat egyeztetendő</x:v>
      </x:c>
      <x:c r="K52" s="7" t="str">
        <x:v>E1 / Y=0 (tervezési javaslat)</x:v>
      </x:c>
      <x:c r="L52" s="7" t="str">
        <x:v>E4 / X=0 (tervezési javaslat)</x:v>
      </x:c>
      <x:c r="M52" s="7" t="str">
        <x:v>nincs homlokél</x:v>
      </x:c>
      <x:c r="N52" s="7" t="str">
        <x:v>E1 alsó helyi él; mind4 él hátfalcsatlakozás</x:v>
      </x:c>
      <x:c r="O52" s="8" t="n">
        <x:v>0</x:v>
      </x:c>
      <x:c r="P52" s="8" t="n">
        <x:v>0</x:v>
      </x:c>
      <x:c r="Q52" s="8" t="n">
        <x:v>0</x:v>
      </x:c>
      <x:c r="R52" s="8" t="n">
        <x:v>0</x:v>
      </x:c>
      <x:c r="S52" s="8"/>
      <x:c r="T52" s="8"/>
      <x:c r="U52" s="7" t="str">
        <x:f>IF(COUNT(P52,R52,S52)=3,E52-P52-R52+S52,"NYITOTT")</x:f>
        <x:v>NYITOTT</x:v>
      </x:c>
      <x:c r="V52" s="7" t="str">
        <x:f>IF(COUNT(O52,Q52,T52)=3,F52-O52-Q52+T52,"NYITOTT")</x:f>
        <x:v>NYITOTT</x:v>
      </x:c>
      <x:c r="W52" s="9" t="n">
        <x:f>E52*F52/1000000</x:f>
        <x:v>0.238056</x:v>
      </x:c>
      <x:c r="X52" s="6" t="str">
        <x:v>NYITOTT</x:v>
      </x:c>
      <x:c r="Y52" s="6" t="str">
        <x:v>NEM</x:v>
      </x:c>
      <x:c r="Z52" s="5" t="str">
        <x:v>ALAP - NINCS MEGMUNKALAS</x:v>
      </x:c>
      <x:c r="AA52" s="5" t="str">
        <x:v>R12 lap 48</x:v>
      </x:c>
      <x:c r="AB52" s="5" t="str">
        <x:v>R11 előzetes lista; R12 javítás: 382-18=364 mm; R11 346 mm téves. Illesztési játék még nincs levonva.</x:v>
      </x:c>
    </x:row>
    <x:row r="53" ht="38" customHeight="1">
      <x:c r="A53" s="5" t="str">
        <x:v>KI12-TV02CAP-01</x:v>
      </x:c>
      <x:c r="B53" s="5" t="str">
        <x:v>KI12-TV02CAP-01.mpr</x:v>
      </x:c>
      <x:c r="C53" s="5" t="str">
        <x:v>TV02-CAP</x:v>
      </x:c>
      <x:c r="D53" s="5" t="str">
        <x:v>Összefüggő felső fedő / példány 1</x:v>
      </x:c>
      <x:c r="E53" s="7" t="n">
        <x:v>3600</x:v>
      </x:c>
      <x:c r="F53" s="7" t="n">
        <x:v>382</x:v>
      </x:c>
      <x:c r="G53" s="7" t="n">
        <x:v>18</x:v>
      </x:c>
      <x:c r="H53" s="7" t="str">
        <x:v>M01</x:v>
      </x:c>
      <x:c r="I53" s="7" t="str">
        <x:v>A = látszó felső felület</x:v>
      </x:c>
      <x:c r="J53" s="7" t="str">
        <x:v>egyszínű / mintázat egyeztetendő</x:v>
      </x:c>
      <x:c r="K53" s="7" t="str">
        <x:v>E1 / Y=0 (tervezési javaslat)</x:v>
      </x:c>
      <x:c r="L53" s="7" t="str">
        <x:v>E4 / X=0 (tervezési javaslat)</x:v>
      </x:c>
      <x:c r="M53" s="7" t="str">
        <x:v>E1</x:v>
      </x:c>
      <x:c r="N53" s="7" t="str">
        <x:v>E1 első; E2/E4 vég látszó; E3 fal felőli</x:v>
      </x:c>
      <x:c r="O53" s="8" t="n">
        <x:v>1</x:v>
      </x:c>
      <x:c r="P53" s="8" t="n">
        <x:v>1</x:v>
      </x:c>
      <x:c r="Q53" s="8" t="n">
        <x:v>0</x:v>
      </x:c>
      <x:c r="R53" s="8" t="n">
        <x:v>1</x:v>
      </x:c>
      <x:c r="S53" s="8"/>
      <x:c r="T53" s="8"/>
      <x:c r="U53" s="7" t="str">
        <x:f>IF(COUNT(P53,R53,S53)=3,E53-P53-R53+S53,"NYITOTT")</x:f>
        <x:v>NYITOTT</x:v>
      </x:c>
      <x:c r="V53" s="7" t="str">
        <x:f>IF(COUNT(O53,Q53,T53)=3,F53-O53-Q53+T53,"NYITOTT")</x:f>
        <x:v>NYITOTT</x:v>
      </x:c>
      <x:c r="W53" s="9" t="n">
        <x:f>E53*F53/1000000</x:f>
        <x:v>1.3752</x:v>
      </x:c>
      <x:c r="X53" s="6" t="str">
        <x:v>NYITOTT</x:v>
      </x:c>
      <x:c r="Y53" s="6" t="str">
        <x:v>NEM</x:v>
      </x:c>
      <x:c r="Z53" s="5" t="str">
        <x:v>ALAP - NINCS MEGMUNKALAS</x:v>
      </x:c>
      <x:c r="AA53" s="5" t="str">
        <x:v>R12 lap 49</x:v>
      </x:c>
      <x:c r="AB53" s="5" t="str">
        <x:v>R11 előzetes lista; R12 javítás: fedő 382 mm mély; a 400 mm-es korábbi fedő áthatolt a 397 mm magas frontokon. Kész mélység továbbra is 382+18=400.</x:v>
      </x:c>
    </x:row>
    <x:row r="54" ht="38" customHeight="1">
      <x:c r="A54" s="5" t="str">
        <x:v>KI12-TV03P-01</x:v>
      </x:c>
      <x:c r="B54" s="5" t="str">
        <x:v>KI12-TV03P-01.mpr</x:v>
      </x:c>
      <x:c r="C54" s="5" t="str">
        <x:v>TV03-P</x:v>
      </x:c>
      <x:c r="D54" s="5" t="str">
        <x:v>Dekor hordozópanel / példány 1</x:v>
      </x:c>
      <x:c r="E54" s="7" t="n">
        <x:v>2330</x:v>
      </x:c>
      <x:c r="F54" s="7" t="n">
        <x:v>687</x:v>
      </x:c>
      <x:c r="G54" s="7" t="n">
        <x:v>18</x:v>
      </x:c>
      <x:c r="H54" s="7" t="str">
        <x:v>M02</x:v>
      </x:c>
      <x:c r="I54" s="7" t="str">
        <x:v>A = nyomtatott felület</x:v>
      </x:c>
      <x:c r="J54" s="7" t="str">
        <x:v>X irány: magasság</x:v>
      </x:c>
      <x:c r="K54" s="7" t="str">
        <x:v>E1 / Y=0 (tervezési javaslat)</x:v>
      </x:c>
      <x:c r="L54" s="7" t="str">
        <x:v>E4 / X=0 (tervezési javaslat)</x:v>
      </x:c>
      <x:c r="M54" s="7" t="str">
        <x:v>mind4 él</x:v>
      </x:c>
      <x:c r="N54" s="7" t="str">
        <x:v>Panelcsatlakozások, nyomat/élzárás módja mintára vár</x:v>
      </x:c>
      <x:c r="O54" s="8"/>
      <x:c r="P54" s="8"/>
      <x:c r="Q54" s="8"/>
      <x:c r="R54" s="8"/>
      <x:c r="S54" s="8"/>
      <x:c r="T54" s="8"/>
      <x:c r="U54" s="7" t="str">
        <x:f>IF(COUNT(P54,R54,S54)=3,E54-P54-R54+S54,"NYITOTT")</x:f>
        <x:v>NYITOTT</x:v>
      </x:c>
      <x:c r="V54" s="7" t="str">
        <x:f>IF(COUNT(O54,Q54,T54)=3,F54-O54-Q54+T54,"NYITOTT")</x:f>
        <x:v>NYITOTT</x:v>
      </x:c>
      <x:c r="W54" s="9" t="n">
        <x:f>E54*F54/1000000</x:f>
        <x:v>1.60071</x:v>
      </x:c>
      <x:c r="X54" s="6" t="str">
        <x:v>NYITOTT</x:v>
      </x:c>
      <x:c r="Y54" s="6" t="str">
        <x:v>NEM</x:v>
      </x:c>
      <x:c r="Z54" s="5" t="str">
        <x:v>ALAP - NINCS MEGMUNKALAS</x:v>
      </x:c>
      <x:c r="AA54" s="5" t="str">
        <x:v>R12 lap 50</x:v>
      </x:c>
      <x:c r="AB54" s="5" t="str">
        <x:v>R11 előzetes lista; Tervezési darabméret; nem gyártási kiadás</x:v>
      </x:c>
    </x:row>
    <x:row r="55" ht="38" customHeight="1">
      <x:c r="A55" s="5" t="str">
        <x:v>KI12-TV03P-02</x:v>
      </x:c>
      <x:c r="B55" s="5" t="str">
        <x:v>KI12-TV03P-02.mpr</x:v>
      </x:c>
      <x:c r="C55" s="5" t="str">
        <x:v>TV03-P</x:v>
      </x:c>
      <x:c r="D55" s="5" t="str">
        <x:v>Dekor hordozópanel / példány 2</x:v>
      </x:c>
      <x:c r="E55" s="7" t="n">
        <x:v>2330</x:v>
      </x:c>
      <x:c r="F55" s="7" t="n">
        <x:v>687</x:v>
      </x:c>
      <x:c r="G55" s="7" t="n">
        <x:v>18</x:v>
      </x:c>
      <x:c r="H55" s="7" t="str">
        <x:v>M02</x:v>
      </x:c>
      <x:c r="I55" s="7" t="str">
        <x:v>A = nyomtatott felület</x:v>
      </x:c>
      <x:c r="J55" s="7" t="str">
        <x:v>X irány: magasság</x:v>
      </x:c>
      <x:c r="K55" s="7" t="str">
        <x:v>E1 / Y=0 (tervezési javaslat)</x:v>
      </x:c>
      <x:c r="L55" s="7" t="str">
        <x:v>E4 / X=0 (tervezési javaslat)</x:v>
      </x:c>
      <x:c r="M55" s="7" t="str">
        <x:v>mind4 él</x:v>
      </x:c>
      <x:c r="N55" s="7" t="str">
        <x:v>Panelcsatlakozások, nyomat/élzárás módja mintára vár</x:v>
      </x:c>
      <x:c r="O55" s="8"/>
      <x:c r="P55" s="8"/>
      <x:c r="Q55" s="8"/>
      <x:c r="R55" s="8"/>
      <x:c r="S55" s="8"/>
      <x:c r="T55" s="8"/>
      <x:c r="U55" s="7" t="str">
        <x:f>IF(COUNT(P55,R55,S55)=3,E55-P55-R55+S55,"NYITOTT")</x:f>
        <x:v>NYITOTT</x:v>
      </x:c>
      <x:c r="V55" s="7" t="str">
        <x:f>IF(COUNT(O55,Q55,T55)=3,F55-O55-Q55+T55,"NYITOTT")</x:f>
        <x:v>NYITOTT</x:v>
      </x:c>
      <x:c r="W55" s="9" t="n">
        <x:f>E55*F55/1000000</x:f>
        <x:v>1.60071</x:v>
      </x:c>
      <x:c r="X55" s="6" t="str">
        <x:v>NYITOTT</x:v>
      </x:c>
      <x:c r="Y55" s="6" t="str">
        <x:v>NEM</x:v>
      </x:c>
      <x:c r="Z55" s="5" t="str">
        <x:v>ALAP - NINCS MEGMUNKALAS</x:v>
      </x:c>
      <x:c r="AA55" s="5" t="str">
        <x:v>R12 lap 51</x:v>
      </x:c>
      <x:c r="AB55" s="5" t="str">
        <x:v>R11 előzetes lista; Tervezési darabméret; nem gyártási kiadás</x:v>
      </x:c>
    </x:row>
    <x:row r="56" ht="38" customHeight="1">
      <x:c r="A56" s="5" t="str">
        <x:v>KI12-TV03P-03</x:v>
      </x:c>
      <x:c r="B56" s="5" t="str">
        <x:v>KI12-TV03P-03.mpr</x:v>
      </x:c>
      <x:c r="C56" s="5" t="str">
        <x:v>TV03-P</x:v>
      </x:c>
      <x:c r="D56" s="5" t="str">
        <x:v>Dekor hordozópanel / példány 3</x:v>
      </x:c>
      <x:c r="E56" s="7" t="n">
        <x:v>2330</x:v>
      </x:c>
      <x:c r="F56" s="7" t="n">
        <x:v>687</x:v>
      </x:c>
      <x:c r="G56" s="7" t="n">
        <x:v>18</x:v>
      </x:c>
      <x:c r="H56" s="7" t="str">
        <x:v>M02</x:v>
      </x:c>
      <x:c r="I56" s="7" t="str">
        <x:v>A = nyomtatott felület</x:v>
      </x:c>
      <x:c r="J56" s="7" t="str">
        <x:v>X irány: magasság</x:v>
      </x:c>
      <x:c r="K56" s="7" t="str">
        <x:v>E1 / Y=0 (tervezési javaslat)</x:v>
      </x:c>
      <x:c r="L56" s="7" t="str">
        <x:v>E4 / X=0 (tervezési javaslat)</x:v>
      </x:c>
      <x:c r="M56" s="7" t="str">
        <x:v>mind4 él</x:v>
      </x:c>
      <x:c r="N56" s="7" t="str">
        <x:v>Panelcsatlakozások, nyomat/élzárás módja mintára vár</x:v>
      </x:c>
      <x:c r="O56" s="8"/>
      <x:c r="P56" s="8"/>
      <x:c r="Q56" s="8"/>
      <x:c r="R56" s="8"/>
      <x:c r="S56" s="8"/>
      <x:c r="T56" s="8"/>
      <x:c r="U56" s="7" t="str">
        <x:f>IF(COUNT(P56,R56,S56)=3,E56-P56-R56+S56,"NYITOTT")</x:f>
        <x:v>NYITOTT</x:v>
      </x:c>
      <x:c r="V56" s="7" t="str">
        <x:f>IF(COUNT(O56,Q56,T56)=3,F56-O56-Q56+T56,"NYITOTT")</x:f>
        <x:v>NYITOTT</x:v>
      </x:c>
      <x:c r="W56" s="9" t="n">
        <x:f>E56*F56/1000000</x:f>
        <x:v>1.60071</x:v>
      </x:c>
      <x:c r="X56" s="6" t="str">
        <x:v>NYITOTT</x:v>
      </x:c>
      <x:c r="Y56" s="6" t="str">
        <x:v>NEM</x:v>
      </x:c>
      <x:c r="Z56" s="5" t="str">
        <x:v>ALAP - NINCS MEGMUNKALAS</x:v>
      </x:c>
      <x:c r="AA56" s="5" t="str">
        <x:v>R12 lap 52</x:v>
      </x:c>
      <x:c r="AB56" s="5" t="str">
        <x:v>R11 előzetes lista; Tervezési darabméret; nem gyártási kiadás</x:v>
      </x:c>
    </x:row>
    <x:row r="57" ht="38" customHeight="1">
      <x:c r="A57" s="5" t="str">
        <x:v>KI12-TV03P-04</x:v>
      </x:c>
      <x:c r="B57" s="5" t="str">
        <x:v>KI12-TV03P-04.mpr</x:v>
      </x:c>
      <x:c r="C57" s="5" t="str">
        <x:v>TV03-P</x:v>
      </x:c>
      <x:c r="D57" s="5" t="str">
        <x:v>Dekor hordozópanel / példány 4</x:v>
      </x:c>
      <x:c r="E57" s="7" t="n">
        <x:v>2330</x:v>
      </x:c>
      <x:c r="F57" s="7" t="n">
        <x:v>687</x:v>
      </x:c>
      <x:c r="G57" s="7" t="n">
        <x:v>18</x:v>
      </x:c>
      <x:c r="H57" s="7" t="str">
        <x:v>M02</x:v>
      </x:c>
      <x:c r="I57" s="7" t="str">
        <x:v>A = nyomtatott felület</x:v>
      </x:c>
      <x:c r="J57" s="7" t="str">
        <x:v>X irány: magasság</x:v>
      </x:c>
      <x:c r="K57" s="7" t="str">
        <x:v>E1 / Y=0 (tervezési javaslat)</x:v>
      </x:c>
      <x:c r="L57" s="7" t="str">
        <x:v>E4 / X=0 (tervezési javaslat)</x:v>
      </x:c>
      <x:c r="M57" s="7" t="str">
        <x:v>mind4 él</x:v>
      </x:c>
      <x:c r="N57" s="7" t="str">
        <x:v>Panelcsatlakozások, nyomat/élzárás módja mintára vár</x:v>
      </x:c>
      <x:c r="O57" s="8"/>
      <x:c r="P57" s="8"/>
      <x:c r="Q57" s="8"/>
      <x:c r="R57" s="8"/>
      <x:c r="S57" s="8"/>
      <x:c r="T57" s="8"/>
      <x:c r="U57" s="7" t="str">
        <x:f>IF(COUNT(P57,R57,S57)=3,E57-P57-R57+S57,"NYITOTT")</x:f>
        <x:v>NYITOTT</x:v>
      </x:c>
      <x:c r="V57" s="7" t="str">
        <x:f>IF(COUNT(O57,Q57,T57)=3,F57-O57-Q57+T57,"NYITOTT")</x:f>
        <x:v>NYITOTT</x:v>
      </x:c>
      <x:c r="W57" s="9" t="n">
        <x:f>E57*F57/1000000</x:f>
        <x:v>1.60071</x:v>
      </x:c>
      <x:c r="X57" s="6" t="str">
        <x:v>NYITOTT</x:v>
      </x:c>
      <x:c r="Y57" s="6" t="str">
        <x:v>NEM</x:v>
      </x:c>
      <x:c r="Z57" s="5" t="str">
        <x:v>ALAP - NINCS MEGMUNKALAS</x:v>
      </x:c>
      <x:c r="AA57" s="5" t="str">
        <x:v>R12 lap 53</x:v>
      </x:c>
      <x:c r="AB57" s="5" t="str">
        <x:v>R11 előzetes lista; Tervezési darabméret; nem gyártási kiadás</x:v>
      </x:c>
    </x:row>
    <x:row r="58" ht="38" customHeight="1">
      <x:c r="A58" s="5" t="str">
        <x:v>KI12-GAP-01</x:v>
      </x:c>
      <x:c r="B58" s="5" t="str">
        <x:v>KI12-GAP-01.mpr</x:v>
      </x:c>
      <x:c r="C58" s="5" t="str">
        <x:v>GAP</x:v>
      </x:c>
      <x:c r="D58" s="5" t="str">
        <x:v>Köztes sáv hátbetét / példány 1</x:v>
      </x:c>
      <x:c r="E58" s="7" t="n">
        <x:v>2330</x:v>
      </x:c>
      <x:c r="F58" s="7" t="n">
        <x:v>120</x:v>
      </x:c>
      <x:c r="G58" s="7" t="n">
        <x:v>18</x:v>
      </x:c>
      <x:c r="H58" s="7" t="str">
        <x:v>M01</x:v>
      </x:c>
      <x:c r="I58" s="7" t="str">
        <x:v>A = látszó homlokfelület</x:v>
      </x:c>
      <x:c r="J58" s="7" t="str">
        <x:v>X irány: magasság</x:v>
      </x:c>
      <x:c r="K58" s="7" t="str">
        <x:v>E1 / Y=0 (tervezési javaslat)</x:v>
      </x:c>
      <x:c r="L58" s="7" t="str">
        <x:v>E4 / X=0 (tervezési javaslat)</x:v>
      </x:c>
      <x:c r="M58" s="7" t="str">
        <x:v>mind4 él</x:v>
      </x:c>
      <x:c r="N58" s="7" t="str">
        <x:v>E1..E4 látszó kerület; ajtó esetén pántoldal még kijelölendő</x:v>
      </x:c>
      <x:c r="O58" s="8" t="n">
        <x:v>1</x:v>
      </x:c>
      <x:c r="P58" s="8" t="n">
        <x:v>1</x:v>
      </x:c>
      <x:c r="Q58" s="8" t="n">
        <x:v>1</x:v>
      </x:c>
      <x:c r="R58" s="8" t="n">
        <x:v>1</x:v>
      </x:c>
      <x:c r="S58" s="8"/>
      <x:c r="T58" s="8"/>
      <x:c r="U58" s="7" t="str">
        <x:f>IF(COUNT(P58,R58,S58)=3,E58-P58-R58+S58,"NYITOTT")</x:f>
        <x:v>NYITOTT</x:v>
      </x:c>
      <x:c r="V58" s="7" t="str">
        <x:f>IF(COUNT(O58,Q58,T58)=3,F58-O58-Q58+T58,"NYITOTT")</x:f>
        <x:v>NYITOTT</x:v>
      </x:c>
      <x:c r="W58" s="9" t="n">
        <x:f>E58*F58/1000000</x:f>
        <x:v>0.2796</x:v>
      </x:c>
      <x:c r="X58" s="6" t="str">
        <x:v>NYITOTT</x:v>
      </x:c>
      <x:c r="Y58" s="6" t="str">
        <x:v>NEM</x:v>
      </x:c>
      <x:c r="Z58" s="5" t="str">
        <x:v>ALAP - NINCS MEGMUNKALAS</x:v>
      </x:c>
      <x:c r="AA58" s="5" t="str">
        <x:v>R12 lap 54</x:v>
      </x:c>
      <x:c r="AB58" s="5" t="str">
        <x:v>R11 előzetes lista; Tervezési darabméret; nem gyártási kiadás</x:v>
      </x:c>
    </x:row>
  </x:sheetData>
  <x:pageMargins left="0.7" right="0.7" top="0.75" bottom="0.75" header="0.3" footer="0.3"/>
  <x:tableParts count="1">
    <x:tablePart xmlns:r="http://schemas.openxmlformats.org/officeDocument/2006/relationships" r:id="R27dccf3004714436"/>
  </x:tableParts>
</x: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.970000267028809" hidden="0" customWidth="1"/>
    <col min="2" max="2" width="9.970000267028809" hidden="0" customWidth="1"/>
    <col min="3" max="3" width="9.970000267028809" hidden="0" customWidth="1"/>
    <col min="4" max="4" width="9.970000267028809" hidden="0" customWidth="1"/>
    <col min="5" max="5" width="4.199999809265137" hidden="0" customWidth="1"/>
    <col min="6" max="6" width="9.970000267028809" hidden="0" customWidth="1"/>
    <col min="7" max="7" width="9.970000267028809" hidden="0" customWidth="1"/>
    <col min="8" max="8" width="9.970000267028809" hidden="0" customWidth="1"/>
    <col min="9" max="9" width="9.970000267028809" hidden="0" customWidth="1"/>
  </cols>
  <sheetData>
    <row r="1" ht="14.17322826385498" customHeight="1">
      <c r="A1" s="21" t="str">
        <f>Alkatreszek!A6</f>
        <v>KI12-TV01S-01</v>
      </c>
      <c r="B1" s="14"/>
      <c r="C1" s="14"/>
      <c r="D1" s="15"/>
      <c r="E1" s="1"/>
      <c r="F1" s="21" t="str">
        <f>Alkatreszek!A7</f>
        <v>KI12-TV01S-02</v>
      </c>
      <c r="G1" s="14"/>
      <c r="H1" s="14"/>
      <c r="I1" s="15"/>
    </row>
    <row r="2" ht="14.17322826385498" customHeight="1">
      <c r="A2" s="16" t="str">
        <f>Alkatreszek!C6</f>
        <v>TV01-S</v>
      </c>
      <c r="B2" s="1"/>
      <c r="C2" s="1"/>
      <c r="D2" s="17"/>
      <c r="E2" s="1"/>
      <c r="F2" s="16" t="str">
        <f>Alkatreszek!C7</f>
        <v>TV01-S</v>
      </c>
      <c r="G2" s="1"/>
      <c r="H2" s="1"/>
      <c r="I2" s="17"/>
    </row>
    <row r="3" ht="14.17322826385498" customHeight="1">
      <c r="A3" s="22" t="str">
        <f>Alkatreszek!E6&amp;" x "&amp;Alkatreszek!F6&amp;" x "&amp;Alkatreszek!G6&amp;" mm KESZ TERV"</f>
        <v>2330 x 382 x 18 mm KESZ TERV</v>
      </c>
      <c r="B3" s="1"/>
      <c r="C3" s="1"/>
      <c r="D3" s="17"/>
      <c r="E3" s="1"/>
      <c r="F3" s="22" t="str">
        <f>Alkatreszek!E7&amp;" x "&amp;Alkatreszek!F7&amp;" x "&amp;Alkatreszek!G7&amp;" mm KESZ TERV"</f>
        <v>2330 x 382 x 18 mm KESZ TERV</v>
      </c>
      <c r="G3" s="1"/>
      <c r="H3" s="1"/>
      <c r="I3" s="17"/>
    </row>
    <row r="4" ht="14.17322826385498" customHeight="1">
      <c r="A4" s="16" t="str">
        <f>Alkatreszek!H6</f>
        <v>M03</v>
      </c>
      <c r="B4" s="1"/>
      <c r="C4" s="1"/>
      <c r="D4" s="17"/>
      <c r="E4" s="1"/>
      <c r="F4" s="16" t="str">
        <f>Alkatreszek!H7</f>
        <v>M03</v>
      </c>
      <c r="G4" s="1"/>
      <c r="H4" s="1"/>
      <c r="I4" s="17"/>
    </row>
    <row r="5" ht="14.17322826385498" customHeight="1">
      <c r="A5" s="16" t="str">
        <v>E1 lent / E4 bal; A felület felül</v>
      </c>
      <c r="B5" s="1"/>
      <c r="C5" s="1"/>
      <c r="D5" s="17"/>
      <c r="E5" s="1"/>
      <c r="F5" s="16" t="str">
        <v>E1 lent / E4 bal; A felület felül</v>
      </c>
      <c r="G5" s="1"/>
      <c r="H5" s="1"/>
      <c r="I5" s="17"/>
    </row>
    <row r="6" ht="14.17322826385498" customHeight="1">
      <c r="A6" s="16" t="str">
        <f>"Elkod: "&amp;Alkatreszek!X6</f>
        <v>Elkod: NYITOTT</v>
      </c>
      <c r="B6" s="1"/>
      <c r="C6" s="1"/>
      <c r="D6" s="17"/>
      <c r="E6" s="1"/>
      <c r="F6" s="16" t="str">
        <f>"Elkod: "&amp;Alkatreszek!X7</f>
        <v>Elkod: NYITOTT</v>
      </c>
      <c r="G6" s="1"/>
      <c r="H6" s="1"/>
      <c r="I6" s="17"/>
    </row>
    <row r="7" ht="14.17322826385498" customHeight="1">
      <c r="A7" s="16" t="str">
        <v>TÁJOLÁSI JAVASLAT / NEM GYÁRTÁS</v>
      </c>
      <c r="B7" s="1"/>
      <c r="C7" s="1"/>
      <c r="D7" s="17"/>
      <c r="E7" s="1"/>
      <c r="F7" s="16" t="str">
        <v>TÁJOLÁSI JAVASLAT / NEM GYÁRTÁS</v>
      </c>
      <c r="G7" s="1"/>
      <c r="H7" s="1"/>
      <c r="I7" s="17"/>
    </row>
    <row r="8" ht="14.17322826385498" customHeight="1">
      <c r="A8" s="16" t="str">
        <f>Alkatreszek!B6</f>
        <v>KI12-TV01S-01.mpr</v>
      </c>
      <c r="B8" s="1"/>
      <c r="C8" s="1"/>
      <c r="D8" s="17"/>
      <c r="E8" s="1"/>
      <c r="F8" s="16" t="str">
        <f>Alkatreszek!B7</f>
        <v>KI12-TV01S-02.mpr</v>
      </c>
      <c r="G8" s="1"/>
      <c r="H8" s="1"/>
      <c r="I8" s="17"/>
    </row>
    <row r="9" ht="14.17322826385498" customHeight="1">
      <c r="A9" s="16" t="str">
        <v>R12 - MPR: NINCS MEGMUNKÁLÁS</v>
      </c>
      <c r="B9" s="1"/>
      <c r="C9" s="1"/>
      <c r="D9" s="17"/>
      <c r="E9" s="1"/>
      <c r="F9" s="16" t="str">
        <v>R12 - MPR: NINCS MEGMUNKÁLÁS</v>
      </c>
      <c r="G9" s="1"/>
      <c r="H9" s="1"/>
      <c r="I9" s="17"/>
    </row>
    <row r="10" ht="14.17322826385498" customHeight="1">
      <c r="A10" s="18"/>
      <c r="B10" s="19"/>
      <c r="C10" s="19"/>
      <c r="D10" s="20"/>
      <c r="E10" s="1"/>
      <c r="F10" s="18"/>
      <c r="G10" s="19"/>
      <c r="H10" s="19"/>
      <c r="I10" s="20"/>
    </row>
    <row r="11" ht="14.17322826385498" customHeight="1">
      <c r="A11" s="21" t="str">
        <f>Alkatreszek!A8</f>
        <v>KI12-TV01T-01</v>
      </c>
      <c r="B11" s="14"/>
      <c r="C11" s="14"/>
      <c r="D11" s="15"/>
      <c r="E11" s="1"/>
      <c r="F11" s="21" t="str">
        <f>Alkatreszek!A9</f>
        <v>KI12-TV01T-02</v>
      </c>
      <c r="G11" s="14"/>
      <c r="H11" s="14"/>
      <c r="I11" s="15"/>
    </row>
    <row r="12" ht="14.17322826385498" customHeight="1">
      <c r="A12" s="16" t="str">
        <f>Alkatreszek!C8</f>
        <v>TV01-T</v>
      </c>
      <c r="B12" s="1"/>
      <c r="C12" s="1"/>
      <c r="D12" s="17"/>
      <c r="E12" s="1"/>
      <c r="F12" s="16" t="str">
        <f>Alkatreszek!C9</f>
        <v>TV01-T</v>
      </c>
      <c r="G12" s="1"/>
      <c r="H12" s="1"/>
      <c r="I12" s="17"/>
    </row>
    <row r="13" ht="14.17322826385498" customHeight="1">
      <c r="A13" s="22" t="str">
        <f>Alkatreszek!E8&amp;" x "&amp;Alkatreszek!F8&amp;" x "&amp;Alkatreszek!G8&amp;" mm KESZ TERV"</f>
        <v>684 x 382 x 18 mm KESZ TERV</v>
      </c>
      <c r="B13" s="1"/>
      <c r="C13" s="1"/>
      <c r="D13" s="17"/>
      <c r="E13" s="1"/>
      <c r="F13" s="22" t="str">
        <f>Alkatreszek!E9&amp;" x "&amp;Alkatreszek!F9&amp;" x "&amp;Alkatreszek!G9&amp;" mm KESZ TERV"</f>
        <v>684 x 382 x 18 mm KESZ TERV</v>
      </c>
      <c r="G13" s="1"/>
      <c r="H13" s="1"/>
      <c r="I13" s="17"/>
    </row>
    <row r="14" ht="14.17322826385498" customHeight="1">
      <c r="A14" s="16" t="str">
        <f>Alkatreszek!H8</f>
        <v>M03</v>
      </c>
      <c r="B14" s="1"/>
      <c r="C14" s="1"/>
      <c r="D14" s="17"/>
      <c r="E14" s="1"/>
      <c r="F14" s="16" t="str">
        <f>Alkatreszek!H9</f>
        <v>M03</v>
      </c>
      <c r="G14" s="1"/>
      <c r="H14" s="1"/>
      <c r="I14" s="17"/>
    </row>
    <row r="15" ht="14.17322826385498" customHeight="1">
      <c r="A15" s="16" t="str">
        <v>E1 lent / E4 bal; A felület felül</v>
      </c>
      <c r="B15" s="1"/>
      <c r="C15" s="1"/>
      <c r="D15" s="17"/>
      <c r="E15" s="1"/>
      <c r="F15" s="16" t="str">
        <v>E1 lent / E4 bal; A felület felül</v>
      </c>
      <c r="G15" s="1"/>
      <c r="H15" s="1"/>
      <c r="I15" s="17"/>
    </row>
    <row r="16" ht="14.17322826385498" customHeight="1">
      <c r="A16" s="16" t="str">
        <f>"Elkod: "&amp;Alkatreszek!X8</f>
        <v>Elkod: NYITOTT</v>
      </c>
      <c r="B16" s="1"/>
      <c r="C16" s="1"/>
      <c r="D16" s="17"/>
      <c r="E16" s="1"/>
      <c r="F16" s="16" t="str">
        <f>"Elkod: "&amp;Alkatreszek!X9</f>
        <v>Elkod: NYITOTT</v>
      </c>
      <c r="G16" s="1"/>
      <c r="H16" s="1"/>
      <c r="I16" s="17"/>
    </row>
    <row r="17" ht="14.17322826385498" customHeight="1">
      <c r="A17" s="16" t="str">
        <v>TÁJOLÁSI JAVASLAT / NEM GYÁRTÁS</v>
      </c>
      <c r="B17" s="1"/>
      <c r="C17" s="1"/>
      <c r="D17" s="17"/>
      <c r="E17" s="1"/>
      <c r="F17" s="16" t="str">
        <v>TÁJOLÁSI JAVASLAT / NEM GYÁRTÁS</v>
      </c>
      <c r="G17" s="1"/>
      <c r="H17" s="1"/>
      <c r="I17" s="17"/>
    </row>
    <row r="18" ht="14.17322826385498" customHeight="1">
      <c r="A18" s="16" t="str">
        <f>Alkatreszek!B8</f>
        <v>KI12-TV01T-01.mpr</v>
      </c>
      <c r="B18" s="1"/>
      <c r="C18" s="1"/>
      <c r="D18" s="17"/>
      <c r="E18" s="1"/>
      <c r="F18" s="16" t="str">
        <f>Alkatreszek!B9</f>
        <v>KI12-TV01T-02.mpr</v>
      </c>
      <c r="G18" s="1"/>
      <c r="H18" s="1"/>
      <c r="I18" s="17"/>
    </row>
    <row r="19" ht="14.17322826385498" customHeight="1">
      <c r="A19" s="16" t="str">
        <v>R12 - MPR: NINCS MEGMUNKÁLÁS</v>
      </c>
      <c r="B19" s="1"/>
      <c r="C19" s="1"/>
      <c r="D19" s="17"/>
      <c r="E19" s="1"/>
      <c r="F19" s="16" t="str">
        <v>R12 - MPR: NINCS MEGMUNKÁLÁS</v>
      </c>
      <c r="G19" s="1"/>
      <c r="H19" s="1"/>
      <c r="I19" s="17"/>
    </row>
    <row r="20" ht="14.17322826385498" customHeight="1">
      <c r="A20" s="18"/>
      <c r="B20" s="19"/>
      <c r="C20" s="19"/>
      <c r="D20" s="20"/>
      <c r="E20" s="1"/>
      <c r="F20" s="18"/>
      <c r="G20" s="19"/>
      <c r="H20" s="19"/>
      <c r="I20" s="20"/>
    </row>
    <row r="21" ht="14.17322826385498" customHeight="1">
      <c r="A21" s="21" t="str">
        <f>Alkatreszek!A10</f>
        <v>KI12-TV01C-01</v>
      </c>
      <c r="B21" s="14"/>
      <c r="C21" s="14"/>
      <c r="D21" s="15"/>
      <c r="E21" s="1"/>
      <c r="F21" s="21" t="str">
        <f>Alkatreszek!A11</f>
        <v>KI12-TV01P-01</v>
      </c>
      <c r="G21" s="14"/>
      <c r="H21" s="14"/>
      <c r="I21" s="15"/>
    </row>
    <row r="22" ht="14.17322826385498" customHeight="1">
      <c r="A22" s="16" t="str">
        <f>Alkatreszek!C10</f>
        <v>TV01-C</v>
      </c>
      <c r="B22" s="1"/>
      <c r="C22" s="1"/>
      <c r="D22" s="17"/>
      <c r="E22" s="1"/>
      <c r="F22" s="16" t="str">
        <f>Alkatreszek!C11</f>
        <v>TV01-P</v>
      </c>
      <c r="G22" s="1"/>
      <c r="H22" s="1"/>
      <c r="I22" s="17"/>
    </row>
    <row r="23" ht="14.17322826385498" customHeight="1">
      <c r="A23" s="22" t="str">
        <f>Alkatreszek!E10&amp;" x "&amp;Alkatreszek!F10&amp;" x "&amp;Alkatreszek!G10&amp;" mm KESZ TERV"</f>
        <v>2294 x 374 x 18 mm KESZ TERV</v>
      </c>
      <c r="B23" s="1"/>
      <c r="C23" s="1"/>
      <c r="D23" s="17"/>
      <c r="E23" s="1"/>
      <c r="F23" s="22" t="str">
        <f>Alkatreszek!E11&amp;" x "&amp;Alkatreszek!F11&amp;" x "&amp;Alkatreszek!G11&amp;" mm KESZ TERV"</f>
        <v>331 x 320 x 18 mm KESZ TERV</v>
      </c>
      <c r="G23" s="1"/>
      <c r="H23" s="1"/>
      <c r="I23" s="17"/>
    </row>
    <row r="24" ht="14.17322826385498" customHeight="1">
      <c r="A24" s="16" t="str">
        <f>Alkatreszek!H10</f>
        <v>M03</v>
      </c>
      <c r="B24" s="1"/>
      <c r="C24" s="1"/>
      <c r="D24" s="17"/>
      <c r="E24" s="1"/>
      <c r="F24" s="16" t="str">
        <f>Alkatreszek!H11</f>
        <v>M03</v>
      </c>
      <c r="G24" s="1"/>
      <c r="H24" s="1"/>
      <c r="I24" s="17"/>
    </row>
    <row r="25" ht="14.17322826385498" customHeight="1">
      <c r="A25" s="16" t="str">
        <v>E1 lent / E4 bal; A felület felül</v>
      </c>
      <c r="B25" s="1"/>
      <c r="C25" s="1"/>
      <c r="D25" s="17"/>
      <c r="E25" s="1"/>
      <c r="F25" s="16" t="str">
        <v>E1 lent / E4 bal; A felület felül</v>
      </c>
      <c r="G25" s="1"/>
      <c r="H25" s="1"/>
      <c r="I25" s="17"/>
    </row>
    <row r="26" ht="14.17322826385498" customHeight="1">
      <c r="A26" s="16" t="str">
        <f>"Elkod: "&amp;Alkatreszek!X10</f>
        <v>Elkod: NYITOTT</v>
      </c>
      <c r="B26" s="1"/>
      <c r="C26" s="1"/>
      <c r="D26" s="17"/>
      <c r="E26" s="1"/>
      <c r="F26" s="16" t="str">
        <f>"Elkod: "&amp;Alkatreszek!X11</f>
        <v>Elkod: NYITOTT</v>
      </c>
      <c r="G26" s="1"/>
      <c r="H26" s="1"/>
      <c r="I26" s="17"/>
    </row>
    <row r="27" ht="14.17322826385498" customHeight="1">
      <c r="A27" s="16" t="str">
        <v>TÁJOLÁSI JAVASLAT / NEM GYÁRTÁS</v>
      </c>
      <c r="B27" s="1"/>
      <c r="C27" s="1"/>
      <c r="D27" s="17"/>
      <c r="E27" s="1"/>
      <c r="F27" s="16" t="str">
        <v>TÁJOLÁSI JAVASLAT / NEM GYÁRTÁS</v>
      </c>
      <c r="G27" s="1"/>
      <c r="H27" s="1"/>
      <c r="I27" s="17"/>
    </row>
    <row r="28" ht="14.17322826385498" customHeight="1">
      <c r="A28" s="16" t="str">
        <f>Alkatreszek!B10</f>
        <v>KI12-TV01C-01.mpr</v>
      </c>
      <c r="B28" s="1"/>
      <c r="C28" s="1"/>
      <c r="D28" s="17"/>
      <c r="E28" s="1"/>
      <c r="F28" s="16" t="str">
        <f>Alkatreszek!B11</f>
        <v>KI12-TV01P-01.mpr</v>
      </c>
      <c r="G28" s="1"/>
      <c r="H28" s="1"/>
      <c r="I28" s="17"/>
    </row>
    <row r="29" ht="14.17322826385498" customHeight="1">
      <c r="A29" s="16" t="str">
        <v>R12 - MPR: NINCS MEGMUNKÁLÁS</v>
      </c>
      <c r="B29" s="1"/>
      <c r="C29" s="1"/>
      <c r="D29" s="17"/>
      <c r="E29" s="1"/>
      <c r="F29" s="16" t="str">
        <v>R12 - MPR: NINCS MEGMUNKÁLÁS</v>
      </c>
      <c r="G29" s="1"/>
      <c r="H29" s="1"/>
      <c r="I29" s="17"/>
    </row>
    <row r="30" ht="14.17322826385498" customHeight="1">
      <c r="A30" s="18"/>
      <c r="B30" s="19"/>
      <c r="C30" s="19"/>
      <c r="D30" s="20"/>
      <c r="E30" s="1"/>
      <c r="F30" s="18"/>
      <c r="G30" s="19"/>
      <c r="H30" s="19"/>
      <c r="I30" s="20"/>
    </row>
    <row r="31" ht="14.17322826385498" customHeight="1">
      <c r="A31" s="21" t="str">
        <f>Alkatreszek!A12</f>
        <v>KI12-TV01P-02</v>
      </c>
      <c r="B31" s="14"/>
      <c r="C31" s="14"/>
      <c r="D31" s="15"/>
      <c r="E31" s="1"/>
      <c r="F31" s="21" t="str">
        <f>Alkatreszek!A13</f>
        <v>KI12-TV01P-03</v>
      </c>
      <c r="G31" s="14"/>
      <c r="H31" s="14"/>
      <c r="I31" s="15"/>
    </row>
    <row r="32" ht="14.17322826385498" customHeight="1">
      <c r="A32" s="16" t="str">
        <f>Alkatreszek!C12</f>
        <v>TV01-P</v>
      </c>
      <c r="B32" s="1"/>
      <c r="C32" s="1"/>
      <c r="D32" s="17"/>
      <c r="E32" s="1"/>
      <c r="F32" s="16" t="str">
        <f>Alkatreszek!C13</f>
        <v>TV01-P</v>
      </c>
      <c r="G32" s="1"/>
      <c r="H32" s="1"/>
      <c r="I32" s="17"/>
    </row>
    <row r="33" ht="14.17322826385498" customHeight="1">
      <c r="A33" s="22" t="str">
        <f>Alkatreszek!E12&amp;" x "&amp;Alkatreszek!F12&amp;" x "&amp;Alkatreszek!G12&amp;" mm KESZ TERV"</f>
        <v>331 x 320 x 18 mm KESZ TERV</v>
      </c>
      <c r="B33" s="1"/>
      <c r="C33" s="1"/>
      <c r="D33" s="17"/>
      <c r="E33" s="1"/>
      <c r="F33" s="22" t="str">
        <f>Alkatreszek!E13&amp;" x "&amp;Alkatreszek!F13&amp;" x "&amp;Alkatreszek!G13&amp;" mm KESZ TERV"</f>
        <v>331 x 320 x 18 mm KESZ TERV</v>
      </c>
      <c r="G33" s="1"/>
      <c r="H33" s="1"/>
      <c r="I33" s="17"/>
    </row>
    <row r="34" ht="14.17322826385498" customHeight="1">
      <c r="A34" s="16" t="str">
        <f>Alkatreszek!H12</f>
        <v>M03</v>
      </c>
      <c r="B34" s="1"/>
      <c r="C34" s="1"/>
      <c r="D34" s="17"/>
      <c r="E34" s="1"/>
      <c r="F34" s="16" t="str">
        <f>Alkatreszek!H13</f>
        <v>M03</v>
      </c>
      <c r="G34" s="1"/>
      <c r="H34" s="1"/>
      <c r="I34" s="17"/>
    </row>
    <row r="35" ht="14.17322826385498" customHeight="1">
      <c r="A35" s="16" t="str">
        <v>E1 lent / E4 bal; A felület felül</v>
      </c>
      <c r="B35" s="1"/>
      <c r="C35" s="1"/>
      <c r="D35" s="17"/>
      <c r="E35" s="1"/>
      <c r="F35" s="16" t="str">
        <v>E1 lent / E4 bal; A felület felül</v>
      </c>
      <c r="G35" s="1"/>
      <c r="H35" s="1"/>
      <c r="I35" s="17"/>
    </row>
    <row r="36" ht="14.17322826385498" customHeight="1">
      <c r="A36" s="16" t="str">
        <f>"Elkod: "&amp;Alkatreszek!X12</f>
        <v>Elkod: NYITOTT</v>
      </c>
      <c r="B36" s="1"/>
      <c r="C36" s="1"/>
      <c r="D36" s="17"/>
      <c r="E36" s="1"/>
      <c r="F36" s="16" t="str">
        <f>"Elkod: "&amp;Alkatreszek!X13</f>
        <v>Elkod: NYITOTT</v>
      </c>
      <c r="G36" s="1"/>
      <c r="H36" s="1"/>
      <c r="I36" s="17"/>
    </row>
    <row r="37" ht="14.17322826385498" customHeight="1">
      <c r="A37" s="16" t="str">
        <v>TÁJOLÁSI JAVASLAT / NEM GYÁRTÁS</v>
      </c>
      <c r="B37" s="1"/>
      <c r="C37" s="1"/>
      <c r="D37" s="17"/>
      <c r="E37" s="1"/>
      <c r="F37" s="16" t="str">
        <v>TÁJOLÁSI JAVASLAT / NEM GYÁRTÁS</v>
      </c>
      <c r="G37" s="1"/>
      <c r="H37" s="1"/>
      <c r="I37" s="17"/>
    </row>
    <row r="38" ht="14.17322826385498" customHeight="1">
      <c r="A38" s="16" t="str">
        <f>Alkatreszek!B12</f>
        <v>KI12-TV01P-02.mpr</v>
      </c>
      <c r="B38" s="1"/>
      <c r="C38" s="1"/>
      <c r="D38" s="17"/>
      <c r="E38" s="1"/>
      <c r="F38" s="16" t="str">
        <f>Alkatreszek!B13</f>
        <v>KI12-TV01P-03.mpr</v>
      </c>
      <c r="G38" s="1"/>
      <c r="H38" s="1"/>
      <c r="I38" s="17"/>
    </row>
    <row r="39" ht="14.17322826385498" customHeight="1">
      <c r="A39" s="16" t="str">
        <v>R12 - MPR: NINCS MEGMUNKÁLÁS</v>
      </c>
      <c r="B39" s="1"/>
      <c r="C39" s="1"/>
      <c r="D39" s="17"/>
      <c r="E39" s="1"/>
      <c r="F39" s="16" t="str">
        <v>R12 - MPR: NINCS MEGMUNKÁLÁS</v>
      </c>
      <c r="G39" s="1"/>
      <c r="H39" s="1"/>
      <c r="I39" s="17"/>
    </row>
    <row r="40" ht="14.17322826385498" customHeight="1">
      <c r="A40" s="18"/>
      <c r="B40" s="19"/>
      <c r="C40" s="19"/>
      <c r="D40" s="20"/>
      <c r="E40" s="1"/>
      <c r="F40" s="18"/>
      <c r="G40" s="19"/>
      <c r="H40" s="19"/>
      <c r="I40" s="20"/>
    </row>
    <row r="41" ht="14.17322826385498" customHeight="1">
      <c r="A41" s="21" t="str">
        <f>Alkatreszek!A14</f>
        <v>KI12-TV01P-04</v>
      </c>
      <c r="B41" s="14"/>
      <c r="C41" s="14"/>
      <c r="D41" s="15"/>
      <c r="E41" s="1"/>
      <c r="F41" s="21" t="str">
        <f>Alkatreszek!A15</f>
        <v>KI12-TV01P-05</v>
      </c>
      <c r="G41" s="14"/>
      <c r="H41" s="14"/>
      <c r="I41" s="15"/>
    </row>
    <row r="42" ht="14.17322826385498" customHeight="1">
      <c r="A42" s="16" t="str">
        <f>Alkatreszek!C14</f>
        <v>TV01-P</v>
      </c>
      <c r="B42" s="1"/>
      <c r="C42" s="1"/>
      <c r="D42" s="17"/>
      <c r="E42" s="1"/>
      <c r="F42" s="16" t="str">
        <f>Alkatreszek!C15</f>
        <v>TV01-P</v>
      </c>
      <c r="G42" s="1"/>
      <c r="H42" s="1"/>
      <c r="I42" s="17"/>
    </row>
    <row r="43" ht="14.17322826385498" customHeight="1">
      <c r="A43" s="22" t="str">
        <f>Alkatreszek!E14&amp;" x "&amp;Alkatreszek!F14&amp;" x "&amp;Alkatreszek!G14&amp;" mm KESZ TERV"</f>
        <v>331 x 320 x 18 mm KESZ TERV</v>
      </c>
      <c r="B43" s="1"/>
      <c r="C43" s="1"/>
      <c r="D43" s="17"/>
      <c r="E43" s="1"/>
      <c r="F43" s="22" t="str">
        <f>Alkatreszek!E15&amp;" x "&amp;Alkatreszek!F15&amp;" x "&amp;Alkatreszek!G15&amp;" mm KESZ TERV"</f>
        <v>331 x 320 x 18 mm KESZ TERV</v>
      </c>
      <c r="G43" s="1"/>
      <c r="H43" s="1"/>
      <c r="I43" s="17"/>
    </row>
    <row r="44" ht="14.17322826385498" customHeight="1">
      <c r="A44" s="16" t="str">
        <f>Alkatreszek!H14</f>
        <v>M03</v>
      </c>
      <c r="B44" s="1"/>
      <c r="C44" s="1"/>
      <c r="D44" s="17"/>
      <c r="E44" s="1"/>
      <c r="F44" s="16" t="str">
        <f>Alkatreszek!H15</f>
        <v>M03</v>
      </c>
      <c r="G44" s="1"/>
      <c r="H44" s="1"/>
      <c r="I44" s="17"/>
    </row>
    <row r="45" ht="14.17322826385498" customHeight="1">
      <c r="A45" s="16" t="str">
        <v>E1 lent / E4 bal; A felület felül</v>
      </c>
      <c r="B45" s="1"/>
      <c r="C45" s="1"/>
      <c r="D45" s="17"/>
      <c r="E45" s="1"/>
      <c r="F45" s="16" t="str">
        <v>E1 lent / E4 bal; A felület felül</v>
      </c>
      <c r="G45" s="1"/>
      <c r="H45" s="1"/>
      <c r="I45" s="17"/>
    </row>
    <row r="46" ht="14.17322826385498" customHeight="1">
      <c r="A46" s="16" t="str">
        <f>"Elkod: "&amp;Alkatreszek!X14</f>
        <v>Elkod: NYITOTT</v>
      </c>
      <c r="B46" s="1"/>
      <c r="C46" s="1"/>
      <c r="D46" s="17"/>
      <c r="E46" s="1"/>
      <c r="F46" s="16" t="str">
        <f>"Elkod: "&amp;Alkatreszek!X15</f>
        <v>Elkod: NYITOTT</v>
      </c>
      <c r="G46" s="1"/>
      <c r="H46" s="1"/>
      <c r="I46" s="17"/>
    </row>
    <row r="47" ht="14.17322826385498" customHeight="1">
      <c r="A47" s="16" t="str">
        <v>TÁJOLÁSI JAVASLAT / NEM GYÁRTÁS</v>
      </c>
      <c r="B47" s="1"/>
      <c r="C47" s="1"/>
      <c r="D47" s="17"/>
      <c r="E47" s="1"/>
      <c r="F47" s="16" t="str">
        <v>TÁJOLÁSI JAVASLAT / NEM GYÁRTÁS</v>
      </c>
      <c r="G47" s="1"/>
      <c r="H47" s="1"/>
      <c r="I47" s="17"/>
    </row>
    <row r="48" ht="14.17322826385498" customHeight="1">
      <c r="A48" s="16" t="str">
        <f>Alkatreszek!B14</f>
        <v>KI12-TV01P-04.mpr</v>
      </c>
      <c r="B48" s="1"/>
      <c r="C48" s="1"/>
      <c r="D48" s="17"/>
      <c r="E48" s="1"/>
      <c r="F48" s="16" t="str">
        <f>Alkatreszek!B15</f>
        <v>KI12-TV01P-05.mpr</v>
      </c>
      <c r="G48" s="1"/>
      <c r="H48" s="1"/>
      <c r="I48" s="17"/>
    </row>
    <row r="49" ht="14.17322826385498" customHeight="1">
      <c r="A49" s="16" t="str">
        <v>R12 - MPR: NINCS MEGMUNKÁLÁS</v>
      </c>
      <c r="B49" s="1"/>
      <c r="C49" s="1"/>
      <c r="D49" s="17"/>
      <c r="E49" s="1"/>
      <c r="F49" s="16" t="str">
        <v>R12 - MPR: NINCS MEGMUNKÁLÁS</v>
      </c>
      <c r="G49" s="1"/>
      <c r="H49" s="1"/>
      <c r="I49" s="17"/>
    </row>
    <row r="50" ht="14.17322826385498" customHeight="1">
      <c r="A50" s="18"/>
      <c r="B50" s="19"/>
      <c r="C50" s="19"/>
      <c r="D50" s="20"/>
      <c r="E50" s="1"/>
      <c r="F50" s="18"/>
      <c r="G50" s="19"/>
      <c r="H50" s="19"/>
      <c r="I50" s="20"/>
    </row>
    <row r="51" ht="14.17322826385498" customHeight="1">
      <c r="A51" s="21" t="str">
        <f>Alkatreszek!A16</f>
        <v>KI12-TV01P-06</v>
      </c>
      <c r="B51" s="14"/>
      <c r="C51" s="14"/>
      <c r="D51" s="15"/>
      <c r="E51" s="1"/>
      <c r="F51" s="21" t="str">
        <f>Alkatreszek!A17</f>
        <v>KI12-TV01P-07</v>
      </c>
      <c r="G51" s="14"/>
      <c r="H51" s="14"/>
      <c r="I51" s="15"/>
    </row>
    <row r="52" ht="14.17322826385498" customHeight="1">
      <c r="A52" s="16" t="str">
        <f>Alkatreszek!C16</f>
        <v>TV01-P</v>
      </c>
      <c r="B52" s="1"/>
      <c r="C52" s="1"/>
      <c r="D52" s="17"/>
      <c r="E52" s="1"/>
      <c r="F52" s="16" t="str">
        <f>Alkatreszek!C17</f>
        <v>TV01-P</v>
      </c>
      <c r="G52" s="1"/>
      <c r="H52" s="1"/>
      <c r="I52" s="17"/>
    </row>
    <row r="53" ht="14.17322826385498" customHeight="1">
      <c r="A53" s="22" t="str">
        <f>Alkatreszek!E16&amp;" x "&amp;Alkatreszek!F16&amp;" x "&amp;Alkatreszek!G16&amp;" mm KESZ TERV"</f>
        <v>331 x 320 x 18 mm KESZ TERV</v>
      </c>
      <c r="B53" s="1"/>
      <c r="C53" s="1"/>
      <c r="D53" s="17"/>
      <c r="E53" s="1"/>
      <c r="F53" s="22" t="str">
        <f>Alkatreszek!E17&amp;" x "&amp;Alkatreszek!F17&amp;" x "&amp;Alkatreszek!G17&amp;" mm KESZ TERV"</f>
        <v>331 x 320 x 18 mm KESZ TERV</v>
      </c>
      <c r="G53" s="1"/>
      <c r="H53" s="1"/>
      <c r="I53" s="17"/>
    </row>
    <row r="54" ht="14.17322826385498" customHeight="1">
      <c r="A54" s="16" t="str">
        <f>Alkatreszek!H16</f>
        <v>M03</v>
      </c>
      <c r="B54" s="1"/>
      <c r="C54" s="1"/>
      <c r="D54" s="17"/>
      <c r="E54" s="1"/>
      <c r="F54" s="16" t="str">
        <f>Alkatreszek!H17</f>
        <v>M03</v>
      </c>
      <c r="G54" s="1"/>
      <c r="H54" s="1"/>
      <c r="I54" s="17"/>
    </row>
    <row r="55" ht="14.17322826385498" customHeight="1">
      <c r="A55" s="16" t="str">
        <v>E1 lent / E4 bal; A felület felül</v>
      </c>
      <c r="B55" s="1"/>
      <c r="C55" s="1"/>
      <c r="D55" s="17"/>
      <c r="E55" s="1"/>
      <c r="F55" s="16" t="str">
        <v>E1 lent / E4 bal; A felület felül</v>
      </c>
      <c r="G55" s="1"/>
      <c r="H55" s="1"/>
      <c r="I55" s="17"/>
    </row>
    <row r="56" ht="14.17322826385498" customHeight="1">
      <c r="A56" s="16" t="str">
        <f>"Elkod: "&amp;Alkatreszek!X16</f>
        <v>Elkod: NYITOTT</v>
      </c>
      <c r="B56" s="1"/>
      <c r="C56" s="1"/>
      <c r="D56" s="17"/>
      <c r="E56" s="1"/>
      <c r="F56" s="16" t="str">
        <f>"Elkod: "&amp;Alkatreszek!X17</f>
        <v>Elkod: NYITOTT</v>
      </c>
      <c r="G56" s="1"/>
      <c r="H56" s="1"/>
      <c r="I56" s="17"/>
    </row>
    <row r="57" ht="14.17322826385498" customHeight="1">
      <c r="A57" s="16" t="str">
        <v>TÁJOLÁSI JAVASLAT / NEM GYÁRTÁS</v>
      </c>
      <c r="B57" s="1"/>
      <c r="C57" s="1"/>
      <c r="D57" s="17"/>
      <c r="E57" s="1"/>
      <c r="F57" s="16" t="str">
        <v>TÁJOLÁSI JAVASLAT / NEM GYÁRTÁS</v>
      </c>
      <c r="G57" s="1"/>
      <c r="H57" s="1"/>
      <c r="I57" s="17"/>
    </row>
    <row r="58" ht="14.17322826385498" customHeight="1">
      <c r="A58" s="16" t="str">
        <f>Alkatreszek!B16</f>
        <v>KI12-TV01P-06.mpr</v>
      </c>
      <c r="B58" s="1"/>
      <c r="C58" s="1"/>
      <c r="D58" s="17"/>
      <c r="E58" s="1"/>
      <c r="F58" s="16" t="str">
        <f>Alkatreszek!B17</f>
        <v>KI12-TV01P-07.mpr</v>
      </c>
      <c r="G58" s="1"/>
      <c r="H58" s="1"/>
      <c r="I58" s="17"/>
    </row>
    <row r="59" ht="14.17322826385498" customHeight="1">
      <c r="A59" s="16" t="str">
        <v>R12 - MPR: NINCS MEGMUNKÁLÁS</v>
      </c>
      <c r="B59" s="1"/>
      <c r="C59" s="1"/>
      <c r="D59" s="17"/>
      <c r="E59" s="1"/>
      <c r="F59" s="16" t="str">
        <v>R12 - MPR: NINCS MEGMUNKÁLÁS</v>
      </c>
      <c r="G59" s="1"/>
      <c r="H59" s="1"/>
      <c r="I59" s="17"/>
    </row>
    <row r="60" ht="14.17322826385498" customHeight="1">
      <c r="A60" s="18"/>
      <c r="B60" s="19"/>
      <c r="C60" s="19"/>
      <c r="D60" s="20"/>
      <c r="E60" s="1"/>
      <c r="F60" s="18"/>
      <c r="G60" s="19"/>
      <c r="H60" s="19"/>
      <c r="I60" s="20"/>
    </row>
    <row r="61" ht="14.17322826385498" customHeight="1">
      <c r="A61" s="21" t="str">
        <f>Alkatreszek!A18</f>
        <v>KI12-TV01P-08</v>
      </c>
      <c r="B61" s="14"/>
      <c r="C61" s="14"/>
      <c r="D61" s="15"/>
      <c r="E61" s="1"/>
      <c r="F61" s="21" t="str">
        <f>Alkatreszek!A19</f>
        <v>KI12-TV01P-09</v>
      </c>
      <c r="G61" s="14"/>
      <c r="H61" s="14"/>
      <c r="I61" s="15"/>
    </row>
    <row r="62" ht="14.17322826385498" customHeight="1">
      <c r="A62" s="16" t="str">
        <f>Alkatreszek!C18</f>
        <v>TV01-P</v>
      </c>
      <c r="B62" s="1"/>
      <c r="C62" s="1"/>
      <c r="D62" s="17"/>
      <c r="E62" s="1"/>
      <c r="F62" s="16" t="str">
        <f>Alkatreszek!C19</f>
        <v>TV01-P</v>
      </c>
      <c r="G62" s="1"/>
      <c r="H62" s="1"/>
      <c r="I62" s="17"/>
    </row>
    <row r="63" ht="14.17322826385498" customHeight="1">
      <c r="A63" s="22" t="str">
        <f>Alkatreszek!E18&amp;" x "&amp;Alkatreszek!F18&amp;" x "&amp;Alkatreszek!G18&amp;" mm KESZ TERV"</f>
        <v>331 x 320 x 18 mm KESZ TERV</v>
      </c>
      <c r="B63" s="1"/>
      <c r="C63" s="1"/>
      <c r="D63" s="17"/>
      <c r="E63" s="1"/>
      <c r="F63" s="22" t="str">
        <f>Alkatreszek!E19&amp;" x "&amp;Alkatreszek!F19&amp;" x "&amp;Alkatreszek!G19&amp;" mm KESZ TERV"</f>
        <v>331 x 320 x 18 mm KESZ TERV</v>
      </c>
      <c r="G63" s="1"/>
      <c r="H63" s="1"/>
      <c r="I63" s="17"/>
    </row>
    <row r="64" ht="14.17322826385498" customHeight="1">
      <c r="A64" s="16" t="str">
        <f>Alkatreszek!H18</f>
        <v>M03</v>
      </c>
      <c r="B64" s="1"/>
      <c r="C64" s="1"/>
      <c r="D64" s="17"/>
      <c r="E64" s="1"/>
      <c r="F64" s="16" t="str">
        <f>Alkatreszek!H19</f>
        <v>M03</v>
      </c>
      <c r="G64" s="1"/>
      <c r="H64" s="1"/>
      <c r="I64" s="17"/>
    </row>
    <row r="65" ht="14.17322826385498" customHeight="1">
      <c r="A65" s="16" t="str">
        <v>E1 lent / E4 bal; A felület felül</v>
      </c>
      <c r="B65" s="1"/>
      <c r="C65" s="1"/>
      <c r="D65" s="17"/>
      <c r="E65" s="1"/>
      <c r="F65" s="16" t="str">
        <v>E1 lent / E4 bal; A felület felül</v>
      </c>
      <c r="G65" s="1"/>
      <c r="H65" s="1"/>
      <c r="I65" s="17"/>
    </row>
    <row r="66" ht="14.17322826385498" customHeight="1">
      <c r="A66" s="16" t="str">
        <f>"Elkod: "&amp;Alkatreszek!X18</f>
        <v>Elkod: NYITOTT</v>
      </c>
      <c r="B66" s="1"/>
      <c r="C66" s="1"/>
      <c r="D66" s="17"/>
      <c r="E66" s="1"/>
      <c r="F66" s="16" t="str">
        <f>"Elkod: "&amp;Alkatreszek!X19</f>
        <v>Elkod: NYITOTT</v>
      </c>
      <c r="G66" s="1"/>
      <c r="H66" s="1"/>
      <c r="I66" s="17"/>
    </row>
    <row r="67" ht="14.17322826385498" customHeight="1">
      <c r="A67" s="16" t="str">
        <v>TÁJOLÁSI JAVASLAT / NEM GYÁRTÁS</v>
      </c>
      <c r="B67" s="1"/>
      <c r="C67" s="1"/>
      <c r="D67" s="17"/>
      <c r="E67" s="1"/>
      <c r="F67" s="16" t="str">
        <v>TÁJOLÁSI JAVASLAT / NEM GYÁRTÁS</v>
      </c>
      <c r="G67" s="1"/>
      <c r="H67" s="1"/>
      <c r="I67" s="17"/>
    </row>
    <row r="68" ht="14.17322826385498" customHeight="1">
      <c r="A68" s="16" t="str">
        <f>Alkatreszek!B18</f>
        <v>KI12-TV01P-08.mpr</v>
      </c>
      <c r="B68" s="1"/>
      <c r="C68" s="1"/>
      <c r="D68" s="17"/>
      <c r="E68" s="1"/>
      <c r="F68" s="16" t="str">
        <f>Alkatreszek!B19</f>
        <v>KI12-TV01P-09.mpr</v>
      </c>
      <c r="G68" s="1"/>
      <c r="H68" s="1"/>
      <c r="I68" s="17"/>
    </row>
    <row r="69" ht="14.17322826385498" customHeight="1">
      <c r="A69" s="16" t="str">
        <v>R12 - MPR: NINCS MEGMUNKÁLÁS</v>
      </c>
      <c r="B69" s="1"/>
      <c r="C69" s="1"/>
      <c r="D69" s="17"/>
      <c r="E69" s="1"/>
      <c r="F69" s="16" t="str">
        <v>R12 - MPR: NINCS MEGMUNKÁLÁS</v>
      </c>
      <c r="G69" s="1"/>
      <c r="H69" s="1"/>
      <c r="I69" s="17"/>
    </row>
    <row r="70" ht="14.17322826385498" customHeight="1">
      <c r="A70" s="18"/>
      <c r="B70" s="19"/>
      <c r="C70" s="19"/>
      <c r="D70" s="20"/>
      <c r="E70" s="1"/>
      <c r="F70" s="18"/>
      <c r="G70" s="19"/>
      <c r="H70" s="19"/>
      <c r="I70" s="20"/>
    </row>
    <row r="71" ht="14.17322826385498" customHeight="1">
      <c r="A71" s="21" t="str">
        <f>Alkatreszek!A20</f>
        <v>KI12-TV01P-10</v>
      </c>
      <c r="B71" s="14"/>
      <c r="C71" s="14"/>
      <c r="D71" s="15"/>
      <c r="E71" s="1"/>
      <c r="F71" s="21" t="str">
        <f>Alkatreszek!A21</f>
        <v>KI12-TV01F-01</v>
      </c>
      <c r="G71" s="14"/>
      <c r="H71" s="14"/>
      <c r="I71" s="15"/>
    </row>
    <row r="72" ht="14.17322826385498" customHeight="1">
      <c r="A72" s="16" t="str">
        <f>Alkatreszek!C20</f>
        <v>TV01-P</v>
      </c>
      <c r="B72" s="1"/>
      <c r="C72" s="1"/>
      <c r="D72" s="17"/>
      <c r="E72" s="1"/>
      <c r="F72" s="16" t="str">
        <f>Alkatreszek!C21</f>
        <v>TV01-F</v>
      </c>
      <c r="G72" s="1"/>
      <c r="H72" s="1"/>
      <c r="I72" s="17"/>
    </row>
    <row r="73" ht="14.17322826385498" customHeight="1">
      <c r="A73" s="22" t="str">
        <f>Alkatreszek!E20&amp;" x "&amp;Alkatreszek!F20&amp;" x "&amp;Alkatreszek!G20&amp;" mm KESZ TERV"</f>
        <v>331 x 320 x 18 mm KESZ TERV</v>
      </c>
      <c r="B73" s="1"/>
      <c r="C73" s="1"/>
      <c r="D73" s="17"/>
      <c r="E73" s="1"/>
      <c r="F73" s="22" t="str">
        <f>Alkatreszek!E21&amp;" x "&amp;Alkatreszek!F21&amp;" x "&amp;Alkatreszek!G21&amp;" mm KESZ TERV"</f>
        <v>2327 x 357 x 18 mm KESZ TERV</v>
      </c>
      <c r="G73" s="1"/>
      <c r="H73" s="1"/>
      <c r="I73" s="17"/>
    </row>
    <row r="74" ht="14.17322826385498" customHeight="1">
      <c r="A74" s="16" t="str">
        <f>Alkatreszek!H20</f>
        <v>M03</v>
      </c>
      <c r="B74" s="1"/>
      <c r="C74" s="1"/>
      <c r="D74" s="17"/>
      <c r="E74" s="1"/>
      <c r="F74" s="16" t="str">
        <f>Alkatreszek!H21</f>
        <v>M01+nyomat</v>
      </c>
      <c r="G74" s="1"/>
      <c r="H74" s="1"/>
      <c r="I74" s="17"/>
    </row>
    <row r="75" ht="14.17322826385498" customHeight="1">
      <c r="A75" s="16" t="str">
        <v>E1 lent / E4 bal; A felület felül</v>
      </c>
      <c r="B75" s="1"/>
      <c r="C75" s="1"/>
      <c r="D75" s="17"/>
      <c r="E75" s="1"/>
      <c r="F75" s="16" t="str">
        <v>E1 lent / E4 bal; A felület felül</v>
      </c>
      <c r="G75" s="1"/>
      <c r="H75" s="1"/>
      <c r="I75" s="17"/>
    </row>
    <row r="76" ht="14.17322826385498" customHeight="1">
      <c r="A76" s="16" t="str">
        <f>"Elkod: "&amp;Alkatreszek!X20</f>
        <v>Elkod: NYITOTT</v>
      </c>
      <c r="B76" s="1"/>
      <c r="C76" s="1"/>
      <c r="D76" s="17"/>
      <c r="E76" s="1"/>
      <c r="F76" s="16" t="str">
        <f>"Elkod: "&amp;Alkatreszek!X21</f>
        <v>Elkod: NYITOTT</v>
      </c>
      <c r="G76" s="1"/>
      <c r="H76" s="1"/>
      <c r="I76" s="17"/>
    </row>
    <row r="77" ht="14.17322826385498" customHeight="1">
      <c r="A77" s="16" t="str">
        <v>TÁJOLÁSI JAVASLAT / NEM GYÁRTÁS</v>
      </c>
      <c r="B77" s="1"/>
      <c r="C77" s="1"/>
      <c r="D77" s="17"/>
      <c r="E77" s="1"/>
      <c r="F77" s="16" t="str">
        <v>TÁJOLÁSI JAVASLAT / NEM GYÁRTÁS</v>
      </c>
      <c r="G77" s="1"/>
      <c r="H77" s="1"/>
      <c r="I77" s="17"/>
    </row>
    <row r="78" ht="14.17322826385498" customHeight="1">
      <c r="A78" s="16" t="str">
        <f>Alkatreszek!B20</f>
        <v>KI12-TV01P-10.mpr</v>
      </c>
      <c r="B78" s="1"/>
      <c r="C78" s="1"/>
      <c r="D78" s="17"/>
      <c r="E78" s="1"/>
      <c r="F78" s="16" t="str">
        <f>Alkatreszek!B21</f>
        <v>KI12-TV01F-01.mpr</v>
      </c>
      <c r="G78" s="1"/>
      <c r="H78" s="1"/>
      <c r="I78" s="17"/>
    </row>
    <row r="79" ht="14.17322826385498" customHeight="1">
      <c r="A79" s="16" t="str">
        <v>R12 - MPR: NINCS MEGMUNKÁLÁS</v>
      </c>
      <c r="B79" s="1"/>
      <c r="C79" s="1"/>
      <c r="D79" s="17"/>
      <c r="E79" s="1"/>
      <c r="F79" s="16" t="str">
        <v>R12 - MPR: NINCS MEGMUNKÁLÁS</v>
      </c>
      <c r="G79" s="1"/>
      <c r="H79" s="1"/>
      <c r="I79" s="17"/>
    </row>
    <row r="80" ht="14.17322826385498" customHeight="1">
      <c r="A80" s="18"/>
      <c r="B80" s="19"/>
      <c r="C80" s="19"/>
      <c r="D80" s="20"/>
      <c r="E80" s="1"/>
      <c r="F80" s="18"/>
      <c r="G80" s="19"/>
      <c r="H80" s="19"/>
      <c r="I80" s="20"/>
    </row>
    <row r="81" ht="14.17322826385498" customHeight="1">
      <c r="A81" s="21" t="str">
        <f>Alkatreszek!A22</f>
        <v>KI12-TV01F-02</v>
      </c>
      <c r="B81" s="14"/>
      <c r="C81" s="14"/>
      <c r="D81" s="15"/>
      <c r="E81" s="1"/>
      <c r="F81" s="21" t="str">
        <f>Alkatreszek!A23</f>
        <v>KI12-TV01H-01</v>
      </c>
      <c r="G81" s="14"/>
      <c r="H81" s="14"/>
      <c r="I81" s="15"/>
    </row>
    <row r="82" ht="14.17322826385498" customHeight="1">
      <c r="A82" s="16" t="str">
        <f>Alkatreszek!C22</f>
        <v>TV01-F</v>
      </c>
      <c r="B82" s="1"/>
      <c r="C82" s="1"/>
      <c r="D82" s="17"/>
      <c r="E82" s="1"/>
      <c r="F82" s="16" t="str">
        <f>Alkatreszek!C23</f>
        <v>TV01-H</v>
      </c>
      <c r="G82" s="1"/>
      <c r="H82" s="1"/>
      <c r="I82" s="17"/>
    </row>
    <row r="83" ht="14.17322826385498" customHeight="1">
      <c r="A83" s="22" t="str">
        <f>Alkatreszek!E22&amp;" x "&amp;Alkatreszek!F22&amp;" x "&amp;Alkatreszek!G22&amp;" mm KESZ TERV"</f>
        <v>2327 x 357 x 18 mm KESZ TERV</v>
      </c>
      <c r="B83" s="1"/>
      <c r="C83" s="1"/>
      <c r="D83" s="17"/>
      <c r="E83" s="1"/>
      <c r="F83" s="22" t="str">
        <f>Alkatreszek!E23&amp;" x "&amp;Alkatreszek!F23&amp;" x "&amp;Alkatreszek!G23&amp;" mm KESZ TERV"</f>
        <v>2294 x 684 x 8 mm KESZ TERV</v>
      </c>
      <c r="G83" s="1"/>
      <c r="H83" s="1"/>
      <c r="I83" s="17"/>
    </row>
    <row r="84" ht="14.17322826385498" customHeight="1">
      <c r="A84" s="16" t="str">
        <f>Alkatreszek!H22</f>
        <v>M01+nyomat</v>
      </c>
      <c r="B84" s="1"/>
      <c r="C84" s="1"/>
      <c r="D84" s="17"/>
      <c r="E84" s="1"/>
      <c r="F84" s="16" t="str">
        <f>Alkatreszek!H23</f>
        <v>M03</v>
      </c>
      <c r="G84" s="1"/>
      <c r="H84" s="1"/>
      <c r="I84" s="17"/>
    </row>
    <row r="85" ht="14.17322826385498" customHeight="1">
      <c r="A85" s="16" t="str">
        <v>E1 lent / E4 bal; A felület felül</v>
      </c>
      <c r="B85" s="1"/>
      <c r="C85" s="1"/>
      <c r="D85" s="17"/>
      <c r="E85" s="1"/>
      <c r="F85" s="16" t="str">
        <v>E1 lent / E4 bal; A felület felül</v>
      </c>
      <c r="G85" s="1"/>
      <c r="H85" s="1"/>
      <c r="I85" s="17"/>
    </row>
    <row r="86" ht="14.17322826385498" customHeight="1">
      <c r="A86" s="16" t="str">
        <f>"Elkod: "&amp;Alkatreszek!X22</f>
        <v>Elkod: NYITOTT</v>
      </c>
      <c r="B86" s="1"/>
      <c r="C86" s="1"/>
      <c r="D86" s="17"/>
      <c r="E86" s="1"/>
      <c r="F86" s="16" t="str">
        <f>"Elkod: "&amp;Alkatreszek!X23</f>
        <v>Elkod: NYITOTT</v>
      </c>
      <c r="G86" s="1"/>
      <c r="H86" s="1"/>
      <c r="I86" s="17"/>
    </row>
    <row r="87" ht="14.17322826385498" customHeight="1">
      <c r="A87" s="16" t="str">
        <v>TÁJOLÁSI JAVASLAT / NEM GYÁRTÁS</v>
      </c>
      <c r="B87" s="1"/>
      <c r="C87" s="1"/>
      <c r="D87" s="17"/>
      <c r="E87" s="1"/>
      <c r="F87" s="16" t="str">
        <v>TÁJOLÁSI JAVASLAT / NEM GYÁRTÁS</v>
      </c>
      <c r="G87" s="1"/>
      <c r="H87" s="1"/>
      <c r="I87" s="17"/>
    </row>
    <row r="88" ht="14.17322826385498" customHeight="1">
      <c r="A88" s="16" t="str">
        <f>Alkatreszek!B22</f>
        <v>KI12-TV01F-02.mpr</v>
      </c>
      <c r="B88" s="1"/>
      <c r="C88" s="1"/>
      <c r="D88" s="17"/>
      <c r="E88" s="1"/>
      <c r="F88" s="16" t="str">
        <f>Alkatreszek!B23</f>
        <v>KI12-TV01H-01.mpr</v>
      </c>
      <c r="G88" s="1"/>
      <c r="H88" s="1"/>
      <c r="I88" s="17"/>
    </row>
    <row r="89" ht="14.17322826385498" customHeight="1">
      <c r="A89" s="16" t="str">
        <v>R12 - MPR: NINCS MEGMUNKÁLÁS</v>
      </c>
      <c r="B89" s="1"/>
      <c r="C89" s="1"/>
      <c r="D89" s="17"/>
      <c r="E89" s="1"/>
      <c r="F89" s="16" t="str">
        <v>R12 - MPR: NINCS MEGMUNKÁLÁS</v>
      </c>
      <c r="G89" s="1"/>
      <c r="H89" s="1"/>
      <c r="I89" s="17"/>
    </row>
    <row r="90" ht="14.17322826385498" customHeight="1">
      <c r="A90" s="18"/>
      <c r="B90" s="19"/>
      <c r="C90" s="19"/>
      <c r="D90" s="20"/>
      <c r="E90" s="1"/>
      <c r="F90" s="18"/>
      <c r="G90" s="19"/>
      <c r="H90" s="19"/>
      <c r="I90" s="20"/>
    </row>
    <row r="91" ht="14.17322826385498" customHeight="1">
      <c r="A91" s="21" t="str">
        <f>Alkatreszek!A24</f>
        <v>KI12-TV02S-01</v>
      </c>
      <c r="B91" s="14"/>
      <c r="C91" s="14"/>
      <c r="D91" s="15"/>
      <c r="E91" s="1"/>
      <c r="F91" s="21" t="str">
        <f>Alkatreszek!A25</f>
        <v>KI12-TV02S-02</v>
      </c>
      <c r="G91" s="14"/>
      <c r="H91" s="14"/>
      <c r="I91" s="15"/>
    </row>
    <row r="92" ht="14.17322826385498" customHeight="1">
      <c r="A92" s="16" t="str">
        <f>Alkatreszek!C24</f>
        <v>TV02-S</v>
      </c>
      <c r="B92" s="1"/>
      <c r="C92" s="1"/>
      <c r="D92" s="17"/>
      <c r="E92" s="1"/>
      <c r="F92" s="16" t="str">
        <f>Alkatreszek!C25</f>
        <v>TV02-S</v>
      </c>
      <c r="G92" s="1"/>
      <c r="H92" s="1"/>
      <c r="I92" s="17"/>
    </row>
    <row r="93" ht="14.17322826385498" customHeight="1">
      <c r="A93" s="22" t="str">
        <f>Alkatreszek!E24&amp;" x "&amp;Alkatreszek!F24&amp;" x "&amp;Alkatreszek!G24&amp;" mm KESZ TERV"</f>
        <v>382 x 382 x 18 mm KESZ TERV</v>
      </c>
      <c r="B93" s="1"/>
      <c r="C93" s="1"/>
      <c r="D93" s="17"/>
      <c r="E93" s="1"/>
      <c r="F93" s="22" t="str">
        <f>Alkatreszek!E25&amp;" x "&amp;Alkatreszek!F25&amp;" x "&amp;Alkatreszek!G25&amp;" mm KESZ TERV"</f>
        <v>382 x 382 x 18 mm KESZ TERV</v>
      </c>
      <c r="G93" s="1"/>
      <c r="H93" s="1"/>
      <c r="I93" s="17"/>
    </row>
    <row r="94" ht="14.17322826385498" customHeight="1">
      <c r="A94" s="16" t="str">
        <f>Alkatreszek!H24</f>
        <v>M03</v>
      </c>
      <c r="B94" s="1"/>
      <c r="C94" s="1"/>
      <c r="D94" s="17"/>
      <c r="E94" s="1"/>
      <c r="F94" s="16" t="str">
        <f>Alkatreszek!H25</f>
        <v>M03</v>
      </c>
      <c r="G94" s="1"/>
      <c r="H94" s="1"/>
      <c r="I94" s="17"/>
    </row>
    <row r="95" ht="14.17322826385498" customHeight="1">
      <c r="A95" s="16" t="str">
        <v>E1 lent / E4 bal; A felület felül</v>
      </c>
      <c r="B95" s="1"/>
      <c r="C95" s="1"/>
      <c r="D95" s="17"/>
      <c r="E95" s="1"/>
      <c r="F95" s="16" t="str">
        <v>E1 lent / E4 bal; A felület felül</v>
      </c>
      <c r="G95" s="1"/>
      <c r="H95" s="1"/>
      <c r="I95" s="17"/>
    </row>
    <row r="96" ht="14.17322826385498" customHeight="1">
      <c r="A96" s="16" t="str">
        <f>"Elkod: "&amp;Alkatreszek!X24</f>
        <v>Elkod: NYITOTT</v>
      </c>
      <c r="B96" s="1"/>
      <c r="C96" s="1"/>
      <c r="D96" s="17"/>
      <c r="E96" s="1"/>
      <c r="F96" s="16" t="str">
        <f>"Elkod: "&amp;Alkatreszek!X25</f>
        <v>Elkod: NYITOTT</v>
      </c>
      <c r="G96" s="1"/>
      <c r="H96" s="1"/>
      <c r="I96" s="17"/>
    </row>
    <row r="97" ht="14.17322826385498" customHeight="1">
      <c r="A97" s="16" t="str">
        <v>TÁJOLÁSI JAVASLAT / NEM GYÁRTÁS</v>
      </c>
      <c r="B97" s="1"/>
      <c r="C97" s="1"/>
      <c r="D97" s="17"/>
      <c r="E97" s="1"/>
      <c r="F97" s="16" t="str">
        <v>TÁJOLÁSI JAVASLAT / NEM GYÁRTÁS</v>
      </c>
      <c r="G97" s="1"/>
      <c r="H97" s="1"/>
      <c r="I97" s="17"/>
    </row>
    <row r="98" ht="14.17322826385498" customHeight="1">
      <c r="A98" s="16" t="str">
        <f>Alkatreszek!B24</f>
        <v>KI12-TV02S-01.mpr</v>
      </c>
      <c r="B98" s="1"/>
      <c r="C98" s="1"/>
      <c r="D98" s="17"/>
      <c r="E98" s="1"/>
      <c r="F98" s="16" t="str">
        <f>Alkatreszek!B25</f>
        <v>KI12-TV02S-02.mpr</v>
      </c>
      <c r="G98" s="1"/>
      <c r="H98" s="1"/>
      <c r="I98" s="17"/>
    </row>
    <row r="99" ht="14.17322826385498" customHeight="1">
      <c r="A99" s="16" t="str">
        <v>R12 - MPR: NINCS MEGMUNKÁLÁS</v>
      </c>
      <c r="B99" s="1"/>
      <c r="C99" s="1"/>
      <c r="D99" s="17"/>
      <c r="E99" s="1"/>
      <c r="F99" s="16" t="str">
        <v>R12 - MPR: NINCS MEGMUNKÁLÁS</v>
      </c>
      <c r="G99" s="1"/>
      <c r="H99" s="1"/>
      <c r="I99" s="17"/>
    </row>
    <row r="100" ht="14.17322826385498" customHeight="1">
      <c r="A100" s="18"/>
      <c r="B100" s="19"/>
      <c r="C100" s="19"/>
      <c r="D100" s="20"/>
      <c r="E100" s="1"/>
      <c r="F100" s="18"/>
      <c r="G100" s="19"/>
      <c r="H100" s="19"/>
      <c r="I100" s="20"/>
    </row>
    <row r="101" ht="14.17322826385498" customHeight="1">
      <c r="A101" s="21" t="str">
        <f>Alkatreszek!A26</f>
        <v>KI12-TV02S-03</v>
      </c>
      <c r="B101" s="14"/>
      <c r="C101" s="14"/>
      <c r="D101" s="15"/>
      <c r="E101" s="1"/>
      <c r="F101" s="21" t="str">
        <f>Alkatreszek!A27</f>
        <v>KI12-TV02S-04</v>
      </c>
      <c r="G101" s="14"/>
      <c r="H101" s="14"/>
      <c r="I101" s="15"/>
    </row>
    <row r="102" ht="14.17322826385498" customHeight="1">
      <c r="A102" s="16" t="str">
        <f>Alkatreszek!C26</f>
        <v>TV02-S</v>
      </c>
      <c r="B102" s="1"/>
      <c r="C102" s="1"/>
      <c r="D102" s="17"/>
      <c r="E102" s="1"/>
      <c r="F102" s="16" t="str">
        <f>Alkatreszek!C27</f>
        <v>TV02-S</v>
      </c>
      <c r="G102" s="1"/>
      <c r="H102" s="1"/>
      <c r="I102" s="17"/>
    </row>
    <row r="103" ht="14.17322826385498" customHeight="1">
      <c r="A103" s="22" t="str">
        <f>Alkatreszek!E26&amp;" x "&amp;Alkatreszek!F26&amp;" x "&amp;Alkatreszek!G26&amp;" mm KESZ TERV"</f>
        <v>382 x 382 x 18 mm KESZ TERV</v>
      </c>
      <c r="B103" s="1"/>
      <c r="C103" s="1"/>
      <c r="D103" s="17"/>
      <c r="E103" s="1"/>
      <c r="F103" s="22" t="str">
        <f>Alkatreszek!E27&amp;" x "&amp;Alkatreszek!F27&amp;" x "&amp;Alkatreszek!G27&amp;" mm KESZ TERV"</f>
        <v>382 x 382 x 18 mm KESZ TERV</v>
      </c>
      <c r="G103" s="1"/>
      <c r="H103" s="1"/>
      <c r="I103" s="17"/>
    </row>
    <row r="104" ht="14.17322826385498" customHeight="1">
      <c r="A104" s="16" t="str">
        <f>Alkatreszek!H26</f>
        <v>M03</v>
      </c>
      <c r="B104" s="1"/>
      <c r="C104" s="1"/>
      <c r="D104" s="17"/>
      <c r="E104" s="1"/>
      <c r="F104" s="16" t="str">
        <f>Alkatreszek!H27</f>
        <v>M03</v>
      </c>
      <c r="G104" s="1"/>
      <c r="H104" s="1"/>
      <c r="I104" s="17"/>
    </row>
    <row r="105" ht="14.17322826385498" customHeight="1">
      <c r="A105" s="16" t="str">
        <v>E1 lent / E4 bal; A felület felül</v>
      </c>
      <c r="B105" s="1"/>
      <c r="C105" s="1"/>
      <c r="D105" s="17"/>
      <c r="E105" s="1"/>
      <c r="F105" s="16" t="str">
        <v>E1 lent / E4 bal; A felület felül</v>
      </c>
      <c r="G105" s="1"/>
      <c r="H105" s="1"/>
      <c r="I105" s="17"/>
    </row>
    <row r="106" ht="14.17322826385498" customHeight="1">
      <c r="A106" s="16" t="str">
        <f>"Elkod: "&amp;Alkatreszek!X26</f>
        <v>Elkod: NYITOTT</v>
      </c>
      <c r="B106" s="1"/>
      <c r="C106" s="1"/>
      <c r="D106" s="17"/>
      <c r="E106" s="1"/>
      <c r="F106" s="16" t="str">
        <f>"Elkod: "&amp;Alkatreszek!X27</f>
        <v>Elkod: NYITOTT</v>
      </c>
      <c r="G106" s="1"/>
      <c r="H106" s="1"/>
      <c r="I106" s="17"/>
    </row>
    <row r="107" ht="14.17322826385498" customHeight="1">
      <c r="A107" s="16" t="str">
        <v>TÁJOLÁSI JAVASLAT / NEM GYÁRTÁS</v>
      </c>
      <c r="B107" s="1"/>
      <c r="C107" s="1"/>
      <c r="D107" s="17"/>
      <c r="E107" s="1"/>
      <c r="F107" s="16" t="str">
        <v>TÁJOLÁSI JAVASLAT / NEM GYÁRTÁS</v>
      </c>
      <c r="G107" s="1"/>
      <c r="H107" s="1"/>
      <c r="I107" s="17"/>
    </row>
    <row r="108" ht="14.17322826385498" customHeight="1">
      <c r="A108" s="16" t="str">
        <f>Alkatreszek!B26</f>
        <v>KI12-TV02S-03.mpr</v>
      </c>
      <c r="B108" s="1"/>
      <c r="C108" s="1"/>
      <c r="D108" s="17"/>
      <c r="E108" s="1"/>
      <c r="F108" s="16" t="str">
        <f>Alkatreszek!B27</f>
        <v>KI12-TV02S-04.mpr</v>
      </c>
      <c r="G108" s="1"/>
      <c r="H108" s="1"/>
      <c r="I108" s="17"/>
    </row>
    <row r="109" ht="14.17322826385498" customHeight="1">
      <c r="A109" s="16" t="str">
        <v>R12 - MPR: NINCS MEGMUNKÁLÁS</v>
      </c>
      <c r="B109" s="1"/>
      <c r="C109" s="1"/>
      <c r="D109" s="17"/>
      <c r="E109" s="1"/>
      <c r="F109" s="16" t="str">
        <v>R12 - MPR: NINCS MEGMUNKÁLÁS</v>
      </c>
      <c r="G109" s="1"/>
      <c r="H109" s="1"/>
      <c r="I109" s="17"/>
    </row>
    <row r="110" ht="14.17322826385498" customHeight="1">
      <c r="A110" s="18"/>
      <c r="B110" s="19"/>
      <c r="C110" s="19"/>
      <c r="D110" s="20"/>
      <c r="E110" s="1"/>
      <c r="F110" s="18"/>
      <c r="G110" s="19"/>
      <c r="H110" s="19"/>
      <c r="I110" s="20"/>
    </row>
    <row r="111" ht="14.17322826385498" customHeight="1">
      <c r="A111" s="21" t="str">
        <f>Alkatreszek!A28</f>
        <v>KI12-TV02S-05</v>
      </c>
      <c r="B111" s="14"/>
      <c r="C111" s="14"/>
      <c r="D111" s="15"/>
      <c r="E111" s="1"/>
      <c r="F111" s="21" t="str">
        <f>Alkatreszek!A29</f>
        <v>KI12-TV02S-06</v>
      </c>
      <c r="G111" s="14"/>
      <c r="H111" s="14"/>
      <c r="I111" s="15"/>
    </row>
    <row r="112" ht="14.17322826385498" customHeight="1">
      <c r="A112" s="16" t="str">
        <f>Alkatreszek!C28</f>
        <v>TV02-S</v>
      </c>
      <c r="B112" s="1"/>
      <c r="C112" s="1"/>
      <c r="D112" s="17"/>
      <c r="E112" s="1"/>
      <c r="F112" s="16" t="str">
        <f>Alkatreszek!C29</f>
        <v>TV02-S</v>
      </c>
      <c r="G112" s="1"/>
      <c r="H112" s="1"/>
      <c r="I112" s="17"/>
    </row>
    <row r="113" ht="14.17322826385498" customHeight="1">
      <c r="A113" s="22" t="str">
        <f>Alkatreszek!E28&amp;" x "&amp;Alkatreszek!F28&amp;" x "&amp;Alkatreszek!G28&amp;" mm KESZ TERV"</f>
        <v>382 x 382 x 18 mm KESZ TERV</v>
      </c>
      <c r="B113" s="1"/>
      <c r="C113" s="1"/>
      <c r="D113" s="17"/>
      <c r="E113" s="1"/>
      <c r="F113" s="22" t="str">
        <f>Alkatreszek!E29&amp;" x "&amp;Alkatreszek!F29&amp;" x "&amp;Alkatreszek!G29&amp;" mm KESZ TERV"</f>
        <v>382 x 382 x 18 mm KESZ TERV</v>
      </c>
      <c r="G113" s="1"/>
      <c r="H113" s="1"/>
      <c r="I113" s="17"/>
    </row>
    <row r="114" ht="14.17322826385498" customHeight="1">
      <c r="A114" s="16" t="str">
        <f>Alkatreszek!H28</f>
        <v>M03</v>
      </c>
      <c r="B114" s="1"/>
      <c r="C114" s="1"/>
      <c r="D114" s="17"/>
      <c r="E114" s="1"/>
      <c r="F114" s="16" t="str">
        <f>Alkatreszek!H29</f>
        <v>M03</v>
      </c>
      <c r="G114" s="1"/>
      <c r="H114" s="1"/>
      <c r="I114" s="17"/>
    </row>
    <row r="115" ht="14.17322826385498" customHeight="1">
      <c r="A115" s="16" t="str">
        <v>E1 lent / E4 bal; A felület felül</v>
      </c>
      <c r="B115" s="1"/>
      <c r="C115" s="1"/>
      <c r="D115" s="17"/>
      <c r="E115" s="1"/>
      <c r="F115" s="16" t="str">
        <v>E1 lent / E4 bal; A felület felül</v>
      </c>
      <c r="G115" s="1"/>
      <c r="H115" s="1"/>
      <c r="I115" s="17"/>
    </row>
    <row r="116" ht="14.17322826385498" customHeight="1">
      <c r="A116" s="16" t="str">
        <f>"Elkod: "&amp;Alkatreszek!X28</f>
        <v>Elkod: NYITOTT</v>
      </c>
      <c r="B116" s="1"/>
      <c r="C116" s="1"/>
      <c r="D116" s="17"/>
      <c r="E116" s="1"/>
      <c r="F116" s="16" t="str">
        <f>"Elkod: "&amp;Alkatreszek!X29</f>
        <v>Elkod: NYITOTT</v>
      </c>
      <c r="G116" s="1"/>
      <c r="H116" s="1"/>
      <c r="I116" s="17"/>
    </row>
    <row r="117" ht="14.17322826385498" customHeight="1">
      <c r="A117" s="16" t="str">
        <v>TÁJOLÁSI JAVASLAT / NEM GYÁRTÁS</v>
      </c>
      <c r="B117" s="1"/>
      <c r="C117" s="1"/>
      <c r="D117" s="17"/>
      <c r="E117" s="1"/>
      <c r="F117" s="16" t="str">
        <v>TÁJOLÁSI JAVASLAT / NEM GYÁRTÁS</v>
      </c>
      <c r="G117" s="1"/>
      <c r="H117" s="1"/>
      <c r="I117" s="17"/>
    </row>
    <row r="118" ht="14.17322826385498" customHeight="1">
      <c r="A118" s="16" t="str">
        <f>Alkatreszek!B28</f>
        <v>KI12-TV02S-05.mpr</v>
      </c>
      <c r="B118" s="1"/>
      <c r="C118" s="1"/>
      <c r="D118" s="17"/>
      <c r="E118" s="1"/>
      <c r="F118" s="16" t="str">
        <f>Alkatreszek!B29</f>
        <v>KI12-TV02S-06.mpr</v>
      </c>
      <c r="G118" s="1"/>
      <c r="H118" s="1"/>
      <c r="I118" s="17"/>
    </row>
    <row r="119" ht="14.17322826385498" customHeight="1">
      <c r="A119" s="16" t="str">
        <v>R12 - MPR: NINCS MEGMUNKÁLÁS</v>
      </c>
      <c r="B119" s="1"/>
      <c r="C119" s="1"/>
      <c r="D119" s="17"/>
      <c r="E119" s="1"/>
      <c r="F119" s="16" t="str">
        <v>R12 - MPR: NINCS MEGMUNKÁLÁS</v>
      </c>
      <c r="G119" s="1"/>
      <c r="H119" s="1"/>
      <c r="I119" s="17"/>
    </row>
    <row r="120" ht="14.17322826385498" customHeight="1">
      <c r="A120" s="18"/>
      <c r="B120" s="19"/>
      <c r="C120" s="19"/>
      <c r="D120" s="20"/>
      <c r="E120" s="1"/>
      <c r="F120" s="18"/>
      <c r="G120" s="19"/>
      <c r="H120" s="19"/>
      <c r="I120" s="20"/>
    </row>
    <row r="121" ht="14.17322826385498" customHeight="1">
      <c r="A121" s="21" t="str">
        <f>Alkatreszek!A30</f>
        <v>KI12-TV02S-07</v>
      </c>
      <c r="B121" s="14"/>
      <c r="C121" s="14"/>
      <c r="D121" s="15"/>
      <c r="E121" s="1"/>
      <c r="F121" s="21" t="str">
        <f>Alkatreszek!A31</f>
        <v>KI12-TV02S-08</v>
      </c>
      <c r="G121" s="14"/>
      <c r="H121" s="14"/>
      <c r="I121" s="15"/>
    </row>
    <row r="122" ht="14.17322826385498" customHeight="1">
      <c r="A122" s="16" t="str">
        <f>Alkatreszek!C30</f>
        <v>TV02-S</v>
      </c>
      <c r="B122" s="1"/>
      <c r="C122" s="1"/>
      <c r="D122" s="17"/>
      <c r="E122" s="1"/>
      <c r="F122" s="16" t="str">
        <f>Alkatreszek!C31</f>
        <v>TV02-S</v>
      </c>
      <c r="G122" s="1"/>
      <c r="H122" s="1"/>
      <c r="I122" s="17"/>
    </row>
    <row r="123" ht="14.17322826385498" customHeight="1">
      <c r="A123" s="22" t="str">
        <f>Alkatreszek!E30&amp;" x "&amp;Alkatreszek!F30&amp;" x "&amp;Alkatreszek!G30&amp;" mm KESZ TERV"</f>
        <v>382 x 382 x 18 mm KESZ TERV</v>
      </c>
      <c r="B123" s="1"/>
      <c r="C123" s="1"/>
      <c r="D123" s="17"/>
      <c r="E123" s="1"/>
      <c r="F123" s="22" t="str">
        <f>Alkatreszek!E31&amp;" x "&amp;Alkatreszek!F31&amp;" x "&amp;Alkatreszek!G31&amp;" mm KESZ TERV"</f>
        <v>382 x 382 x 18 mm KESZ TERV</v>
      </c>
      <c r="G123" s="1"/>
      <c r="H123" s="1"/>
      <c r="I123" s="17"/>
    </row>
    <row r="124" ht="14.17322826385498" customHeight="1">
      <c r="A124" s="16" t="str">
        <f>Alkatreszek!H30</f>
        <v>M03</v>
      </c>
      <c r="B124" s="1"/>
      <c r="C124" s="1"/>
      <c r="D124" s="17"/>
      <c r="E124" s="1"/>
      <c r="F124" s="16" t="str">
        <f>Alkatreszek!H31</f>
        <v>M03</v>
      </c>
      <c r="G124" s="1"/>
      <c r="H124" s="1"/>
      <c r="I124" s="17"/>
    </row>
    <row r="125" ht="14.17322826385498" customHeight="1">
      <c r="A125" s="16" t="str">
        <v>E1 lent / E4 bal; A felület felül</v>
      </c>
      <c r="B125" s="1"/>
      <c r="C125" s="1"/>
      <c r="D125" s="17"/>
      <c r="E125" s="1"/>
      <c r="F125" s="16" t="str">
        <v>E1 lent / E4 bal; A felület felül</v>
      </c>
      <c r="G125" s="1"/>
      <c r="H125" s="1"/>
      <c r="I125" s="17"/>
    </row>
    <row r="126" ht="14.17322826385498" customHeight="1">
      <c r="A126" s="16" t="str">
        <f>"Elkod: "&amp;Alkatreszek!X30</f>
        <v>Elkod: NYITOTT</v>
      </c>
      <c r="B126" s="1"/>
      <c r="C126" s="1"/>
      <c r="D126" s="17"/>
      <c r="E126" s="1"/>
      <c r="F126" s="16" t="str">
        <f>"Elkod: "&amp;Alkatreszek!X31</f>
        <v>Elkod: NYITOTT</v>
      </c>
      <c r="G126" s="1"/>
      <c r="H126" s="1"/>
      <c r="I126" s="17"/>
    </row>
    <row r="127" ht="14.17322826385498" customHeight="1">
      <c r="A127" s="16" t="str">
        <v>TÁJOLÁSI JAVASLAT / NEM GYÁRTÁS</v>
      </c>
      <c r="B127" s="1"/>
      <c r="C127" s="1"/>
      <c r="D127" s="17"/>
      <c r="E127" s="1"/>
      <c r="F127" s="16" t="str">
        <v>TÁJOLÁSI JAVASLAT / NEM GYÁRTÁS</v>
      </c>
      <c r="G127" s="1"/>
      <c r="H127" s="1"/>
      <c r="I127" s="17"/>
    </row>
    <row r="128" ht="14.17322826385498" customHeight="1">
      <c r="A128" s="16" t="str">
        <f>Alkatreszek!B30</f>
        <v>KI12-TV02S-07.mpr</v>
      </c>
      <c r="B128" s="1"/>
      <c r="C128" s="1"/>
      <c r="D128" s="17"/>
      <c r="E128" s="1"/>
      <c r="F128" s="16" t="str">
        <f>Alkatreszek!B31</f>
        <v>KI12-TV02S-08.mpr</v>
      </c>
      <c r="G128" s="1"/>
      <c r="H128" s="1"/>
      <c r="I128" s="17"/>
    </row>
    <row r="129" ht="14.17322826385498" customHeight="1">
      <c r="A129" s="16" t="str">
        <v>R12 - MPR: NINCS MEGMUNKÁLÁS</v>
      </c>
      <c r="B129" s="1"/>
      <c r="C129" s="1"/>
      <c r="D129" s="17"/>
      <c r="E129" s="1"/>
      <c r="F129" s="16" t="str">
        <v>R12 - MPR: NINCS MEGMUNKÁLÁS</v>
      </c>
      <c r="G129" s="1"/>
      <c r="H129" s="1"/>
      <c r="I129" s="17"/>
    </row>
    <row r="130" ht="14.17322826385498" customHeight="1">
      <c r="A130" s="18"/>
      <c r="B130" s="19"/>
      <c r="C130" s="19"/>
      <c r="D130" s="20"/>
      <c r="E130" s="1"/>
      <c r="F130" s="18"/>
      <c r="G130" s="19"/>
      <c r="H130" s="19"/>
      <c r="I130" s="20"/>
    </row>
    <row r="131" ht="14.17322826385498" customHeight="1">
      <c r="A131" s="21" t="str">
        <f>Alkatreszek!A32</f>
        <v>KI12-TV02S-09</v>
      </c>
      <c r="B131" s="14"/>
      <c r="C131" s="14"/>
      <c r="D131" s="15"/>
      <c r="E131" s="1"/>
      <c r="F131" s="21" t="str">
        <f>Alkatreszek!A33</f>
        <v>KI12-TV02S-10</v>
      </c>
      <c r="G131" s="14"/>
      <c r="H131" s="14"/>
      <c r="I131" s="15"/>
    </row>
    <row r="132" ht="14.17322826385498" customHeight="1">
      <c r="A132" s="16" t="str">
        <f>Alkatreszek!C32</f>
        <v>TV02-S</v>
      </c>
      <c r="B132" s="1"/>
      <c r="C132" s="1"/>
      <c r="D132" s="17"/>
      <c r="E132" s="1"/>
      <c r="F132" s="16" t="str">
        <f>Alkatreszek!C33</f>
        <v>TV02-S</v>
      </c>
      <c r="G132" s="1"/>
      <c r="H132" s="1"/>
      <c r="I132" s="17"/>
    </row>
    <row r="133" ht="14.17322826385498" customHeight="1">
      <c r="A133" s="22" t="str">
        <f>Alkatreszek!E32&amp;" x "&amp;Alkatreszek!F32&amp;" x "&amp;Alkatreszek!G32&amp;" mm KESZ TERV"</f>
        <v>382 x 382 x 18 mm KESZ TERV</v>
      </c>
      <c r="B133" s="1"/>
      <c r="C133" s="1"/>
      <c r="D133" s="17"/>
      <c r="E133" s="1"/>
      <c r="F133" s="22" t="str">
        <f>Alkatreszek!E33&amp;" x "&amp;Alkatreszek!F33&amp;" x "&amp;Alkatreszek!G33&amp;" mm KESZ TERV"</f>
        <v>382 x 382 x 18 mm KESZ TERV</v>
      </c>
      <c r="G133" s="1"/>
      <c r="H133" s="1"/>
      <c r="I133" s="17"/>
    </row>
    <row r="134" ht="14.17322826385498" customHeight="1">
      <c r="A134" s="16" t="str">
        <f>Alkatreszek!H32</f>
        <v>M03</v>
      </c>
      <c r="B134" s="1"/>
      <c r="C134" s="1"/>
      <c r="D134" s="17"/>
      <c r="E134" s="1"/>
      <c r="F134" s="16" t="str">
        <f>Alkatreszek!H33</f>
        <v>M03</v>
      </c>
      <c r="G134" s="1"/>
      <c r="H134" s="1"/>
      <c r="I134" s="17"/>
    </row>
    <row r="135" ht="14.17322826385498" customHeight="1">
      <c r="A135" s="16" t="str">
        <v>E1 lent / E4 bal; A felület felül</v>
      </c>
      <c r="B135" s="1"/>
      <c r="C135" s="1"/>
      <c r="D135" s="17"/>
      <c r="E135" s="1"/>
      <c r="F135" s="16" t="str">
        <v>E1 lent / E4 bal; A felület felül</v>
      </c>
      <c r="G135" s="1"/>
      <c r="H135" s="1"/>
      <c r="I135" s="17"/>
    </row>
    <row r="136" ht="14.17322826385498" customHeight="1">
      <c r="A136" s="16" t="str">
        <f>"Elkod: "&amp;Alkatreszek!X32</f>
        <v>Elkod: NYITOTT</v>
      </c>
      <c r="B136" s="1"/>
      <c r="C136" s="1"/>
      <c r="D136" s="17"/>
      <c r="E136" s="1"/>
      <c r="F136" s="16" t="str">
        <f>"Elkod: "&amp;Alkatreszek!X33</f>
        <v>Elkod: NYITOTT</v>
      </c>
      <c r="G136" s="1"/>
      <c r="H136" s="1"/>
      <c r="I136" s="17"/>
    </row>
    <row r="137" ht="14.17322826385498" customHeight="1">
      <c r="A137" s="16" t="str">
        <v>TÁJOLÁSI JAVASLAT / NEM GYÁRTÁS</v>
      </c>
      <c r="B137" s="1"/>
      <c r="C137" s="1"/>
      <c r="D137" s="17"/>
      <c r="E137" s="1"/>
      <c r="F137" s="16" t="str">
        <v>TÁJOLÁSI JAVASLAT / NEM GYÁRTÁS</v>
      </c>
      <c r="G137" s="1"/>
      <c r="H137" s="1"/>
      <c r="I137" s="17"/>
    </row>
    <row r="138" ht="14.17322826385498" customHeight="1">
      <c r="A138" s="16" t="str">
        <f>Alkatreszek!B32</f>
        <v>KI12-TV02S-09.mpr</v>
      </c>
      <c r="B138" s="1"/>
      <c r="C138" s="1"/>
      <c r="D138" s="17"/>
      <c r="E138" s="1"/>
      <c r="F138" s="16" t="str">
        <f>Alkatreszek!B33</f>
        <v>KI12-TV02S-10.mpr</v>
      </c>
      <c r="G138" s="1"/>
      <c r="H138" s="1"/>
      <c r="I138" s="17"/>
    </row>
    <row r="139" ht="14.17322826385498" customHeight="1">
      <c r="A139" s="16" t="str">
        <v>R12 - MPR: NINCS MEGMUNKÁLÁS</v>
      </c>
      <c r="B139" s="1"/>
      <c r="C139" s="1"/>
      <c r="D139" s="17"/>
      <c r="E139" s="1"/>
      <c r="F139" s="16" t="str">
        <v>R12 - MPR: NINCS MEGMUNKÁLÁS</v>
      </c>
      <c r="G139" s="1"/>
      <c r="H139" s="1"/>
      <c r="I139" s="17"/>
    </row>
    <row r="140" ht="14.17322826385498" customHeight="1">
      <c r="A140" s="18"/>
      <c r="B140" s="19"/>
      <c r="C140" s="19"/>
      <c r="D140" s="20"/>
      <c r="E140" s="1"/>
      <c r="F140" s="18"/>
      <c r="G140" s="19"/>
      <c r="H140" s="19"/>
      <c r="I140" s="20"/>
    </row>
    <row r="141" ht="14.17322826385498" customHeight="1">
      <c r="A141" s="21" t="str">
        <f>Alkatreszek!A34</f>
        <v>KI12-TV02T1-01</v>
      </c>
      <c r="B141" s="14"/>
      <c r="C141" s="14"/>
      <c r="D141" s="15"/>
      <c r="E141" s="1"/>
      <c r="F141" s="21" t="str">
        <f>Alkatreszek!A35</f>
        <v>KI12-TV02T2-01</v>
      </c>
      <c r="G141" s="14"/>
      <c r="H141" s="14"/>
      <c r="I141" s="15"/>
    </row>
    <row r="142" ht="14.17322826385498" customHeight="1">
      <c r="A142" s="16" t="str">
        <f>Alkatreszek!C34</f>
        <v>TV02-T1</v>
      </c>
      <c r="B142" s="1"/>
      <c r="C142" s="1"/>
      <c r="D142" s="17"/>
      <c r="E142" s="1"/>
      <c r="F142" s="16" t="str">
        <f>Alkatreszek!C35</f>
        <v>TV02-T2</v>
      </c>
      <c r="G142" s="1"/>
      <c r="H142" s="1"/>
      <c r="I142" s="17"/>
    </row>
    <row r="143" ht="14.17322826385498" customHeight="1">
      <c r="A143" s="22" t="str">
        <f>Alkatreszek!E34&amp;" x "&amp;Alkatreszek!F34&amp;" x "&amp;Alkatreszek!G34&amp;" mm KESZ TERV"</f>
        <v>684 x 382 x 18 mm KESZ TERV</v>
      </c>
      <c r="B143" s="1"/>
      <c r="C143" s="1"/>
      <c r="D143" s="17"/>
      <c r="E143" s="1"/>
      <c r="F143" s="22" t="str">
        <f>Alkatreszek!E35&amp;" x "&amp;Alkatreszek!F35&amp;" x "&amp;Alkatreszek!G35&amp;" mm KESZ TERV"</f>
        <v>654 x 382 x 18 mm KESZ TERV</v>
      </c>
      <c r="G143" s="1"/>
      <c r="H143" s="1"/>
      <c r="I143" s="17"/>
    </row>
    <row r="144" ht="14.17322826385498" customHeight="1">
      <c r="A144" s="16" t="str">
        <f>Alkatreszek!H34</f>
        <v>M03</v>
      </c>
      <c r="B144" s="1"/>
      <c r="C144" s="1"/>
      <c r="D144" s="17"/>
      <c r="E144" s="1"/>
      <c r="F144" s="16" t="str">
        <f>Alkatreszek!H35</f>
        <v>M03</v>
      </c>
      <c r="G144" s="1"/>
      <c r="H144" s="1"/>
      <c r="I144" s="17"/>
    </row>
    <row r="145" ht="14.17322826385498" customHeight="1">
      <c r="A145" s="16" t="str">
        <v>E1 lent / E4 bal; A felület felül</v>
      </c>
      <c r="B145" s="1"/>
      <c r="C145" s="1"/>
      <c r="D145" s="17"/>
      <c r="E145" s="1"/>
      <c r="F145" s="16" t="str">
        <v>E1 lent / E4 bal; A felület felül</v>
      </c>
      <c r="G145" s="1"/>
      <c r="H145" s="1"/>
      <c r="I145" s="17"/>
    </row>
    <row r="146" ht="14.17322826385498" customHeight="1">
      <c r="A146" s="16" t="str">
        <f>"Elkod: "&amp;Alkatreszek!X34</f>
        <v>Elkod: NYITOTT</v>
      </c>
      <c r="B146" s="1"/>
      <c r="C146" s="1"/>
      <c r="D146" s="17"/>
      <c r="E146" s="1"/>
      <c r="F146" s="16" t="str">
        <f>"Elkod: "&amp;Alkatreszek!X35</f>
        <v>Elkod: NYITOTT</v>
      </c>
      <c r="G146" s="1"/>
      <c r="H146" s="1"/>
      <c r="I146" s="17"/>
    </row>
    <row r="147" ht="14.17322826385498" customHeight="1">
      <c r="A147" s="16" t="str">
        <v>TÁJOLÁSI JAVASLAT / NEM GYÁRTÁS</v>
      </c>
      <c r="B147" s="1"/>
      <c r="C147" s="1"/>
      <c r="D147" s="17"/>
      <c r="E147" s="1"/>
      <c r="F147" s="16" t="str">
        <v>TÁJOLÁSI JAVASLAT / NEM GYÁRTÁS</v>
      </c>
      <c r="G147" s="1"/>
      <c r="H147" s="1"/>
      <c r="I147" s="17"/>
    </row>
    <row r="148" ht="14.17322826385498" customHeight="1">
      <c r="A148" s="16" t="str">
        <f>Alkatreszek!B34</f>
        <v>KI12-TV02T1-01.mpr</v>
      </c>
      <c r="B148" s="1"/>
      <c r="C148" s="1"/>
      <c r="D148" s="17"/>
      <c r="E148" s="1"/>
      <c r="F148" s="16" t="str">
        <f>Alkatreszek!B35</f>
        <v>KI12-TV02T2-01.mpr</v>
      </c>
      <c r="G148" s="1"/>
      <c r="H148" s="1"/>
      <c r="I148" s="17"/>
    </row>
    <row r="149" ht="14.17322826385498" customHeight="1">
      <c r="A149" s="16" t="str">
        <v>R12 - MPR: NINCS MEGMUNKÁLÁS</v>
      </c>
      <c r="B149" s="1"/>
      <c r="C149" s="1"/>
      <c r="D149" s="17"/>
      <c r="E149" s="1"/>
      <c r="F149" s="16" t="str">
        <v>R12 - MPR: NINCS MEGMUNKÁLÁS</v>
      </c>
      <c r="G149" s="1"/>
      <c r="H149" s="1"/>
      <c r="I149" s="17"/>
    </row>
    <row r="150" ht="14.17322826385498" customHeight="1">
      <c r="A150" s="18"/>
      <c r="B150" s="19"/>
      <c r="C150" s="19"/>
      <c r="D150" s="20"/>
      <c r="E150" s="1"/>
      <c r="F150" s="18"/>
      <c r="G150" s="19"/>
      <c r="H150" s="19"/>
      <c r="I150" s="20"/>
    </row>
    <row r="151" ht="14.17322826385498" customHeight="1">
      <c r="A151" s="21" t="str">
        <f>Alkatreszek!A36</f>
        <v>KI12-TV02T2-02</v>
      </c>
      <c r="B151" s="14"/>
      <c r="C151" s="14"/>
      <c r="D151" s="15"/>
      <c r="E151" s="1"/>
      <c r="F151" s="21" t="str">
        <f>Alkatreszek!A37</f>
        <v>KI12-TV02T2-03</v>
      </c>
      <c r="G151" s="14"/>
      <c r="H151" s="14"/>
      <c r="I151" s="15"/>
    </row>
    <row r="152" ht="14.17322826385498" customHeight="1">
      <c r="A152" s="16" t="str">
        <f>Alkatreszek!C36</f>
        <v>TV02-T2</v>
      </c>
      <c r="B152" s="1"/>
      <c r="C152" s="1"/>
      <c r="D152" s="17"/>
      <c r="E152" s="1"/>
      <c r="F152" s="16" t="str">
        <f>Alkatreszek!C37</f>
        <v>TV02-T2</v>
      </c>
      <c r="G152" s="1"/>
      <c r="H152" s="1"/>
      <c r="I152" s="17"/>
    </row>
    <row r="153" ht="14.17322826385498" customHeight="1">
      <c r="A153" s="22" t="str">
        <f>Alkatreszek!E36&amp;" x "&amp;Alkatreszek!F36&amp;" x "&amp;Alkatreszek!G36&amp;" mm KESZ TERV"</f>
        <v>654 x 382 x 18 mm KESZ TERV</v>
      </c>
      <c r="B153" s="1"/>
      <c r="C153" s="1"/>
      <c r="D153" s="17"/>
      <c r="E153" s="1"/>
      <c r="F153" s="22" t="str">
        <f>Alkatreszek!E37&amp;" x "&amp;Alkatreszek!F37&amp;" x "&amp;Alkatreszek!G37&amp;" mm KESZ TERV"</f>
        <v>654 x 382 x 18 mm KESZ TERV</v>
      </c>
      <c r="G153" s="1"/>
      <c r="H153" s="1"/>
      <c r="I153" s="17"/>
    </row>
    <row r="154" ht="14.17322826385498" customHeight="1">
      <c r="A154" s="16" t="str">
        <f>Alkatreszek!H36</f>
        <v>M03</v>
      </c>
      <c r="B154" s="1"/>
      <c r="C154" s="1"/>
      <c r="D154" s="17"/>
      <c r="E154" s="1"/>
      <c r="F154" s="16" t="str">
        <f>Alkatreszek!H37</f>
        <v>M03</v>
      </c>
      <c r="G154" s="1"/>
      <c r="H154" s="1"/>
      <c r="I154" s="17"/>
    </row>
    <row r="155" ht="14.17322826385498" customHeight="1">
      <c r="A155" s="16" t="str">
        <v>E1 lent / E4 bal; A felület felül</v>
      </c>
      <c r="B155" s="1"/>
      <c r="C155" s="1"/>
      <c r="D155" s="17"/>
      <c r="E155" s="1"/>
      <c r="F155" s="16" t="str">
        <v>E1 lent / E4 bal; A felület felül</v>
      </c>
      <c r="G155" s="1"/>
      <c r="H155" s="1"/>
      <c r="I155" s="17"/>
    </row>
    <row r="156" ht="14.17322826385498" customHeight="1">
      <c r="A156" s="16" t="str">
        <f>"Elkod: "&amp;Alkatreszek!X36</f>
        <v>Elkod: NYITOTT</v>
      </c>
      <c r="B156" s="1"/>
      <c r="C156" s="1"/>
      <c r="D156" s="17"/>
      <c r="E156" s="1"/>
      <c r="F156" s="16" t="str">
        <f>"Elkod: "&amp;Alkatreszek!X37</f>
        <v>Elkod: NYITOTT</v>
      </c>
      <c r="G156" s="1"/>
      <c r="H156" s="1"/>
      <c r="I156" s="17"/>
    </row>
    <row r="157" ht="14.17322826385498" customHeight="1">
      <c r="A157" s="16" t="str">
        <v>TÁJOLÁSI JAVASLAT / NEM GYÁRTÁS</v>
      </c>
      <c r="B157" s="1"/>
      <c r="C157" s="1"/>
      <c r="D157" s="17"/>
      <c r="E157" s="1"/>
      <c r="F157" s="16" t="str">
        <v>TÁJOLÁSI JAVASLAT / NEM GYÁRTÁS</v>
      </c>
      <c r="G157" s="1"/>
      <c r="H157" s="1"/>
      <c r="I157" s="17"/>
    </row>
    <row r="158" ht="14.17322826385498" customHeight="1">
      <c r="A158" s="16" t="str">
        <f>Alkatreszek!B36</f>
        <v>KI12-TV02T2-02.mpr</v>
      </c>
      <c r="B158" s="1"/>
      <c r="C158" s="1"/>
      <c r="D158" s="17"/>
      <c r="E158" s="1"/>
      <c r="F158" s="16" t="str">
        <f>Alkatreszek!B37</f>
        <v>KI12-TV02T2-03.mpr</v>
      </c>
      <c r="G158" s="1"/>
      <c r="H158" s="1"/>
      <c r="I158" s="17"/>
    </row>
    <row r="159" ht="14.17322826385498" customHeight="1">
      <c r="A159" s="16" t="str">
        <v>R12 - MPR: NINCS MEGMUNKÁLÁS</v>
      </c>
      <c r="B159" s="1"/>
      <c r="C159" s="1"/>
      <c r="D159" s="17"/>
      <c r="E159" s="1"/>
      <c r="F159" s="16" t="str">
        <v>R12 - MPR: NINCS MEGMUNKÁLÁS</v>
      </c>
      <c r="G159" s="1"/>
      <c r="H159" s="1"/>
      <c r="I159" s="17"/>
    </row>
    <row r="160" ht="14.17322826385498" customHeight="1">
      <c r="A160" s="18"/>
      <c r="B160" s="19"/>
      <c r="C160" s="19"/>
      <c r="D160" s="20"/>
      <c r="E160" s="1"/>
      <c r="F160" s="18"/>
      <c r="G160" s="19"/>
      <c r="H160" s="19"/>
      <c r="I160" s="20"/>
    </row>
    <row r="161" ht="14.17322826385498" customHeight="1">
      <c r="A161" s="21" t="str">
        <f>Alkatreszek!A38</f>
        <v>KI12-TV02T2-04</v>
      </c>
      <c r="B161" s="14"/>
      <c r="C161" s="14"/>
      <c r="D161" s="15"/>
      <c r="E161" s="1"/>
      <c r="F161" s="21" t="str">
        <f>Alkatreszek!A39</f>
        <v>KI12-TV02P1-01</v>
      </c>
      <c r="G161" s="14"/>
      <c r="H161" s="14"/>
      <c r="I161" s="15"/>
    </row>
    <row r="162" ht="14.17322826385498" customHeight="1">
      <c r="A162" s="16" t="str">
        <f>Alkatreszek!C38</f>
        <v>TV02-T2</v>
      </c>
      <c r="B162" s="1"/>
      <c r="C162" s="1"/>
      <c r="D162" s="17"/>
      <c r="E162" s="1"/>
      <c r="F162" s="16" t="str">
        <f>Alkatreszek!C39</f>
        <v>TV02-P1</v>
      </c>
      <c r="G162" s="1"/>
      <c r="H162" s="1"/>
      <c r="I162" s="17"/>
    </row>
    <row r="163" ht="14.17322826385498" customHeight="1">
      <c r="A163" s="22" t="str">
        <f>Alkatreszek!E38&amp;" x "&amp;Alkatreszek!F38&amp;" x "&amp;Alkatreszek!G38&amp;" mm KESZ TERV"</f>
        <v>654 x 382 x 18 mm KESZ TERV</v>
      </c>
      <c r="B163" s="1"/>
      <c r="C163" s="1"/>
      <c r="D163" s="17"/>
      <c r="E163" s="1"/>
      <c r="F163" s="22" t="str">
        <f>Alkatreszek!E39&amp;" x "&amp;Alkatreszek!F39&amp;" x "&amp;Alkatreszek!G39&amp;" mm KESZ TERV"</f>
        <v>682 x 320 x 18 mm KESZ TERV</v>
      </c>
      <c r="G163" s="1"/>
      <c r="H163" s="1"/>
      <c r="I163" s="17"/>
    </row>
    <row r="164" ht="14.17322826385498" customHeight="1">
      <c r="A164" s="16" t="str">
        <f>Alkatreszek!H38</f>
        <v>M03</v>
      </c>
      <c r="B164" s="1"/>
      <c r="C164" s="1"/>
      <c r="D164" s="17"/>
      <c r="E164" s="1"/>
      <c r="F164" s="16" t="str">
        <f>Alkatreszek!H39</f>
        <v>M03</v>
      </c>
      <c r="G164" s="1"/>
      <c r="H164" s="1"/>
      <c r="I164" s="17"/>
    </row>
    <row r="165" ht="14.17322826385498" customHeight="1">
      <c r="A165" s="16" t="str">
        <v>E1 lent / E4 bal; A felület felül</v>
      </c>
      <c r="B165" s="1"/>
      <c r="C165" s="1"/>
      <c r="D165" s="17"/>
      <c r="E165" s="1"/>
      <c r="F165" s="16" t="str">
        <v>E1 lent / E4 bal; A felület felül</v>
      </c>
      <c r="G165" s="1"/>
      <c r="H165" s="1"/>
      <c r="I165" s="17"/>
    </row>
    <row r="166" ht="14.17322826385498" customHeight="1">
      <c r="A166" s="16" t="str">
        <f>"Elkod: "&amp;Alkatreszek!X38</f>
        <v>Elkod: NYITOTT</v>
      </c>
      <c r="B166" s="1"/>
      <c r="C166" s="1"/>
      <c r="D166" s="17"/>
      <c r="E166" s="1"/>
      <c r="F166" s="16" t="str">
        <f>"Elkod: "&amp;Alkatreszek!X39</f>
        <v>Elkod: NYITOTT</v>
      </c>
      <c r="G166" s="1"/>
      <c r="H166" s="1"/>
      <c r="I166" s="17"/>
    </row>
    <row r="167" ht="14.17322826385498" customHeight="1">
      <c r="A167" s="16" t="str">
        <v>TÁJOLÁSI JAVASLAT / NEM GYÁRTÁS</v>
      </c>
      <c r="B167" s="1"/>
      <c r="C167" s="1"/>
      <c r="D167" s="17"/>
      <c r="E167" s="1"/>
      <c r="F167" s="16" t="str">
        <v>TÁJOLÁSI JAVASLAT / NEM GYÁRTÁS</v>
      </c>
      <c r="G167" s="1"/>
      <c r="H167" s="1"/>
      <c r="I167" s="17"/>
    </row>
    <row r="168" ht="14.17322826385498" customHeight="1">
      <c r="A168" s="16" t="str">
        <f>Alkatreszek!B38</f>
        <v>KI12-TV02T2-04.mpr</v>
      </c>
      <c r="B168" s="1"/>
      <c r="C168" s="1"/>
      <c r="D168" s="17"/>
      <c r="E168" s="1"/>
      <c r="F168" s="16" t="str">
        <f>Alkatreszek!B39</f>
        <v>KI12-TV02P1-01.mpr</v>
      </c>
      <c r="G168" s="1"/>
      <c r="H168" s="1"/>
      <c r="I168" s="17"/>
    </row>
    <row r="169" ht="14.17322826385498" customHeight="1">
      <c r="A169" s="16" t="str">
        <v>R12 - MPR: NINCS MEGMUNKÁLÁS</v>
      </c>
      <c r="B169" s="1"/>
      <c r="C169" s="1"/>
      <c r="D169" s="17"/>
      <c r="E169" s="1"/>
      <c r="F169" s="16" t="str">
        <v>R12 - MPR: NINCS MEGMUNKÁLÁS</v>
      </c>
      <c r="G169" s="1"/>
      <c r="H169" s="1"/>
      <c r="I169" s="17"/>
    </row>
    <row r="170" ht="14.17322826385498" customHeight="1">
      <c r="A170" s="18"/>
      <c r="B170" s="19"/>
      <c r="C170" s="19"/>
      <c r="D170" s="20"/>
      <c r="E170" s="1"/>
      <c r="F170" s="18"/>
      <c r="G170" s="19"/>
      <c r="H170" s="19"/>
      <c r="I170" s="20"/>
    </row>
    <row r="171" ht="14.17322826385498" customHeight="1">
      <c r="A171" s="21" t="str">
        <f>Alkatreszek!A40</f>
        <v>KI12-TV02P2-01</v>
      </c>
      <c r="B171" s="14"/>
      <c r="C171" s="14"/>
      <c r="D171" s="15"/>
      <c r="E171" s="1"/>
      <c r="F171" s="21" t="str">
        <f>Alkatreszek!A41</f>
        <v>KI12-TV02P2-02</v>
      </c>
      <c r="G171" s="14"/>
      <c r="H171" s="14"/>
      <c r="I171" s="15"/>
    </row>
    <row r="172" ht="14.17322826385498" customHeight="1">
      <c r="A172" s="16" t="str">
        <f>Alkatreszek!C40</f>
        <v>TV02-P2</v>
      </c>
      <c r="B172" s="1"/>
      <c r="C172" s="1"/>
      <c r="D172" s="17"/>
      <c r="E172" s="1"/>
      <c r="F172" s="16" t="str">
        <f>Alkatreszek!C41</f>
        <v>TV02-P2</v>
      </c>
      <c r="G172" s="1"/>
      <c r="H172" s="1"/>
      <c r="I172" s="17"/>
    </row>
    <row r="173" ht="14.17322826385498" customHeight="1">
      <c r="A173" s="22" t="str">
        <f>Alkatreszek!E40&amp;" x "&amp;Alkatreszek!F40&amp;" x "&amp;Alkatreszek!G40&amp;" mm KESZ TERV"</f>
        <v>652 x 320 x 18 mm KESZ TERV</v>
      </c>
      <c r="B173" s="1"/>
      <c r="C173" s="1"/>
      <c r="D173" s="17"/>
      <c r="E173" s="1"/>
      <c r="F173" s="22" t="str">
        <f>Alkatreszek!E41&amp;" x "&amp;Alkatreszek!F41&amp;" x "&amp;Alkatreszek!G41&amp;" mm KESZ TERV"</f>
        <v>652 x 320 x 18 mm KESZ TERV</v>
      </c>
      <c r="G173" s="1"/>
      <c r="H173" s="1"/>
      <c r="I173" s="17"/>
    </row>
    <row r="174" ht="14.17322826385498" customHeight="1">
      <c r="A174" s="16" t="str">
        <f>Alkatreszek!H40</f>
        <v>M03</v>
      </c>
      <c r="B174" s="1"/>
      <c r="C174" s="1"/>
      <c r="D174" s="17"/>
      <c r="E174" s="1"/>
      <c r="F174" s="16" t="str">
        <f>Alkatreszek!H41</f>
        <v>M03</v>
      </c>
      <c r="G174" s="1"/>
      <c r="H174" s="1"/>
      <c r="I174" s="17"/>
    </row>
    <row r="175" ht="14.17322826385498" customHeight="1">
      <c r="A175" s="16" t="str">
        <v>E1 lent / E4 bal; A felület felül</v>
      </c>
      <c r="B175" s="1"/>
      <c r="C175" s="1"/>
      <c r="D175" s="17"/>
      <c r="E175" s="1"/>
      <c r="F175" s="16" t="str">
        <v>E1 lent / E4 bal; A felület felül</v>
      </c>
      <c r="G175" s="1"/>
      <c r="H175" s="1"/>
      <c r="I175" s="17"/>
    </row>
    <row r="176" ht="14.17322826385498" customHeight="1">
      <c r="A176" s="16" t="str">
        <f>"Elkod: "&amp;Alkatreszek!X40</f>
        <v>Elkod: NYITOTT</v>
      </c>
      <c r="B176" s="1"/>
      <c r="C176" s="1"/>
      <c r="D176" s="17"/>
      <c r="E176" s="1"/>
      <c r="F176" s="16" t="str">
        <f>"Elkod: "&amp;Alkatreszek!X41</f>
        <v>Elkod: NYITOTT</v>
      </c>
      <c r="G176" s="1"/>
      <c r="H176" s="1"/>
      <c r="I176" s="17"/>
    </row>
    <row r="177" ht="14.17322826385498" customHeight="1">
      <c r="A177" s="16" t="str">
        <v>TÁJOLÁSI JAVASLAT / NEM GYÁRTÁS</v>
      </c>
      <c r="B177" s="1"/>
      <c r="C177" s="1"/>
      <c r="D177" s="17"/>
      <c r="E177" s="1"/>
      <c r="F177" s="16" t="str">
        <v>TÁJOLÁSI JAVASLAT / NEM GYÁRTÁS</v>
      </c>
      <c r="G177" s="1"/>
      <c r="H177" s="1"/>
      <c r="I177" s="17"/>
    </row>
    <row r="178" ht="14.17322826385498" customHeight="1">
      <c r="A178" s="16" t="str">
        <f>Alkatreszek!B40</f>
        <v>KI12-TV02P2-01.mpr</v>
      </c>
      <c r="B178" s="1"/>
      <c r="C178" s="1"/>
      <c r="D178" s="17"/>
      <c r="E178" s="1"/>
      <c r="F178" s="16" t="str">
        <f>Alkatreszek!B41</f>
        <v>KI12-TV02P2-02.mpr</v>
      </c>
      <c r="G178" s="1"/>
      <c r="H178" s="1"/>
      <c r="I178" s="17"/>
    </row>
    <row r="179" ht="14.17322826385498" customHeight="1">
      <c r="A179" s="16" t="str">
        <v>R12 - MPR: NINCS MEGMUNKÁLÁS</v>
      </c>
      <c r="B179" s="1"/>
      <c r="C179" s="1"/>
      <c r="D179" s="17"/>
      <c r="E179" s="1"/>
      <c r="F179" s="16" t="str">
        <v>R12 - MPR: NINCS MEGMUNKÁLÁS</v>
      </c>
      <c r="G179" s="1"/>
      <c r="H179" s="1"/>
      <c r="I179" s="17"/>
    </row>
    <row r="180" ht="14.17322826385498" customHeight="1">
      <c r="A180" s="18"/>
      <c r="B180" s="19"/>
      <c r="C180" s="19"/>
      <c r="D180" s="20"/>
      <c r="E180" s="1"/>
      <c r="F180" s="18"/>
      <c r="G180" s="19"/>
      <c r="H180" s="19"/>
      <c r="I180" s="20"/>
    </row>
    <row r="181" ht="14.17322826385498" customHeight="1">
      <c r="A181" s="21" t="str">
        <f>Alkatreszek!A42</f>
        <v>KI12-TV02P2-03</v>
      </c>
      <c r="B181" s="14"/>
      <c r="C181" s="14"/>
      <c r="D181" s="15"/>
      <c r="E181" s="1"/>
      <c r="F181" s="21" t="str">
        <f>Alkatreszek!A43</f>
        <v>KI12-TV02F1-01</v>
      </c>
      <c r="G181" s="14"/>
      <c r="H181" s="14"/>
      <c r="I181" s="15"/>
    </row>
    <row r="182" ht="14.17322826385498" customHeight="1">
      <c r="A182" s="16" t="str">
        <f>Alkatreszek!C42</f>
        <v>TV02-P2</v>
      </c>
      <c r="B182" s="1"/>
      <c r="C182" s="1"/>
      <c r="D182" s="17"/>
      <c r="E182" s="1"/>
      <c r="F182" s="16" t="str">
        <f>Alkatreszek!C43</f>
        <v>TV02-F1</v>
      </c>
      <c r="G182" s="1"/>
      <c r="H182" s="1"/>
      <c r="I182" s="17"/>
    </row>
    <row r="183" ht="14.17322826385498" customHeight="1">
      <c r="A183" s="22" t="str">
        <f>Alkatreszek!E42&amp;" x "&amp;Alkatreszek!F42&amp;" x "&amp;Alkatreszek!G42&amp;" mm KESZ TERV"</f>
        <v>652 x 320 x 18 mm KESZ TERV</v>
      </c>
      <c r="B183" s="1"/>
      <c r="C183" s="1"/>
      <c r="D183" s="17"/>
      <c r="E183" s="1"/>
      <c r="F183" s="22" t="str">
        <f>Alkatreszek!E43&amp;" x "&amp;Alkatreszek!F43&amp;" x "&amp;Alkatreszek!G43&amp;" mm KESZ TERV"</f>
        <v>717 x 397 x 18 mm KESZ TERV</v>
      </c>
      <c r="G183" s="1"/>
      <c r="H183" s="1"/>
      <c r="I183" s="17"/>
    </row>
    <row r="184" ht="14.17322826385498" customHeight="1">
      <c r="A184" s="16" t="str">
        <f>Alkatreszek!H42</f>
        <v>M03</v>
      </c>
      <c r="B184" s="1"/>
      <c r="C184" s="1"/>
      <c r="D184" s="17"/>
      <c r="E184" s="1"/>
      <c r="F184" s="16" t="str">
        <f>Alkatreszek!H43</f>
        <v>M01</v>
      </c>
      <c r="G184" s="1"/>
      <c r="H184" s="1"/>
      <c r="I184" s="17"/>
    </row>
    <row r="185" ht="14.17322826385498" customHeight="1">
      <c r="A185" s="16" t="str">
        <v>E1 lent / E4 bal; A felület felül</v>
      </c>
      <c r="B185" s="1"/>
      <c r="C185" s="1"/>
      <c r="D185" s="17"/>
      <c r="E185" s="1"/>
      <c r="F185" s="16" t="str">
        <v>E1 lent / E4 bal; A felület felül</v>
      </c>
      <c r="G185" s="1"/>
      <c r="H185" s="1"/>
      <c r="I185" s="17"/>
    </row>
    <row r="186" ht="14.17322826385498" customHeight="1">
      <c r="A186" s="16" t="str">
        <f>"Elkod: "&amp;Alkatreszek!X42</f>
        <v>Elkod: NYITOTT</v>
      </c>
      <c r="B186" s="1"/>
      <c r="C186" s="1"/>
      <c r="D186" s="17"/>
      <c r="E186" s="1"/>
      <c r="F186" s="16" t="str">
        <f>"Elkod: "&amp;Alkatreszek!X43</f>
        <v>Elkod: NYITOTT</v>
      </c>
      <c r="G186" s="1"/>
      <c r="H186" s="1"/>
      <c r="I186" s="17"/>
    </row>
    <row r="187" ht="14.17322826385498" customHeight="1">
      <c r="A187" s="16" t="str">
        <v>TÁJOLÁSI JAVASLAT / NEM GYÁRTÁS</v>
      </c>
      <c r="B187" s="1"/>
      <c r="C187" s="1"/>
      <c r="D187" s="17"/>
      <c r="E187" s="1"/>
      <c r="F187" s="16" t="str">
        <v>TÁJOLÁSI JAVASLAT / NEM GYÁRTÁS</v>
      </c>
      <c r="G187" s="1"/>
      <c r="H187" s="1"/>
      <c r="I187" s="17"/>
    </row>
    <row r="188" ht="14.17322826385498" customHeight="1">
      <c r="A188" s="16" t="str">
        <f>Alkatreszek!B42</f>
        <v>KI12-TV02P2-03.mpr</v>
      </c>
      <c r="B188" s="1"/>
      <c r="C188" s="1"/>
      <c r="D188" s="17"/>
      <c r="E188" s="1"/>
      <c r="F188" s="16" t="str">
        <f>Alkatreszek!B43</f>
        <v>KI12-TV02F1-01.mpr</v>
      </c>
      <c r="G188" s="1"/>
      <c r="H188" s="1"/>
      <c r="I188" s="17"/>
    </row>
    <row r="189" ht="14.17322826385498" customHeight="1">
      <c r="A189" s="16" t="str">
        <v>R12 - MPR: NINCS MEGMUNKÁLÁS</v>
      </c>
      <c r="B189" s="1"/>
      <c r="C189" s="1"/>
      <c r="D189" s="17"/>
      <c r="E189" s="1"/>
      <c r="F189" s="16" t="str">
        <v>R12 - MPR: NINCS MEGMUNKÁLÁS</v>
      </c>
      <c r="G189" s="1"/>
      <c r="H189" s="1"/>
      <c r="I189" s="17"/>
    </row>
    <row r="190" ht="14.17322826385498" customHeight="1">
      <c r="A190" s="18"/>
      <c r="B190" s="19"/>
      <c r="C190" s="19"/>
      <c r="D190" s="20"/>
      <c r="E190" s="1"/>
      <c r="F190" s="18"/>
      <c r="G190" s="19"/>
      <c r="H190" s="19"/>
      <c r="I190" s="20"/>
    </row>
    <row r="191" ht="14.17322826385498" customHeight="1">
      <c r="A191" s="21" t="str">
        <f>Alkatreszek!A44</f>
        <v>KI12-TV02F2-01</v>
      </c>
      <c r="B191" s="14"/>
      <c r="C191" s="14"/>
      <c r="D191" s="15"/>
      <c r="E191" s="1"/>
      <c r="F191" s="21" t="str">
        <f>Alkatreszek!A45</f>
        <v>KI12-TV02F2-02</v>
      </c>
      <c r="G191" s="14"/>
      <c r="H191" s="14"/>
      <c r="I191" s="15"/>
    </row>
    <row r="192" ht="14.17322826385498" customHeight="1">
      <c r="A192" s="16" t="str">
        <f>Alkatreszek!C44</f>
        <v>TV02-F2</v>
      </c>
      <c r="B192" s="1"/>
      <c r="C192" s="1"/>
      <c r="D192" s="17"/>
      <c r="E192" s="1"/>
      <c r="F192" s="16" t="str">
        <f>Alkatreszek!C45</f>
        <v>TV02-F2</v>
      </c>
      <c r="G192" s="1"/>
      <c r="H192" s="1"/>
      <c r="I192" s="17"/>
    </row>
    <row r="193" ht="14.17322826385498" customHeight="1">
      <c r="A193" s="22" t="str">
        <f>Alkatreszek!E44&amp;" x "&amp;Alkatreszek!F44&amp;" x "&amp;Alkatreszek!G44&amp;" mm KESZ TERV"</f>
        <v>687 x 397 x 18 mm KESZ TERV</v>
      </c>
      <c r="B193" s="1"/>
      <c r="C193" s="1"/>
      <c r="D193" s="17"/>
      <c r="E193" s="1"/>
      <c r="F193" s="22" t="str">
        <f>Alkatreszek!E45&amp;" x "&amp;Alkatreszek!F45&amp;" x "&amp;Alkatreszek!G45&amp;" mm KESZ TERV"</f>
        <v>687 x 397 x 18 mm KESZ TERV</v>
      </c>
      <c r="G193" s="1"/>
      <c r="H193" s="1"/>
      <c r="I193" s="17"/>
    </row>
    <row r="194" ht="14.17322826385498" customHeight="1">
      <c r="A194" s="16" t="str">
        <f>Alkatreszek!H44</f>
        <v>M01</v>
      </c>
      <c r="B194" s="1"/>
      <c r="C194" s="1"/>
      <c r="D194" s="17"/>
      <c r="E194" s="1"/>
      <c r="F194" s="16" t="str">
        <f>Alkatreszek!H45</f>
        <v>M01</v>
      </c>
      <c r="G194" s="1"/>
      <c r="H194" s="1"/>
      <c r="I194" s="17"/>
    </row>
    <row r="195" ht="14.17322826385498" customHeight="1">
      <c r="A195" s="16" t="str">
        <v>E1 lent / E4 bal; A felület felül</v>
      </c>
      <c r="B195" s="1"/>
      <c r="C195" s="1"/>
      <c r="D195" s="17"/>
      <c r="E195" s="1"/>
      <c r="F195" s="16" t="str">
        <v>E1 lent / E4 bal; A felület felül</v>
      </c>
      <c r="G195" s="1"/>
      <c r="H195" s="1"/>
      <c r="I195" s="17"/>
    </row>
    <row r="196" ht="14.17322826385498" customHeight="1">
      <c r="A196" s="16" t="str">
        <f>"Elkod: "&amp;Alkatreszek!X44</f>
        <v>Elkod: NYITOTT</v>
      </c>
      <c r="B196" s="1"/>
      <c r="C196" s="1"/>
      <c r="D196" s="17"/>
      <c r="E196" s="1"/>
      <c r="F196" s="16" t="str">
        <f>"Elkod: "&amp;Alkatreszek!X45</f>
        <v>Elkod: NYITOTT</v>
      </c>
      <c r="G196" s="1"/>
      <c r="H196" s="1"/>
      <c r="I196" s="17"/>
    </row>
    <row r="197" ht="14.17322826385498" customHeight="1">
      <c r="A197" s="16" t="str">
        <v>TÁJOLÁSI JAVASLAT / NEM GYÁRTÁS</v>
      </c>
      <c r="B197" s="1"/>
      <c r="C197" s="1"/>
      <c r="D197" s="17"/>
      <c r="E197" s="1"/>
      <c r="F197" s="16" t="str">
        <v>TÁJOLÁSI JAVASLAT / NEM GYÁRTÁS</v>
      </c>
      <c r="G197" s="1"/>
      <c r="H197" s="1"/>
      <c r="I197" s="17"/>
    </row>
    <row r="198" ht="14.17322826385498" customHeight="1">
      <c r="A198" s="16" t="str">
        <f>Alkatreszek!B44</f>
        <v>KI12-TV02F2-01.mpr</v>
      </c>
      <c r="B198" s="1"/>
      <c r="C198" s="1"/>
      <c r="D198" s="17"/>
      <c r="E198" s="1"/>
      <c r="F198" s="16" t="str">
        <f>Alkatreszek!B45</f>
        <v>KI12-TV02F2-02.mpr</v>
      </c>
      <c r="G198" s="1"/>
      <c r="H198" s="1"/>
      <c r="I198" s="17"/>
    </row>
    <row r="199" ht="14.17322826385498" customHeight="1">
      <c r="A199" s="16" t="str">
        <v>R12 - MPR: NINCS MEGMUNKÁLÁS</v>
      </c>
      <c r="B199" s="1"/>
      <c r="C199" s="1"/>
      <c r="D199" s="17"/>
      <c r="E199" s="1"/>
      <c r="F199" s="16" t="str">
        <v>R12 - MPR: NINCS MEGMUNKÁLÁS</v>
      </c>
      <c r="G199" s="1"/>
      <c r="H199" s="1"/>
      <c r="I199" s="17"/>
    </row>
    <row r="200" ht="14.17322826385498" customHeight="1">
      <c r="A200" s="18"/>
      <c r="B200" s="19"/>
      <c r="C200" s="19"/>
      <c r="D200" s="20"/>
      <c r="E200" s="1"/>
      <c r="F200" s="18"/>
      <c r="G200" s="19"/>
      <c r="H200" s="19"/>
      <c r="I200" s="20"/>
    </row>
    <row r="201" ht="14.17322826385498" customHeight="1">
      <c r="A201" s="21" t="str">
        <f>Alkatreszek!A46</f>
        <v>KI12-TV02F2-03</v>
      </c>
      <c r="B201" s="14"/>
      <c r="C201" s="14"/>
      <c r="D201" s="15"/>
      <c r="E201" s="1"/>
      <c r="F201" s="21" t="str">
        <f>Alkatreszek!A47</f>
        <v>KI12-TV02F2-04</v>
      </c>
      <c r="G201" s="14"/>
      <c r="H201" s="14"/>
      <c r="I201" s="15"/>
    </row>
    <row r="202" ht="14.17322826385498" customHeight="1">
      <c r="A202" s="16" t="str">
        <f>Alkatreszek!C46</f>
        <v>TV02-F2</v>
      </c>
      <c r="B202" s="1"/>
      <c r="C202" s="1"/>
      <c r="D202" s="17"/>
      <c r="E202" s="1"/>
      <c r="F202" s="16" t="str">
        <f>Alkatreszek!C47</f>
        <v>TV02-F2</v>
      </c>
      <c r="G202" s="1"/>
      <c r="H202" s="1"/>
      <c r="I202" s="17"/>
    </row>
    <row r="203" ht="14.17322826385498" customHeight="1">
      <c r="A203" s="22" t="str">
        <f>Alkatreszek!E46&amp;" x "&amp;Alkatreszek!F46&amp;" x "&amp;Alkatreszek!G46&amp;" mm KESZ TERV"</f>
        <v>687 x 397 x 18 mm KESZ TERV</v>
      </c>
      <c r="B203" s="1"/>
      <c r="C203" s="1"/>
      <c r="D203" s="17"/>
      <c r="E203" s="1"/>
      <c r="F203" s="22" t="str">
        <f>Alkatreszek!E47&amp;" x "&amp;Alkatreszek!F47&amp;" x "&amp;Alkatreszek!G47&amp;" mm KESZ TERV"</f>
        <v>687 x 397 x 18 mm KESZ TERV</v>
      </c>
      <c r="G203" s="1"/>
      <c r="H203" s="1"/>
      <c r="I203" s="17"/>
    </row>
    <row r="204" ht="14.17322826385498" customHeight="1">
      <c r="A204" s="16" t="str">
        <f>Alkatreszek!H46</f>
        <v>M01</v>
      </c>
      <c r="B204" s="1"/>
      <c r="C204" s="1"/>
      <c r="D204" s="17"/>
      <c r="E204" s="1"/>
      <c r="F204" s="16" t="str">
        <f>Alkatreszek!H47</f>
        <v>M01</v>
      </c>
      <c r="G204" s="1"/>
      <c r="H204" s="1"/>
      <c r="I204" s="17"/>
    </row>
    <row r="205" ht="14.17322826385498" customHeight="1">
      <c r="A205" s="16" t="str">
        <v>E1 lent / E4 bal; A felület felül</v>
      </c>
      <c r="B205" s="1"/>
      <c r="C205" s="1"/>
      <c r="D205" s="17"/>
      <c r="E205" s="1"/>
      <c r="F205" s="16" t="str">
        <v>E1 lent / E4 bal; A felület felül</v>
      </c>
      <c r="G205" s="1"/>
      <c r="H205" s="1"/>
      <c r="I205" s="17"/>
    </row>
    <row r="206" ht="14.17322826385498" customHeight="1">
      <c r="A206" s="16" t="str">
        <f>"Elkod: "&amp;Alkatreszek!X46</f>
        <v>Elkod: NYITOTT</v>
      </c>
      <c r="B206" s="1"/>
      <c r="C206" s="1"/>
      <c r="D206" s="17"/>
      <c r="E206" s="1"/>
      <c r="F206" s="16" t="str">
        <f>"Elkod: "&amp;Alkatreszek!X47</f>
        <v>Elkod: NYITOTT</v>
      </c>
      <c r="G206" s="1"/>
      <c r="H206" s="1"/>
      <c r="I206" s="17"/>
    </row>
    <row r="207" ht="14.17322826385498" customHeight="1">
      <c r="A207" s="16" t="str">
        <v>TÁJOLÁSI JAVASLAT / NEM GYÁRTÁS</v>
      </c>
      <c r="B207" s="1"/>
      <c r="C207" s="1"/>
      <c r="D207" s="17"/>
      <c r="E207" s="1"/>
      <c r="F207" s="16" t="str">
        <v>TÁJOLÁSI JAVASLAT / NEM GYÁRTÁS</v>
      </c>
      <c r="G207" s="1"/>
      <c r="H207" s="1"/>
      <c r="I207" s="17"/>
    </row>
    <row r="208" ht="14.17322826385498" customHeight="1">
      <c r="A208" s="16" t="str">
        <f>Alkatreszek!B46</f>
        <v>KI12-TV02F2-03.mpr</v>
      </c>
      <c r="B208" s="1"/>
      <c r="C208" s="1"/>
      <c r="D208" s="17"/>
      <c r="E208" s="1"/>
      <c r="F208" s="16" t="str">
        <f>Alkatreszek!B47</f>
        <v>KI12-TV02F2-04.mpr</v>
      </c>
      <c r="G208" s="1"/>
      <c r="H208" s="1"/>
      <c r="I208" s="17"/>
    </row>
    <row r="209" ht="14.17322826385498" customHeight="1">
      <c r="A209" s="16" t="str">
        <v>R12 - MPR: NINCS MEGMUNKÁLÁS</v>
      </c>
      <c r="B209" s="1"/>
      <c r="C209" s="1"/>
      <c r="D209" s="17"/>
      <c r="E209" s="1"/>
      <c r="F209" s="16" t="str">
        <v>R12 - MPR: NINCS MEGMUNKÁLÁS</v>
      </c>
      <c r="G209" s="1"/>
      <c r="H209" s="1"/>
      <c r="I209" s="17"/>
    </row>
    <row r="210" ht="14.17322826385498" customHeight="1">
      <c r="A210" s="18"/>
      <c r="B210" s="19"/>
      <c r="C210" s="19"/>
      <c r="D210" s="20"/>
      <c r="E210" s="1"/>
      <c r="F210" s="18"/>
      <c r="G210" s="19"/>
      <c r="H210" s="19"/>
      <c r="I210" s="20"/>
    </row>
    <row r="211" ht="14.17322826385498" customHeight="1">
      <c r="A211" s="21" t="str">
        <f>Alkatreszek!A48</f>
        <v>KI12-TV02H1-01</v>
      </c>
      <c r="B211" s="14"/>
      <c r="C211" s="14"/>
      <c r="D211" s="15"/>
      <c r="E211" s="1"/>
      <c r="F211" s="21" t="str">
        <f>Alkatreszek!A49</f>
        <v>KI12-TV02H2-01</v>
      </c>
      <c r="G211" s="14"/>
      <c r="H211" s="14"/>
      <c r="I211" s="15"/>
    </row>
    <row r="212" ht="14.17322826385498" customHeight="1">
      <c r="A212" s="16" t="str">
        <f>Alkatreszek!C48</f>
        <v>TV02-H1</v>
      </c>
      <c r="B212" s="1"/>
      <c r="C212" s="1"/>
      <c r="D212" s="17"/>
      <c r="E212" s="1"/>
      <c r="F212" s="16" t="str">
        <f>Alkatreszek!C49</f>
        <v>TV02-H2</v>
      </c>
      <c r="G212" s="1"/>
      <c r="H212" s="1"/>
      <c r="I212" s="17"/>
    </row>
    <row r="213" ht="14.17322826385498" customHeight="1">
      <c r="A213" s="22" t="str">
        <f>Alkatreszek!E48&amp;" x "&amp;Alkatreszek!F48&amp;" x "&amp;Alkatreszek!G48&amp;" mm KESZ TERV"</f>
        <v>684 x 364 x 8 mm KESZ TERV</v>
      </c>
      <c r="B213" s="1"/>
      <c r="C213" s="1"/>
      <c r="D213" s="17"/>
      <c r="E213" s="1"/>
      <c r="F213" s="22" t="str">
        <f>Alkatreszek!E49&amp;" x "&amp;Alkatreszek!F49&amp;" x "&amp;Alkatreszek!G49&amp;" mm KESZ TERV"</f>
        <v>654 x 364 x 8 mm KESZ TERV</v>
      </c>
      <c r="G213" s="1"/>
      <c r="H213" s="1"/>
      <c r="I213" s="17"/>
    </row>
    <row r="214" ht="14.17322826385498" customHeight="1">
      <c r="A214" s="16" t="str">
        <f>Alkatreszek!H48</f>
        <v>M03</v>
      </c>
      <c r="B214" s="1"/>
      <c r="C214" s="1"/>
      <c r="D214" s="17"/>
      <c r="E214" s="1"/>
      <c r="F214" s="16" t="str">
        <f>Alkatreszek!H49</f>
        <v>M03</v>
      </c>
      <c r="G214" s="1"/>
      <c r="H214" s="1"/>
      <c r="I214" s="17"/>
    </row>
    <row r="215" ht="14.17322826385498" customHeight="1">
      <c r="A215" s="16" t="str">
        <v>E1 lent / E4 bal; A felület felül</v>
      </c>
      <c r="B215" s="1"/>
      <c r="C215" s="1"/>
      <c r="D215" s="17"/>
      <c r="E215" s="1"/>
      <c r="F215" s="16" t="str">
        <v>E1 lent / E4 bal; A felület felül</v>
      </c>
      <c r="G215" s="1"/>
      <c r="H215" s="1"/>
      <c r="I215" s="17"/>
    </row>
    <row r="216" ht="14.17322826385498" customHeight="1">
      <c r="A216" s="16" t="str">
        <f>"Elkod: "&amp;Alkatreszek!X48</f>
        <v>Elkod: NYITOTT</v>
      </c>
      <c r="B216" s="1"/>
      <c r="C216" s="1"/>
      <c r="D216" s="17"/>
      <c r="E216" s="1"/>
      <c r="F216" s="16" t="str">
        <f>"Elkod: "&amp;Alkatreszek!X49</f>
        <v>Elkod: NYITOTT</v>
      </c>
      <c r="G216" s="1"/>
      <c r="H216" s="1"/>
      <c r="I216" s="17"/>
    </row>
    <row r="217" ht="14.17322826385498" customHeight="1">
      <c r="A217" s="16" t="str">
        <v>TÁJOLÁSI JAVASLAT / NEM GYÁRTÁS</v>
      </c>
      <c r="B217" s="1"/>
      <c r="C217" s="1"/>
      <c r="D217" s="17"/>
      <c r="E217" s="1"/>
      <c r="F217" s="16" t="str">
        <v>TÁJOLÁSI JAVASLAT / NEM GYÁRTÁS</v>
      </c>
      <c r="G217" s="1"/>
      <c r="H217" s="1"/>
      <c r="I217" s="17"/>
    </row>
    <row r="218" ht="14.17322826385498" customHeight="1">
      <c r="A218" s="16" t="str">
        <f>Alkatreszek!B48</f>
        <v>KI12-TV02H1-01.mpr</v>
      </c>
      <c r="B218" s="1"/>
      <c r="C218" s="1"/>
      <c r="D218" s="17"/>
      <c r="E218" s="1"/>
      <c r="F218" s="16" t="str">
        <f>Alkatreszek!B49</f>
        <v>KI12-TV02H2-01.mpr</v>
      </c>
      <c r="G218" s="1"/>
      <c r="H218" s="1"/>
      <c r="I218" s="17"/>
    </row>
    <row r="219" ht="14.17322826385498" customHeight="1">
      <c r="A219" s="16" t="str">
        <v>R12 - MPR: NINCS MEGMUNKÁLÁS</v>
      </c>
      <c r="B219" s="1"/>
      <c r="C219" s="1"/>
      <c r="D219" s="17"/>
      <c r="E219" s="1"/>
      <c r="F219" s="16" t="str">
        <v>R12 - MPR: NINCS MEGMUNKÁLÁS</v>
      </c>
      <c r="G219" s="1"/>
      <c r="H219" s="1"/>
      <c r="I219" s="17"/>
    </row>
    <row r="220" ht="14.17322826385498" customHeight="1">
      <c r="A220" s="18"/>
      <c r="B220" s="19"/>
      <c r="C220" s="19"/>
      <c r="D220" s="20"/>
      <c r="E220" s="1"/>
      <c r="F220" s="18"/>
      <c r="G220" s="19"/>
      <c r="H220" s="19"/>
      <c r="I220" s="20"/>
    </row>
    <row r="221" ht="14.17322826385498" customHeight="1">
      <c r="A221" s="21" t="str">
        <f>Alkatreszek!A50</f>
        <v>KI12-TV02H2-02</v>
      </c>
      <c r="B221" s="14"/>
      <c r="C221" s="14"/>
      <c r="D221" s="15"/>
      <c r="E221" s="1"/>
      <c r="F221" s="21" t="str">
        <f>Alkatreszek!A51</f>
        <v>KI12-TV02H2-03</v>
      </c>
      <c r="G221" s="14"/>
      <c r="H221" s="14"/>
      <c r="I221" s="15"/>
    </row>
    <row r="222" ht="14.17322826385498" customHeight="1">
      <c r="A222" s="16" t="str">
        <f>Alkatreszek!C50</f>
        <v>TV02-H2</v>
      </c>
      <c r="B222" s="1"/>
      <c r="C222" s="1"/>
      <c r="D222" s="17"/>
      <c r="E222" s="1"/>
      <c r="F222" s="16" t="str">
        <f>Alkatreszek!C51</f>
        <v>TV02-H2</v>
      </c>
      <c r="G222" s="1"/>
      <c r="H222" s="1"/>
      <c r="I222" s="17"/>
    </row>
    <row r="223" ht="14.17322826385498" customHeight="1">
      <c r="A223" s="22" t="str">
        <f>Alkatreszek!E50&amp;" x "&amp;Alkatreszek!F50&amp;" x "&amp;Alkatreszek!G50&amp;" mm KESZ TERV"</f>
        <v>654 x 364 x 8 mm KESZ TERV</v>
      </c>
      <c r="B223" s="1"/>
      <c r="C223" s="1"/>
      <c r="D223" s="17"/>
      <c r="E223" s="1"/>
      <c r="F223" s="22" t="str">
        <f>Alkatreszek!E51&amp;" x "&amp;Alkatreszek!F51&amp;" x "&amp;Alkatreszek!G51&amp;" mm KESZ TERV"</f>
        <v>654 x 364 x 8 mm KESZ TERV</v>
      </c>
      <c r="G223" s="1"/>
      <c r="H223" s="1"/>
      <c r="I223" s="17"/>
    </row>
    <row r="224" ht="14.17322826385498" customHeight="1">
      <c r="A224" s="16" t="str">
        <f>Alkatreszek!H50</f>
        <v>M03</v>
      </c>
      <c r="B224" s="1"/>
      <c r="C224" s="1"/>
      <c r="D224" s="17"/>
      <c r="E224" s="1"/>
      <c r="F224" s="16" t="str">
        <f>Alkatreszek!H51</f>
        <v>M03</v>
      </c>
      <c r="G224" s="1"/>
      <c r="H224" s="1"/>
      <c r="I224" s="17"/>
    </row>
    <row r="225" ht="14.17322826385498" customHeight="1">
      <c r="A225" s="16" t="str">
        <v>E1 lent / E4 bal; A felület felül</v>
      </c>
      <c r="B225" s="1"/>
      <c r="C225" s="1"/>
      <c r="D225" s="17"/>
      <c r="E225" s="1"/>
      <c r="F225" s="16" t="str">
        <v>E1 lent / E4 bal; A felület felül</v>
      </c>
      <c r="G225" s="1"/>
      <c r="H225" s="1"/>
      <c r="I225" s="17"/>
    </row>
    <row r="226" ht="14.17322826385498" customHeight="1">
      <c r="A226" s="16" t="str">
        <f>"Elkod: "&amp;Alkatreszek!X50</f>
        <v>Elkod: NYITOTT</v>
      </c>
      <c r="B226" s="1"/>
      <c r="C226" s="1"/>
      <c r="D226" s="17"/>
      <c r="E226" s="1"/>
      <c r="F226" s="16" t="str">
        <f>"Elkod: "&amp;Alkatreszek!X51</f>
        <v>Elkod: NYITOTT</v>
      </c>
      <c r="G226" s="1"/>
      <c r="H226" s="1"/>
      <c r="I226" s="17"/>
    </row>
    <row r="227" ht="14.17322826385498" customHeight="1">
      <c r="A227" s="16" t="str">
        <v>TÁJOLÁSI JAVASLAT / NEM GYÁRTÁS</v>
      </c>
      <c r="B227" s="1"/>
      <c r="C227" s="1"/>
      <c r="D227" s="17"/>
      <c r="E227" s="1"/>
      <c r="F227" s="16" t="str">
        <v>TÁJOLÁSI JAVASLAT / NEM GYÁRTÁS</v>
      </c>
      <c r="G227" s="1"/>
      <c r="H227" s="1"/>
      <c r="I227" s="17"/>
    </row>
    <row r="228" ht="14.17322826385498" customHeight="1">
      <c r="A228" s="16" t="str">
        <f>Alkatreszek!B50</f>
        <v>KI12-TV02H2-02.mpr</v>
      </c>
      <c r="B228" s="1"/>
      <c r="C228" s="1"/>
      <c r="D228" s="17"/>
      <c r="E228" s="1"/>
      <c r="F228" s="16" t="str">
        <f>Alkatreszek!B51</f>
        <v>KI12-TV02H2-03.mpr</v>
      </c>
      <c r="G228" s="1"/>
      <c r="H228" s="1"/>
      <c r="I228" s="17"/>
    </row>
    <row r="229" ht="14.17322826385498" customHeight="1">
      <c r="A229" s="16" t="str">
        <v>R12 - MPR: NINCS MEGMUNKÁLÁS</v>
      </c>
      <c r="B229" s="1"/>
      <c r="C229" s="1"/>
      <c r="D229" s="17"/>
      <c r="E229" s="1"/>
      <c r="F229" s="16" t="str">
        <v>R12 - MPR: NINCS MEGMUNKÁLÁS</v>
      </c>
      <c r="G229" s="1"/>
      <c r="H229" s="1"/>
      <c r="I229" s="17"/>
    </row>
    <row r="230" ht="14.17322826385498" customHeight="1">
      <c r="A230" s="18"/>
      <c r="B230" s="19"/>
      <c r="C230" s="19"/>
      <c r="D230" s="20"/>
      <c r="E230" s="1"/>
      <c r="F230" s="18"/>
      <c r="G230" s="19"/>
      <c r="H230" s="19"/>
      <c r="I230" s="20"/>
    </row>
    <row r="231" ht="14.17322826385498" customHeight="1">
      <c r="A231" s="21" t="str">
        <f>Alkatreszek!A52</f>
        <v>KI12-TV02H2-04</v>
      </c>
      <c r="B231" s="14"/>
      <c r="C231" s="14"/>
      <c r="D231" s="15"/>
      <c r="E231" s="1"/>
      <c r="F231" s="21" t="str">
        <f>Alkatreszek!A53</f>
        <v>KI12-TV02CAP-01</v>
      </c>
      <c r="G231" s="14"/>
      <c r="H231" s="14"/>
      <c r="I231" s="15"/>
    </row>
    <row r="232" ht="14.17322826385498" customHeight="1">
      <c r="A232" s="16" t="str">
        <f>Alkatreszek!C52</f>
        <v>TV02-H2</v>
      </c>
      <c r="B232" s="1"/>
      <c r="C232" s="1"/>
      <c r="D232" s="17"/>
      <c r="E232" s="1"/>
      <c r="F232" s="16" t="str">
        <f>Alkatreszek!C53</f>
        <v>TV02-CAP</v>
      </c>
      <c r="G232" s="1"/>
      <c r="H232" s="1"/>
      <c r="I232" s="17"/>
    </row>
    <row r="233" ht="14.17322826385498" customHeight="1">
      <c r="A233" s="22" t="str">
        <f>Alkatreszek!E52&amp;" x "&amp;Alkatreszek!F52&amp;" x "&amp;Alkatreszek!G52&amp;" mm KESZ TERV"</f>
        <v>654 x 364 x 8 mm KESZ TERV</v>
      </c>
      <c r="B233" s="1"/>
      <c r="C233" s="1"/>
      <c r="D233" s="17"/>
      <c r="E233" s="1"/>
      <c r="F233" s="22" t="str">
        <f>Alkatreszek!E53&amp;" x "&amp;Alkatreszek!F53&amp;" x "&amp;Alkatreszek!G53&amp;" mm KESZ TERV"</f>
        <v>3600 x 382 x 18 mm KESZ TERV</v>
      </c>
      <c r="G233" s="1"/>
      <c r="H233" s="1"/>
      <c r="I233" s="17"/>
    </row>
    <row r="234" ht="14.17322826385498" customHeight="1">
      <c r="A234" s="16" t="str">
        <f>Alkatreszek!H52</f>
        <v>M03</v>
      </c>
      <c r="B234" s="1"/>
      <c r="C234" s="1"/>
      <c r="D234" s="17"/>
      <c r="E234" s="1"/>
      <c r="F234" s="16" t="str">
        <f>Alkatreszek!H53</f>
        <v>M01</v>
      </c>
      <c r="G234" s="1"/>
      <c r="H234" s="1"/>
      <c r="I234" s="17"/>
    </row>
    <row r="235" ht="14.17322826385498" customHeight="1">
      <c r="A235" s="16" t="str">
        <v>E1 lent / E4 bal; A felület felül</v>
      </c>
      <c r="B235" s="1"/>
      <c r="C235" s="1"/>
      <c r="D235" s="17"/>
      <c r="E235" s="1"/>
      <c r="F235" s="16" t="str">
        <v>E1 lent / E4 bal; A felület felül</v>
      </c>
      <c r="G235" s="1"/>
      <c r="H235" s="1"/>
      <c r="I235" s="17"/>
    </row>
    <row r="236" ht="14.17322826385498" customHeight="1">
      <c r="A236" s="16" t="str">
        <f>"Elkod: "&amp;Alkatreszek!X52</f>
        <v>Elkod: NYITOTT</v>
      </c>
      <c r="B236" s="1"/>
      <c r="C236" s="1"/>
      <c r="D236" s="17"/>
      <c r="E236" s="1"/>
      <c r="F236" s="16" t="str">
        <f>"Elkod: "&amp;Alkatreszek!X53</f>
        <v>Elkod: NYITOTT</v>
      </c>
      <c r="G236" s="1"/>
      <c r="H236" s="1"/>
      <c r="I236" s="17"/>
    </row>
    <row r="237" ht="14.17322826385498" customHeight="1">
      <c r="A237" s="16" t="str">
        <v>TÁJOLÁSI JAVASLAT / NEM GYÁRTÁS</v>
      </c>
      <c r="B237" s="1"/>
      <c r="C237" s="1"/>
      <c r="D237" s="17"/>
      <c r="E237" s="1"/>
      <c r="F237" s="16" t="str">
        <v>TÁJOLÁSI JAVASLAT / NEM GYÁRTÁS</v>
      </c>
      <c r="G237" s="1"/>
      <c r="H237" s="1"/>
      <c r="I237" s="17"/>
    </row>
    <row r="238" ht="14.17322826385498" customHeight="1">
      <c r="A238" s="16" t="str">
        <f>Alkatreszek!B52</f>
        <v>KI12-TV02H2-04.mpr</v>
      </c>
      <c r="B238" s="1"/>
      <c r="C238" s="1"/>
      <c r="D238" s="17"/>
      <c r="E238" s="1"/>
      <c r="F238" s="16" t="str">
        <f>Alkatreszek!B53</f>
        <v>KI12-TV02CAP-01.mpr</v>
      </c>
      <c r="G238" s="1"/>
      <c r="H238" s="1"/>
      <c r="I238" s="17"/>
    </row>
    <row r="239" ht="14.17322826385498" customHeight="1">
      <c r="A239" s="16" t="str">
        <v>R12 - MPR: NINCS MEGMUNKÁLÁS</v>
      </c>
      <c r="B239" s="1"/>
      <c r="C239" s="1"/>
      <c r="D239" s="17"/>
      <c r="E239" s="1"/>
      <c r="F239" s="16" t="str">
        <v>R12 - MPR: NINCS MEGMUNKÁLÁS</v>
      </c>
      <c r="G239" s="1"/>
      <c r="H239" s="1"/>
      <c r="I239" s="17"/>
    </row>
    <row r="240" ht="14.17322826385498" customHeight="1">
      <c r="A240" s="18"/>
      <c r="B240" s="19"/>
      <c r="C240" s="19"/>
      <c r="D240" s="20"/>
      <c r="E240" s="1"/>
      <c r="F240" s="18"/>
      <c r="G240" s="19"/>
      <c r="H240" s="19"/>
      <c r="I240" s="20"/>
    </row>
    <row r="241" ht="14.17322826385498" customHeight="1">
      <c r="A241" s="21" t="str">
        <f>Alkatreszek!A54</f>
        <v>KI12-TV03P-01</v>
      </c>
      <c r="B241" s="14"/>
      <c r="C241" s="14"/>
      <c r="D241" s="15"/>
      <c r="E241" s="1"/>
      <c r="F241" s="21" t="str">
        <f>Alkatreszek!A55</f>
        <v>KI12-TV03P-02</v>
      </c>
      <c r="G241" s="14"/>
      <c r="H241" s="14"/>
      <c r="I241" s="15"/>
    </row>
    <row r="242" ht="14.17322826385498" customHeight="1">
      <c r="A242" s="16" t="str">
        <f>Alkatreszek!C54</f>
        <v>TV03-P</v>
      </c>
      <c r="B242" s="1"/>
      <c r="C242" s="1"/>
      <c r="D242" s="17"/>
      <c r="E242" s="1"/>
      <c r="F242" s="16" t="str">
        <f>Alkatreszek!C55</f>
        <v>TV03-P</v>
      </c>
      <c r="G242" s="1"/>
      <c r="H242" s="1"/>
      <c r="I242" s="17"/>
    </row>
    <row r="243" ht="14.17322826385498" customHeight="1">
      <c r="A243" s="22" t="str">
        <f>Alkatreszek!E54&amp;" x "&amp;Alkatreszek!F54&amp;" x "&amp;Alkatreszek!G54&amp;" mm KESZ TERV"</f>
        <v>2330 x 687 x 18 mm KESZ TERV</v>
      </c>
      <c r="B243" s="1"/>
      <c r="C243" s="1"/>
      <c r="D243" s="17"/>
      <c r="E243" s="1"/>
      <c r="F243" s="22" t="str">
        <f>Alkatreszek!E55&amp;" x "&amp;Alkatreszek!F55&amp;" x "&amp;Alkatreszek!G55&amp;" mm KESZ TERV"</f>
        <v>2330 x 687 x 18 mm KESZ TERV</v>
      </c>
      <c r="G243" s="1"/>
      <c r="H243" s="1"/>
      <c r="I243" s="17"/>
    </row>
    <row r="244" ht="14.17322826385498" customHeight="1">
      <c r="A244" s="16" t="str">
        <f>Alkatreszek!H54</f>
        <v>M02</v>
      </c>
      <c r="B244" s="1"/>
      <c r="C244" s="1"/>
      <c r="D244" s="17"/>
      <c r="E244" s="1"/>
      <c r="F244" s="16" t="str">
        <f>Alkatreszek!H55</f>
        <v>M02</v>
      </c>
      <c r="G244" s="1"/>
      <c r="H244" s="1"/>
      <c r="I244" s="17"/>
    </row>
    <row r="245" ht="14.17322826385498" customHeight="1">
      <c r="A245" s="16" t="str">
        <v>E1 lent / E4 bal; A felület felül</v>
      </c>
      <c r="B245" s="1"/>
      <c r="C245" s="1"/>
      <c r="D245" s="17"/>
      <c r="E245" s="1"/>
      <c r="F245" s="16" t="str">
        <v>E1 lent / E4 bal; A felület felül</v>
      </c>
      <c r="G245" s="1"/>
      <c r="H245" s="1"/>
      <c r="I245" s="17"/>
    </row>
    <row r="246" ht="14.17322826385498" customHeight="1">
      <c r="A246" s="16" t="str">
        <f>"Elkod: "&amp;Alkatreszek!X54</f>
        <v>Elkod: NYITOTT</v>
      </c>
      <c r="B246" s="1"/>
      <c r="C246" s="1"/>
      <c r="D246" s="17"/>
      <c r="E246" s="1"/>
      <c r="F246" s="16" t="str">
        <f>"Elkod: "&amp;Alkatreszek!X55</f>
        <v>Elkod: NYITOTT</v>
      </c>
      <c r="G246" s="1"/>
      <c r="H246" s="1"/>
      <c r="I246" s="17"/>
    </row>
    <row r="247" ht="14.17322826385498" customHeight="1">
      <c r="A247" s="16" t="str">
        <v>TÁJOLÁSI JAVASLAT / NEM GYÁRTÁS</v>
      </c>
      <c r="B247" s="1"/>
      <c r="C247" s="1"/>
      <c r="D247" s="17"/>
      <c r="E247" s="1"/>
      <c r="F247" s="16" t="str">
        <v>TÁJOLÁSI JAVASLAT / NEM GYÁRTÁS</v>
      </c>
      <c r="G247" s="1"/>
      <c r="H247" s="1"/>
      <c r="I247" s="17"/>
    </row>
    <row r="248" ht="14.17322826385498" customHeight="1">
      <c r="A248" s="16" t="str">
        <f>Alkatreszek!B54</f>
        <v>KI12-TV03P-01.mpr</v>
      </c>
      <c r="B248" s="1"/>
      <c r="C248" s="1"/>
      <c r="D248" s="17"/>
      <c r="E248" s="1"/>
      <c r="F248" s="16" t="str">
        <f>Alkatreszek!B55</f>
        <v>KI12-TV03P-02.mpr</v>
      </c>
      <c r="G248" s="1"/>
      <c r="H248" s="1"/>
      <c r="I248" s="17"/>
    </row>
    <row r="249" ht="14.17322826385498" customHeight="1">
      <c r="A249" s="16" t="str">
        <v>R12 - MPR: NINCS MEGMUNKÁLÁS</v>
      </c>
      <c r="B249" s="1"/>
      <c r="C249" s="1"/>
      <c r="D249" s="17"/>
      <c r="E249" s="1"/>
      <c r="F249" s="16" t="str">
        <v>R12 - MPR: NINCS MEGMUNKÁLÁS</v>
      </c>
      <c r="G249" s="1"/>
      <c r="H249" s="1"/>
      <c r="I249" s="17"/>
    </row>
    <row r="250" ht="14.17322826385498" customHeight="1">
      <c r="A250" s="18"/>
      <c r="B250" s="19"/>
      <c r="C250" s="19"/>
      <c r="D250" s="20"/>
      <c r="E250" s="1"/>
      <c r="F250" s="18"/>
      <c r="G250" s="19"/>
      <c r="H250" s="19"/>
      <c r="I250" s="20"/>
    </row>
    <row r="251" ht="14.17322826385498" customHeight="1">
      <c r="A251" s="21" t="str">
        <f>Alkatreszek!A56</f>
        <v>KI12-TV03P-03</v>
      </c>
      <c r="B251" s="14"/>
      <c r="C251" s="14"/>
      <c r="D251" s="15"/>
      <c r="E251" s="1"/>
      <c r="F251" s="21" t="str">
        <f>Alkatreszek!A57</f>
        <v>KI12-TV03P-04</v>
      </c>
      <c r="G251" s="14"/>
      <c r="H251" s="14"/>
      <c r="I251" s="15"/>
    </row>
    <row r="252" ht="14.17322826385498" customHeight="1">
      <c r="A252" s="16" t="str">
        <f>Alkatreszek!C56</f>
        <v>TV03-P</v>
      </c>
      <c r="B252" s="1"/>
      <c r="C252" s="1"/>
      <c r="D252" s="17"/>
      <c r="E252" s="1"/>
      <c r="F252" s="16" t="str">
        <f>Alkatreszek!C57</f>
        <v>TV03-P</v>
      </c>
      <c r="G252" s="1"/>
      <c r="H252" s="1"/>
      <c r="I252" s="17"/>
    </row>
    <row r="253" ht="14.17322826385498" customHeight="1">
      <c r="A253" s="22" t="str">
        <f>Alkatreszek!E56&amp;" x "&amp;Alkatreszek!F56&amp;" x "&amp;Alkatreszek!G56&amp;" mm KESZ TERV"</f>
        <v>2330 x 687 x 18 mm KESZ TERV</v>
      </c>
      <c r="B253" s="1"/>
      <c r="C253" s="1"/>
      <c r="D253" s="17"/>
      <c r="E253" s="1"/>
      <c r="F253" s="22" t="str">
        <f>Alkatreszek!E57&amp;" x "&amp;Alkatreszek!F57&amp;" x "&amp;Alkatreszek!G57&amp;" mm KESZ TERV"</f>
        <v>2330 x 687 x 18 mm KESZ TERV</v>
      </c>
      <c r="G253" s="1"/>
      <c r="H253" s="1"/>
      <c r="I253" s="17"/>
    </row>
    <row r="254" ht="14.17322826385498" customHeight="1">
      <c r="A254" s="16" t="str">
        <f>Alkatreszek!H56</f>
        <v>M02</v>
      </c>
      <c r="B254" s="1"/>
      <c r="C254" s="1"/>
      <c r="D254" s="17"/>
      <c r="E254" s="1"/>
      <c r="F254" s="16" t="str">
        <f>Alkatreszek!H57</f>
        <v>M02</v>
      </c>
      <c r="G254" s="1"/>
      <c r="H254" s="1"/>
      <c r="I254" s="17"/>
    </row>
    <row r="255" ht="14.17322826385498" customHeight="1">
      <c r="A255" s="16" t="str">
        <v>E1 lent / E4 bal; A felület felül</v>
      </c>
      <c r="B255" s="1"/>
      <c r="C255" s="1"/>
      <c r="D255" s="17"/>
      <c r="E255" s="1"/>
      <c r="F255" s="16" t="str">
        <v>E1 lent / E4 bal; A felület felül</v>
      </c>
      <c r="G255" s="1"/>
      <c r="H255" s="1"/>
      <c r="I255" s="17"/>
    </row>
    <row r="256" ht="14.17322826385498" customHeight="1">
      <c r="A256" s="16" t="str">
        <f>"Elkod: "&amp;Alkatreszek!X56</f>
        <v>Elkod: NYITOTT</v>
      </c>
      <c r="B256" s="1"/>
      <c r="C256" s="1"/>
      <c r="D256" s="17"/>
      <c r="E256" s="1"/>
      <c r="F256" s="16" t="str">
        <f>"Elkod: "&amp;Alkatreszek!X57</f>
        <v>Elkod: NYITOTT</v>
      </c>
      <c r="G256" s="1"/>
      <c r="H256" s="1"/>
      <c r="I256" s="17"/>
    </row>
    <row r="257" ht="14.17322826385498" customHeight="1">
      <c r="A257" s="16" t="str">
        <v>TÁJOLÁSI JAVASLAT / NEM GYÁRTÁS</v>
      </c>
      <c r="B257" s="1"/>
      <c r="C257" s="1"/>
      <c r="D257" s="17"/>
      <c r="E257" s="1"/>
      <c r="F257" s="16" t="str">
        <v>TÁJOLÁSI JAVASLAT / NEM GYÁRTÁS</v>
      </c>
      <c r="G257" s="1"/>
      <c r="H257" s="1"/>
      <c r="I257" s="17"/>
    </row>
    <row r="258" ht="14.17322826385498" customHeight="1">
      <c r="A258" s="16" t="str">
        <f>Alkatreszek!B56</f>
        <v>KI12-TV03P-03.mpr</v>
      </c>
      <c r="B258" s="1"/>
      <c r="C258" s="1"/>
      <c r="D258" s="17"/>
      <c r="E258" s="1"/>
      <c r="F258" s="16" t="str">
        <f>Alkatreszek!B57</f>
        <v>KI12-TV03P-04.mpr</v>
      </c>
      <c r="G258" s="1"/>
      <c r="H258" s="1"/>
      <c r="I258" s="17"/>
    </row>
    <row r="259" ht="14.17322826385498" customHeight="1">
      <c r="A259" s="16" t="str">
        <v>R12 - MPR: NINCS MEGMUNKÁLÁS</v>
      </c>
      <c r="B259" s="1"/>
      <c r="C259" s="1"/>
      <c r="D259" s="17"/>
      <c r="E259" s="1"/>
      <c r="F259" s="16" t="str">
        <v>R12 - MPR: NINCS MEGMUNKÁLÁS</v>
      </c>
      <c r="G259" s="1"/>
      <c r="H259" s="1"/>
      <c r="I259" s="17"/>
    </row>
    <row r="260" ht="14.17322826385498" customHeight="1">
      <c r="A260" s="18"/>
      <c r="B260" s="19"/>
      <c r="C260" s="19"/>
      <c r="D260" s="20"/>
      <c r="E260" s="1"/>
      <c r="F260" s="18"/>
      <c r="G260" s="19"/>
      <c r="H260" s="19"/>
      <c r="I260" s="20"/>
    </row>
    <row r="261" ht="14.17322826385498" customHeight="1">
      <c r="A261" s="21" t="str">
        <f>Alkatreszek!A58</f>
        <v>KI12-GAP-01</v>
      </c>
      <c r="B261" s="14"/>
      <c r="C261" s="14"/>
      <c r="D261" s="15"/>
      <c r="E261" s="1"/>
      <c r="F261" s="1"/>
      <c r="G261" s="1"/>
      <c r="H261" s="1"/>
      <c r="I261" s="1"/>
    </row>
    <row r="262" ht="14.17322826385498" customHeight="1">
      <c r="A262" s="16" t="str">
        <f>Alkatreszek!C58</f>
        <v>GAP</v>
      </c>
      <c r="B262" s="1"/>
      <c r="C262" s="1"/>
      <c r="D262" s="17"/>
      <c r="E262" s="1"/>
      <c r="F262" s="1"/>
      <c r="G262" s="1"/>
      <c r="H262" s="1"/>
      <c r="I262" s="1"/>
    </row>
    <row r="263" ht="14.17322826385498" customHeight="1">
      <c r="A263" s="22" t="str">
        <f>Alkatreszek!E58&amp;" x "&amp;Alkatreszek!F58&amp;" x "&amp;Alkatreszek!G58&amp;" mm KESZ TERV"</f>
        <v>2330 x 120 x 18 mm KESZ TERV</v>
      </c>
      <c r="B263" s="1"/>
      <c r="C263" s="1"/>
      <c r="D263" s="17"/>
      <c r="E263" s="1"/>
      <c r="F263" s="1"/>
      <c r="G263" s="1"/>
      <c r="H263" s="1"/>
      <c r="I263" s="1"/>
    </row>
    <row r="264" ht="14.17322826385498" customHeight="1">
      <c r="A264" s="16" t="str">
        <f>Alkatreszek!H58</f>
        <v>M01</v>
      </c>
      <c r="B264" s="1"/>
      <c r="C264" s="1"/>
      <c r="D264" s="17"/>
      <c r="E264" s="1"/>
      <c r="F264" s="1"/>
      <c r="G264" s="1"/>
      <c r="H264" s="1"/>
      <c r="I264" s="1"/>
    </row>
    <row r="265" ht="14.17322826385498" customHeight="1">
      <c r="A265" s="16" t="str">
        <v>E1 lent / E4 bal; A felület felül</v>
      </c>
      <c r="B265" s="1"/>
      <c r="C265" s="1"/>
      <c r="D265" s="17"/>
      <c r="E265" s="1"/>
      <c r="F265" s="1"/>
      <c r="G265" s="1"/>
      <c r="H265" s="1"/>
      <c r="I265" s="1"/>
    </row>
    <row r="266" ht="14.17322826385498" customHeight="1">
      <c r="A266" s="16" t="str">
        <f>"Elkod: "&amp;Alkatreszek!X58</f>
        <v>Elkod: NYITOTT</v>
      </c>
      <c r="B266" s="1"/>
      <c r="C266" s="1"/>
      <c r="D266" s="17"/>
      <c r="E266" s="1"/>
      <c r="F266" s="1"/>
      <c r="G266" s="1"/>
      <c r="H266" s="1"/>
      <c r="I266" s="1"/>
    </row>
    <row r="267" ht="14.17322826385498" customHeight="1">
      <c r="A267" s="16" t="str">
        <v>TÁJOLÁSI JAVASLAT / NEM GYÁRTÁS</v>
      </c>
      <c r="B267" s="1"/>
      <c r="C267" s="1"/>
      <c r="D267" s="17"/>
      <c r="E267" s="1"/>
      <c r="F267" s="1"/>
      <c r="G267" s="1"/>
      <c r="H267" s="1"/>
      <c r="I267" s="1"/>
    </row>
    <row r="268" ht="14.17322826385498" customHeight="1">
      <c r="A268" s="16" t="str">
        <f>Alkatreszek!B58</f>
        <v>KI12-GAP-01.mpr</v>
      </c>
      <c r="B268" s="1"/>
      <c r="C268" s="1"/>
      <c r="D268" s="17"/>
      <c r="E268" s="1"/>
      <c r="F268" s="1"/>
      <c r="G268" s="1"/>
      <c r="H268" s="1"/>
      <c r="I268" s="1"/>
    </row>
    <row r="269" ht="14.17322826385498" customHeight="1">
      <c r="A269" s="16" t="str">
        <v>R12 - MPR: NINCS MEGMUNKÁLÁS</v>
      </c>
      <c r="B269" s="1"/>
      <c r="C269" s="1"/>
      <c r="D269" s="17"/>
      <c r="E269" s="1"/>
      <c r="F269" s="1"/>
      <c r="G269" s="1"/>
      <c r="H269" s="1"/>
      <c r="I269" s="1"/>
    </row>
    <row r="270" ht="14.17322826385498" customHeight="1">
      <c r="A270" s="18"/>
      <c r="B270" s="19"/>
      <c r="C270" s="19"/>
      <c r="D270" s="20"/>
      <c r="E270" s="1"/>
      <c r="F270" s="1"/>
      <c r="G270" s="1"/>
      <c r="H270" s="1"/>
      <c r="I270" s="1"/>
    </row>
    <row r="271" ht="14.17322826385498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4.17322826385498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4.17322826385498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4.17322826385498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4.17322826385498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4.17322826385498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4.17322826385498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4.17322826385498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4.17322826385498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4.17322826385498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4.17322826385498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4.17322826385498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4.17322826385498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4.17322826385498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4.17322826385498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4.17322826385498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4.17322826385498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4.17322826385498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4.17322826385498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4.17322826385498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4.17322826385498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4.17322826385498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4.17322826385498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4.17322826385498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4.17322826385498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4.17322826385498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4.17322826385498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4.17322826385498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4.17322826385498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4.17322826385498" customHeight="1">
      <c r="A300" s="1"/>
      <c r="B300" s="1"/>
      <c r="C300" s="1"/>
      <c r="D300" s="1"/>
      <c r="E300" s="1"/>
      <c r="F300" s="1"/>
      <c r="G300" s="1"/>
      <c r="H300" s="1"/>
      <c r="I300" s="1"/>
    </row>
  </sheetData>
  <mergeCells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F1:I1"/>
    <mergeCell ref="F2:I2"/>
    <mergeCell ref="F3:I3"/>
    <mergeCell ref="F4:I4"/>
    <mergeCell ref="F5:I5"/>
    <mergeCell ref="F6:I6"/>
    <mergeCell ref="F7:I7"/>
    <mergeCell ref="F8:I8"/>
    <mergeCell ref="F9:I9"/>
    <mergeCell ref="F10:I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</mergeCells>
  <pageMargins left="0.1968503937007874" right="0.1968503937007874" top="0.9251968503937008" bottom="0.9251968503937008" header="0" footer="0"/>
  <pageSetup paperSize="9" orientation="portrait" scale="100" useFirstPageNumber="1" firstPageNumber="1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6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6" customHeight="1">
      <x:c r="A1" s="10" t="str">
        <x:v>Darab</x:v>
      </x:c>
      <x:c r="B1" s="10" t="str">
        <x:v>Sorrend</x:v>
      </x:c>
      <x:c r="C1" s="10" t="str">
        <x:v>Szükséges művelet</x:v>
      </x:c>
      <x:c r="D1" s="10" t="str">
        <x:v>Szerszám ID</x:v>
      </x:c>
      <x:c r="E1" s="10" t="str">
        <x:v>Átmérő mm</x:v>
      </x:c>
      <x:c r="F1" s="10" t="str">
        <x:v>Fordulat rpm</x:v>
      </x:c>
      <x:c r="G1" s="10" t="str">
        <x:v>Előtolás</x:v>
      </x:c>
      <x:c r="H1" s="10" t="str">
        <x:v>Belépési mód/szög</x:v>
      </x:c>
      <x:c r="I1" s="10" t="str">
        <x:v>Belépési sugár</x:v>
      </x:c>
      <x:c r="J1" s="10" t="str">
        <x:v>Fordulás/kompenzáció</x:v>
      </x:c>
      <x:c r="K1" s="10" t="str">
        <x:v>Állapot</x:v>
      </x:c>
    </x:row>
    <x:row r="2" ht="36" customHeight="1">
      <x:c r="A2" s="5" t="str">
        <x:v>KI12-TV01S-01</x:v>
      </x:c>
      <x:c r="B2" s="5" t="n">
        <x:v>1</x:v>
      </x:c>
      <x:c r="C2" s="5" t="str">
        <x:v>Befoglaló és anyag ellenőrzése</x:v>
      </x:c>
      <x:c r="D2" s="5" t="str">
        <x:v>NYITOTT</x:v>
      </x:c>
      <x:c r="E2" s="5" t="str">
        <x:v>NYITOTT</x:v>
      </x:c>
      <x:c r="F2" s="5" t="str">
        <x:v>NYITOTT</x:v>
      </x:c>
      <x:c r="G2" s="5" t="str">
        <x:v>NYITOTT</x:v>
      </x:c>
      <x:c r="H2" s="5" t="str">
        <x:v>NYITOTT</x:v>
      </x:c>
      <x:c r="I2" s="5" t="str">
        <x:v>NYITOTT</x:v>
      </x:c>
      <x:c r="J2" s="5" t="str">
        <x:v>NEM KIVALASZTOTT</x:v>
      </x:c>
      <x:c r="K2" s="5" t="str">
        <x:v>NINCS NC MOZGAS</x:v>
      </x:c>
    </x:row>
    <x:row r="3" ht="36" customHeight="1">
      <x:c r="A3" s="5" t="str">
        <x:v>KI12-TV01S-01</x:v>
      </x:c>
      <x:c r="B3" s="5" t="n">
        <x:v>2</x:v>
      </x:c>
      <x:c r="C3" s="5" t="str">
        <x:v>Élzárás / élanyag igazolása</x:v>
      </x:c>
      <x:c r="D3" s="5" t="str">
        <x:v>NYITOTT</x:v>
      </x:c>
      <x:c r="E3" s="5" t="str">
        <x:v>NYITOTT</x:v>
      </x:c>
      <x:c r="F3" s="5" t="str">
        <x:v>NYITOTT</x:v>
      </x:c>
      <x:c r="G3" s="5" t="str">
        <x:v>NYITOTT</x:v>
      </x:c>
      <x:c r="H3" s="5" t="str">
        <x:v>NYITOTT</x:v>
      </x:c>
      <x:c r="I3" s="5" t="str">
        <x:v>NYITOTT</x:v>
      </x:c>
      <x:c r="J3" s="5" t="str">
        <x:v>NEM KIVALASZTOTT</x:v>
      </x:c>
      <x:c r="K3" s="5" t="str">
        <x:v>NINCS NC MOZGAS</x:v>
      </x:c>
    </x:row>
    <x:row r="4" ht="36" customHeight="1">
      <x:c r="A4" s="5" t="str">
        <x:v>KI12-TV01S-01</x:v>
      </x:c>
      <x:c r="B4" s="5" t="n">
        <x:v>3</x:v>
      </x:c>
      <x:c r="C4" s="5" t="str">
        <x:v>Korpusz: Ø8×30 csap javaslat; részletes pontok a Kotopontok lapon</x:v>
      </x:c>
      <x:c r="D4" s="5" t="str">
        <x:v>NYITOTT</x:v>
      </x:c>
      <x:c r="E4" s="5" t="str">
        <x:v>NYITOTT</x:v>
      </x:c>
      <x:c r="F4" s="5" t="str">
        <x:v>NYITOTT</x:v>
      </x:c>
      <x:c r="G4" s="5" t="str">
        <x:v>NYITOTT</x:v>
      </x:c>
      <x:c r="H4" s="5" t="str">
        <x:v>NYITOTT</x:v>
      </x:c>
      <x:c r="I4" s="5" t="str">
        <x:v>NYITOTT</x:v>
      </x:c>
      <x:c r="J4" s="5" t="str">
        <x:v>NEM KIVALASZTOTT</x:v>
      </x:c>
      <x:c r="K4" s="5" t="str">
        <x:v>NINCS NC MOZGAS</x:v>
      </x:c>
    </x:row>
    <x:row r="5" ht="36" customHeight="1">
      <x:c r="A5" s="5" t="str">
        <x:v>KI12-TV01S-01</x:v>
      </x:c>
      <x:c r="B5" s="5" t="n">
        <x:v>4</x:v>
      </x:c>
      <x:c r="C5" s="5" t="str">
        <x:v>Polctartó/pántfurat: oldal és vasalat szerint kiosztandó</x:v>
      </x:c>
      <x:c r="D5" s="5" t="str">
        <x:v>NYITOTT</x:v>
      </x:c>
      <x:c r="E5" s="5" t="str">
        <x:v>NYITOTT</x:v>
      </x:c>
      <x:c r="F5" s="5" t="str">
        <x:v>NYITOTT</x:v>
      </x:c>
      <x:c r="G5" s="5" t="str">
        <x:v>NYITOTT</x:v>
      </x:c>
      <x:c r="H5" s="5" t="str">
        <x:v>NYITOTT</x:v>
      </x:c>
      <x:c r="I5" s="5" t="str">
        <x:v>NYITOTT</x:v>
      </x:c>
      <x:c r="J5" s="5" t="str">
        <x:v>NEM KIVALASZTOTT</x:v>
      </x:c>
      <x:c r="K5" s="5" t="str">
        <x:v>NINCS NC MOZGAS</x:v>
      </x:c>
    </x:row>
    <x:row r="6" ht="36" customHeight="1">
      <x:c r="A6" s="5" t="str">
        <x:v>KI12-TV01S-02</x:v>
      </x:c>
      <x:c r="B6" s="5" t="n">
        <x:v>1</x:v>
      </x:c>
      <x:c r="C6" s="5" t="str">
        <x:v>Befoglaló és anyag ellenőrzése</x:v>
      </x:c>
      <x:c r="D6" s="5" t="str">
        <x:v>NYITOTT</x:v>
      </x:c>
      <x:c r="E6" s="5" t="str">
        <x:v>NYITOTT</x:v>
      </x:c>
      <x:c r="F6" s="5" t="str">
        <x:v>NYITOTT</x:v>
      </x:c>
      <x:c r="G6" s="5" t="str">
        <x:v>NYITOTT</x:v>
      </x:c>
      <x:c r="H6" s="5" t="str">
        <x:v>NYITOTT</x:v>
      </x:c>
      <x:c r="I6" s="5" t="str">
        <x:v>NYITOTT</x:v>
      </x:c>
      <x:c r="J6" s="5" t="str">
        <x:v>NEM KIVALASZTOTT</x:v>
      </x:c>
      <x:c r="K6" s="5" t="str">
        <x:v>NINCS NC MOZGAS</x:v>
      </x:c>
    </x:row>
    <x:row r="7" ht="36" customHeight="1">
      <x:c r="A7" s="5" t="str">
        <x:v>KI12-TV01S-02</x:v>
      </x:c>
      <x:c r="B7" s="5" t="n">
        <x:v>2</x:v>
      </x:c>
      <x:c r="C7" s="5" t="str">
        <x:v>Élzárás / élanyag igazolása</x:v>
      </x:c>
      <x:c r="D7" s="5" t="str">
        <x:v>NYITOTT</x:v>
      </x:c>
      <x:c r="E7" s="5" t="str">
        <x:v>NYITOTT</x:v>
      </x:c>
      <x:c r="F7" s="5" t="str">
        <x:v>NYITOTT</x:v>
      </x:c>
      <x:c r="G7" s="5" t="str">
        <x:v>NYITOTT</x:v>
      </x:c>
      <x:c r="H7" s="5" t="str">
        <x:v>NYITOTT</x:v>
      </x:c>
      <x:c r="I7" s="5" t="str">
        <x:v>NYITOTT</x:v>
      </x:c>
      <x:c r="J7" s="5" t="str">
        <x:v>NEM KIVALASZTOTT</x:v>
      </x:c>
      <x:c r="K7" s="5" t="str">
        <x:v>NINCS NC MOZGAS</x:v>
      </x:c>
    </x:row>
    <x:row r="8" ht="36" customHeight="1">
      <x:c r="A8" s="5" t="str">
        <x:v>KI12-TV01S-02</x:v>
      </x:c>
      <x:c r="B8" s="5" t="n">
        <x:v>3</x:v>
      </x:c>
      <x:c r="C8" s="5" t="str">
        <x:v>Korpusz: Ø8×30 csap javaslat; részletes pontok a Kotopontok lapon</x:v>
      </x:c>
      <x:c r="D8" s="5" t="str">
        <x:v>NYITOTT</x:v>
      </x:c>
      <x:c r="E8" s="5" t="str">
        <x:v>NYITOTT</x:v>
      </x:c>
      <x:c r="F8" s="5" t="str">
        <x:v>NYITOTT</x:v>
      </x:c>
      <x:c r="G8" s="5" t="str">
        <x:v>NYITOTT</x:v>
      </x:c>
      <x:c r="H8" s="5" t="str">
        <x:v>NYITOTT</x:v>
      </x:c>
      <x:c r="I8" s="5" t="str">
        <x:v>NYITOTT</x:v>
      </x:c>
      <x:c r="J8" s="5" t="str">
        <x:v>NEM KIVALASZTOTT</x:v>
      </x:c>
      <x:c r="K8" s="5" t="str">
        <x:v>NINCS NC MOZGAS</x:v>
      </x:c>
    </x:row>
    <x:row r="9" ht="36" customHeight="1">
      <x:c r="A9" s="5" t="str">
        <x:v>KI12-TV01S-02</x:v>
      </x:c>
      <x:c r="B9" s="5" t="n">
        <x:v>4</x:v>
      </x:c>
      <x:c r="C9" s="5" t="str">
        <x:v>Polctartó/pántfurat: oldal és vasalat szerint kiosztandó</x:v>
      </x:c>
      <x:c r="D9" s="5" t="str">
        <x:v>NYITOTT</x:v>
      </x:c>
      <x:c r="E9" s="5" t="str">
        <x:v>NYITOTT</x:v>
      </x:c>
      <x:c r="F9" s="5" t="str">
        <x:v>NYITOTT</x:v>
      </x:c>
      <x:c r="G9" s="5" t="str">
        <x:v>NYITOTT</x:v>
      </x:c>
      <x:c r="H9" s="5" t="str">
        <x:v>NYITOTT</x:v>
      </x:c>
      <x:c r="I9" s="5" t="str">
        <x:v>NYITOTT</x:v>
      </x:c>
      <x:c r="J9" s="5" t="str">
        <x:v>NEM KIVALASZTOTT</x:v>
      </x:c>
      <x:c r="K9" s="5" t="str">
        <x:v>NINCS NC MOZGAS</x:v>
      </x:c>
    </x:row>
    <x:row r="10" ht="36" customHeight="1">
      <x:c r="A10" s="5" t="str">
        <x:v>KI12-TV01T-01</x:v>
      </x:c>
      <x:c r="B10" s="5" t="n">
        <x:v>1</x:v>
      </x:c>
      <x:c r="C10" s="5" t="str">
        <x:v>Befoglaló és anyag ellenőrzése</x:v>
      </x:c>
      <x:c r="D10" s="5" t="str">
        <x:v>NYITOTT</x:v>
      </x:c>
      <x:c r="E10" s="5" t="str">
        <x:v>NYITOTT</x:v>
      </x:c>
      <x:c r="F10" s="5" t="str">
        <x:v>NYITOTT</x:v>
      </x:c>
      <x:c r="G10" s="5" t="str">
        <x:v>NYITOTT</x:v>
      </x:c>
      <x:c r="H10" s="5" t="str">
        <x:v>NYITOTT</x:v>
      </x:c>
      <x:c r="I10" s="5" t="str">
        <x:v>NYITOTT</x:v>
      </x:c>
      <x:c r="J10" s="5" t="str">
        <x:v>NEM KIVALASZTOTT</x:v>
      </x:c>
      <x:c r="K10" s="5" t="str">
        <x:v>NINCS NC MOZGAS</x:v>
      </x:c>
    </x:row>
    <x:row r="11" ht="36" customHeight="1">
      <x:c r="A11" s="5" t="str">
        <x:v>KI12-TV01T-01</x:v>
      </x:c>
      <x:c r="B11" s="5" t="n">
        <x:v>2</x:v>
      </x:c>
      <x:c r="C11" s="5" t="str">
        <x:v>Élzárás / élanyag igazolása</x:v>
      </x:c>
      <x:c r="D11" s="5" t="str">
        <x:v>NYITOTT</x:v>
      </x:c>
      <x:c r="E11" s="5" t="str">
        <x:v>NYITOTT</x:v>
      </x:c>
      <x:c r="F11" s="5" t="str">
        <x:v>NYITOTT</x:v>
      </x:c>
      <x:c r="G11" s="5" t="str">
        <x:v>NYITOTT</x:v>
      </x:c>
      <x:c r="H11" s="5" t="str">
        <x:v>NYITOTT</x:v>
      </x:c>
      <x:c r="I11" s="5" t="str">
        <x:v>NYITOTT</x:v>
      </x:c>
      <x:c r="J11" s="5" t="str">
        <x:v>NEM KIVALASZTOTT</x:v>
      </x:c>
      <x:c r="K11" s="5" t="str">
        <x:v>NINCS NC MOZGAS</x:v>
      </x:c>
    </x:row>
    <x:row r="12" ht="36" customHeight="1">
      <x:c r="A12" s="5" t="str">
        <x:v>KI12-TV01T-01</x:v>
      </x:c>
      <x:c r="B12" s="5" t="n">
        <x:v>3</x:v>
      </x:c>
      <x:c r="C12" s="5" t="str">
        <x:v>Kötés / támasz / rögzítés műhelyi jóváhagyásra</x:v>
      </x:c>
      <x:c r="D12" s="5" t="str">
        <x:v>NYITOTT</x:v>
      </x:c>
      <x:c r="E12" s="5" t="str">
        <x:v>NYITOTT</x:v>
      </x:c>
      <x:c r="F12" s="5" t="str">
        <x:v>NYITOTT</x:v>
      </x:c>
      <x:c r="G12" s="5" t="str">
        <x:v>NYITOTT</x:v>
      </x:c>
      <x:c r="H12" s="5" t="str">
        <x:v>NYITOTT</x:v>
      </x:c>
      <x:c r="I12" s="5" t="str">
        <x:v>NYITOTT</x:v>
      </x:c>
      <x:c r="J12" s="5" t="str">
        <x:v>NEM KIVALASZTOTT</x:v>
      </x:c>
      <x:c r="K12" s="5" t="str">
        <x:v>NINCS NC MOZGAS</x:v>
      </x:c>
    </x:row>
    <x:row r="13" ht="36" customHeight="1">
      <x:c r="A13" s="5" t="str">
        <x:v>KI12-TV01T-02</x:v>
      </x:c>
      <x:c r="B13" s="5" t="n">
        <x:v>1</x:v>
      </x:c>
      <x:c r="C13" s="5" t="str">
        <x:v>Befoglaló és anyag ellenőrzése</x:v>
      </x:c>
      <x:c r="D13" s="5" t="str">
        <x:v>NYITOTT</x:v>
      </x:c>
      <x:c r="E13" s="5" t="str">
        <x:v>NYITOTT</x:v>
      </x:c>
      <x:c r="F13" s="5" t="str">
        <x:v>NYITOTT</x:v>
      </x:c>
      <x:c r="G13" s="5" t="str">
        <x:v>NYITOTT</x:v>
      </x:c>
      <x:c r="H13" s="5" t="str">
        <x:v>NYITOTT</x:v>
      </x:c>
      <x:c r="I13" s="5" t="str">
        <x:v>NYITOTT</x:v>
      </x:c>
      <x:c r="J13" s="5" t="str">
        <x:v>NEM KIVALASZTOTT</x:v>
      </x:c>
      <x:c r="K13" s="5" t="str">
        <x:v>NINCS NC MOZGAS</x:v>
      </x:c>
    </x:row>
    <x:row r="14" ht="36" customHeight="1">
      <x:c r="A14" s="5" t="str">
        <x:v>KI12-TV01T-02</x:v>
      </x:c>
      <x:c r="B14" s="5" t="n">
        <x:v>2</x:v>
      </x:c>
      <x:c r="C14" s="5" t="str">
        <x:v>Élzárás / élanyag igazolása</x:v>
      </x:c>
      <x:c r="D14" s="5" t="str">
        <x:v>NYITOTT</x:v>
      </x:c>
      <x:c r="E14" s="5" t="str">
        <x:v>NYITOTT</x:v>
      </x:c>
      <x:c r="F14" s="5" t="str">
        <x:v>NYITOTT</x:v>
      </x:c>
      <x:c r="G14" s="5" t="str">
        <x:v>NYITOTT</x:v>
      </x:c>
      <x:c r="H14" s="5" t="str">
        <x:v>NYITOTT</x:v>
      </x:c>
      <x:c r="I14" s="5" t="str">
        <x:v>NYITOTT</x:v>
      </x:c>
      <x:c r="J14" s="5" t="str">
        <x:v>NEM KIVALASZTOTT</x:v>
      </x:c>
      <x:c r="K14" s="5" t="str">
        <x:v>NINCS NC MOZGAS</x:v>
      </x:c>
    </x:row>
    <x:row r="15" ht="36" customHeight="1">
      <x:c r="A15" s="5" t="str">
        <x:v>KI12-TV01T-02</x:v>
      </x:c>
      <x:c r="B15" s="5" t="n">
        <x:v>3</x:v>
      </x:c>
      <x:c r="C15" s="5" t="str">
        <x:v>Kötés / támasz / rögzítés műhelyi jóváhagyásra</x:v>
      </x:c>
      <x:c r="D15" s="5" t="str">
        <x:v>NYITOTT</x:v>
      </x:c>
      <x:c r="E15" s="5" t="str">
        <x:v>NYITOTT</x:v>
      </x:c>
      <x:c r="F15" s="5" t="str">
        <x:v>NYITOTT</x:v>
      </x:c>
      <x:c r="G15" s="5" t="str">
        <x:v>NYITOTT</x:v>
      </x:c>
      <x:c r="H15" s="5" t="str">
        <x:v>NYITOTT</x:v>
      </x:c>
      <x:c r="I15" s="5" t="str">
        <x:v>NYITOTT</x:v>
      </x:c>
      <x:c r="J15" s="5" t="str">
        <x:v>NEM KIVALASZTOTT</x:v>
      </x:c>
      <x:c r="K15" s="5" t="str">
        <x:v>NINCS NC MOZGAS</x:v>
      </x:c>
    </x:row>
    <x:row r="16" ht="36" customHeight="1">
      <x:c r="A16" s="5" t="str">
        <x:v>KI12-TV01C-01</x:v>
      </x:c>
      <x:c r="B16" s="5" t="n">
        <x:v>1</x:v>
      </x:c>
      <x:c r="C16" s="5" t="str">
        <x:v>Befoglaló és anyag ellenőrzése</x:v>
      </x:c>
      <x:c r="D16" s="5" t="str">
        <x:v>NYITOTT</x:v>
      </x:c>
      <x:c r="E16" s="5" t="str">
        <x:v>NYITOTT</x:v>
      </x:c>
      <x:c r="F16" s="5" t="str">
        <x:v>NYITOTT</x:v>
      </x:c>
      <x:c r="G16" s="5" t="str">
        <x:v>NYITOTT</x:v>
      </x:c>
      <x:c r="H16" s="5" t="str">
        <x:v>NYITOTT</x:v>
      </x:c>
      <x:c r="I16" s="5" t="str">
        <x:v>NYITOTT</x:v>
      </x:c>
      <x:c r="J16" s="5" t="str">
        <x:v>NEM KIVALASZTOTT</x:v>
      </x:c>
      <x:c r="K16" s="5" t="str">
        <x:v>NINCS NC MOZGAS</x:v>
      </x:c>
    </x:row>
    <x:row r="17" ht="36" customHeight="1">
      <x:c r="A17" s="5" t="str">
        <x:v>KI12-TV01C-01</x:v>
      </x:c>
      <x:c r="B17" s="5" t="n">
        <x:v>2</x:v>
      </x:c>
      <x:c r="C17" s="5" t="str">
        <x:v>Élzárás / élanyag igazolása</x:v>
      </x:c>
      <x:c r="D17" s="5" t="str">
        <x:v>NYITOTT</x:v>
      </x:c>
      <x:c r="E17" s="5" t="str">
        <x:v>NYITOTT</x:v>
      </x:c>
      <x:c r="F17" s="5" t="str">
        <x:v>NYITOTT</x:v>
      </x:c>
      <x:c r="G17" s="5" t="str">
        <x:v>NYITOTT</x:v>
      </x:c>
      <x:c r="H17" s="5" t="str">
        <x:v>NYITOTT</x:v>
      </x:c>
      <x:c r="I17" s="5" t="str">
        <x:v>NYITOTT</x:v>
      </x:c>
      <x:c r="J17" s="5" t="str">
        <x:v>NEM KIVALASZTOTT</x:v>
      </x:c>
      <x:c r="K17" s="5" t="str">
        <x:v>NINCS NC MOZGAS</x:v>
      </x:c>
    </x:row>
    <x:row r="18" ht="36" customHeight="1">
      <x:c r="A18" s="5" t="str">
        <x:v>KI12-TV01C-01</x:v>
      </x:c>
      <x:c r="B18" s="5" t="n">
        <x:v>3</x:v>
      </x:c>
      <x:c r="C18" s="5" t="str">
        <x:v>Korpusz: Ø8×30 csap javaslat; részletes pontok a Kotopontok lapon</x:v>
      </x:c>
      <x:c r="D18" s="5" t="str">
        <x:v>NYITOTT</x:v>
      </x:c>
      <x:c r="E18" s="5" t="str">
        <x:v>NYITOTT</x:v>
      </x:c>
      <x:c r="F18" s="5" t="str">
        <x:v>NYITOTT</x:v>
      </x:c>
      <x:c r="G18" s="5" t="str">
        <x:v>NYITOTT</x:v>
      </x:c>
      <x:c r="H18" s="5" t="str">
        <x:v>NYITOTT</x:v>
      </x:c>
      <x:c r="I18" s="5" t="str">
        <x:v>NYITOTT</x:v>
      </x:c>
      <x:c r="J18" s="5" t="str">
        <x:v>NEM KIVALASZTOTT</x:v>
      </x:c>
      <x:c r="K18" s="5" t="str">
        <x:v>NINCS NC MOZGAS</x:v>
      </x:c>
    </x:row>
    <x:row r="19" ht="36" customHeight="1">
      <x:c r="A19" s="5" t="str">
        <x:v>KI12-TV01C-01</x:v>
      </x:c>
      <x:c r="B19" s="5" t="n">
        <x:v>4</x:v>
      </x:c>
      <x:c r="C19" s="5" t="str">
        <x:v>Polctartó/pántfurat: oldal és vasalat szerint kiosztandó</x:v>
      </x:c>
      <x:c r="D19" s="5" t="str">
        <x:v>NYITOTT</x:v>
      </x:c>
      <x:c r="E19" s="5" t="str">
        <x:v>NYITOTT</x:v>
      </x:c>
      <x:c r="F19" s="5" t="str">
        <x:v>NYITOTT</x:v>
      </x:c>
      <x:c r="G19" s="5" t="str">
        <x:v>NYITOTT</x:v>
      </x:c>
      <x:c r="H19" s="5" t="str">
        <x:v>NYITOTT</x:v>
      </x:c>
      <x:c r="I19" s="5" t="str">
        <x:v>NYITOTT</x:v>
      </x:c>
      <x:c r="J19" s="5" t="str">
        <x:v>NEM KIVALASZTOTT</x:v>
      </x:c>
      <x:c r="K19" s="5" t="str">
        <x:v>NINCS NC MOZGAS</x:v>
      </x:c>
    </x:row>
    <x:row r="20" ht="36" customHeight="1">
      <x:c r="A20" s="5" t="str">
        <x:v>KI12-TV01P-01</x:v>
      </x:c>
      <x:c r="B20" s="5" t="n">
        <x:v>1</x:v>
      </x:c>
      <x:c r="C20" s="5" t="str">
        <x:v>Befoglaló és anyag ellenőrzése</x:v>
      </x:c>
      <x:c r="D20" s="5" t="str">
        <x:v>NYITOTT</x:v>
      </x:c>
      <x:c r="E20" s="5" t="str">
        <x:v>NYITOTT</x:v>
      </x:c>
      <x:c r="F20" s="5" t="str">
        <x:v>NYITOTT</x:v>
      </x:c>
      <x:c r="G20" s="5" t="str">
        <x:v>NYITOTT</x:v>
      </x:c>
      <x:c r="H20" s="5" t="str">
        <x:v>NYITOTT</x:v>
      </x:c>
      <x:c r="I20" s="5" t="str">
        <x:v>NYITOTT</x:v>
      </x:c>
      <x:c r="J20" s="5" t="str">
        <x:v>NEM KIVALASZTOTT</x:v>
      </x:c>
      <x:c r="K20" s="5" t="str">
        <x:v>NINCS NC MOZGAS</x:v>
      </x:c>
    </x:row>
    <x:row r="21" ht="36" customHeight="1">
      <x:c r="A21" s="5" t="str">
        <x:v>KI12-TV01P-01</x:v>
      </x:c>
      <x:c r="B21" s="5" t="n">
        <x:v>2</x:v>
      </x:c>
      <x:c r="C21" s="5" t="str">
        <x:v>Élzárás / élanyag igazolása</x:v>
      </x:c>
      <x:c r="D21" s="5" t="str">
        <x:v>NYITOTT</x:v>
      </x:c>
      <x:c r="E21" s="5" t="str">
        <x:v>NYITOTT</x:v>
      </x:c>
      <x:c r="F21" s="5" t="str">
        <x:v>NYITOTT</x:v>
      </x:c>
      <x:c r="G21" s="5" t="str">
        <x:v>NYITOTT</x:v>
      </x:c>
      <x:c r="H21" s="5" t="str">
        <x:v>NYITOTT</x:v>
      </x:c>
      <x:c r="I21" s="5" t="str">
        <x:v>NYITOTT</x:v>
      </x:c>
      <x:c r="J21" s="5" t="str">
        <x:v>NEM KIVALASZTOTT</x:v>
      </x:c>
      <x:c r="K21" s="5" t="str">
        <x:v>NINCS NC MOZGAS</x:v>
      </x:c>
    </x:row>
    <x:row r="22" ht="36" customHeight="1">
      <x:c r="A22" s="5" t="str">
        <x:v>KI12-TV01P-01</x:v>
      </x:c>
      <x:c r="B22" s="5" t="n">
        <x:v>3</x:v>
      </x:c>
      <x:c r="C22" s="5" t="str">
        <x:v>Kötés / támasz / rögzítés műhelyi jóváhagyásra</x:v>
      </x:c>
      <x:c r="D22" s="5" t="str">
        <x:v>NYITOTT</x:v>
      </x:c>
      <x:c r="E22" s="5" t="str">
        <x:v>NYITOTT</x:v>
      </x:c>
      <x:c r="F22" s="5" t="str">
        <x:v>NYITOTT</x:v>
      </x:c>
      <x:c r="G22" s="5" t="str">
        <x:v>NYITOTT</x:v>
      </x:c>
      <x:c r="H22" s="5" t="str">
        <x:v>NYITOTT</x:v>
      </x:c>
      <x:c r="I22" s="5" t="str">
        <x:v>NYITOTT</x:v>
      </x:c>
      <x:c r="J22" s="5" t="str">
        <x:v>NEM KIVALASZTOTT</x:v>
      </x:c>
      <x:c r="K22" s="5" t="str">
        <x:v>NINCS NC MOZGAS</x:v>
      </x:c>
    </x:row>
    <x:row r="23" ht="36" customHeight="1">
      <x:c r="A23" s="5" t="str">
        <x:v>KI12-TV01P-02</x:v>
      </x:c>
      <x:c r="B23" s="5" t="n">
        <x:v>1</x:v>
      </x:c>
      <x:c r="C23" s="5" t="str">
        <x:v>Befoglaló és anyag ellenőrzése</x:v>
      </x:c>
      <x:c r="D23" s="5" t="str">
        <x:v>NYITOTT</x:v>
      </x:c>
      <x:c r="E23" s="5" t="str">
        <x:v>NYITOTT</x:v>
      </x:c>
      <x:c r="F23" s="5" t="str">
        <x:v>NYITOTT</x:v>
      </x:c>
      <x:c r="G23" s="5" t="str">
        <x:v>NYITOTT</x:v>
      </x:c>
      <x:c r="H23" s="5" t="str">
        <x:v>NYITOTT</x:v>
      </x:c>
      <x:c r="I23" s="5" t="str">
        <x:v>NYITOTT</x:v>
      </x:c>
      <x:c r="J23" s="5" t="str">
        <x:v>NEM KIVALASZTOTT</x:v>
      </x:c>
      <x:c r="K23" s="5" t="str">
        <x:v>NINCS NC MOZGAS</x:v>
      </x:c>
    </x:row>
    <x:row r="24" ht="36" customHeight="1">
      <x:c r="A24" s="5" t="str">
        <x:v>KI12-TV01P-02</x:v>
      </x:c>
      <x:c r="B24" s="5" t="n">
        <x:v>2</x:v>
      </x:c>
      <x:c r="C24" s="5" t="str">
        <x:v>Élzárás / élanyag igazolása</x:v>
      </x:c>
      <x:c r="D24" s="5" t="str">
        <x:v>NYITOTT</x:v>
      </x:c>
      <x:c r="E24" s="5" t="str">
        <x:v>NYITOTT</x:v>
      </x:c>
      <x:c r="F24" s="5" t="str">
        <x:v>NYITOTT</x:v>
      </x:c>
      <x:c r="G24" s="5" t="str">
        <x:v>NYITOTT</x:v>
      </x:c>
      <x:c r="H24" s="5" t="str">
        <x:v>NYITOTT</x:v>
      </x:c>
      <x:c r="I24" s="5" t="str">
        <x:v>NYITOTT</x:v>
      </x:c>
      <x:c r="J24" s="5" t="str">
        <x:v>NEM KIVALASZTOTT</x:v>
      </x:c>
      <x:c r="K24" s="5" t="str">
        <x:v>NINCS NC MOZGAS</x:v>
      </x:c>
    </x:row>
    <x:row r="25" ht="36" customHeight="1">
      <x:c r="A25" s="5" t="str">
        <x:v>KI12-TV01P-02</x:v>
      </x:c>
      <x:c r="B25" s="5" t="n">
        <x:v>3</x:v>
      </x:c>
      <x:c r="C25" s="5" t="str">
        <x:v>Kötés / támasz / rögzítés műhelyi jóváhagyásra</x:v>
      </x:c>
      <x:c r="D25" s="5" t="str">
        <x:v>NYITOTT</x:v>
      </x:c>
      <x:c r="E25" s="5" t="str">
        <x:v>NYITOTT</x:v>
      </x:c>
      <x:c r="F25" s="5" t="str">
        <x:v>NYITOTT</x:v>
      </x:c>
      <x:c r="G25" s="5" t="str">
        <x:v>NYITOTT</x:v>
      </x:c>
      <x:c r="H25" s="5" t="str">
        <x:v>NYITOTT</x:v>
      </x:c>
      <x:c r="I25" s="5" t="str">
        <x:v>NYITOTT</x:v>
      </x:c>
      <x:c r="J25" s="5" t="str">
        <x:v>NEM KIVALASZTOTT</x:v>
      </x:c>
      <x:c r="K25" s="5" t="str">
        <x:v>NINCS NC MOZGAS</x:v>
      </x:c>
    </x:row>
    <x:row r="26" ht="36" customHeight="1">
      <x:c r="A26" s="5" t="str">
        <x:v>KI12-TV01P-03</x:v>
      </x:c>
      <x:c r="B26" s="5" t="n">
        <x:v>1</x:v>
      </x:c>
      <x:c r="C26" s="5" t="str">
        <x:v>Befoglaló és anyag ellenőrzése</x:v>
      </x:c>
      <x:c r="D26" s="5" t="str">
        <x:v>NYITOTT</x:v>
      </x:c>
      <x:c r="E26" s="5" t="str">
        <x:v>NYITOTT</x:v>
      </x:c>
      <x:c r="F26" s="5" t="str">
        <x:v>NYITOTT</x:v>
      </x:c>
      <x:c r="G26" s="5" t="str">
        <x:v>NYITOTT</x:v>
      </x:c>
      <x:c r="H26" s="5" t="str">
        <x:v>NYITOTT</x:v>
      </x:c>
      <x:c r="I26" s="5" t="str">
        <x:v>NYITOTT</x:v>
      </x:c>
      <x:c r="J26" s="5" t="str">
        <x:v>NEM KIVALASZTOTT</x:v>
      </x:c>
      <x:c r="K26" s="5" t="str">
        <x:v>NINCS NC MOZGAS</x:v>
      </x:c>
    </x:row>
    <x:row r="27" ht="36" customHeight="1">
      <x:c r="A27" s="5" t="str">
        <x:v>KI12-TV01P-03</x:v>
      </x:c>
      <x:c r="B27" s="5" t="n">
        <x:v>2</x:v>
      </x:c>
      <x:c r="C27" s="5" t="str">
        <x:v>Élzárás / élanyag igazolása</x:v>
      </x:c>
      <x:c r="D27" s="5" t="str">
        <x:v>NYITOTT</x:v>
      </x:c>
      <x:c r="E27" s="5" t="str">
        <x:v>NYITOTT</x:v>
      </x:c>
      <x:c r="F27" s="5" t="str">
        <x:v>NYITOTT</x:v>
      </x:c>
      <x:c r="G27" s="5" t="str">
        <x:v>NYITOTT</x:v>
      </x:c>
      <x:c r="H27" s="5" t="str">
        <x:v>NYITOTT</x:v>
      </x:c>
      <x:c r="I27" s="5" t="str">
        <x:v>NYITOTT</x:v>
      </x:c>
      <x:c r="J27" s="5" t="str">
        <x:v>NEM KIVALASZTOTT</x:v>
      </x:c>
      <x:c r="K27" s="5" t="str">
        <x:v>NINCS NC MOZGAS</x:v>
      </x:c>
    </x:row>
    <x:row r="28" ht="36" customHeight="1">
      <x:c r="A28" s="5" t="str">
        <x:v>KI12-TV01P-03</x:v>
      </x:c>
      <x:c r="B28" s="5" t="n">
        <x:v>3</x:v>
      </x:c>
      <x:c r="C28" s="5" t="str">
        <x:v>Kötés / támasz / rögzítés műhelyi jóváhagyásra</x:v>
      </x:c>
      <x:c r="D28" s="5" t="str">
        <x:v>NYITOTT</x:v>
      </x:c>
      <x:c r="E28" s="5" t="str">
        <x:v>NYITOTT</x:v>
      </x:c>
      <x:c r="F28" s="5" t="str">
        <x:v>NYITOTT</x:v>
      </x:c>
      <x:c r="G28" s="5" t="str">
        <x:v>NYITOTT</x:v>
      </x:c>
      <x:c r="H28" s="5" t="str">
        <x:v>NYITOTT</x:v>
      </x:c>
      <x:c r="I28" s="5" t="str">
        <x:v>NYITOTT</x:v>
      </x:c>
      <x:c r="J28" s="5" t="str">
        <x:v>NEM KIVALASZTOTT</x:v>
      </x:c>
      <x:c r="K28" s="5" t="str">
        <x:v>NINCS NC MOZGAS</x:v>
      </x:c>
    </x:row>
    <x:row r="29" ht="36" customHeight="1">
      <x:c r="A29" s="5" t="str">
        <x:v>KI12-TV01P-04</x:v>
      </x:c>
      <x:c r="B29" s="5" t="n">
        <x:v>1</x:v>
      </x:c>
      <x:c r="C29" s="5" t="str">
        <x:v>Befoglaló és anyag ellenőrzése</x:v>
      </x:c>
      <x:c r="D29" s="5" t="str">
        <x:v>NYITOTT</x:v>
      </x:c>
      <x:c r="E29" s="5" t="str">
        <x:v>NYITOTT</x:v>
      </x:c>
      <x:c r="F29" s="5" t="str">
        <x:v>NYITOTT</x:v>
      </x:c>
      <x:c r="G29" s="5" t="str">
        <x:v>NYITOTT</x:v>
      </x:c>
      <x:c r="H29" s="5" t="str">
        <x:v>NYITOTT</x:v>
      </x:c>
      <x:c r="I29" s="5" t="str">
        <x:v>NYITOTT</x:v>
      </x:c>
      <x:c r="J29" s="5" t="str">
        <x:v>NEM KIVALASZTOTT</x:v>
      </x:c>
      <x:c r="K29" s="5" t="str">
        <x:v>NINCS NC MOZGAS</x:v>
      </x:c>
    </x:row>
    <x:row r="30" ht="36" customHeight="1">
      <x:c r="A30" s="5" t="str">
        <x:v>KI12-TV01P-04</x:v>
      </x:c>
      <x:c r="B30" s="5" t="n">
        <x:v>2</x:v>
      </x:c>
      <x:c r="C30" s="5" t="str">
        <x:v>Élzárás / élanyag igazolása</x:v>
      </x:c>
      <x:c r="D30" s="5" t="str">
        <x:v>NYITOTT</x:v>
      </x:c>
      <x:c r="E30" s="5" t="str">
        <x:v>NYITOTT</x:v>
      </x:c>
      <x:c r="F30" s="5" t="str">
        <x:v>NYITOTT</x:v>
      </x:c>
      <x:c r="G30" s="5" t="str">
        <x:v>NYITOTT</x:v>
      </x:c>
      <x:c r="H30" s="5" t="str">
        <x:v>NYITOTT</x:v>
      </x:c>
      <x:c r="I30" s="5" t="str">
        <x:v>NYITOTT</x:v>
      </x:c>
      <x:c r="J30" s="5" t="str">
        <x:v>NEM KIVALASZTOTT</x:v>
      </x:c>
      <x:c r="K30" s="5" t="str">
        <x:v>NINCS NC MOZGAS</x:v>
      </x:c>
    </x:row>
    <x:row r="31" ht="36" customHeight="1">
      <x:c r="A31" s="5" t="str">
        <x:v>KI12-TV01P-04</x:v>
      </x:c>
      <x:c r="B31" s="5" t="n">
        <x:v>3</x:v>
      </x:c>
      <x:c r="C31" s="5" t="str">
        <x:v>Kötés / támasz / rögzítés műhelyi jóváhagyásra</x:v>
      </x:c>
      <x:c r="D31" s="5" t="str">
        <x:v>NYITOTT</x:v>
      </x:c>
      <x:c r="E31" s="5" t="str">
        <x:v>NYITOTT</x:v>
      </x:c>
      <x:c r="F31" s="5" t="str">
        <x:v>NYITOTT</x:v>
      </x:c>
      <x:c r="G31" s="5" t="str">
        <x:v>NYITOTT</x:v>
      </x:c>
      <x:c r="H31" s="5" t="str">
        <x:v>NYITOTT</x:v>
      </x:c>
      <x:c r="I31" s="5" t="str">
        <x:v>NYITOTT</x:v>
      </x:c>
      <x:c r="J31" s="5" t="str">
        <x:v>NEM KIVALASZTOTT</x:v>
      </x:c>
      <x:c r="K31" s="5" t="str">
        <x:v>NINCS NC MOZGAS</x:v>
      </x:c>
    </x:row>
    <x:row r="32" ht="36" customHeight="1">
      <x:c r="A32" s="5" t="str">
        <x:v>KI12-TV01P-05</x:v>
      </x:c>
      <x:c r="B32" s="5" t="n">
        <x:v>1</x:v>
      </x:c>
      <x:c r="C32" s="5" t="str">
        <x:v>Befoglaló és anyag ellenőrzése</x:v>
      </x:c>
      <x:c r="D32" s="5" t="str">
        <x:v>NYITOTT</x:v>
      </x:c>
      <x:c r="E32" s="5" t="str">
        <x:v>NYITOTT</x:v>
      </x:c>
      <x:c r="F32" s="5" t="str">
        <x:v>NYITOTT</x:v>
      </x:c>
      <x:c r="G32" s="5" t="str">
        <x:v>NYITOTT</x:v>
      </x:c>
      <x:c r="H32" s="5" t="str">
        <x:v>NYITOTT</x:v>
      </x:c>
      <x:c r="I32" s="5" t="str">
        <x:v>NYITOTT</x:v>
      </x:c>
      <x:c r="J32" s="5" t="str">
        <x:v>NEM KIVALASZTOTT</x:v>
      </x:c>
      <x:c r="K32" s="5" t="str">
        <x:v>NINCS NC MOZGAS</x:v>
      </x:c>
    </x:row>
    <x:row r="33" ht="36" customHeight="1">
      <x:c r="A33" s="5" t="str">
        <x:v>KI12-TV01P-05</x:v>
      </x:c>
      <x:c r="B33" s="5" t="n">
        <x:v>2</x:v>
      </x:c>
      <x:c r="C33" s="5" t="str">
        <x:v>Élzárás / élanyag igazolása</x:v>
      </x:c>
      <x:c r="D33" s="5" t="str">
        <x:v>NYITOTT</x:v>
      </x:c>
      <x:c r="E33" s="5" t="str">
        <x:v>NYITOTT</x:v>
      </x:c>
      <x:c r="F33" s="5" t="str">
        <x:v>NYITOTT</x:v>
      </x:c>
      <x:c r="G33" s="5" t="str">
        <x:v>NYITOTT</x:v>
      </x:c>
      <x:c r="H33" s="5" t="str">
        <x:v>NYITOTT</x:v>
      </x:c>
      <x:c r="I33" s="5" t="str">
        <x:v>NYITOTT</x:v>
      </x:c>
      <x:c r="J33" s="5" t="str">
        <x:v>NEM KIVALASZTOTT</x:v>
      </x:c>
      <x:c r="K33" s="5" t="str">
        <x:v>NINCS NC MOZGAS</x:v>
      </x:c>
    </x:row>
    <x:row r="34" ht="36" customHeight="1">
      <x:c r="A34" s="5" t="str">
        <x:v>KI12-TV01P-05</x:v>
      </x:c>
      <x:c r="B34" s="5" t="n">
        <x:v>3</x:v>
      </x:c>
      <x:c r="C34" s="5" t="str">
        <x:v>Kötés / támasz / rögzítés műhelyi jóváhagyásra</x:v>
      </x:c>
      <x:c r="D34" s="5" t="str">
        <x:v>NYITOTT</x:v>
      </x:c>
      <x:c r="E34" s="5" t="str">
        <x:v>NYITOTT</x:v>
      </x:c>
      <x:c r="F34" s="5" t="str">
        <x:v>NYITOTT</x:v>
      </x:c>
      <x:c r="G34" s="5" t="str">
        <x:v>NYITOTT</x:v>
      </x:c>
      <x:c r="H34" s="5" t="str">
        <x:v>NYITOTT</x:v>
      </x:c>
      <x:c r="I34" s="5" t="str">
        <x:v>NYITOTT</x:v>
      </x:c>
      <x:c r="J34" s="5" t="str">
        <x:v>NEM KIVALASZTOTT</x:v>
      </x:c>
      <x:c r="K34" s="5" t="str">
        <x:v>NINCS NC MOZGAS</x:v>
      </x:c>
    </x:row>
    <x:row r="35" ht="36" customHeight="1">
      <x:c r="A35" s="5" t="str">
        <x:v>KI12-TV01P-06</x:v>
      </x:c>
      <x:c r="B35" s="5" t="n">
        <x:v>1</x:v>
      </x:c>
      <x:c r="C35" s="5" t="str">
        <x:v>Befoglaló és anyag ellenőrzése</x:v>
      </x:c>
      <x:c r="D35" s="5" t="str">
        <x:v>NYITOTT</x:v>
      </x:c>
      <x:c r="E35" s="5" t="str">
        <x:v>NYITOTT</x:v>
      </x:c>
      <x:c r="F35" s="5" t="str">
        <x:v>NYITOTT</x:v>
      </x:c>
      <x:c r="G35" s="5" t="str">
        <x:v>NYITOTT</x:v>
      </x:c>
      <x:c r="H35" s="5" t="str">
        <x:v>NYITOTT</x:v>
      </x:c>
      <x:c r="I35" s="5" t="str">
        <x:v>NYITOTT</x:v>
      </x:c>
      <x:c r="J35" s="5" t="str">
        <x:v>NEM KIVALASZTOTT</x:v>
      </x:c>
      <x:c r="K35" s="5" t="str">
        <x:v>NINCS NC MOZGAS</x:v>
      </x:c>
    </x:row>
    <x:row r="36" ht="36" customHeight="1">
      <x:c r="A36" s="5" t="str">
        <x:v>KI12-TV01P-06</x:v>
      </x:c>
      <x:c r="B36" s="5" t="n">
        <x:v>2</x:v>
      </x:c>
      <x:c r="C36" s="5" t="str">
        <x:v>Élzárás / élanyag igazolása</x:v>
      </x:c>
      <x:c r="D36" s="5" t="str">
        <x:v>NYITOTT</x:v>
      </x:c>
      <x:c r="E36" s="5" t="str">
        <x:v>NYITOTT</x:v>
      </x:c>
      <x:c r="F36" s="5" t="str">
        <x:v>NYITOTT</x:v>
      </x:c>
      <x:c r="G36" s="5" t="str">
        <x:v>NYITOTT</x:v>
      </x:c>
      <x:c r="H36" s="5" t="str">
        <x:v>NYITOTT</x:v>
      </x:c>
      <x:c r="I36" s="5" t="str">
        <x:v>NYITOTT</x:v>
      </x:c>
      <x:c r="J36" s="5" t="str">
        <x:v>NEM KIVALASZTOTT</x:v>
      </x:c>
      <x:c r="K36" s="5" t="str">
        <x:v>NINCS NC MOZGAS</x:v>
      </x:c>
    </x:row>
    <x:row r="37" ht="36" customHeight="1">
      <x:c r="A37" s="5" t="str">
        <x:v>KI12-TV01P-06</x:v>
      </x:c>
      <x:c r="B37" s="5" t="n">
        <x:v>3</x:v>
      </x:c>
      <x:c r="C37" s="5" t="str">
        <x:v>Kötés / támasz / rögzítés műhelyi jóváhagyásra</x:v>
      </x:c>
      <x:c r="D37" s="5" t="str">
        <x:v>NYITOTT</x:v>
      </x:c>
      <x:c r="E37" s="5" t="str">
        <x:v>NYITOTT</x:v>
      </x:c>
      <x:c r="F37" s="5" t="str">
        <x:v>NYITOTT</x:v>
      </x:c>
      <x:c r="G37" s="5" t="str">
        <x:v>NYITOTT</x:v>
      </x:c>
      <x:c r="H37" s="5" t="str">
        <x:v>NYITOTT</x:v>
      </x:c>
      <x:c r="I37" s="5" t="str">
        <x:v>NYITOTT</x:v>
      </x:c>
      <x:c r="J37" s="5" t="str">
        <x:v>NEM KIVALASZTOTT</x:v>
      </x:c>
      <x:c r="K37" s="5" t="str">
        <x:v>NINCS NC MOZGAS</x:v>
      </x:c>
    </x:row>
    <x:row r="38" ht="36" customHeight="1">
      <x:c r="A38" s="5" t="str">
        <x:v>KI12-TV01P-07</x:v>
      </x:c>
      <x:c r="B38" s="5" t="n">
        <x:v>1</x:v>
      </x:c>
      <x:c r="C38" s="5" t="str">
        <x:v>Befoglaló és anyag ellenőrzése</x:v>
      </x:c>
      <x:c r="D38" s="5" t="str">
        <x:v>NYITOTT</x:v>
      </x:c>
      <x:c r="E38" s="5" t="str">
        <x:v>NYITOTT</x:v>
      </x:c>
      <x:c r="F38" s="5" t="str">
        <x:v>NYITOTT</x:v>
      </x:c>
      <x:c r="G38" s="5" t="str">
        <x:v>NYITOTT</x:v>
      </x:c>
      <x:c r="H38" s="5" t="str">
        <x:v>NYITOTT</x:v>
      </x:c>
      <x:c r="I38" s="5" t="str">
        <x:v>NYITOTT</x:v>
      </x:c>
      <x:c r="J38" s="5" t="str">
        <x:v>NEM KIVALASZTOTT</x:v>
      </x:c>
      <x:c r="K38" s="5" t="str">
        <x:v>NINCS NC MOZGAS</x:v>
      </x:c>
    </x:row>
    <x:row r="39" ht="36" customHeight="1">
      <x:c r="A39" s="5" t="str">
        <x:v>KI12-TV01P-07</x:v>
      </x:c>
      <x:c r="B39" s="5" t="n">
        <x:v>2</x:v>
      </x:c>
      <x:c r="C39" s="5" t="str">
        <x:v>Élzárás / élanyag igazolása</x:v>
      </x:c>
      <x:c r="D39" s="5" t="str">
        <x:v>NYITOTT</x:v>
      </x:c>
      <x:c r="E39" s="5" t="str">
        <x:v>NYITOTT</x:v>
      </x:c>
      <x:c r="F39" s="5" t="str">
        <x:v>NYITOTT</x:v>
      </x:c>
      <x:c r="G39" s="5" t="str">
        <x:v>NYITOTT</x:v>
      </x:c>
      <x:c r="H39" s="5" t="str">
        <x:v>NYITOTT</x:v>
      </x:c>
      <x:c r="I39" s="5" t="str">
        <x:v>NYITOTT</x:v>
      </x:c>
      <x:c r="J39" s="5" t="str">
        <x:v>NEM KIVALASZTOTT</x:v>
      </x:c>
      <x:c r="K39" s="5" t="str">
        <x:v>NINCS NC MOZGAS</x:v>
      </x:c>
    </x:row>
    <x:row r="40" ht="36" customHeight="1">
      <x:c r="A40" s="5" t="str">
        <x:v>KI12-TV01P-07</x:v>
      </x:c>
      <x:c r="B40" s="5" t="n">
        <x:v>3</x:v>
      </x:c>
      <x:c r="C40" s="5" t="str">
        <x:v>Kötés / támasz / rögzítés műhelyi jóváhagyásra</x:v>
      </x:c>
      <x:c r="D40" s="5" t="str">
        <x:v>NYITOTT</x:v>
      </x:c>
      <x:c r="E40" s="5" t="str">
        <x:v>NYITOTT</x:v>
      </x:c>
      <x:c r="F40" s="5" t="str">
        <x:v>NYITOTT</x:v>
      </x:c>
      <x:c r="G40" s="5" t="str">
        <x:v>NYITOTT</x:v>
      </x:c>
      <x:c r="H40" s="5" t="str">
        <x:v>NYITOTT</x:v>
      </x:c>
      <x:c r="I40" s="5" t="str">
        <x:v>NYITOTT</x:v>
      </x:c>
      <x:c r="J40" s="5" t="str">
        <x:v>NEM KIVALASZTOTT</x:v>
      </x:c>
      <x:c r="K40" s="5" t="str">
        <x:v>NINCS NC MOZGAS</x:v>
      </x:c>
    </x:row>
    <x:row r="41" ht="36" customHeight="1">
      <x:c r="A41" s="5" t="str">
        <x:v>KI12-TV01P-08</x:v>
      </x:c>
      <x:c r="B41" s="5" t="n">
        <x:v>1</x:v>
      </x:c>
      <x:c r="C41" s="5" t="str">
        <x:v>Befoglaló és anyag ellenőrzése</x:v>
      </x:c>
      <x:c r="D41" s="5" t="str">
        <x:v>NYITOTT</x:v>
      </x:c>
      <x:c r="E41" s="5" t="str">
        <x:v>NYITOTT</x:v>
      </x:c>
      <x:c r="F41" s="5" t="str">
        <x:v>NYITOTT</x:v>
      </x:c>
      <x:c r="G41" s="5" t="str">
        <x:v>NYITOTT</x:v>
      </x:c>
      <x:c r="H41" s="5" t="str">
        <x:v>NYITOTT</x:v>
      </x:c>
      <x:c r="I41" s="5" t="str">
        <x:v>NYITOTT</x:v>
      </x:c>
      <x:c r="J41" s="5" t="str">
        <x:v>NEM KIVALASZTOTT</x:v>
      </x:c>
      <x:c r="K41" s="5" t="str">
        <x:v>NINCS NC MOZGAS</x:v>
      </x:c>
    </x:row>
    <x:row r="42" ht="36" customHeight="1">
      <x:c r="A42" s="5" t="str">
        <x:v>KI12-TV01P-08</x:v>
      </x:c>
      <x:c r="B42" s="5" t="n">
        <x:v>2</x:v>
      </x:c>
      <x:c r="C42" s="5" t="str">
        <x:v>Élzárás / élanyag igazolása</x:v>
      </x:c>
      <x:c r="D42" s="5" t="str">
        <x:v>NYITOTT</x:v>
      </x:c>
      <x:c r="E42" s="5" t="str">
        <x:v>NYITOTT</x:v>
      </x:c>
      <x:c r="F42" s="5" t="str">
        <x:v>NYITOTT</x:v>
      </x:c>
      <x:c r="G42" s="5" t="str">
        <x:v>NYITOTT</x:v>
      </x:c>
      <x:c r="H42" s="5" t="str">
        <x:v>NYITOTT</x:v>
      </x:c>
      <x:c r="I42" s="5" t="str">
        <x:v>NYITOTT</x:v>
      </x:c>
      <x:c r="J42" s="5" t="str">
        <x:v>NEM KIVALASZTOTT</x:v>
      </x:c>
      <x:c r="K42" s="5" t="str">
        <x:v>NINCS NC MOZGAS</x:v>
      </x:c>
    </x:row>
    <x:row r="43" ht="36" customHeight="1">
      <x:c r="A43" s="5" t="str">
        <x:v>KI12-TV01P-08</x:v>
      </x:c>
      <x:c r="B43" s="5" t="n">
        <x:v>3</x:v>
      </x:c>
      <x:c r="C43" s="5" t="str">
        <x:v>Kötés / támasz / rögzítés műhelyi jóváhagyásra</x:v>
      </x:c>
      <x:c r="D43" s="5" t="str">
        <x:v>NYITOTT</x:v>
      </x:c>
      <x:c r="E43" s="5" t="str">
        <x:v>NYITOTT</x:v>
      </x:c>
      <x:c r="F43" s="5" t="str">
        <x:v>NYITOTT</x:v>
      </x:c>
      <x:c r="G43" s="5" t="str">
        <x:v>NYITOTT</x:v>
      </x:c>
      <x:c r="H43" s="5" t="str">
        <x:v>NYITOTT</x:v>
      </x:c>
      <x:c r="I43" s="5" t="str">
        <x:v>NYITOTT</x:v>
      </x:c>
      <x:c r="J43" s="5" t="str">
        <x:v>NEM KIVALASZTOTT</x:v>
      </x:c>
      <x:c r="K43" s="5" t="str">
        <x:v>NINCS NC MOZGAS</x:v>
      </x:c>
    </x:row>
    <x:row r="44" ht="36" customHeight="1">
      <x:c r="A44" s="5" t="str">
        <x:v>KI12-TV01P-09</x:v>
      </x:c>
      <x:c r="B44" s="5" t="n">
        <x:v>1</x:v>
      </x:c>
      <x:c r="C44" s="5" t="str">
        <x:v>Befoglaló és anyag ellenőrzése</x:v>
      </x:c>
      <x:c r="D44" s="5" t="str">
        <x:v>NYITOTT</x:v>
      </x:c>
      <x:c r="E44" s="5" t="str">
        <x:v>NYITOTT</x:v>
      </x:c>
      <x:c r="F44" s="5" t="str">
        <x:v>NYITOTT</x:v>
      </x:c>
      <x:c r="G44" s="5" t="str">
        <x:v>NYITOTT</x:v>
      </x:c>
      <x:c r="H44" s="5" t="str">
        <x:v>NYITOTT</x:v>
      </x:c>
      <x:c r="I44" s="5" t="str">
        <x:v>NYITOTT</x:v>
      </x:c>
      <x:c r="J44" s="5" t="str">
        <x:v>NEM KIVALASZTOTT</x:v>
      </x:c>
      <x:c r="K44" s="5" t="str">
        <x:v>NINCS NC MOZGAS</x:v>
      </x:c>
    </x:row>
    <x:row r="45" ht="36" customHeight="1">
      <x:c r="A45" s="5" t="str">
        <x:v>KI12-TV01P-09</x:v>
      </x:c>
      <x:c r="B45" s="5" t="n">
        <x:v>2</x:v>
      </x:c>
      <x:c r="C45" s="5" t="str">
        <x:v>Élzárás / élanyag igazolása</x:v>
      </x:c>
      <x:c r="D45" s="5" t="str">
        <x:v>NYITOTT</x:v>
      </x:c>
      <x:c r="E45" s="5" t="str">
        <x:v>NYITOTT</x:v>
      </x:c>
      <x:c r="F45" s="5" t="str">
        <x:v>NYITOTT</x:v>
      </x:c>
      <x:c r="G45" s="5" t="str">
        <x:v>NYITOTT</x:v>
      </x:c>
      <x:c r="H45" s="5" t="str">
        <x:v>NYITOTT</x:v>
      </x:c>
      <x:c r="I45" s="5" t="str">
        <x:v>NYITOTT</x:v>
      </x:c>
      <x:c r="J45" s="5" t="str">
        <x:v>NEM KIVALASZTOTT</x:v>
      </x:c>
      <x:c r="K45" s="5" t="str">
        <x:v>NINCS NC MOZGAS</x:v>
      </x:c>
    </x:row>
    <x:row r="46" ht="36" customHeight="1">
      <x:c r="A46" s="5" t="str">
        <x:v>KI12-TV01P-09</x:v>
      </x:c>
      <x:c r="B46" s="5" t="n">
        <x:v>3</x:v>
      </x:c>
      <x:c r="C46" s="5" t="str">
        <x:v>Kötés / támasz / rögzítés műhelyi jóváhagyásra</x:v>
      </x:c>
      <x:c r="D46" s="5" t="str">
        <x:v>NYITOTT</x:v>
      </x:c>
      <x:c r="E46" s="5" t="str">
        <x:v>NYITOTT</x:v>
      </x:c>
      <x:c r="F46" s="5" t="str">
        <x:v>NYITOTT</x:v>
      </x:c>
      <x:c r="G46" s="5" t="str">
        <x:v>NYITOTT</x:v>
      </x:c>
      <x:c r="H46" s="5" t="str">
        <x:v>NYITOTT</x:v>
      </x:c>
      <x:c r="I46" s="5" t="str">
        <x:v>NYITOTT</x:v>
      </x:c>
      <x:c r="J46" s="5" t="str">
        <x:v>NEM KIVALASZTOTT</x:v>
      </x:c>
      <x:c r="K46" s="5" t="str">
        <x:v>NINCS NC MOZGAS</x:v>
      </x:c>
    </x:row>
    <x:row r="47" ht="36" customHeight="1">
      <x:c r="A47" s="5" t="str">
        <x:v>KI12-TV01P-10</x:v>
      </x:c>
      <x:c r="B47" s="5" t="n">
        <x:v>1</x:v>
      </x:c>
      <x:c r="C47" s="5" t="str">
        <x:v>Befoglaló és anyag ellenőrzése</x:v>
      </x:c>
      <x:c r="D47" s="5" t="str">
        <x:v>NYITOTT</x:v>
      </x:c>
      <x:c r="E47" s="5" t="str">
        <x:v>NYITOTT</x:v>
      </x:c>
      <x:c r="F47" s="5" t="str">
        <x:v>NYITOTT</x:v>
      </x:c>
      <x:c r="G47" s="5" t="str">
        <x:v>NYITOTT</x:v>
      </x:c>
      <x:c r="H47" s="5" t="str">
        <x:v>NYITOTT</x:v>
      </x:c>
      <x:c r="I47" s="5" t="str">
        <x:v>NYITOTT</x:v>
      </x:c>
      <x:c r="J47" s="5" t="str">
        <x:v>NEM KIVALASZTOTT</x:v>
      </x:c>
      <x:c r="K47" s="5" t="str">
        <x:v>NINCS NC MOZGAS</x:v>
      </x:c>
    </x:row>
    <x:row r="48" ht="36" customHeight="1">
      <x:c r="A48" s="5" t="str">
        <x:v>KI12-TV01P-10</x:v>
      </x:c>
      <x:c r="B48" s="5" t="n">
        <x:v>2</x:v>
      </x:c>
      <x:c r="C48" s="5" t="str">
        <x:v>Élzárás / élanyag igazolása</x:v>
      </x:c>
      <x:c r="D48" s="5" t="str">
        <x:v>NYITOTT</x:v>
      </x:c>
      <x:c r="E48" s="5" t="str">
        <x:v>NYITOTT</x:v>
      </x:c>
      <x:c r="F48" s="5" t="str">
        <x:v>NYITOTT</x:v>
      </x:c>
      <x:c r="G48" s="5" t="str">
        <x:v>NYITOTT</x:v>
      </x:c>
      <x:c r="H48" s="5" t="str">
        <x:v>NYITOTT</x:v>
      </x:c>
      <x:c r="I48" s="5" t="str">
        <x:v>NYITOTT</x:v>
      </x:c>
      <x:c r="J48" s="5" t="str">
        <x:v>NEM KIVALASZTOTT</x:v>
      </x:c>
      <x:c r="K48" s="5" t="str">
        <x:v>NINCS NC MOZGAS</x:v>
      </x:c>
    </x:row>
    <x:row r="49" ht="36" customHeight="1">
      <x:c r="A49" s="5" t="str">
        <x:v>KI12-TV01P-10</x:v>
      </x:c>
      <x:c r="B49" s="5" t="n">
        <x:v>3</x:v>
      </x:c>
      <x:c r="C49" s="5" t="str">
        <x:v>Kötés / támasz / rögzítés műhelyi jóváhagyásra</x:v>
      </x:c>
      <x:c r="D49" s="5" t="str">
        <x:v>NYITOTT</x:v>
      </x:c>
      <x:c r="E49" s="5" t="str">
        <x:v>NYITOTT</x:v>
      </x:c>
      <x:c r="F49" s="5" t="str">
        <x:v>NYITOTT</x:v>
      </x:c>
      <x:c r="G49" s="5" t="str">
        <x:v>NYITOTT</x:v>
      </x:c>
      <x:c r="H49" s="5" t="str">
        <x:v>NYITOTT</x:v>
      </x:c>
      <x:c r="I49" s="5" t="str">
        <x:v>NYITOTT</x:v>
      </x:c>
      <x:c r="J49" s="5" t="str">
        <x:v>NEM KIVALASZTOTT</x:v>
      </x:c>
      <x:c r="K49" s="5" t="str">
        <x:v>NINCS NC MOZGAS</x:v>
      </x:c>
    </x:row>
    <x:row r="50" ht="36" customHeight="1">
      <x:c r="A50" s="5" t="str">
        <x:v>KI12-TV01F-01</x:v>
      </x:c>
      <x:c r="B50" s="5" t="n">
        <x:v>1</x:v>
      </x:c>
      <x:c r="C50" s="5" t="str">
        <x:v>Befoglaló és anyag ellenőrzése</x:v>
      </x:c>
      <x:c r="D50" s="5" t="str">
        <x:v>NYITOTT</x:v>
      </x:c>
      <x:c r="E50" s="5" t="str">
        <x:v>NYITOTT</x:v>
      </x:c>
      <x:c r="F50" s="5" t="str">
        <x:v>NYITOTT</x:v>
      </x:c>
      <x:c r="G50" s="5" t="str">
        <x:v>NYITOTT</x:v>
      </x:c>
      <x:c r="H50" s="5" t="str">
        <x:v>NYITOTT</x:v>
      </x:c>
      <x:c r="I50" s="5" t="str">
        <x:v>NYITOTT</x:v>
      </x:c>
      <x:c r="J50" s="5" t="str">
        <x:v>NEM KIVALASZTOTT</x:v>
      </x:c>
      <x:c r="K50" s="5" t="str">
        <x:v>NINCS NC MOZGAS</x:v>
      </x:c>
    </x:row>
    <x:row r="51" ht="36" customHeight="1">
      <x:c r="A51" s="5" t="str">
        <x:v>KI12-TV01F-01</x:v>
      </x:c>
      <x:c r="B51" s="5" t="n">
        <x:v>2</x:v>
      </x:c>
      <x:c r="C51" s="5" t="str">
        <x:v>Élzárás / élanyag igazolása</x:v>
      </x:c>
      <x:c r="D51" s="5" t="str">
        <x:v>NYITOTT</x:v>
      </x:c>
      <x:c r="E51" s="5" t="str">
        <x:v>NYITOTT</x:v>
      </x:c>
      <x:c r="F51" s="5" t="str">
        <x:v>NYITOTT</x:v>
      </x:c>
      <x:c r="G51" s="5" t="str">
        <x:v>NYITOTT</x:v>
      </x:c>
      <x:c r="H51" s="5" t="str">
        <x:v>NYITOTT</x:v>
      </x:c>
      <x:c r="I51" s="5" t="str">
        <x:v>NYITOTT</x:v>
      </x:c>
      <x:c r="J51" s="5" t="str">
        <x:v>NEM KIVALASZTOTT</x:v>
      </x:c>
      <x:c r="K51" s="5" t="str">
        <x:v>NINCS NC MOZGAS</x:v>
      </x:c>
    </x:row>
    <x:row r="52" ht="36" customHeight="1">
      <x:c r="A52" s="5" t="str">
        <x:v>KI12-TV01F-01</x:v>
      </x:c>
      <x:c r="B52" s="5" t="n">
        <x:v>3</x:v>
      </x:c>
      <x:c r="C52" s="5" t="str">
        <x:v>Pántcsésze és fogás: gyártói fúráskép hiányzik</x:v>
      </x:c>
      <x:c r="D52" s="5" t="str">
        <x:v>NYITOTT</x:v>
      </x:c>
      <x:c r="E52" s="5" t="str">
        <x:v>NYITOTT</x:v>
      </x:c>
      <x:c r="F52" s="5" t="str">
        <x:v>NYITOTT</x:v>
      </x:c>
      <x:c r="G52" s="5" t="str">
        <x:v>NYITOTT</x:v>
      </x:c>
      <x:c r="H52" s="5" t="str">
        <x:v>NYITOTT</x:v>
      </x:c>
      <x:c r="I52" s="5" t="str">
        <x:v>NYITOTT</x:v>
      </x:c>
      <x:c r="J52" s="5" t="str">
        <x:v>NEM KIVALASZTOTT</x:v>
      </x:c>
      <x:c r="K52" s="5" t="str">
        <x:v>NINCS NC MOZGAS</x:v>
      </x:c>
    </x:row>
    <x:row r="53" ht="36" customHeight="1">
      <x:c r="A53" s="5" t="str">
        <x:v>KI12-TV01F-02</x:v>
      </x:c>
      <x:c r="B53" s="5" t="n">
        <x:v>1</x:v>
      </x:c>
      <x:c r="C53" s="5" t="str">
        <x:v>Befoglaló és anyag ellenőrzése</x:v>
      </x:c>
      <x:c r="D53" s="5" t="str">
        <x:v>NYITOTT</x:v>
      </x:c>
      <x:c r="E53" s="5" t="str">
        <x:v>NYITOTT</x:v>
      </x:c>
      <x:c r="F53" s="5" t="str">
        <x:v>NYITOTT</x:v>
      </x:c>
      <x:c r="G53" s="5" t="str">
        <x:v>NYITOTT</x:v>
      </x:c>
      <x:c r="H53" s="5" t="str">
        <x:v>NYITOTT</x:v>
      </x:c>
      <x:c r="I53" s="5" t="str">
        <x:v>NYITOTT</x:v>
      </x:c>
      <x:c r="J53" s="5" t="str">
        <x:v>NEM KIVALASZTOTT</x:v>
      </x:c>
      <x:c r="K53" s="5" t="str">
        <x:v>NINCS NC MOZGAS</x:v>
      </x:c>
    </x:row>
    <x:row r="54" ht="36" customHeight="1">
      <x:c r="A54" s="5" t="str">
        <x:v>KI12-TV01F-02</x:v>
      </x:c>
      <x:c r="B54" s="5" t="n">
        <x:v>2</x:v>
      </x:c>
      <x:c r="C54" s="5" t="str">
        <x:v>Élzárás / élanyag igazolása</x:v>
      </x:c>
      <x:c r="D54" s="5" t="str">
        <x:v>NYITOTT</x:v>
      </x:c>
      <x:c r="E54" s="5" t="str">
        <x:v>NYITOTT</x:v>
      </x:c>
      <x:c r="F54" s="5" t="str">
        <x:v>NYITOTT</x:v>
      </x:c>
      <x:c r="G54" s="5" t="str">
        <x:v>NYITOTT</x:v>
      </x:c>
      <x:c r="H54" s="5" t="str">
        <x:v>NYITOTT</x:v>
      </x:c>
      <x:c r="I54" s="5" t="str">
        <x:v>NYITOTT</x:v>
      </x:c>
      <x:c r="J54" s="5" t="str">
        <x:v>NEM KIVALASZTOTT</x:v>
      </x:c>
      <x:c r="K54" s="5" t="str">
        <x:v>NINCS NC MOZGAS</x:v>
      </x:c>
    </x:row>
    <x:row r="55" ht="36" customHeight="1">
      <x:c r="A55" s="5" t="str">
        <x:v>KI12-TV01F-02</x:v>
      </x:c>
      <x:c r="B55" s="5" t="n">
        <x:v>3</x:v>
      </x:c>
      <x:c r="C55" s="5" t="str">
        <x:v>Pántcsésze és fogás: gyártói fúráskép hiányzik</x:v>
      </x:c>
      <x:c r="D55" s="5" t="str">
        <x:v>NYITOTT</x:v>
      </x:c>
      <x:c r="E55" s="5" t="str">
        <x:v>NYITOTT</x:v>
      </x:c>
      <x:c r="F55" s="5" t="str">
        <x:v>NYITOTT</x:v>
      </x:c>
      <x:c r="G55" s="5" t="str">
        <x:v>NYITOTT</x:v>
      </x:c>
      <x:c r="H55" s="5" t="str">
        <x:v>NYITOTT</x:v>
      </x:c>
      <x:c r="I55" s="5" t="str">
        <x:v>NYITOTT</x:v>
      </x:c>
      <x:c r="J55" s="5" t="str">
        <x:v>NEM KIVALASZTOTT</x:v>
      </x:c>
      <x:c r="K55" s="5" t="str">
        <x:v>NINCS NC MOZGAS</x:v>
      </x:c>
    </x:row>
    <x:row r="56" ht="36" customHeight="1">
      <x:c r="A56" s="5" t="str">
        <x:v>KI12-TV01H-01</x:v>
      </x:c>
      <x:c r="B56" s="5" t="n">
        <x:v>1</x:v>
      </x:c>
      <x:c r="C56" s="5" t="str">
        <x:v>Befoglaló és anyag ellenőrzése</x:v>
      </x:c>
      <x:c r="D56" s="5" t="str">
        <x:v>NYITOTT</x:v>
      </x:c>
      <x:c r="E56" s="5" t="str">
        <x:v>NYITOTT</x:v>
      </x:c>
      <x:c r="F56" s="5" t="str">
        <x:v>NYITOTT</x:v>
      </x:c>
      <x:c r="G56" s="5" t="str">
        <x:v>NYITOTT</x:v>
      </x:c>
      <x:c r="H56" s="5" t="str">
        <x:v>NYITOTT</x:v>
      </x:c>
      <x:c r="I56" s="5" t="str">
        <x:v>NYITOTT</x:v>
      </x:c>
      <x:c r="J56" s="5" t="str">
        <x:v>NEM KIVALASZTOTT</x:v>
      </x:c>
      <x:c r="K56" s="5" t="str">
        <x:v>NINCS NC MOZGAS</x:v>
      </x:c>
    </x:row>
    <x:row r="57" ht="36" customHeight="1">
      <x:c r="A57" s="5" t="str">
        <x:v>KI12-TV01H-01</x:v>
      </x:c>
      <x:c r="B57" s="5" t="n">
        <x:v>2</x:v>
      </x:c>
      <x:c r="C57" s="5" t="str">
        <x:v>Élzárás / élanyag igazolása</x:v>
      </x:c>
      <x:c r="D57" s="5" t="str">
        <x:v>NYITOTT</x:v>
      </x:c>
      <x:c r="E57" s="5" t="str">
        <x:v>NYITOTT</x:v>
      </x:c>
      <x:c r="F57" s="5" t="str">
        <x:v>NYITOTT</x:v>
      </x:c>
      <x:c r="G57" s="5" t="str">
        <x:v>NYITOTT</x:v>
      </x:c>
      <x:c r="H57" s="5" t="str">
        <x:v>NYITOTT</x:v>
      </x:c>
      <x:c r="I57" s="5" t="str">
        <x:v>NYITOTT</x:v>
      </x:c>
      <x:c r="J57" s="5" t="str">
        <x:v>NEM KIVALASZTOTT</x:v>
      </x:c>
      <x:c r="K57" s="5" t="str">
        <x:v>NINCS NC MOZGAS</x:v>
      </x:c>
    </x:row>
    <x:row r="58" ht="36" customHeight="1">
      <x:c r="A58" s="5" t="str">
        <x:v>KI12-TV01H-01</x:v>
      </x:c>
      <x:c r="B58" s="5" t="n">
        <x:v>3</x:v>
      </x:c>
      <x:c r="C58" s="5" t="str">
        <x:v>Kötés / támasz / rögzítés műhelyi jóváhagyásra</x:v>
      </x:c>
      <x:c r="D58" s="5" t="str">
        <x:v>NYITOTT</x:v>
      </x:c>
      <x:c r="E58" s="5" t="str">
        <x:v>NYITOTT</x:v>
      </x:c>
      <x:c r="F58" s="5" t="str">
        <x:v>NYITOTT</x:v>
      </x:c>
      <x:c r="G58" s="5" t="str">
        <x:v>NYITOTT</x:v>
      </x:c>
      <x:c r="H58" s="5" t="str">
        <x:v>NYITOTT</x:v>
      </x:c>
      <x:c r="I58" s="5" t="str">
        <x:v>NYITOTT</x:v>
      </x:c>
      <x:c r="J58" s="5" t="str">
        <x:v>NEM KIVALASZTOTT</x:v>
      </x:c>
      <x:c r="K58" s="5" t="str">
        <x:v>NINCS NC MOZGAS</x:v>
      </x:c>
    </x:row>
    <x:row r="59" ht="36" customHeight="1">
      <x:c r="A59" s="5" t="str">
        <x:v>KI12-TV02S-01</x:v>
      </x:c>
      <x:c r="B59" s="5" t="n">
        <x:v>1</x:v>
      </x:c>
      <x:c r="C59" s="5" t="str">
        <x:v>Befoglaló és anyag ellenőrzése</x:v>
      </x:c>
      <x:c r="D59" s="5" t="str">
        <x:v>NYITOTT</x:v>
      </x:c>
      <x:c r="E59" s="5" t="str">
        <x:v>NYITOTT</x:v>
      </x:c>
      <x:c r="F59" s="5" t="str">
        <x:v>NYITOTT</x:v>
      </x:c>
      <x:c r="G59" s="5" t="str">
        <x:v>NYITOTT</x:v>
      </x:c>
      <x:c r="H59" s="5" t="str">
        <x:v>NYITOTT</x:v>
      </x:c>
      <x:c r="I59" s="5" t="str">
        <x:v>NYITOTT</x:v>
      </x:c>
      <x:c r="J59" s="5" t="str">
        <x:v>NEM KIVALASZTOTT</x:v>
      </x:c>
      <x:c r="K59" s="5" t="str">
        <x:v>NINCS NC MOZGAS</x:v>
      </x:c>
    </x:row>
    <x:row r="60" ht="36" customHeight="1">
      <x:c r="A60" s="5" t="str">
        <x:v>KI12-TV02S-01</x:v>
      </x:c>
      <x:c r="B60" s="5" t="n">
        <x:v>2</x:v>
      </x:c>
      <x:c r="C60" s="5" t="str">
        <x:v>Élzárás / élanyag igazolása</x:v>
      </x:c>
      <x:c r="D60" s="5" t="str">
        <x:v>NYITOTT</x:v>
      </x:c>
      <x:c r="E60" s="5" t="str">
        <x:v>NYITOTT</x:v>
      </x:c>
      <x:c r="F60" s="5" t="str">
        <x:v>NYITOTT</x:v>
      </x:c>
      <x:c r="G60" s="5" t="str">
        <x:v>NYITOTT</x:v>
      </x:c>
      <x:c r="H60" s="5" t="str">
        <x:v>NYITOTT</x:v>
      </x:c>
      <x:c r="I60" s="5" t="str">
        <x:v>NYITOTT</x:v>
      </x:c>
      <x:c r="J60" s="5" t="str">
        <x:v>NEM KIVALASZTOTT</x:v>
      </x:c>
      <x:c r="K60" s="5" t="str">
        <x:v>NINCS NC MOZGAS</x:v>
      </x:c>
    </x:row>
    <x:row r="61" ht="36" customHeight="1">
      <x:c r="A61" s="5" t="str">
        <x:v>KI12-TV02S-01</x:v>
      </x:c>
      <x:c r="B61" s="5" t="n">
        <x:v>3</x:v>
      </x:c>
      <x:c r="C61" s="5" t="str">
        <x:v>Korpusz: Ø8×30 csap javaslat; részletes pontok a Kotopontok lapon</x:v>
      </x:c>
      <x:c r="D61" s="5" t="str">
        <x:v>NYITOTT</x:v>
      </x:c>
      <x:c r="E61" s="5" t="str">
        <x:v>NYITOTT</x:v>
      </x:c>
      <x:c r="F61" s="5" t="str">
        <x:v>NYITOTT</x:v>
      </x:c>
      <x:c r="G61" s="5" t="str">
        <x:v>NYITOTT</x:v>
      </x:c>
      <x:c r="H61" s="5" t="str">
        <x:v>NYITOTT</x:v>
      </x:c>
      <x:c r="I61" s="5" t="str">
        <x:v>NYITOTT</x:v>
      </x:c>
      <x:c r="J61" s="5" t="str">
        <x:v>NEM KIVALASZTOTT</x:v>
      </x:c>
      <x:c r="K61" s="5" t="str">
        <x:v>NINCS NC MOZGAS</x:v>
      </x:c>
    </x:row>
    <x:row r="62" ht="36" customHeight="1">
      <x:c r="A62" s="5" t="str">
        <x:v>KI12-TV02S-01</x:v>
      </x:c>
      <x:c r="B62" s="5" t="n">
        <x:v>4</x:v>
      </x:c>
      <x:c r="C62" s="5" t="str">
        <x:v>Polctartó/pántfurat: oldal és vasalat szerint kiosztandó</x:v>
      </x:c>
      <x:c r="D62" s="5" t="str">
        <x:v>NYITOTT</x:v>
      </x:c>
      <x:c r="E62" s="5" t="str">
        <x:v>NYITOTT</x:v>
      </x:c>
      <x:c r="F62" s="5" t="str">
        <x:v>NYITOTT</x:v>
      </x:c>
      <x:c r="G62" s="5" t="str">
        <x:v>NYITOTT</x:v>
      </x:c>
      <x:c r="H62" s="5" t="str">
        <x:v>NYITOTT</x:v>
      </x:c>
      <x:c r="I62" s="5" t="str">
        <x:v>NYITOTT</x:v>
      </x:c>
      <x:c r="J62" s="5" t="str">
        <x:v>NEM KIVALASZTOTT</x:v>
      </x:c>
      <x:c r="K62" s="5" t="str">
        <x:v>NINCS NC MOZGAS</x:v>
      </x:c>
    </x:row>
    <x:row r="63" ht="36" customHeight="1">
      <x:c r="A63" s="5" t="str">
        <x:v>KI12-TV02S-02</x:v>
      </x:c>
      <x:c r="B63" s="5" t="n">
        <x:v>1</x:v>
      </x:c>
      <x:c r="C63" s="5" t="str">
        <x:v>Befoglaló és anyag ellenőrzése</x:v>
      </x:c>
      <x:c r="D63" s="5" t="str">
        <x:v>NYITOTT</x:v>
      </x:c>
      <x:c r="E63" s="5" t="str">
        <x:v>NYITOTT</x:v>
      </x:c>
      <x:c r="F63" s="5" t="str">
        <x:v>NYITOTT</x:v>
      </x:c>
      <x:c r="G63" s="5" t="str">
        <x:v>NYITOTT</x:v>
      </x:c>
      <x:c r="H63" s="5" t="str">
        <x:v>NYITOTT</x:v>
      </x:c>
      <x:c r="I63" s="5" t="str">
        <x:v>NYITOTT</x:v>
      </x:c>
      <x:c r="J63" s="5" t="str">
        <x:v>NEM KIVALASZTOTT</x:v>
      </x:c>
      <x:c r="K63" s="5" t="str">
        <x:v>NINCS NC MOZGAS</x:v>
      </x:c>
    </x:row>
    <x:row r="64" ht="36" customHeight="1">
      <x:c r="A64" s="5" t="str">
        <x:v>KI12-TV02S-02</x:v>
      </x:c>
      <x:c r="B64" s="5" t="n">
        <x:v>2</x:v>
      </x:c>
      <x:c r="C64" s="5" t="str">
        <x:v>Élzárás / élanyag igazolása</x:v>
      </x:c>
      <x:c r="D64" s="5" t="str">
        <x:v>NYITOTT</x:v>
      </x:c>
      <x:c r="E64" s="5" t="str">
        <x:v>NYITOTT</x:v>
      </x:c>
      <x:c r="F64" s="5" t="str">
        <x:v>NYITOTT</x:v>
      </x:c>
      <x:c r="G64" s="5" t="str">
        <x:v>NYITOTT</x:v>
      </x:c>
      <x:c r="H64" s="5" t="str">
        <x:v>NYITOTT</x:v>
      </x:c>
      <x:c r="I64" s="5" t="str">
        <x:v>NYITOTT</x:v>
      </x:c>
      <x:c r="J64" s="5" t="str">
        <x:v>NEM KIVALASZTOTT</x:v>
      </x:c>
      <x:c r="K64" s="5" t="str">
        <x:v>NINCS NC MOZGAS</x:v>
      </x:c>
    </x:row>
    <x:row r="65" ht="36" customHeight="1">
      <x:c r="A65" s="5" t="str">
        <x:v>KI12-TV02S-02</x:v>
      </x:c>
      <x:c r="B65" s="5" t="n">
        <x:v>3</x:v>
      </x:c>
      <x:c r="C65" s="5" t="str">
        <x:v>Korpusz: Ø8×30 csap javaslat; részletes pontok a Kotopontok lapon</x:v>
      </x:c>
      <x:c r="D65" s="5" t="str">
        <x:v>NYITOTT</x:v>
      </x:c>
      <x:c r="E65" s="5" t="str">
        <x:v>NYITOTT</x:v>
      </x:c>
      <x:c r="F65" s="5" t="str">
        <x:v>NYITOTT</x:v>
      </x:c>
      <x:c r="G65" s="5" t="str">
        <x:v>NYITOTT</x:v>
      </x:c>
      <x:c r="H65" s="5" t="str">
        <x:v>NYITOTT</x:v>
      </x:c>
      <x:c r="I65" s="5" t="str">
        <x:v>NYITOTT</x:v>
      </x:c>
      <x:c r="J65" s="5" t="str">
        <x:v>NEM KIVALASZTOTT</x:v>
      </x:c>
      <x:c r="K65" s="5" t="str">
        <x:v>NINCS NC MOZGAS</x:v>
      </x:c>
    </x:row>
    <x:row r="66" ht="36" customHeight="1">
      <x:c r="A66" s="5" t="str">
        <x:v>KI12-TV02S-02</x:v>
      </x:c>
      <x:c r="B66" s="5" t="n">
        <x:v>4</x:v>
      </x:c>
      <x:c r="C66" s="5" t="str">
        <x:v>Polctartó/pántfurat: oldal és vasalat szerint kiosztandó</x:v>
      </x:c>
      <x:c r="D66" s="5" t="str">
        <x:v>NYITOTT</x:v>
      </x:c>
      <x:c r="E66" s="5" t="str">
        <x:v>NYITOTT</x:v>
      </x:c>
      <x:c r="F66" s="5" t="str">
        <x:v>NYITOTT</x:v>
      </x:c>
      <x:c r="G66" s="5" t="str">
        <x:v>NYITOTT</x:v>
      </x:c>
      <x:c r="H66" s="5" t="str">
        <x:v>NYITOTT</x:v>
      </x:c>
      <x:c r="I66" s="5" t="str">
        <x:v>NYITOTT</x:v>
      </x:c>
      <x:c r="J66" s="5" t="str">
        <x:v>NEM KIVALASZTOTT</x:v>
      </x:c>
      <x:c r="K66" s="5" t="str">
        <x:v>NINCS NC MOZGAS</x:v>
      </x:c>
    </x:row>
    <x:row r="67" ht="36" customHeight="1">
      <x:c r="A67" s="5" t="str">
        <x:v>KI12-TV02S-03</x:v>
      </x:c>
      <x:c r="B67" s="5" t="n">
        <x:v>1</x:v>
      </x:c>
      <x:c r="C67" s="5" t="str">
        <x:v>Befoglaló és anyag ellenőrzése</x:v>
      </x:c>
      <x:c r="D67" s="5" t="str">
        <x:v>NYITOTT</x:v>
      </x:c>
      <x:c r="E67" s="5" t="str">
        <x:v>NYITOTT</x:v>
      </x:c>
      <x:c r="F67" s="5" t="str">
        <x:v>NYITOTT</x:v>
      </x:c>
      <x:c r="G67" s="5" t="str">
        <x:v>NYITOTT</x:v>
      </x:c>
      <x:c r="H67" s="5" t="str">
        <x:v>NYITOTT</x:v>
      </x:c>
      <x:c r="I67" s="5" t="str">
        <x:v>NYITOTT</x:v>
      </x:c>
      <x:c r="J67" s="5" t="str">
        <x:v>NEM KIVALASZTOTT</x:v>
      </x:c>
      <x:c r="K67" s="5" t="str">
        <x:v>NINCS NC MOZGAS</x:v>
      </x:c>
    </x:row>
    <x:row r="68" ht="36" customHeight="1">
      <x:c r="A68" s="5" t="str">
        <x:v>KI12-TV02S-03</x:v>
      </x:c>
      <x:c r="B68" s="5" t="n">
        <x:v>2</x:v>
      </x:c>
      <x:c r="C68" s="5" t="str">
        <x:v>Élzárás / élanyag igazolása</x:v>
      </x:c>
      <x:c r="D68" s="5" t="str">
        <x:v>NYITOTT</x:v>
      </x:c>
      <x:c r="E68" s="5" t="str">
        <x:v>NYITOTT</x:v>
      </x:c>
      <x:c r="F68" s="5" t="str">
        <x:v>NYITOTT</x:v>
      </x:c>
      <x:c r="G68" s="5" t="str">
        <x:v>NYITOTT</x:v>
      </x:c>
      <x:c r="H68" s="5" t="str">
        <x:v>NYITOTT</x:v>
      </x:c>
      <x:c r="I68" s="5" t="str">
        <x:v>NYITOTT</x:v>
      </x:c>
      <x:c r="J68" s="5" t="str">
        <x:v>NEM KIVALASZTOTT</x:v>
      </x:c>
      <x:c r="K68" s="5" t="str">
        <x:v>NINCS NC MOZGAS</x:v>
      </x:c>
    </x:row>
    <x:row r="69" ht="36" customHeight="1">
      <x:c r="A69" s="5" t="str">
        <x:v>KI12-TV02S-03</x:v>
      </x:c>
      <x:c r="B69" s="5" t="n">
        <x:v>3</x:v>
      </x:c>
      <x:c r="C69" s="5" t="str">
        <x:v>Korpusz: Ø8×30 csap javaslat; részletes pontok a Kotopontok lapon</x:v>
      </x:c>
      <x:c r="D69" s="5" t="str">
        <x:v>NYITOTT</x:v>
      </x:c>
      <x:c r="E69" s="5" t="str">
        <x:v>NYITOTT</x:v>
      </x:c>
      <x:c r="F69" s="5" t="str">
        <x:v>NYITOTT</x:v>
      </x:c>
      <x:c r="G69" s="5" t="str">
        <x:v>NYITOTT</x:v>
      </x:c>
      <x:c r="H69" s="5" t="str">
        <x:v>NYITOTT</x:v>
      </x:c>
      <x:c r="I69" s="5" t="str">
        <x:v>NYITOTT</x:v>
      </x:c>
      <x:c r="J69" s="5" t="str">
        <x:v>NEM KIVALASZTOTT</x:v>
      </x:c>
      <x:c r="K69" s="5" t="str">
        <x:v>NINCS NC MOZGAS</x:v>
      </x:c>
    </x:row>
    <x:row r="70" ht="36" customHeight="1">
      <x:c r="A70" s="5" t="str">
        <x:v>KI12-TV02S-03</x:v>
      </x:c>
      <x:c r="B70" s="5" t="n">
        <x:v>4</x:v>
      </x:c>
      <x:c r="C70" s="5" t="str">
        <x:v>Polctartó/pántfurat: oldal és vasalat szerint kiosztandó</x:v>
      </x:c>
      <x:c r="D70" s="5" t="str">
        <x:v>NYITOTT</x:v>
      </x:c>
      <x:c r="E70" s="5" t="str">
        <x:v>NYITOTT</x:v>
      </x:c>
      <x:c r="F70" s="5" t="str">
        <x:v>NYITOTT</x:v>
      </x:c>
      <x:c r="G70" s="5" t="str">
        <x:v>NYITOTT</x:v>
      </x:c>
      <x:c r="H70" s="5" t="str">
        <x:v>NYITOTT</x:v>
      </x:c>
      <x:c r="I70" s="5" t="str">
        <x:v>NYITOTT</x:v>
      </x:c>
      <x:c r="J70" s="5" t="str">
        <x:v>NEM KIVALASZTOTT</x:v>
      </x:c>
      <x:c r="K70" s="5" t="str">
        <x:v>NINCS NC MOZGAS</x:v>
      </x:c>
    </x:row>
    <x:row r="71" ht="36" customHeight="1">
      <x:c r="A71" s="5" t="str">
        <x:v>KI12-TV02S-04</x:v>
      </x:c>
      <x:c r="B71" s="5" t="n">
        <x:v>1</x:v>
      </x:c>
      <x:c r="C71" s="5" t="str">
        <x:v>Befoglaló és anyag ellenőrzése</x:v>
      </x:c>
      <x:c r="D71" s="5" t="str">
        <x:v>NYITOTT</x:v>
      </x:c>
      <x:c r="E71" s="5" t="str">
        <x:v>NYITOTT</x:v>
      </x:c>
      <x:c r="F71" s="5" t="str">
        <x:v>NYITOTT</x:v>
      </x:c>
      <x:c r="G71" s="5" t="str">
        <x:v>NYITOTT</x:v>
      </x:c>
      <x:c r="H71" s="5" t="str">
        <x:v>NYITOTT</x:v>
      </x:c>
      <x:c r="I71" s="5" t="str">
        <x:v>NYITOTT</x:v>
      </x:c>
      <x:c r="J71" s="5" t="str">
        <x:v>NEM KIVALASZTOTT</x:v>
      </x:c>
      <x:c r="K71" s="5" t="str">
        <x:v>NINCS NC MOZGAS</x:v>
      </x:c>
    </x:row>
    <x:row r="72" ht="36" customHeight="1">
      <x:c r="A72" s="5" t="str">
        <x:v>KI12-TV02S-04</x:v>
      </x:c>
      <x:c r="B72" s="5" t="n">
        <x:v>2</x:v>
      </x:c>
      <x:c r="C72" s="5" t="str">
        <x:v>Élzárás / élanyag igazolása</x:v>
      </x:c>
      <x:c r="D72" s="5" t="str">
        <x:v>NYITOTT</x:v>
      </x:c>
      <x:c r="E72" s="5" t="str">
        <x:v>NYITOTT</x:v>
      </x:c>
      <x:c r="F72" s="5" t="str">
        <x:v>NYITOTT</x:v>
      </x:c>
      <x:c r="G72" s="5" t="str">
        <x:v>NYITOTT</x:v>
      </x:c>
      <x:c r="H72" s="5" t="str">
        <x:v>NYITOTT</x:v>
      </x:c>
      <x:c r="I72" s="5" t="str">
        <x:v>NYITOTT</x:v>
      </x:c>
      <x:c r="J72" s="5" t="str">
        <x:v>NEM KIVALASZTOTT</x:v>
      </x:c>
      <x:c r="K72" s="5" t="str">
        <x:v>NINCS NC MOZGAS</x:v>
      </x:c>
    </x:row>
    <x:row r="73" ht="36" customHeight="1">
      <x:c r="A73" s="5" t="str">
        <x:v>KI12-TV02S-04</x:v>
      </x:c>
      <x:c r="B73" s="5" t="n">
        <x:v>3</x:v>
      </x:c>
      <x:c r="C73" s="5" t="str">
        <x:v>Korpusz: Ø8×30 csap javaslat; részletes pontok a Kotopontok lapon</x:v>
      </x:c>
      <x:c r="D73" s="5" t="str">
        <x:v>NYITOTT</x:v>
      </x:c>
      <x:c r="E73" s="5" t="str">
        <x:v>NYITOTT</x:v>
      </x:c>
      <x:c r="F73" s="5" t="str">
        <x:v>NYITOTT</x:v>
      </x:c>
      <x:c r="G73" s="5" t="str">
        <x:v>NYITOTT</x:v>
      </x:c>
      <x:c r="H73" s="5" t="str">
        <x:v>NYITOTT</x:v>
      </x:c>
      <x:c r="I73" s="5" t="str">
        <x:v>NYITOTT</x:v>
      </x:c>
      <x:c r="J73" s="5" t="str">
        <x:v>NEM KIVALASZTOTT</x:v>
      </x:c>
      <x:c r="K73" s="5" t="str">
        <x:v>NINCS NC MOZGAS</x:v>
      </x:c>
    </x:row>
    <x:row r="74" ht="36" customHeight="1">
      <x:c r="A74" s="5" t="str">
        <x:v>KI12-TV02S-04</x:v>
      </x:c>
      <x:c r="B74" s="5" t="n">
        <x:v>4</x:v>
      </x:c>
      <x:c r="C74" s="5" t="str">
        <x:v>Polctartó/pántfurat: oldal és vasalat szerint kiosztandó</x:v>
      </x:c>
      <x:c r="D74" s="5" t="str">
        <x:v>NYITOTT</x:v>
      </x:c>
      <x:c r="E74" s="5" t="str">
        <x:v>NYITOTT</x:v>
      </x:c>
      <x:c r="F74" s="5" t="str">
        <x:v>NYITOTT</x:v>
      </x:c>
      <x:c r="G74" s="5" t="str">
        <x:v>NYITOTT</x:v>
      </x:c>
      <x:c r="H74" s="5" t="str">
        <x:v>NYITOTT</x:v>
      </x:c>
      <x:c r="I74" s="5" t="str">
        <x:v>NYITOTT</x:v>
      </x:c>
      <x:c r="J74" s="5" t="str">
        <x:v>NEM KIVALASZTOTT</x:v>
      </x:c>
      <x:c r="K74" s="5" t="str">
        <x:v>NINCS NC MOZGAS</x:v>
      </x:c>
    </x:row>
    <x:row r="75" ht="36" customHeight="1">
      <x:c r="A75" s="5" t="str">
        <x:v>KI12-TV02S-05</x:v>
      </x:c>
      <x:c r="B75" s="5" t="n">
        <x:v>1</x:v>
      </x:c>
      <x:c r="C75" s="5" t="str">
        <x:v>Befoglaló és anyag ellenőrzése</x:v>
      </x:c>
      <x:c r="D75" s="5" t="str">
        <x:v>NYITOTT</x:v>
      </x:c>
      <x:c r="E75" s="5" t="str">
        <x:v>NYITOTT</x:v>
      </x:c>
      <x:c r="F75" s="5" t="str">
        <x:v>NYITOTT</x:v>
      </x:c>
      <x:c r="G75" s="5" t="str">
        <x:v>NYITOTT</x:v>
      </x:c>
      <x:c r="H75" s="5" t="str">
        <x:v>NYITOTT</x:v>
      </x:c>
      <x:c r="I75" s="5" t="str">
        <x:v>NYITOTT</x:v>
      </x:c>
      <x:c r="J75" s="5" t="str">
        <x:v>NEM KIVALASZTOTT</x:v>
      </x:c>
      <x:c r="K75" s="5" t="str">
        <x:v>NINCS NC MOZGAS</x:v>
      </x:c>
    </x:row>
    <x:row r="76" ht="36" customHeight="1">
      <x:c r="A76" s="5" t="str">
        <x:v>KI12-TV02S-05</x:v>
      </x:c>
      <x:c r="B76" s="5" t="n">
        <x:v>2</x:v>
      </x:c>
      <x:c r="C76" s="5" t="str">
        <x:v>Élzárás / élanyag igazolása</x:v>
      </x:c>
      <x:c r="D76" s="5" t="str">
        <x:v>NYITOTT</x:v>
      </x:c>
      <x:c r="E76" s="5" t="str">
        <x:v>NYITOTT</x:v>
      </x:c>
      <x:c r="F76" s="5" t="str">
        <x:v>NYITOTT</x:v>
      </x:c>
      <x:c r="G76" s="5" t="str">
        <x:v>NYITOTT</x:v>
      </x:c>
      <x:c r="H76" s="5" t="str">
        <x:v>NYITOTT</x:v>
      </x:c>
      <x:c r="I76" s="5" t="str">
        <x:v>NYITOTT</x:v>
      </x:c>
      <x:c r="J76" s="5" t="str">
        <x:v>NEM KIVALASZTOTT</x:v>
      </x:c>
      <x:c r="K76" s="5" t="str">
        <x:v>NINCS NC MOZGAS</x:v>
      </x:c>
    </x:row>
    <x:row r="77" ht="36" customHeight="1">
      <x:c r="A77" s="5" t="str">
        <x:v>KI12-TV02S-05</x:v>
      </x:c>
      <x:c r="B77" s="5" t="n">
        <x:v>3</x:v>
      </x:c>
      <x:c r="C77" s="5" t="str">
        <x:v>Korpusz: Ø8×30 csap javaslat; részletes pontok a Kotopontok lapon</x:v>
      </x:c>
      <x:c r="D77" s="5" t="str">
        <x:v>NYITOTT</x:v>
      </x:c>
      <x:c r="E77" s="5" t="str">
        <x:v>NYITOTT</x:v>
      </x:c>
      <x:c r="F77" s="5" t="str">
        <x:v>NYITOTT</x:v>
      </x:c>
      <x:c r="G77" s="5" t="str">
        <x:v>NYITOTT</x:v>
      </x:c>
      <x:c r="H77" s="5" t="str">
        <x:v>NYITOTT</x:v>
      </x:c>
      <x:c r="I77" s="5" t="str">
        <x:v>NYITOTT</x:v>
      </x:c>
      <x:c r="J77" s="5" t="str">
        <x:v>NEM KIVALASZTOTT</x:v>
      </x:c>
      <x:c r="K77" s="5" t="str">
        <x:v>NINCS NC MOZGAS</x:v>
      </x:c>
    </x:row>
    <x:row r="78" ht="36" customHeight="1">
      <x:c r="A78" s="5" t="str">
        <x:v>KI12-TV02S-05</x:v>
      </x:c>
      <x:c r="B78" s="5" t="n">
        <x:v>4</x:v>
      </x:c>
      <x:c r="C78" s="5" t="str">
        <x:v>Polctartó/pántfurat: oldal és vasalat szerint kiosztandó</x:v>
      </x:c>
      <x:c r="D78" s="5" t="str">
        <x:v>NYITOTT</x:v>
      </x:c>
      <x:c r="E78" s="5" t="str">
        <x:v>NYITOTT</x:v>
      </x:c>
      <x:c r="F78" s="5" t="str">
        <x:v>NYITOTT</x:v>
      </x:c>
      <x:c r="G78" s="5" t="str">
        <x:v>NYITOTT</x:v>
      </x:c>
      <x:c r="H78" s="5" t="str">
        <x:v>NYITOTT</x:v>
      </x:c>
      <x:c r="I78" s="5" t="str">
        <x:v>NYITOTT</x:v>
      </x:c>
      <x:c r="J78" s="5" t="str">
        <x:v>NEM KIVALASZTOTT</x:v>
      </x:c>
      <x:c r="K78" s="5" t="str">
        <x:v>NINCS NC MOZGAS</x:v>
      </x:c>
    </x:row>
    <x:row r="79" ht="36" customHeight="1">
      <x:c r="A79" s="5" t="str">
        <x:v>KI12-TV02S-06</x:v>
      </x:c>
      <x:c r="B79" s="5" t="n">
        <x:v>1</x:v>
      </x:c>
      <x:c r="C79" s="5" t="str">
        <x:v>Befoglaló és anyag ellenőrzése</x:v>
      </x:c>
      <x:c r="D79" s="5" t="str">
        <x:v>NYITOTT</x:v>
      </x:c>
      <x:c r="E79" s="5" t="str">
        <x:v>NYITOTT</x:v>
      </x:c>
      <x:c r="F79" s="5" t="str">
        <x:v>NYITOTT</x:v>
      </x:c>
      <x:c r="G79" s="5" t="str">
        <x:v>NYITOTT</x:v>
      </x:c>
      <x:c r="H79" s="5" t="str">
        <x:v>NYITOTT</x:v>
      </x:c>
      <x:c r="I79" s="5" t="str">
        <x:v>NYITOTT</x:v>
      </x:c>
      <x:c r="J79" s="5" t="str">
        <x:v>NEM KIVALASZTOTT</x:v>
      </x:c>
      <x:c r="K79" s="5" t="str">
        <x:v>NINCS NC MOZGAS</x:v>
      </x:c>
    </x:row>
    <x:row r="80" ht="36" customHeight="1">
      <x:c r="A80" s="5" t="str">
        <x:v>KI12-TV02S-06</x:v>
      </x:c>
      <x:c r="B80" s="5" t="n">
        <x:v>2</x:v>
      </x:c>
      <x:c r="C80" s="5" t="str">
        <x:v>Élzárás / élanyag igazolása</x:v>
      </x:c>
      <x:c r="D80" s="5" t="str">
        <x:v>NYITOTT</x:v>
      </x:c>
      <x:c r="E80" s="5" t="str">
        <x:v>NYITOTT</x:v>
      </x:c>
      <x:c r="F80" s="5" t="str">
        <x:v>NYITOTT</x:v>
      </x:c>
      <x:c r="G80" s="5" t="str">
        <x:v>NYITOTT</x:v>
      </x:c>
      <x:c r="H80" s="5" t="str">
        <x:v>NYITOTT</x:v>
      </x:c>
      <x:c r="I80" s="5" t="str">
        <x:v>NYITOTT</x:v>
      </x:c>
      <x:c r="J80" s="5" t="str">
        <x:v>NEM KIVALASZTOTT</x:v>
      </x:c>
      <x:c r="K80" s="5" t="str">
        <x:v>NINCS NC MOZGAS</x:v>
      </x:c>
    </x:row>
    <x:row r="81" ht="36" customHeight="1">
      <x:c r="A81" s="5" t="str">
        <x:v>KI12-TV02S-06</x:v>
      </x:c>
      <x:c r="B81" s="5" t="n">
        <x:v>3</x:v>
      </x:c>
      <x:c r="C81" s="5" t="str">
        <x:v>Korpusz: Ø8×30 csap javaslat; részletes pontok a Kotopontok lapon</x:v>
      </x:c>
      <x:c r="D81" s="5" t="str">
        <x:v>NYITOTT</x:v>
      </x:c>
      <x:c r="E81" s="5" t="str">
        <x:v>NYITOTT</x:v>
      </x:c>
      <x:c r="F81" s="5" t="str">
        <x:v>NYITOTT</x:v>
      </x:c>
      <x:c r="G81" s="5" t="str">
        <x:v>NYITOTT</x:v>
      </x:c>
      <x:c r="H81" s="5" t="str">
        <x:v>NYITOTT</x:v>
      </x:c>
      <x:c r="I81" s="5" t="str">
        <x:v>NYITOTT</x:v>
      </x:c>
      <x:c r="J81" s="5" t="str">
        <x:v>NEM KIVALASZTOTT</x:v>
      </x:c>
      <x:c r="K81" s="5" t="str">
        <x:v>NINCS NC MOZGAS</x:v>
      </x:c>
    </x:row>
    <x:row r="82" ht="36" customHeight="1">
      <x:c r="A82" s="5" t="str">
        <x:v>KI12-TV02S-06</x:v>
      </x:c>
      <x:c r="B82" s="5" t="n">
        <x:v>4</x:v>
      </x:c>
      <x:c r="C82" s="5" t="str">
        <x:v>Polctartó/pántfurat: oldal és vasalat szerint kiosztandó</x:v>
      </x:c>
      <x:c r="D82" s="5" t="str">
        <x:v>NYITOTT</x:v>
      </x:c>
      <x:c r="E82" s="5" t="str">
        <x:v>NYITOTT</x:v>
      </x:c>
      <x:c r="F82" s="5" t="str">
        <x:v>NYITOTT</x:v>
      </x:c>
      <x:c r="G82" s="5" t="str">
        <x:v>NYITOTT</x:v>
      </x:c>
      <x:c r="H82" s="5" t="str">
        <x:v>NYITOTT</x:v>
      </x:c>
      <x:c r="I82" s="5" t="str">
        <x:v>NYITOTT</x:v>
      </x:c>
      <x:c r="J82" s="5" t="str">
        <x:v>NEM KIVALASZTOTT</x:v>
      </x:c>
      <x:c r="K82" s="5" t="str">
        <x:v>NINCS NC MOZGAS</x:v>
      </x:c>
    </x:row>
    <x:row r="83" ht="36" customHeight="1">
      <x:c r="A83" s="5" t="str">
        <x:v>KI12-TV02S-07</x:v>
      </x:c>
      <x:c r="B83" s="5" t="n">
        <x:v>1</x:v>
      </x:c>
      <x:c r="C83" s="5" t="str">
        <x:v>Befoglaló és anyag ellenőrzése</x:v>
      </x:c>
      <x:c r="D83" s="5" t="str">
        <x:v>NYITOTT</x:v>
      </x:c>
      <x:c r="E83" s="5" t="str">
        <x:v>NYITOTT</x:v>
      </x:c>
      <x:c r="F83" s="5" t="str">
        <x:v>NYITOTT</x:v>
      </x:c>
      <x:c r="G83" s="5" t="str">
        <x:v>NYITOTT</x:v>
      </x:c>
      <x:c r="H83" s="5" t="str">
        <x:v>NYITOTT</x:v>
      </x:c>
      <x:c r="I83" s="5" t="str">
        <x:v>NYITOTT</x:v>
      </x:c>
      <x:c r="J83" s="5" t="str">
        <x:v>NEM KIVALASZTOTT</x:v>
      </x:c>
      <x:c r="K83" s="5" t="str">
        <x:v>NINCS NC MOZGAS</x:v>
      </x:c>
    </x:row>
    <x:row r="84" ht="36" customHeight="1">
      <x:c r="A84" s="5" t="str">
        <x:v>KI12-TV02S-07</x:v>
      </x:c>
      <x:c r="B84" s="5" t="n">
        <x:v>2</x:v>
      </x:c>
      <x:c r="C84" s="5" t="str">
        <x:v>Élzárás / élanyag igazolása</x:v>
      </x:c>
      <x:c r="D84" s="5" t="str">
        <x:v>NYITOTT</x:v>
      </x:c>
      <x:c r="E84" s="5" t="str">
        <x:v>NYITOTT</x:v>
      </x:c>
      <x:c r="F84" s="5" t="str">
        <x:v>NYITOTT</x:v>
      </x:c>
      <x:c r="G84" s="5" t="str">
        <x:v>NYITOTT</x:v>
      </x:c>
      <x:c r="H84" s="5" t="str">
        <x:v>NYITOTT</x:v>
      </x:c>
      <x:c r="I84" s="5" t="str">
        <x:v>NYITOTT</x:v>
      </x:c>
      <x:c r="J84" s="5" t="str">
        <x:v>NEM KIVALASZTOTT</x:v>
      </x:c>
      <x:c r="K84" s="5" t="str">
        <x:v>NINCS NC MOZGAS</x:v>
      </x:c>
    </x:row>
    <x:row r="85" ht="36" customHeight="1">
      <x:c r="A85" s="5" t="str">
        <x:v>KI12-TV02S-07</x:v>
      </x:c>
      <x:c r="B85" s="5" t="n">
        <x:v>3</x:v>
      </x:c>
      <x:c r="C85" s="5" t="str">
        <x:v>Korpusz: Ø8×30 csap javaslat; részletes pontok a Kotopontok lapon</x:v>
      </x:c>
      <x:c r="D85" s="5" t="str">
        <x:v>NYITOTT</x:v>
      </x:c>
      <x:c r="E85" s="5" t="str">
        <x:v>NYITOTT</x:v>
      </x:c>
      <x:c r="F85" s="5" t="str">
        <x:v>NYITOTT</x:v>
      </x:c>
      <x:c r="G85" s="5" t="str">
        <x:v>NYITOTT</x:v>
      </x:c>
      <x:c r="H85" s="5" t="str">
        <x:v>NYITOTT</x:v>
      </x:c>
      <x:c r="I85" s="5" t="str">
        <x:v>NYITOTT</x:v>
      </x:c>
      <x:c r="J85" s="5" t="str">
        <x:v>NEM KIVALASZTOTT</x:v>
      </x:c>
      <x:c r="K85" s="5" t="str">
        <x:v>NINCS NC MOZGAS</x:v>
      </x:c>
    </x:row>
    <x:row r="86" ht="36" customHeight="1">
      <x:c r="A86" s="5" t="str">
        <x:v>KI12-TV02S-07</x:v>
      </x:c>
      <x:c r="B86" s="5" t="n">
        <x:v>4</x:v>
      </x:c>
      <x:c r="C86" s="5" t="str">
        <x:v>Polctartó/pántfurat: oldal és vasalat szerint kiosztandó</x:v>
      </x:c>
      <x:c r="D86" s="5" t="str">
        <x:v>NYITOTT</x:v>
      </x:c>
      <x:c r="E86" s="5" t="str">
        <x:v>NYITOTT</x:v>
      </x:c>
      <x:c r="F86" s="5" t="str">
        <x:v>NYITOTT</x:v>
      </x:c>
      <x:c r="G86" s="5" t="str">
        <x:v>NYITOTT</x:v>
      </x:c>
      <x:c r="H86" s="5" t="str">
        <x:v>NYITOTT</x:v>
      </x:c>
      <x:c r="I86" s="5" t="str">
        <x:v>NYITOTT</x:v>
      </x:c>
      <x:c r="J86" s="5" t="str">
        <x:v>NEM KIVALASZTOTT</x:v>
      </x:c>
      <x:c r="K86" s="5" t="str">
        <x:v>NINCS NC MOZGAS</x:v>
      </x:c>
    </x:row>
    <x:row r="87" ht="36" customHeight="1">
      <x:c r="A87" s="5" t="str">
        <x:v>KI12-TV02S-08</x:v>
      </x:c>
      <x:c r="B87" s="5" t="n">
        <x:v>1</x:v>
      </x:c>
      <x:c r="C87" s="5" t="str">
        <x:v>Befoglaló és anyag ellenőrzése</x:v>
      </x:c>
      <x:c r="D87" s="5" t="str">
        <x:v>NYITOTT</x:v>
      </x:c>
      <x:c r="E87" s="5" t="str">
        <x:v>NYITOTT</x:v>
      </x:c>
      <x:c r="F87" s="5" t="str">
        <x:v>NYITOTT</x:v>
      </x:c>
      <x:c r="G87" s="5" t="str">
        <x:v>NYITOTT</x:v>
      </x:c>
      <x:c r="H87" s="5" t="str">
        <x:v>NYITOTT</x:v>
      </x:c>
      <x:c r="I87" s="5" t="str">
        <x:v>NYITOTT</x:v>
      </x:c>
      <x:c r="J87" s="5" t="str">
        <x:v>NEM KIVALASZTOTT</x:v>
      </x:c>
      <x:c r="K87" s="5" t="str">
        <x:v>NINCS NC MOZGAS</x:v>
      </x:c>
    </x:row>
    <x:row r="88" ht="36" customHeight="1">
      <x:c r="A88" s="5" t="str">
        <x:v>KI12-TV02S-08</x:v>
      </x:c>
      <x:c r="B88" s="5" t="n">
        <x:v>2</x:v>
      </x:c>
      <x:c r="C88" s="5" t="str">
        <x:v>Élzárás / élanyag igazolása</x:v>
      </x:c>
      <x:c r="D88" s="5" t="str">
        <x:v>NYITOTT</x:v>
      </x:c>
      <x:c r="E88" s="5" t="str">
        <x:v>NYITOTT</x:v>
      </x:c>
      <x:c r="F88" s="5" t="str">
        <x:v>NYITOTT</x:v>
      </x:c>
      <x:c r="G88" s="5" t="str">
        <x:v>NYITOTT</x:v>
      </x:c>
      <x:c r="H88" s="5" t="str">
        <x:v>NYITOTT</x:v>
      </x:c>
      <x:c r="I88" s="5" t="str">
        <x:v>NYITOTT</x:v>
      </x:c>
      <x:c r="J88" s="5" t="str">
        <x:v>NEM KIVALASZTOTT</x:v>
      </x:c>
      <x:c r="K88" s="5" t="str">
        <x:v>NINCS NC MOZGAS</x:v>
      </x:c>
    </x:row>
    <x:row r="89" ht="36" customHeight="1">
      <x:c r="A89" s="5" t="str">
        <x:v>KI12-TV02S-08</x:v>
      </x:c>
      <x:c r="B89" s="5" t="n">
        <x:v>3</x:v>
      </x:c>
      <x:c r="C89" s="5" t="str">
        <x:v>Korpusz: Ø8×30 csap javaslat; részletes pontok a Kotopontok lapon</x:v>
      </x:c>
      <x:c r="D89" s="5" t="str">
        <x:v>NYITOTT</x:v>
      </x:c>
      <x:c r="E89" s="5" t="str">
        <x:v>NYITOTT</x:v>
      </x:c>
      <x:c r="F89" s="5" t="str">
        <x:v>NYITOTT</x:v>
      </x:c>
      <x:c r="G89" s="5" t="str">
        <x:v>NYITOTT</x:v>
      </x:c>
      <x:c r="H89" s="5" t="str">
        <x:v>NYITOTT</x:v>
      </x:c>
      <x:c r="I89" s="5" t="str">
        <x:v>NYITOTT</x:v>
      </x:c>
      <x:c r="J89" s="5" t="str">
        <x:v>NEM KIVALASZTOTT</x:v>
      </x:c>
      <x:c r="K89" s="5" t="str">
        <x:v>NINCS NC MOZGAS</x:v>
      </x:c>
    </x:row>
    <x:row r="90" ht="36" customHeight="1">
      <x:c r="A90" s="5" t="str">
        <x:v>KI12-TV02S-08</x:v>
      </x:c>
      <x:c r="B90" s="5" t="n">
        <x:v>4</x:v>
      </x:c>
      <x:c r="C90" s="5" t="str">
        <x:v>Polctartó/pántfurat: oldal és vasalat szerint kiosztandó</x:v>
      </x:c>
      <x:c r="D90" s="5" t="str">
        <x:v>NYITOTT</x:v>
      </x:c>
      <x:c r="E90" s="5" t="str">
        <x:v>NYITOTT</x:v>
      </x:c>
      <x:c r="F90" s="5" t="str">
        <x:v>NYITOTT</x:v>
      </x:c>
      <x:c r="G90" s="5" t="str">
        <x:v>NYITOTT</x:v>
      </x:c>
      <x:c r="H90" s="5" t="str">
        <x:v>NYITOTT</x:v>
      </x:c>
      <x:c r="I90" s="5" t="str">
        <x:v>NYITOTT</x:v>
      </x:c>
      <x:c r="J90" s="5" t="str">
        <x:v>NEM KIVALASZTOTT</x:v>
      </x:c>
      <x:c r="K90" s="5" t="str">
        <x:v>NINCS NC MOZGAS</x:v>
      </x:c>
    </x:row>
    <x:row r="91" ht="36" customHeight="1">
      <x:c r="A91" s="5" t="str">
        <x:v>KI12-TV02S-09</x:v>
      </x:c>
      <x:c r="B91" s="5" t="n">
        <x:v>1</x:v>
      </x:c>
      <x:c r="C91" s="5" t="str">
        <x:v>Befoglaló és anyag ellenőrzése</x:v>
      </x:c>
      <x:c r="D91" s="5" t="str">
        <x:v>NYITOTT</x:v>
      </x:c>
      <x:c r="E91" s="5" t="str">
        <x:v>NYITOTT</x:v>
      </x:c>
      <x:c r="F91" s="5" t="str">
        <x:v>NYITOTT</x:v>
      </x:c>
      <x:c r="G91" s="5" t="str">
        <x:v>NYITOTT</x:v>
      </x:c>
      <x:c r="H91" s="5" t="str">
        <x:v>NYITOTT</x:v>
      </x:c>
      <x:c r="I91" s="5" t="str">
        <x:v>NYITOTT</x:v>
      </x:c>
      <x:c r="J91" s="5" t="str">
        <x:v>NEM KIVALASZTOTT</x:v>
      </x:c>
      <x:c r="K91" s="5" t="str">
        <x:v>NINCS NC MOZGAS</x:v>
      </x:c>
    </x:row>
    <x:row r="92" ht="36" customHeight="1">
      <x:c r="A92" s="5" t="str">
        <x:v>KI12-TV02S-09</x:v>
      </x:c>
      <x:c r="B92" s="5" t="n">
        <x:v>2</x:v>
      </x:c>
      <x:c r="C92" s="5" t="str">
        <x:v>Élzárás / élanyag igazolása</x:v>
      </x:c>
      <x:c r="D92" s="5" t="str">
        <x:v>NYITOTT</x:v>
      </x:c>
      <x:c r="E92" s="5" t="str">
        <x:v>NYITOTT</x:v>
      </x:c>
      <x:c r="F92" s="5" t="str">
        <x:v>NYITOTT</x:v>
      </x:c>
      <x:c r="G92" s="5" t="str">
        <x:v>NYITOTT</x:v>
      </x:c>
      <x:c r="H92" s="5" t="str">
        <x:v>NYITOTT</x:v>
      </x:c>
      <x:c r="I92" s="5" t="str">
        <x:v>NYITOTT</x:v>
      </x:c>
      <x:c r="J92" s="5" t="str">
        <x:v>NEM KIVALASZTOTT</x:v>
      </x:c>
      <x:c r="K92" s="5" t="str">
        <x:v>NINCS NC MOZGAS</x:v>
      </x:c>
    </x:row>
    <x:row r="93" ht="36" customHeight="1">
      <x:c r="A93" s="5" t="str">
        <x:v>KI12-TV02S-09</x:v>
      </x:c>
      <x:c r="B93" s="5" t="n">
        <x:v>3</x:v>
      </x:c>
      <x:c r="C93" s="5" t="str">
        <x:v>Korpusz: Ø8×30 csap javaslat; részletes pontok a Kotopontok lapon</x:v>
      </x:c>
      <x:c r="D93" s="5" t="str">
        <x:v>NYITOTT</x:v>
      </x:c>
      <x:c r="E93" s="5" t="str">
        <x:v>NYITOTT</x:v>
      </x:c>
      <x:c r="F93" s="5" t="str">
        <x:v>NYITOTT</x:v>
      </x:c>
      <x:c r="G93" s="5" t="str">
        <x:v>NYITOTT</x:v>
      </x:c>
      <x:c r="H93" s="5" t="str">
        <x:v>NYITOTT</x:v>
      </x:c>
      <x:c r="I93" s="5" t="str">
        <x:v>NYITOTT</x:v>
      </x:c>
      <x:c r="J93" s="5" t="str">
        <x:v>NEM KIVALASZTOTT</x:v>
      </x:c>
      <x:c r="K93" s="5" t="str">
        <x:v>NINCS NC MOZGAS</x:v>
      </x:c>
    </x:row>
    <x:row r="94" ht="36" customHeight="1">
      <x:c r="A94" s="5" t="str">
        <x:v>KI12-TV02S-09</x:v>
      </x:c>
      <x:c r="B94" s="5" t="n">
        <x:v>4</x:v>
      </x:c>
      <x:c r="C94" s="5" t="str">
        <x:v>Polctartó/pántfurat: oldal és vasalat szerint kiosztandó</x:v>
      </x:c>
      <x:c r="D94" s="5" t="str">
        <x:v>NYITOTT</x:v>
      </x:c>
      <x:c r="E94" s="5" t="str">
        <x:v>NYITOTT</x:v>
      </x:c>
      <x:c r="F94" s="5" t="str">
        <x:v>NYITOTT</x:v>
      </x:c>
      <x:c r="G94" s="5" t="str">
        <x:v>NYITOTT</x:v>
      </x:c>
      <x:c r="H94" s="5" t="str">
        <x:v>NYITOTT</x:v>
      </x:c>
      <x:c r="I94" s="5" t="str">
        <x:v>NYITOTT</x:v>
      </x:c>
      <x:c r="J94" s="5" t="str">
        <x:v>NEM KIVALASZTOTT</x:v>
      </x:c>
      <x:c r="K94" s="5" t="str">
        <x:v>NINCS NC MOZGAS</x:v>
      </x:c>
    </x:row>
    <x:row r="95" ht="36" customHeight="1">
      <x:c r="A95" s="5" t="str">
        <x:v>KI12-TV02S-10</x:v>
      </x:c>
      <x:c r="B95" s="5" t="n">
        <x:v>1</x:v>
      </x:c>
      <x:c r="C95" s="5" t="str">
        <x:v>Befoglaló és anyag ellenőrzése</x:v>
      </x:c>
      <x:c r="D95" s="5" t="str">
        <x:v>NYITOTT</x:v>
      </x:c>
      <x:c r="E95" s="5" t="str">
        <x:v>NYITOTT</x:v>
      </x:c>
      <x:c r="F95" s="5" t="str">
        <x:v>NYITOTT</x:v>
      </x:c>
      <x:c r="G95" s="5" t="str">
        <x:v>NYITOTT</x:v>
      </x:c>
      <x:c r="H95" s="5" t="str">
        <x:v>NYITOTT</x:v>
      </x:c>
      <x:c r="I95" s="5" t="str">
        <x:v>NYITOTT</x:v>
      </x:c>
      <x:c r="J95" s="5" t="str">
        <x:v>NEM KIVALASZTOTT</x:v>
      </x:c>
      <x:c r="K95" s="5" t="str">
        <x:v>NINCS NC MOZGAS</x:v>
      </x:c>
    </x:row>
    <x:row r="96" ht="36" customHeight="1">
      <x:c r="A96" s="5" t="str">
        <x:v>KI12-TV02S-10</x:v>
      </x:c>
      <x:c r="B96" s="5" t="n">
        <x:v>2</x:v>
      </x:c>
      <x:c r="C96" s="5" t="str">
        <x:v>Élzárás / élanyag igazolása</x:v>
      </x:c>
      <x:c r="D96" s="5" t="str">
        <x:v>NYITOTT</x:v>
      </x:c>
      <x:c r="E96" s="5" t="str">
        <x:v>NYITOTT</x:v>
      </x:c>
      <x:c r="F96" s="5" t="str">
        <x:v>NYITOTT</x:v>
      </x:c>
      <x:c r="G96" s="5" t="str">
        <x:v>NYITOTT</x:v>
      </x:c>
      <x:c r="H96" s="5" t="str">
        <x:v>NYITOTT</x:v>
      </x:c>
      <x:c r="I96" s="5" t="str">
        <x:v>NYITOTT</x:v>
      </x:c>
      <x:c r="J96" s="5" t="str">
        <x:v>NEM KIVALASZTOTT</x:v>
      </x:c>
      <x:c r="K96" s="5" t="str">
        <x:v>NINCS NC MOZGAS</x:v>
      </x:c>
    </x:row>
    <x:row r="97" ht="36" customHeight="1">
      <x:c r="A97" s="5" t="str">
        <x:v>KI12-TV02S-10</x:v>
      </x:c>
      <x:c r="B97" s="5" t="n">
        <x:v>3</x:v>
      </x:c>
      <x:c r="C97" s="5" t="str">
        <x:v>Korpusz: Ø8×30 csap javaslat; részletes pontok a Kotopontok lapon</x:v>
      </x:c>
      <x:c r="D97" s="5" t="str">
        <x:v>NYITOTT</x:v>
      </x:c>
      <x:c r="E97" s="5" t="str">
        <x:v>NYITOTT</x:v>
      </x:c>
      <x:c r="F97" s="5" t="str">
        <x:v>NYITOTT</x:v>
      </x:c>
      <x:c r="G97" s="5" t="str">
        <x:v>NYITOTT</x:v>
      </x:c>
      <x:c r="H97" s="5" t="str">
        <x:v>NYITOTT</x:v>
      </x:c>
      <x:c r="I97" s="5" t="str">
        <x:v>NYITOTT</x:v>
      </x:c>
      <x:c r="J97" s="5" t="str">
        <x:v>NEM KIVALASZTOTT</x:v>
      </x:c>
      <x:c r="K97" s="5" t="str">
        <x:v>NINCS NC MOZGAS</x:v>
      </x:c>
    </x:row>
    <x:row r="98" ht="36" customHeight="1">
      <x:c r="A98" s="5" t="str">
        <x:v>KI12-TV02S-10</x:v>
      </x:c>
      <x:c r="B98" s="5" t="n">
        <x:v>4</x:v>
      </x:c>
      <x:c r="C98" s="5" t="str">
        <x:v>Polctartó/pántfurat: oldal és vasalat szerint kiosztandó</x:v>
      </x:c>
      <x:c r="D98" s="5" t="str">
        <x:v>NYITOTT</x:v>
      </x:c>
      <x:c r="E98" s="5" t="str">
        <x:v>NYITOTT</x:v>
      </x:c>
      <x:c r="F98" s="5" t="str">
        <x:v>NYITOTT</x:v>
      </x:c>
      <x:c r="G98" s="5" t="str">
        <x:v>NYITOTT</x:v>
      </x:c>
      <x:c r="H98" s="5" t="str">
        <x:v>NYITOTT</x:v>
      </x:c>
      <x:c r="I98" s="5" t="str">
        <x:v>NYITOTT</x:v>
      </x:c>
      <x:c r="J98" s="5" t="str">
        <x:v>NEM KIVALASZTOTT</x:v>
      </x:c>
      <x:c r="K98" s="5" t="str">
        <x:v>NINCS NC MOZGAS</x:v>
      </x:c>
    </x:row>
    <x:row r="99" ht="36" customHeight="1">
      <x:c r="A99" s="5" t="str">
        <x:v>KI12-TV02T1-01</x:v>
      </x:c>
      <x:c r="B99" s="5" t="n">
        <x:v>1</x:v>
      </x:c>
      <x:c r="C99" s="5" t="str">
        <x:v>Befoglaló és anyag ellenőrzése</x:v>
      </x:c>
      <x:c r="D99" s="5" t="str">
        <x:v>NYITOTT</x:v>
      </x:c>
      <x:c r="E99" s="5" t="str">
        <x:v>NYITOTT</x:v>
      </x:c>
      <x:c r="F99" s="5" t="str">
        <x:v>NYITOTT</x:v>
      </x:c>
      <x:c r="G99" s="5" t="str">
        <x:v>NYITOTT</x:v>
      </x:c>
      <x:c r="H99" s="5" t="str">
        <x:v>NYITOTT</x:v>
      </x:c>
      <x:c r="I99" s="5" t="str">
        <x:v>NYITOTT</x:v>
      </x:c>
      <x:c r="J99" s="5" t="str">
        <x:v>NEM KIVALASZTOTT</x:v>
      </x:c>
      <x:c r="K99" s="5" t="str">
        <x:v>NINCS NC MOZGAS</x:v>
      </x:c>
    </x:row>
    <x:row r="100" ht="36" customHeight="1">
      <x:c r="A100" s="5" t="str">
        <x:v>KI12-TV02T1-01</x:v>
      </x:c>
      <x:c r="B100" s="5" t="n">
        <x:v>2</x:v>
      </x:c>
      <x:c r="C100" s="5" t="str">
        <x:v>Élzárás / élanyag igazolása</x:v>
      </x:c>
      <x:c r="D100" s="5" t="str">
        <x:v>NYITOTT</x:v>
      </x:c>
      <x:c r="E100" s="5" t="str">
        <x:v>NYITOTT</x:v>
      </x:c>
      <x:c r="F100" s="5" t="str">
        <x:v>NYITOTT</x:v>
      </x:c>
      <x:c r="G100" s="5" t="str">
        <x:v>NYITOTT</x:v>
      </x:c>
      <x:c r="H100" s="5" t="str">
        <x:v>NYITOTT</x:v>
      </x:c>
      <x:c r="I100" s="5" t="str">
        <x:v>NYITOTT</x:v>
      </x:c>
      <x:c r="J100" s="5" t="str">
        <x:v>NEM KIVALASZTOTT</x:v>
      </x:c>
      <x:c r="K100" s="5" t="str">
        <x:v>NINCS NC MOZGAS</x:v>
      </x:c>
    </x:row>
    <x:row r="101" ht="36" customHeight="1">
      <x:c r="A101" s="5" t="str">
        <x:v>KI12-TV02T1-01</x:v>
      </x:c>
      <x:c r="B101" s="5" t="n">
        <x:v>3</x:v>
      </x:c>
      <x:c r="C101" s="5" t="str">
        <x:v>Kötés / támasz / rögzítés műhelyi jóváhagyásra</x:v>
      </x:c>
      <x:c r="D101" s="5" t="str">
        <x:v>NYITOTT</x:v>
      </x:c>
      <x:c r="E101" s="5" t="str">
        <x:v>NYITOTT</x:v>
      </x:c>
      <x:c r="F101" s="5" t="str">
        <x:v>NYITOTT</x:v>
      </x:c>
      <x:c r="G101" s="5" t="str">
        <x:v>NYITOTT</x:v>
      </x:c>
      <x:c r="H101" s="5" t="str">
        <x:v>NYITOTT</x:v>
      </x:c>
      <x:c r="I101" s="5" t="str">
        <x:v>NYITOTT</x:v>
      </x:c>
      <x:c r="J101" s="5" t="str">
        <x:v>NEM KIVALASZTOTT</x:v>
      </x:c>
      <x:c r="K101" s="5" t="str">
        <x:v>NINCS NC MOZGAS</x:v>
      </x:c>
    </x:row>
    <x:row r="102" ht="36" customHeight="1">
      <x:c r="A102" s="5" t="str">
        <x:v>KI12-TV02T2-01</x:v>
      </x:c>
      <x:c r="B102" s="5" t="n">
        <x:v>1</x:v>
      </x:c>
      <x:c r="C102" s="5" t="str">
        <x:v>Befoglaló és anyag ellenőrzése</x:v>
      </x:c>
      <x:c r="D102" s="5" t="str">
        <x:v>NYITOTT</x:v>
      </x:c>
      <x:c r="E102" s="5" t="str">
        <x:v>NYITOTT</x:v>
      </x:c>
      <x:c r="F102" s="5" t="str">
        <x:v>NYITOTT</x:v>
      </x:c>
      <x:c r="G102" s="5" t="str">
        <x:v>NYITOTT</x:v>
      </x:c>
      <x:c r="H102" s="5" t="str">
        <x:v>NYITOTT</x:v>
      </x:c>
      <x:c r="I102" s="5" t="str">
        <x:v>NYITOTT</x:v>
      </x:c>
      <x:c r="J102" s="5" t="str">
        <x:v>NEM KIVALASZTOTT</x:v>
      </x:c>
      <x:c r="K102" s="5" t="str">
        <x:v>NINCS NC MOZGAS</x:v>
      </x:c>
    </x:row>
    <x:row r="103" ht="36" customHeight="1">
      <x:c r="A103" s="5" t="str">
        <x:v>KI12-TV02T2-01</x:v>
      </x:c>
      <x:c r="B103" s="5" t="n">
        <x:v>2</x:v>
      </x:c>
      <x:c r="C103" s="5" t="str">
        <x:v>Élzárás / élanyag igazolása</x:v>
      </x:c>
      <x:c r="D103" s="5" t="str">
        <x:v>NYITOTT</x:v>
      </x:c>
      <x:c r="E103" s="5" t="str">
        <x:v>NYITOTT</x:v>
      </x:c>
      <x:c r="F103" s="5" t="str">
        <x:v>NYITOTT</x:v>
      </x:c>
      <x:c r="G103" s="5" t="str">
        <x:v>NYITOTT</x:v>
      </x:c>
      <x:c r="H103" s="5" t="str">
        <x:v>NYITOTT</x:v>
      </x:c>
      <x:c r="I103" s="5" t="str">
        <x:v>NYITOTT</x:v>
      </x:c>
      <x:c r="J103" s="5" t="str">
        <x:v>NEM KIVALASZTOTT</x:v>
      </x:c>
      <x:c r="K103" s="5" t="str">
        <x:v>NINCS NC MOZGAS</x:v>
      </x:c>
    </x:row>
    <x:row r="104" ht="36" customHeight="1">
      <x:c r="A104" s="5" t="str">
        <x:v>KI12-TV02T2-01</x:v>
      </x:c>
      <x:c r="B104" s="5" t="n">
        <x:v>3</x:v>
      </x:c>
      <x:c r="C104" s="5" t="str">
        <x:v>Kötés / támasz / rögzítés műhelyi jóváhagyásra</x:v>
      </x:c>
      <x:c r="D104" s="5" t="str">
        <x:v>NYITOTT</x:v>
      </x:c>
      <x:c r="E104" s="5" t="str">
        <x:v>NYITOTT</x:v>
      </x:c>
      <x:c r="F104" s="5" t="str">
        <x:v>NYITOTT</x:v>
      </x:c>
      <x:c r="G104" s="5" t="str">
        <x:v>NYITOTT</x:v>
      </x:c>
      <x:c r="H104" s="5" t="str">
        <x:v>NYITOTT</x:v>
      </x:c>
      <x:c r="I104" s="5" t="str">
        <x:v>NYITOTT</x:v>
      </x:c>
      <x:c r="J104" s="5" t="str">
        <x:v>NEM KIVALASZTOTT</x:v>
      </x:c>
      <x:c r="K104" s="5" t="str">
        <x:v>NINCS NC MOZGAS</x:v>
      </x:c>
    </x:row>
    <x:row r="105" ht="36" customHeight="1">
      <x:c r="A105" s="5" t="str">
        <x:v>KI12-TV02T2-02</x:v>
      </x:c>
      <x:c r="B105" s="5" t="n">
        <x:v>1</x:v>
      </x:c>
      <x:c r="C105" s="5" t="str">
        <x:v>Befoglaló és anyag ellenőrzése</x:v>
      </x:c>
      <x:c r="D105" s="5" t="str">
        <x:v>NYITOTT</x:v>
      </x:c>
      <x:c r="E105" s="5" t="str">
        <x:v>NYITOTT</x:v>
      </x:c>
      <x:c r="F105" s="5" t="str">
        <x:v>NYITOTT</x:v>
      </x:c>
      <x:c r="G105" s="5" t="str">
        <x:v>NYITOTT</x:v>
      </x:c>
      <x:c r="H105" s="5" t="str">
        <x:v>NYITOTT</x:v>
      </x:c>
      <x:c r="I105" s="5" t="str">
        <x:v>NYITOTT</x:v>
      </x:c>
      <x:c r="J105" s="5" t="str">
        <x:v>NEM KIVALASZTOTT</x:v>
      </x:c>
      <x:c r="K105" s="5" t="str">
        <x:v>NINCS NC MOZGAS</x:v>
      </x:c>
    </x:row>
    <x:row r="106" ht="36" customHeight="1">
      <x:c r="A106" s="5" t="str">
        <x:v>KI12-TV02T2-02</x:v>
      </x:c>
      <x:c r="B106" s="5" t="n">
        <x:v>2</x:v>
      </x:c>
      <x:c r="C106" s="5" t="str">
        <x:v>Élzárás / élanyag igazolása</x:v>
      </x:c>
      <x:c r="D106" s="5" t="str">
        <x:v>NYITOTT</x:v>
      </x:c>
      <x:c r="E106" s="5" t="str">
        <x:v>NYITOTT</x:v>
      </x:c>
      <x:c r="F106" s="5" t="str">
        <x:v>NYITOTT</x:v>
      </x:c>
      <x:c r="G106" s="5" t="str">
        <x:v>NYITOTT</x:v>
      </x:c>
      <x:c r="H106" s="5" t="str">
        <x:v>NYITOTT</x:v>
      </x:c>
      <x:c r="I106" s="5" t="str">
        <x:v>NYITOTT</x:v>
      </x:c>
      <x:c r="J106" s="5" t="str">
        <x:v>NEM KIVALASZTOTT</x:v>
      </x:c>
      <x:c r="K106" s="5" t="str">
        <x:v>NINCS NC MOZGAS</x:v>
      </x:c>
    </x:row>
    <x:row r="107" ht="36" customHeight="1">
      <x:c r="A107" s="5" t="str">
        <x:v>KI12-TV02T2-02</x:v>
      </x:c>
      <x:c r="B107" s="5" t="n">
        <x:v>3</x:v>
      </x:c>
      <x:c r="C107" s="5" t="str">
        <x:v>Kötés / támasz / rögzítés műhelyi jóváhagyásra</x:v>
      </x:c>
      <x:c r="D107" s="5" t="str">
        <x:v>NYITOTT</x:v>
      </x:c>
      <x:c r="E107" s="5" t="str">
        <x:v>NYITOTT</x:v>
      </x:c>
      <x:c r="F107" s="5" t="str">
        <x:v>NYITOTT</x:v>
      </x:c>
      <x:c r="G107" s="5" t="str">
        <x:v>NYITOTT</x:v>
      </x:c>
      <x:c r="H107" s="5" t="str">
        <x:v>NYITOTT</x:v>
      </x:c>
      <x:c r="I107" s="5" t="str">
        <x:v>NYITOTT</x:v>
      </x:c>
      <x:c r="J107" s="5" t="str">
        <x:v>NEM KIVALASZTOTT</x:v>
      </x:c>
      <x:c r="K107" s="5" t="str">
        <x:v>NINCS NC MOZGAS</x:v>
      </x:c>
    </x:row>
    <x:row r="108" ht="36" customHeight="1">
      <x:c r="A108" s="5" t="str">
        <x:v>KI12-TV02T2-03</x:v>
      </x:c>
      <x:c r="B108" s="5" t="n">
        <x:v>1</x:v>
      </x:c>
      <x:c r="C108" s="5" t="str">
        <x:v>Befoglaló és anyag ellenőrzése</x:v>
      </x:c>
      <x:c r="D108" s="5" t="str">
        <x:v>NYITOTT</x:v>
      </x:c>
      <x:c r="E108" s="5" t="str">
        <x:v>NYITOTT</x:v>
      </x:c>
      <x:c r="F108" s="5" t="str">
        <x:v>NYITOTT</x:v>
      </x:c>
      <x:c r="G108" s="5" t="str">
        <x:v>NYITOTT</x:v>
      </x:c>
      <x:c r="H108" s="5" t="str">
        <x:v>NYITOTT</x:v>
      </x:c>
      <x:c r="I108" s="5" t="str">
        <x:v>NYITOTT</x:v>
      </x:c>
      <x:c r="J108" s="5" t="str">
        <x:v>NEM KIVALASZTOTT</x:v>
      </x:c>
      <x:c r="K108" s="5" t="str">
        <x:v>NINCS NC MOZGAS</x:v>
      </x:c>
    </x:row>
    <x:row r="109" ht="36" customHeight="1">
      <x:c r="A109" s="5" t="str">
        <x:v>KI12-TV02T2-03</x:v>
      </x:c>
      <x:c r="B109" s="5" t="n">
        <x:v>2</x:v>
      </x:c>
      <x:c r="C109" s="5" t="str">
        <x:v>Élzárás / élanyag igazolása</x:v>
      </x:c>
      <x:c r="D109" s="5" t="str">
        <x:v>NYITOTT</x:v>
      </x:c>
      <x:c r="E109" s="5" t="str">
        <x:v>NYITOTT</x:v>
      </x:c>
      <x:c r="F109" s="5" t="str">
        <x:v>NYITOTT</x:v>
      </x:c>
      <x:c r="G109" s="5" t="str">
        <x:v>NYITOTT</x:v>
      </x:c>
      <x:c r="H109" s="5" t="str">
        <x:v>NYITOTT</x:v>
      </x:c>
      <x:c r="I109" s="5" t="str">
        <x:v>NYITOTT</x:v>
      </x:c>
      <x:c r="J109" s="5" t="str">
        <x:v>NEM KIVALASZTOTT</x:v>
      </x:c>
      <x:c r="K109" s="5" t="str">
        <x:v>NINCS NC MOZGAS</x:v>
      </x:c>
    </x:row>
    <x:row r="110" ht="36" customHeight="1">
      <x:c r="A110" s="5" t="str">
        <x:v>KI12-TV02T2-03</x:v>
      </x:c>
      <x:c r="B110" s="5" t="n">
        <x:v>3</x:v>
      </x:c>
      <x:c r="C110" s="5" t="str">
        <x:v>Kötés / támasz / rögzítés műhelyi jóváhagyásra</x:v>
      </x:c>
      <x:c r="D110" s="5" t="str">
        <x:v>NYITOTT</x:v>
      </x:c>
      <x:c r="E110" s="5" t="str">
        <x:v>NYITOTT</x:v>
      </x:c>
      <x:c r="F110" s="5" t="str">
        <x:v>NYITOTT</x:v>
      </x:c>
      <x:c r="G110" s="5" t="str">
        <x:v>NYITOTT</x:v>
      </x:c>
      <x:c r="H110" s="5" t="str">
        <x:v>NYITOTT</x:v>
      </x:c>
      <x:c r="I110" s="5" t="str">
        <x:v>NYITOTT</x:v>
      </x:c>
      <x:c r="J110" s="5" t="str">
        <x:v>NEM KIVALASZTOTT</x:v>
      </x:c>
      <x:c r="K110" s="5" t="str">
        <x:v>NINCS NC MOZGAS</x:v>
      </x:c>
    </x:row>
    <x:row r="111" ht="36" customHeight="1">
      <x:c r="A111" s="5" t="str">
        <x:v>KI12-TV02T2-04</x:v>
      </x:c>
      <x:c r="B111" s="5" t="n">
        <x:v>1</x:v>
      </x:c>
      <x:c r="C111" s="5" t="str">
        <x:v>Befoglaló és anyag ellenőrzése</x:v>
      </x:c>
      <x:c r="D111" s="5" t="str">
        <x:v>NYITOTT</x:v>
      </x:c>
      <x:c r="E111" s="5" t="str">
        <x:v>NYITOTT</x:v>
      </x:c>
      <x:c r="F111" s="5" t="str">
        <x:v>NYITOTT</x:v>
      </x:c>
      <x:c r="G111" s="5" t="str">
        <x:v>NYITOTT</x:v>
      </x:c>
      <x:c r="H111" s="5" t="str">
        <x:v>NYITOTT</x:v>
      </x:c>
      <x:c r="I111" s="5" t="str">
        <x:v>NYITOTT</x:v>
      </x:c>
      <x:c r="J111" s="5" t="str">
        <x:v>NEM KIVALASZTOTT</x:v>
      </x:c>
      <x:c r="K111" s="5" t="str">
        <x:v>NINCS NC MOZGAS</x:v>
      </x:c>
    </x:row>
    <x:row r="112" ht="36" customHeight="1">
      <x:c r="A112" s="5" t="str">
        <x:v>KI12-TV02T2-04</x:v>
      </x:c>
      <x:c r="B112" s="5" t="n">
        <x:v>2</x:v>
      </x:c>
      <x:c r="C112" s="5" t="str">
        <x:v>Élzárás / élanyag igazolása</x:v>
      </x:c>
      <x:c r="D112" s="5" t="str">
        <x:v>NYITOTT</x:v>
      </x:c>
      <x:c r="E112" s="5" t="str">
        <x:v>NYITOTT</x:v>
      </x:c>
      <x:c r="F112" s="5" t="str">
        <x:v>NYITOTT</x:v>
      </x:c>
      <x:c r="G112" s="5" t="str">
        <x:v>NYITOTT</x:v>
      </x:c>
      <x:c r="H112" s="5" t="str">
        <x:v>NYITOTT</x:v>
      </x:c>
      <x:c r="I112" s="5" t="str">
        <x:v>NYITOTT</x:v>
      </x:c>
      <x:c r="J112" s="5" t="str">
        <x:v>NEM KIVALASZTOTT</x:v>
      </x:c>
      <x:c r="K112" s="5" t="str">
        <x:v>NINCS NC MOZGAS</x:v>
      </x:c>
    </x:row>
    <x:row r="113" ht="36" customHeight="1">
      <x:c r="A113" s="5" t="str">
        <x:v>KI12-TV02T2-04</x:v>
      </x:c>
      <x:c r="B113" s="5" t="n">
        <x:v>3</x:v>
      </x:c>
      <x:c r="C113" s="5" t="str">
        <x:v>Kötés / támasz / rögzítés műhelyi jóváhagyásra</x:v>
      </x:c>
      <x:c r="D113" s="5" t="str">
        <x:v>NYITOTT</x:v>
      </x:c>
      <x:c r="E113" s="5" t="str">
        <x:v>NYITOTT</x:v>
      </x:c>
      <x:c r="F113" s="5" t="str">
        <x:v>NYITOTT</x:v>
      </x:c>
      <x:c r="G113" s="5" t="str">
        <x:v>NYITOTT</x:v>
      </x:c>
      <x:c r="H113" s="5" t="str">
        <x:v>NYITOTT</x:v>
      </x:c>
      <x:c r="I113" s="5" t="str">
        <x:v>NYITOTT</x:v>
      </x:c>
      <x:c r="J113" s="5" t="str">
        <x:v>NEM KIVALASZTOTT</x:v>
      </x:c>
      <x:c r="K113" s="5" t="str">
        <x:v>NINCS NC MOZGAS</x:v>
      </x:c>
    </x:row>
    <x:row r="114" ht="36" customHeight="1">
      <x:c r="A114" s="5" t="str">
        <x:v>KI12-TV02P1-01</x:v>
      </x:c>
      <x:c r="B114" s="5" t="n">
        <x:v>1</x:v>
      </x:c>
      <x:c r="C114" s="5" t="str">
        <x:v>Befoglaló és anyag ellenőrzése</x:v>
      </x:c>
      <x:c r="D114" s="5" t="str">
        <x:v>NYITOTT</x:v>
      </x:c>
      <x:c r="E114" s="5" t="str">
        <x:v>NYITOTT</x:v>
      </x:c>
      <x:c r="F114" s="5" t="str">
        <x:v>NYITOTT</x:v>
      </x:c>
      <x:c r="G114" s="5" t="str">
        <x:v>NYITOTT</x:v>
      </x:c>
      <x:c r="H114" s="5" t="str">
        <x:v>NYITOTT</x:v>
      </x:c>
      <x:c r="I114" s="5" t="str">
        <x:v>NYITOTT</x:v>
      </x:c>
      <x:c r="J114" s="5" t="str">
        <x:v>NEM KIVALASZTOTT</x:v>
      </x:c>
      <x:c r="K114" s="5" t="str">
        <x:v>NINCS NC MOZGAS</x:v>
      </x:c>
    </x:row>
    <x:row r="115" ht="36" customHeight="1">
      <x:c r="A115" s="5" t="str">
        <x:v>KI12-TV02P1-01</x:v>
      </x:c>
      <x:c r="B115" s="5" t="n">
        <x:v>2</x:v>
      </x:c>
      <x:c r="C115" s="5" t="str">
        <x:v>Élzárás / élanyag igazolása</x:v>
      </x:c>
      <x:c r="D115" s="5" t="str">
        <x:v>NYITOTT</x:v>
      </x:c>
      <x:c r="E115" s="5" t="str">
        <x:v>NYITOTT</x:v>
      </x:c>
      <x:c r="F115" s="5" t="str">
        <x:v>NYITOTT</x:v>
      </x:c>
      <x:c r="G115" s="5" t="str">
        <x:v>NYITOTT</x:v>
      </x:c>
      <x:c r="H115" s="5" t="str">
        <x:v>NYITOTT</x:v>
      </x:c>
      <x:c r="I115" s="5" t="str">
        <x:v>NYITOTT</x:v>
      </x:c>
      <x:c r="J115" s="5" t="str">
        <x:v>NEM KIVALASZTOTT</x:v>
      </x:c>
      <x:c r="K115" s="5" t="str">
        <x:v>NINCS NC MOZGAS</x:v>
      </x:c>
    </x:row>
    <x:row r="116" ht="36" customHeight="1">
      <x:c r="A116" s="5" t="str">
        <x:v>KI12-TV02P1-01</x:v>
      </x:c>
      <x:c r="B116" s="5" t="n">
        <x:v>3</x:v>
      </x:c>
      <x:c r="C116" s="5" t="str">
        <x:v>Kötés / támasz / rögzítés műhelyi jóváhagyásra</x:v>
      </x:c>
      <x:c r="D116" s="5" t="str">
        <x:v>NYITOTT</x:v>
      </x:c>
      <x:c r="E116" s="5" t="str">
        <x:v>NYITOTT</x:v>
      </x:c>
      <x:c r="F116" s="5" t="str">
        <x:v>NYITOTT</x:v>
      </x:c>
      <x:c r="G116" s="5" t="str">
        <x:v>NYITOTT</x:v>
      </x:c>
      <x:c r="H116" s="5" t="str">
        <x:v>NYITOTT</x:v>
      </x:c>
      <x:c r="I116" s="5" t="str">
        <x:v>NYITOTT</x:v>
      </x:c>
      <x:c r="J116" s="5" t="str">
        <x:v>NEM KIVALASZTOTT</x:v>
      </x:c>
      <x:c r="K116" s="5" t="str">
        <x:v>NINCS NC MOZGAS</x:v>
      </x:c>
    </x:row>
    <x:row r="117" ht="36" customHeight="1">
      <x:c r="A117" s="5" t="str">
        <x:v>KI12-TV02P2-01</x:v>
      </x:c>
      <x:c r="B117" s="5" t="n">
        <x:v>1</x:v>
      </x:c>
      <x:c r="C117" s="5" t="str">
        <x:v>Befoglaló és anyag ellenőrzése</x:v>
      </x:c>
      <x:c r="D117" s="5" t="str">
        <x:v>NYITOTT</x:v>
      </x:c>
      <x:c r="E117" s="5" t="str">
        <x:v>NYITOTT</x:v>
      </x:c>
      <x:c r="F117" s="5" t="str">
        <x:v>NYITOTT</x:v>
      </x:c>
      <x:c r="G117" s="5" t="str">
        <x:v>NYITOTT</x:v>
      </x:c>
      <x:c r="H117" s="5" t="str">
        <x:v>NYITOTT</x:v>
      </x:c>
      <x:c r="I117" s="5" t="str">
        <x:v>NYITOTT</x:v>
      </x:c>
      <x:c r="J117" s="5" t="str">
        <x:v>NEM KIVALASZTOTT</x:v>
      </x:c>
      <x:c r="K117" s="5" t="str">
        <x:v>NINCS NC MOZGAS</x:v>
      </x:c>
    </x:row>
    <x:row r="118" ht="36" customHeight="1">
      <x:c r="A118" s="5" t="str">
        <x:v>KI12-TV02P2-01</x:v>
      </x:c>
      <x:c r="B118" s="5" t="n">
        <x:v>2</x:v>
      </x:c>
      <x:c r="C118" s="5" t="str">
        <x:v>Élzárás / élanyag igazolása</x:v>
      </x:c>
      <x:c r="D118" s="5" t="str">
        <x:v>NYITOTT</x:v>
      </x:c>
      <x:c r="E118" s="5" t="str">
        <x:v>NYITOTT</x:v>
      </x:c>
      <x:c r="F118" s="5" t="str">
        <x:v>NYITOTT</x:v>
      </x:c>
      <x:c r="G118" s="5" t="str">
        <x:v>NYITOTT</x:v>
      </x:c>
      <x:c r="H118" s="5" t="str">
        <x:v>NYITOTT</x:v>
      </x:c>
      <x:c r="I118" s="5" t="str">
        <x:v>NYITOTT</x:v>
      </x:c>
      <x:c r="J118" s="5" t="str">
        <x:v>NEM KIVALASZTOTT</x:v>
      </x:c>
      <x:c r="K118" s="5" t="str">
        <x:v>NINCS NC MOZGAS</x:v>
      </x:c>
    </x:row>
    <x:row r="119" ht="36" customHeight="1">
      <x:c r="A119" s="5" t="str">
        <x:v>KI12-TV02P2-01</x:v>
      </x:c>
      <x:c r="B119" s="5" t="n">
        <x:v>3</x:v>
      </x:c>
      <x:c r="C119" s="5" t="str">
        <x:v>Kötés / támasz / rögzítés műhelyi jóváhagyásra</x:v>
      </x:c>
      <x:c r="D119" s="5" t="str">
        <x:v>NYITOTT</x:v>
      </x:c>
      <x:c r="E119" s="5" t="str">
        <x:v>NYITOTT</x:v>
      </x:c>
      <x:c r="F119" s="5" t="str">
        <x:v>NYITOTT</x:v>
      </x:c>
      <x:c r="G119" s="5" t="str">
        <x:v>NYITOTT</x:v>
      </x:c>
      <x:c r="H119" s="5" t="str">
        <x:v>NYITOTT</x:v>
      </x:c>
      <x:c r="I119" s="5" t="str">
        <x:v>NYITOTT</x:v>
      </x:c>
      <x:c r="J119" s="5" t="str">
        <x:v>NEM KIVALASZTOTT</x:v>
      </x:c>
      <x:c r="K119" s="5" t="str">
        <x:v>NINCS NC MOZGAS</x:v>
      </x:c>
    </x:row>
    <x:row r="120" ht="36" customHeight="1">
      <x:c r="A120" s="5" t="str">
        <x:v>KI12-TV02P2-02</x:v>
      </x:c>
      <x:c r="B120" s="5" t="n">
        <x:v>1</x:v>
      </x:c>
      <x:c r="C120" s="5" t="str">
        <x:v>Befoglaló és anyag ellenőrzése</x:v>
      </x:c>
      <x:c r="D120" s="5" t="str">
        <x:v>NYITOTT</x:v>
      </x:c>
      <x:c r="E120" s="5" t="str">
        <x:v>NYITOTT</x:v>
      </x:c>
      <x:c r="F120" s="5" t="str">
        <x:v>NYITOTT</x:v>
      </x:c>
      <x:c r="G120" s="5" t="str">
        <x:v>NYITOTT</x:v>
      </x:c>
      <x:c r="H120" s="5" t="str">
        <x:v>NYITOTT</x:v>
      </x:c>
      <x:c r="I120" s="5" t="str">
        <x:v>NYITOTT</x:v>
      </x:c>
      <x:c r="J120" s="5" t="str">
        <x:v>NEM KIVALASZTOTT</x:v>
      </x:c>
      <x:c r="K120" s="5" t="str">
        <x:v>NINCS NC MOZGAS</x:v>
      </x:c>
    </x:row>
    <x:row r="121" ht="36" customHeight="1">
      <x:c r="A121" s="5" t="str">
        <x:v>KI12-TV02P2-02</x:v>
      </x:c>
      <x:c r="B121" s="5" t="n">
        <x:v>2</x:v>
      </x:c>
      <x:c r="C121" s="5" t="str">
        <x:v>Élzárás / élanyag igazolása</x:v>
      </x:c>
      <x:c r="D121" s="5" t="str">
        <x:v>NYITOTT</x:v>
      </x:c>
      <x:c r="E121" s="5" t="str">
        <x:v>NYITOTT</x:v>
      </x:c>
      <x:c r="F121" s="5" t="str">
        <x:v>NYITOTT</x:v>
      </x:c>
      <x:c r="G121" s="5" t="str">
        <x:v>NYITOTT</x:v>
      </x:c>
      <x:c r="H121" s="5" t="str">
        <x:v>NYITOTT</x:v>
      </x:c>
      <x:c r="I121" s="5" t="str">
        <x:v>NYITOTT</x:v>
      </x:c>
      <x:c r="J121" s="5" t="str">
        <x:v>NEM KIVALASZTOTT</x:v>
      </x:c>
      <x:c r="K121" s="5" t="str">
        <x:v>NINCS NC MOZGAS</x:v>
      </x:c>
    </x:row>
    <x:row r="122" ht="36" customHeight="1">
      <x:c r="A122" s="5" t="str">
        <x:v>KI12-TV02P2-02</x:v>
      </x:c>
      <x:c r="B122" s="5" t="n">
        <x:v>3</x:v>
      </x:c>
      <x:c r="C122" s="5" t="str">
        <x:v>Kötés / támasz / rögzítés műhelyi jóváhagyásra</x:v>
      </x:c>
      <x:c r="D122" s="5" t="str">
        <x:v>NYITOTT</x:v>
      </x:c>
      <x:c r="E122" s="5" t="str">
        <x:v>NYITOTT</x:v>
      </x:c>
      <x:c r="F122" s="5" t="str">
        <x:v>NYITOTT</x:v>
      </x:c>
      <x:c r="G122" s="5" t="str">
        <x:v>NYITOTT</x:v>
      </x:c>
      <x:c r="H122" s="5" t="str">
        <x:v>NYITOTT</x:v>
      </x:c>
      <x:c r="I122" s="5" t="str">
        <x:v>NYITOTT</x:v>
      </x:c>
      <x:c r="J122" s="5" t="str">
        <x:v>NEM KIVALASZTOTT</x:v>
      </x:c>
      <x:c r="K122" s="5" t="str">
        <x:v>NINCS NC MOZGAS</x:v>
      </x:c>
    </x:row>
    <x:row r="123" ht="36" customHeight="1">
      <x:c r="A123" s="5" t="str">
        <x:v>KI12-TV02P2-03</x:v>
      </x:c>
      <x:c r="B123" s="5" t="n">
        <x:v>1</x:v>
      </x:c>
      <x:c r="C123" s="5" t="str">
        <x:v>Befoglaló és anyag ellenőrzése</x:v>
      </x:c>
      <x:c r="D123" s="5" t="str">
        <x:v>NYITOTT</x:v>
      </x:c>
      <x:c r="E123" s="5" t="str">
        <x:v>NYITOTT</x:v>
      </x:c>
      <x:c r="F123" s="5" t="str">
        <x:v>NYITOTT</x:v>
      </x:c>
      <x:c r="G123" s="5" t="str">
        <x:v>NYITOTT</x:v>
      </x:c>
      <x:c r="H123" s="5" t="str">
        <x:v>NYITOTT</x:v>
      </x:c>
      <x:c r="I123" s="5" t="str">
        <x:v>NYITOTT</x:v>
      </x:c>
      <x:c r="J123" s="5" t="str">
        <x:v>NEM KIVALASZTOTT</x:v>
      </x:c>
      <x:c r="K123" s="5" t="str">
        <x:v>NINCS NC MOZGAS</x:v>
      </x:c>
    </x:row>
    <x:row r="124" ht="36" customHeight="1">
      <x:c r="A124" s="5" t="str">
        <x:v>KI12-TV02P2-03</x:v>
      </x:c>
      <x:c r="B124" s="5" t="n">
        <x:v>2</x:v>
      </x:c>
      <x:c r="C124" s="5" t="str">
        <x:v>Élzárás / élanyag igazolása</x:v>
      </x:c>
      <x:c r="D124" s="5" t="str">
        <x:v>NYITOTT</x:v>
      </x:c>
      <x:c r="E124" s="5" t="str">
        <x:v>NYITOTT</x:v>
      </x:c>
      <x:c r="F124" s="5" t="str">
        <x:v>NYITOTT</x:v>
      </x:c>
      <x:c r="G124" s="5" t="str">
        <x:v>NYITOTT</x:v>
      </x:c>
      <x:c r="H124" s="5" t="str">
        <x:v>NYITOTT</x:v>
      </x:c>
      <x:c r="I124" s="5" t="str">
        <x:v>NYITOTT</x:v>
      </x:c>
      <x:c r="J124" s="5" t="str">
        <x:v>NEM KIVALASZTOTT</x:v>
      </x:c>
      <x:c r="K124" s="5" t="str">
        <x:v>NINCS NC MOZGAS</x:v>
      </x:c>
    </x:row>
    <x:row r="125" ht="36" customHeight="1">
      <x:c r="A125" s="5" t="str">
        <x:v>KI12-TV02P2-03</x:v>
      </x:c>
      <x:c r="B125" s="5" t="n">
        <x:v>3</x:v>
      </x:c>
      <x:c r="C125" s="5" t="str">
        <x:v>Kötés / támasz / rögzítés műhelyi jóváhagyásra</x:v>
      </x:c>
      <x:c r="D125" s="5" t="str">
        <x:v>NYITOTT</x:v>
      </x:c>
      <x:c r="E125" s="5" t="str">
        <x:v>NYITOTT</x:v>
      </x:c>
      <x:c r="F125" s="5" t="str">
        <x:v>NYITOTT</x:v>
      </x:c>
      <x:c r="G125" s="5" t="str">
        <x:v>NYITOTT</x:v>
      </x:c>
      <x:c r="H125" s="5" t="str">
        <x:v>NYITOTT</x:v>
      </x:c>
      <x:c r="I125" s="5" t="str">
        <x:v>NYITOTT</x:v>
      </x:c>
      <x:c r="J125" s="5" t="str">
        <x:v>NEM KIVALASZTOTT</x:v>
      </x:c>
      <x:c r="K125" s="5" t="str">
        <x:v>NINCS NC MOZGAS</x:v>
      </x:c>
    </x:row>
    <x:row r="126" ht="36" customHeight="1">
      <x:c r="A126" s="5" t="str">
        <x:v>KI12-TV02F1-01</x:v>
      </x:c>
      <x:c r="B126" s="5" t="n">
        <x:v>1</x:v>
      </x:c>
      <x:c r="C126" s="5" t="str">
        <x:v>Befoglaló és anyag ellenőrzése</x:v>
      </x:c>
      <x:c r="D126" s="5" t="str">
        <x:v>NYITOTT</x:v>
      </x:c>
      <x:c r="E126" s="5" t="str">
        <x:v>NYITOTT</x:v>
      </x:c>
      <x:c r="F126" s="5" t="str">
        <x:v>NYITOTT</x:v>
      </x:c>
      <x:c r="G126" s="5" t="str">
        <x:v>NYITOTT</x:v>
      </x:c>
      <x:c r="H126" s="5" t="str">
        <x:v>NYITOTT</x:v>
      </x:c>
      <x:c r="I126" s="5" t="str">
        <x:v>NYITOTT</x:v>
      </x:c>
      <x:c r="J126" s="5" t="str">
        <x:v>NEM KIVALASZTOTT</x:v>
      </x:c>
      <x:c r="K126" s="5" t="str">
        <x:v>NINCS NC MOZGAS</x:v>
      </x:c>
    </x:row>
    <x:row r="127" ht="36" customHeight="1">
      <x:c r="A127" s="5" t="str">
        <x:v>KI12-TV02F1-01</x:v>
      </x:c>
      <x:c r="B127" s="5" t="n">
        <x:v>2</x:v>
      </x:c>
      <x:c r="C127" s="5" t="str">
        <x:v>Élzárás / élanyag igazolása</x:v>
      </x:c>
      <x:c r="D127" s="5" t="str">
        <x:v>NYITOTT</x:v>
      </x:c>
      <x:c r="E127" s="5" t="str">
        <x:v>NYITOTT</x:v>
      </x:c>
      <x:c r="F127" s="5" t="str">
        <x:v>NYITOTT</x:v>
      </x:c>
      <x:c r="G127" s="5" t="str">
        <x:v>NYITOTT</x:v>
      </x:c>
      <x:c r="H127" s="5" t="str">
        <x:v>NYITOTT</x:v>
      </x:c>
      <x:c r="I127" s="5" t="str">
        <x:v>NYITOTT</x:v>
      </x:c>
      <x:c r="J127" s="5" t="str">
        <x:v>NEM KIVALASZTOTT</x:v>
      </x:c>
      <x:c r="K127" s="5" t="str">
        <x:v>NINCS NC MOZGAS</x:v>
      </x:c>
    </x:row>
    <x:row r="128" ht="36" customHeight="1">
      <x:c r="A128" s="5" t="str">
        <x:v>KI12-TV02F1-01</x:v>
      </x:c>
      <x:c r="B128" s="5" t="n">
        <x:v>3</x:v>
      </x:c>
      <x:c r="C128" s="5" t="str">
        <x:v>Pántcsésze és fogás: gyártói fúráskép hiányzik</x:v>
      </x:c>
      <x:c r="D128" s="5" t="str">
        <x:v>NYITOTT</x:v>
      </x:c>
      <x:c r="E128" s="5" t="str">
        <x:v>NYITOTT</x:v>
      </x:c>
      <x:c r="F128" s="5" t="str">
        <x:v>NYITOTT</x:v>
      </x:c>
      <x:c r="G128" s="5" t="str">
        <x:v>NYITOTT</x:v>
      </x:c>
      <x:c r="H128" s="5" t="str">
        <x:v>NYITOTT</x:v>
      </x:c>
      <x:c r="I128" s="5" t="str">
        <x:v>NYITOTT</x:v>
      </x:c>
      <x:c r="J128" s="5" t="str">
        <x:v>NEM KIVALASZTOTT</x:v>
      </x:c>
      <x:c r="K128" s="5" t="str">
        <x:v>NINCS NC MOZGAS</x:v>
      </x:c>
    </x:row>
    <x:row r="129" ht="36" customHeight="1">
      <x:c r="A129" s="5" t="str">
        <x:v>KI12-TV02F2-01</x:v>
      </x:c>
      <x:c r="B129" s="5" t="n">
        <x:v>1</x:v>
      </x:c>
      <x:c r="C129" s="5" t="str">
        <x:v>Befoglaló és anyag ellenőrzése</x:v>
      </x:c>
      <x:c r="D129" s="5" t="str">
        <x:v>NYITOTT</x:v>
      </x:c>
      <x:c r="E129" s="5" t="str">
        <x:v>NYITOTT</x:v>
      </x:c>
      <x:c r="F129" s="5" t="str">
        <x:v>NYITOTT</x:v>
      </x:c>
      <x:c r="G129" s="5" t="str">
        <x:v>NYITOTT</x:v>
      </x:c>
      <x:c r="H129" s="5" t="str">
        <x:v>NYITOTT</x:v>
      </x:c>
      <x:c r="I129" s="5" t="str">
        <x:v>NYITOTT</x:v>
      </x:c>
      <x:c r="J129" s="5" t="str">
        <x:v>NEM KIVALASZTOTT</x:v>
      </x:c>
      <x:c r="K129" s="5" t="str">
        <x:v>NINCS NC MOZGAS</x:v>
      </x:c>
    </x:row>
    <x:row r="130" ht="36" customHeight="1">
      <x:c r="A130" s="5" t="str">
        <x:v>KI12-TV02F2-01</x:v>
      </x:c>
      <x:c r="B130" s="5" t="n">
        <x:v>2</x:v>
      </x:c>
      <x:c r="C130" s="5" t="str">
        <x:v>Élzárás / élanyag igazolása</x:v>
      </x:c>
      <x:c r="D130" s="5" t="str">
        <x:v>NYITOTT</x:v>
      </x:c>
      <x:c r="E130" s="5" t="str">
        <x:v>NYITOTT</x:v>
      </x:c>
      <x:c r="F130" s="5" t="str">
        <x:v>NYITOTT</x:v>
      </x:c>
      <x:c r="G130" s="5" t="str">
        <x:v>NYITOTT</x:v>
      </x:c>
      <x:c r="H130" s="5" t="str">
        <x:v>NYITOTT</x:v>
      </x:c>
      <x:c r="I130" s="5" t="str">
        <x:v>NYITOTT</x:v>
      </x:c>
      <x:c r="J130" s="5" t="str">
        <x:v>NEM KIVALASZTOTT</x:v>
      </x:c>
      <x:c r="K130" s="5" t="str">
        <x:v>NINCS NC MOZGAS</x:v>
      </x:c>
    </x:row>
    <x:row r="131" ht="36" customHeight="1">
      <x:c r="A131" s="5" t="str">
        <x:v>KI12-TV02F2-01</x:v>
      </x:c>
      <x:c r="B131" s="5" t="n">
        <x:v>3</x:v>
      </x:c>
      <x:c r="C131" s="5" t="str">
        <x:v>Pántcsésze és fogás: gyártói fúráskép hiányzik</x:v>
      </x:c>
      <x:c r="D131" s="5" t="str">
        <x:v>NYITOTT</x:v>
      </x:c>
      <x:c r="E131" s="5" t="str">
        <x:v>NYITOTT</x:v>
      </x:c>
      <x:c r="F131" s="5" t="str">
        <x:v>NYITOTT</x:v>
      </x:c>
      <x:c r="G131" s="5" t="str">
        <x:v>NYITOTT</x:v>
      </x:c>
      <x:c r="H131" s="5" t="str">
        <x:v>NYITOTT</x:v>
      </x:c>
      <x:c r="I131" s="5" t="str">
        <x:v>NYITOTT</x:v>
      </x:c>
      <x:c r="J131" s="5" t="str">
        <x:v>NEM KIVALASZTOTT</x:v>
      </x:c>
      <x:c r="K131" s="5" t="str">
        <x:v>NINCS NC MOZGAS</x:v>
      </x:c>
    </x:row>
    <x:row r="132" ht="36" customHeight="1">
      <x:c r="A132" s="5" t="str">
        <x:v>KI12-TV02F2-02</x:v>
      </x:c>
      <x:c r="B132" s="5" t="n">
        <x:v>1</x:v>
      </x:c>
      <x:c r="C132" s="5" t="str">
        <x:v>Befoglaló és anyag ellenőrzése</x:v>
      </x:c>
      <x:c r="D132" s="5" t="str">
        <x:v>NYITOTT</x:v>
      </x:c>
      <x:c r="E132" s="5" t="str">
        <x:v>NYITOTT</x:v>
      </x:c>
      <x:c r="F132" s="5" t="str">
        <x:v>NYITOTT</x:v>
      </x:c>
      <x:c r="G132" s="5" t="str">
        <x:v>NYITOTT</x:v>
      </x:c>
      <x:c r="H132" s="5" t="str">
        <x:v>NYITOTT</x:v>
      </x:c>
      <x:c r="I132" s="5" t="str">
        <x:v>NYITOTT</x:v>
      </x:c>
      <x:c r="J132" s="5" t="str">
        <x:v>NEM KIVALASZTOTT</x:v>
      </x:c>
      <x:c r="K132" s="5" t="str">
        <x:v>NINCS NC MOZGAS</x:v>
      </x:c>
    </x:row>
    <x:row r="133" ht="36" customHeight="1">
      <x:c r="A133" s="5" t="str">
        <x:v>KI12-TV02F2-02</x:v>
      </x:c>
      <x:c r="B133" s="5" t="n">
        <x:v>2</x:v>
      </x:c>
      <x:c r="C133" s="5" t="str">
        <x:v>Élzárás / élanyag igazolása</x:v>
      </x:c>
      <x:c r="D133" s="5" t="str">
        <x:v>NYITOTT</x:v>
      </x:c>
      <x:c r="E133" s="5" t="str">
        <x:v>NYITOTT</x:v>
      </x:c>
      <x:c r="F133" s="5" t="str">
        <x:v>NYITOTT</x:v>
      </x:c>
      <x:c r="G133" s="5" t="str">
        <x:v>NYITOTT</x:v>
      </x:c>
      <x:c r="H133" s="5" t="str">
        <x:v>NYITOTT</x:v>
      </x:c>
      <x:c r="I133" s="5" t="str">
        <x:v>NYITOTT</x:v>
      </x:c>
      <x:c r="J133" s="5" t="str">
        <x:v>NEM KIVALASZTOTT</x:v>
      </x:c>
      <x:c r="K133" s="5" t="str">
        <x:v>NINCS NC MOZGAS</x:v>
      </x:c>
    </x:row>
    <x:row r="134" ht="36" customHeight="1">
      <x:c r="A134" s="5" t="str">
        <x:v>KI12-TV02F2-02</x:v>
      </x:c>
      <x:c r="B134" s="5" t="n">
        <x:v>3</x:v>
      </x:c>
      <x:c r="C134" s="5" t="str">
        <x:v>Pántcsésze és fogás: gyártói fúráskép hiányzik</x:v>
      </x:c>
      <x:c r="D134" s="5" t="str">
        <x:v>NYITOTT</x:v>
      </x:c>
      <x:c r="E134" s="5" t="str">
        <x:v>NYITOTT</x:v>
      </x:c>
      <x:c r="F134" s="5" t="str">
        <x:v>NYITOTT</x:v>
      </x:c>
      <x:c r="G134" s="5" t="str">
        <x:v>NYITOTT</x:v>
      </x:c>
      <x:c r="H134" s="5" t="str">
        <x:v>NYITOTT</x:v>
      </x:c>
      <x:c r="I134" s="5" t="str">
        <x:v>NYITOTT</x:v>
      </x:c>
      <x:c r="J134" s="5" t="str">
        <x:v>NEM KIVALASZTOTT</x:v>
      </x:c>
      <x:c r="K134" s="5" t="str">
        <x:v>NINCS NC MOZGAS</x:v>
      </x:c>
    </x:row>
    <x:row r="135" ht="36" customHeight="1">
      <x:c r="A135" s="5" t="str">
        <x:v>KI12-TV02F2-03</x:v>
      </x:c>
      <x:c r="B135" s="5" t="n">
        <x:v>1</x:v>
      </x:c>
      <x:c r="C135" s="5" t="str">
        <x:v>Befoglaló és anyag ellenőrzése</x:v>
      </x:c>
      <x:c r="D135" s="5" t="str">
        <x:v>NYITOTT</x:v>
      </x:c>
      <x:c r="E135" s="5" t="str">
        <x:v>NYITOTT</x:v>
      </x:c>
      <x:c r="F135" s="5" t="str">
        <x:v>NYITOTT</x:v>
      </x:c>
      <x:c r="G135" s="5" t="str">
        <x:v>NYITOTT</x:v>
      </x:c>
      <x:c r="H135" s="5" t="str">
        <x:v>NYITOTT</x:v>
      </x:c>
      <x:c r="I135" s="5" t="str">
        <x:v>NYITOTT</x:v>
      </x:c>
      <x:c r="J135" s="5" t="str">
        <x:v>NEM KIVALASZTOTT</x:v>
      </x:c>
      <x:c r="K135" s="5" t="str">
        <x:v>NINCS NC MOZGAS</x:v>
      </x:c>
    </x:row>
    <x:row r="136" ht="36" customHeight="1">
      <x:c r="A136" s="5" t="str">
        <x:v>KI12-TV02F2-03</x:v>
      </x:c>
      <x:c r="B136" s="5" t="n">
        <x:v>2</x:v>
      </x:c>
      <x:c r="C136" s="5" t="str">
        <x:v>Élzárás / élanyag igazolása</x:v>
      </x:c>
      <x:c r="D136" s="5" t="str">
        <x:v>NYITOTT</x:v>
      </x:c>
      <x:c r="E136" s="5" t="str">
        <x:v>NYITOTT</x:v>
      </x:c>
      <x:c r="F136" s="5" t="str">
        <x:v>NYITOTT</x:v>
      </x:c>
      <x:c r="G136" s="5" t="str">
        <x:v>NYITOTT</x:v>
      </x:c>
      <x:c r="H136" s="5" t="str">
        <x:v>NYITOTT</x:v>
      </x:c>
      <x:c r="I136" s="5" t="str">
        <x:v>NYITOTT</x:v>
      </x:c>
      <x:c r="J136" s="5" t="str">
        <x:v>NEM KIVALASZTOTT</x:v>
      </x:c>
      <x:c r="K136" s="5" t="str">
        <x:v>NINCS NC MOZGAS</x:v>
      </x:c>
    </x:row>
    <x:row r="137" ht="36" customHeight="1">
      <x:c r="A137" s="5" t="str">
        <x:v>KI12-TV02F2-03</x:v>
      </x:c>
      <x:c r="B137" s="5" t="n">
        <x:v>3</x:v>
      </x:c>
      <x:c r="C137" s="5" t="str">
        <x:v>Pántcsésze és fogás: gyártói fúráskép hiányzik</x:v>
      </x:c>
      <x:c r="D137" s="5" t="str">
        <x:v>NYITOTT</x:v>
      </x:c>
      <x:c r="E137" s="5" t="str">
        <x:v>NYITOTT</x:v>
      </x:c>
      <x:c r="F137" s="5" t="str">
        <x:v>NYITOTT</x:v>
      </x:c>
      <x:c r="G137" s="5" t="str">
        <x:v>NYITOTT</x:v>
      </x:c>
      <x:c r="H137" s="5" t="str">
        <x:v>NYITOTT</x:v>
      </x:c>
      <x:c r="I137" s="5" t="str">
        <x:v>NYITOTT</x:v>
      </x:c>
      <x:c r="J137" s="5" t="str">
        <x:v>NEM KIVALASZTOTT</x:v>
      </x:c>
      <x:c r="K137" s="5" t="str">
        <x:v>NINCS NC MOZGAS</x:v>
      </x:c>
    </x:row>
    <x:row r="138" ht="36" customHeight="1">
      <x:c r="A138" s="5" t="str">
        <x:v>KI12-TV02F2-04</x:v>
      </x:c>
      <x:c r="B138" s="5" t="n">
        <x:v>1</x:v>
      </x:c>
      <x:c r="C138" s="5" t="str">
        <x:v>Befoglaló és anyag ellenőrzése</x:v>
      </x:c>
      <x:c r="D138" s="5" t="str">
        <x:v>NYITOTT</x:v>
      </x:c>
      <x:c r="E138" s="5" t="str">
        <x:v>NYITOTT</x:v>
      </x:c>
      <x:c r="F138" s="5" t="str">
        <x:v>NYITOTT</x:v>
      </x:c>
      <x:c r="G138" s="5" t="str">
        <x:v>NYITOTT</x:v>
      </x:c>
      <x:c r="H138" s="5" t="str">
        <x:v>NYITOTT</x:v>
      </x:c>
      <x:c r="I138" s="5" t="str">
        <x:v>NYITOTT</x:v>
      </x:c>
      <x:c r="J138" s="5" t="str">
        <x:v>NEM KIVALASZTOTT</x:v>
      </x:c>
      <x:c r="K138" s="5" t="str">
        <x:v>NINCS NC MOZGAS</x:v>
      </x:c>
    </x:row>
    <x:row r="139" ht="36" customHeight="1">
      <x:c r="A139" s="5" t="str">
        <x:v>KI12-TV02F2-04</x:v>
      </x:c>
      <x:c r="B139" s="5" t="n">
        <x:v>2</x:v>
      </x:c>
      <x:c r="C139" s="5" t="str">
        <x:v>Élzárás / élanyag igazolása</x:v>
      </x:c>
      <x:c r="D139" s="5" t="str">
        <x:v>NYITOTT</x:v>
      </x:c>
      <x:c r="E139" s="5" t="str">
        <x:v>NYITOTT</x:v>
      </x:c>
      <x:c r="F139" s="5" t="str">
        <x:v>NYITOTT</x:v>
      </x:c>
      <x:c r="G139" s="5" t="str">
        <x:v>NYITOTT</x:v>
      </x:c>
      <x:c r="H139" s="5" t="str">
        <x:v>NYITOTT</x:v>
      </x:c>
      <x:c r="I139" s="5" t="str">
        <x:v>NYITOTT</x:v>
      </x:c>
      <x:c r="J139" s="5" t="str">
        <x:v>NEM KIVALASZTOTT</x:v>
      </x:c>
      <x:c r="K139" s="5" t="str">
        <x:v>NINCS NC MOZGAS</x:v>
      </x:c>
    </x:row>
    <x:row r="140" ht="36" customHeight="1">
      <x:c r="A140" s="5" t="str">
        <x:v>KI12-TV02F2-04</x:v>
      </x:c>
      <x:c r="B140" s="5" t="n">
        <x:v>3</x:v>
      </x:c>
      <x:c r="C140" s="5" t="str">
        <x:v>Pántcsésze és fogás: gyártói fúráskép hiányzik</x:v>
      </x:c>
      <x:c r="D140" s="5" t="str">
        <x:v>NYITOTT</x:v>
      </x:c>
      <x:c r="E140" s="5" t="str">
        <x:v>NYITOTT</x:v>
      </x:c>
      <x:c r="F140" s="5" t="str">
        <x:v>NYITOTT</x:v>
      </x:c>
      <x:c r="G140" s="5" t="str">
        <x:v>NYITOTT</x:v>
      </x:c>
      <x:c r="H140" s="5" t="str">
        <x:v>NYITOTT</x:v>
      </x:c>
      <x:c r="I140" s="5" t="str">
        <x:v>NYITOTT</x:v>
      </x:c>
      <x:c r="J140" s="5" t="str">
        <x:v>NEM KIVALASZTOTT</x:v>
      </x:c>
      <x:c r="K140" s="5" t="str">
        <x:v>NINCS NC MOZGAS</x:v>
      </x:c>
    </x:row>
    <x:row r="141" ht="36" customHeight="1">
      <x:c r="A141" s="5" t="str">
        <x:v>KI12-TV02H1-01</x:v>
      </x:c>
      <x:c r="B141" s="5" t="n">
        <x:v>1</x:v>
      </x:c>
      <x:c r="C141" s="5" t="str">
        <x:v>Befoglaló és anyag ellenőrzése</x:v>
      </x:c>
      <x:c r="D141" s="5" t="str">
        <x:v>NYITOTT</x:v>
      </x:c>
      <x:c r="E141" s="5" t="str">
        <x:v>NYITOTT</x:v>
      </x:c>
      <x:c r="F141" s="5" t="str">
        <x:v>NYITOTT</x:v>
      </x:c>
      <x:c r="G141" s="5" t="str">
        <x:v>NYITOTT</x:v>
      </x:c>
      <x:c r="H141" s="5" t="str">
        <x:v>NYITOTT</x:v>
      </x:c>
      <x:c r="I141" s="5" t="str">
        <x:v>NYITOTT</x:v>
      </x:c>
      <x:c r="J141" s="5" t="str">
        <x:v>NEM KIVALASZTOTT</x:v>
      </x:c>
      <x:c r="K141" s="5" t="str">
        <x:v>NINCS NC MOZGAS</x:v>
      </x:c>
    </x:row>
    <x:row r="142" ht="36" customHeight="1">
      <x:c r="A142" s="5" t="str">
        <x:v>KI12-TV02H1-01</x:v>
      </x:c>
      <x:c r="B142" s="5" t="n">
        <x:v>2</x:v>
      </x:c>
      <x:c r="C142" s="5" t="str">
        <x:v>Élzárás / élanyag igazolása</x:v>
      </x:c>
      <x:c r="D142" s="5" t="str">
        <x:v>NYITOTT</x:v>
      </x:c>
      <x:c r="E142" s="5" t="str">
        <x:v>NYITOTT</x:v>
      </x:c>
      <x:c r="F142" s="5" t="str">
        <x:v>NYITOTT</x:v>
      </x:c>
      <x:c r="G142" s="5" t="str">
        <x:v>NYITOTT</x:v>
      </x:c>
      <x:c r="H142" s="5" t="str">
        <x:v>NYITOTT</x:v>
      </x:c>
      <x:c r="I142" s="5" t="str">
        <x:v>NYITOTT</x:v>
      </x:c>
      <x:c r="J142" s="5" t="str">
        <x:v>NEM KIVALASZTOTT</x:v>
      </x:c>
      <x:c r="K142" s="5" t="str">
        <x:v>NINCS NC MOZGAS</x:v>
      </x:c>
    </x:row>
    <x:row r="143" ht="36" customHeight="1">
      <x:c r="A143" s="5" t="str">
        <x:v>KI12-TV02H1-01</x:v>
      </x:c>
      <x:c r="B143" s="5" t="n">
        <x:v>3</x:v>
      </x:c>
      <x:c r="C143" s="5" t="str">
        <x:v>Kötés / támasz / rögzítés műhelyi jóváhagyásra</x:v>
      </x:c>
      <x:c r="D143" s="5" t="str">
        <x:v>NYITOTT</x:v>
      </x:c>
      <x:c r="E143" s="5" t="str">
        <x:v>NYITOTT</x:v>
      </x:c>
      <x:c r="F143" s="5" t="str">
        <x:v>NYITOTT</x:v>
      </x:c>
      <x:c r="G143" s="5" t="str">
        <x:v>NYITOTT</x:v>
      </x:c>
      <x:c r="H143" s="5" t="str">
        <x:v>NYITOTT</x:v>
      </x:c>
      <x:c r="I143" s="5" t="str">
        <x:v>NYITOTT</x:v>
      </x:c>
      <x:c r="J143" s="5" t="str">
        <x:v>NEM KIVALASZTOTT</x:v>
      </x:c>
      <x:c r="K143" s="5" t="str">
        <x:v>NINCS NC MOZGAS</x:v>
      </x:c>
    </x:row>
    <x:row r="144" ht="36" customHeight="1">
      <x:c r="A144" s="5" t="str">
        <x:v>KI12-TV02H2-01</x:v>
      </x:c>
      <x:c r="B144" s="5" t="n">
        <x:v>1</x:v>
      </x:c>
      <x:c r="C144" s="5" t="str">
        <x:v>Befoglaló és anyag ellenőrzése</x:v>
      </x:c>
      <x:c r="D144" s="5" t="str">
        <x:v>NYITOTT</x:v>
      </x:c>
      <x:c r="E144" s="5" t="str">
        <x:v>NYITOTT</x:v>
      </x:c>
      <x:c r="F144" s="5" t="str">
        <x:v>NYITOTT</x:v>
      </x:c>
      <x:c r="G144" s="5" t="str">
        <x:v>NYITOTT</x:v>
      </x:c>
      <x:c r="H144" s="5" t="str">
        <x:v>NYITOTT</x:v>
      </x:c>
      <x:c r="I144" s="5" t="str">
        <x:v>NYITOTT</x:v>
      </x:c>
      <x:c r="J144" s="5" t="str">
        <x:v>NEM KIVALASZTOTT</x:v>
      </x:c>
      <x:c r="K144" s="5" t="str">
        <x:v>NINCS NC MOZGAS</x:v>
      </x:c>
    </x:row>
    <x:row r="145" ht="36" customHeight="1">
      <x:c r="A145" s="5" t="str">
        <x:v>KI12-TV02H2-01</x:v>
      </x:c>
      <x:c r="B145" s="5" t="n">
        <x:v>2</x:v>
      </x:c>
      <x:c r="C145" s="5" t="str">
        <x:v>Élzárás / élanyag igazolása</x:v>
      </x:c>
      <x:c r="D145" s="5" t="str">
        <x:v>NYITOTT</x:v>
      </x:c>
      <x:c r="E145" s="5" t="str">
        <x:v>NYITOTT</x:v>
      </x:c>
      <x:c r="F145" s="5" t="str">
        <x:v>NYITOTT</x:v>
      </x:c>
      <x:c r="G145" s="5" t="str">
        <x:v>NYITOTT</x:v>
      </x:c>
      <x:c r="H145" s="5" t="str">
        <x:v>NYITOTT</x:v>
      </x:c>
      <x:c r="I145" s="5" t="str">
        <x:v>NYITOTT</x:v>
      </x:c>
      <x:c r="J145" s="5" t="str">
        <x:v>NEM KIVALASZTOTT</x:v>
      </x:c>
      <x:c r="K145" s="5" t="str">
        <x:v>NINCS NC MOZGAS</x:v>
      </x:c>
    </x:row>
    <x:row r="146" ht="36" customHeight="1">
      <x:c r="A146" s="5" t="str">
        <x:v>KI12-TV02H2-01</x:v>
      </x:c>
      <x:c r="B146" s="5" t="n">
        <x:v>3</x:v>
      </x:c>
      <x:c r="C146" s="5" t="str">
        <x:v>Kötés / támasz / rögzítés műhelyi jóváhagyásra</x:v>
      </x:c>
      <x:c r="D146" s="5" t="str">
        <x:v>NYITOTT</x:v>
      </x:c>
      <x:c r="E146" s="5" t="str">
        <x:v>NYITOTT</x:v>
      </x:c>
      <x:c r="F146" s="5" t="str">
        <x:v>NYITOTT</x:v>
      </x:c>
      <x:c r="G146" s="5" t="str">
        <x:v>NYITOTT</x:v>
      </x:c>
      <x:c r="H146" s="5" t="str">
        <x:v>NYITOTT</x:v>
      </x:c>
      <x:c r="I146" s="5" t="str">
        <x:v>NYITOTT</x:v>
      </x:c>
      <x:c r="J146" s="5" t="str">
        <x:v>NEM KIVALASZTOTT</x:v>
      </x:c>
      <x:c r="K146" s="5" t="str">
        <x:v>NINCS NC MOZGAS</x:v>
      </x:c>
    </x:row>
    <x:row r="147" ht="36" customHeight="1">
      <x:c r="A147" s="5" t="str">
        <x:v>KI12-TV02H2-02</x:v>
      </x:c>
      <x:c r="B147" s="5" t="n">
        <x:v>1</x:v>
      </x:c>
      <x:c r="C147" s="5" t="str">
        <x:v>Befoglaló és anyag ellenőrzése</x:v>
      </x:c>
      <x:c r="D147" s="5" t="str">
        <x:v>NYITOTT</x:v>
      </x:c>
      <x:c r="E147" s="5" t="str">
        <x:v>NYITOTT</x:v>
      </x:c>
      <x:c r="F147" s="5" t="str">
        <x:v>NYITOTT</x:v>
      </x:c>
      <x:c r="G147" s="5" t="str">
        <x:v>NYITOTT</x:v>
      </x:c>
      <x:c r="H147" s="5" t="str">
        <x:v>NYITOTT</x:v>
      </x:c>
      <x:c r="I147" s="5" t="str">
        <x:v>NYITOTT</x:v>
      </x:c>
      <x:c r="J147" s="5" t="str">
        <x:v>NEM KIVALASZTOTT</x:v>
      </x:c>
      <x:c r="K147" s="5" t="str">
        <x:v>NINCS NC MOZGAS</x:v>
      </x:c>
    </x:row>
    <x:row r="148" ht="36" customHeight="1">
      <x:c r="A148" s="5" t="str">
        <x:v>KI12-TV02H2-02</x:v>
      </x:c>
      <x:c r="B148" s="5" t="n">
        <x:v>2</x:v>
      </x:c>
      <x:c r="C148" s="5" t="str">
        <x:v>Élzárás / élanyag igazolása</x:v>
      </x:c>
      <x:c r="D148" s="5" t="str">
        <x:v>NYITOTT</x:v>
      </x:c>
      <x:c r="E148" s="5" t="str">
        <x:v>NYITOTT</x:v>
      </x:c>
      <x:c r="F148" s="5" t="str">
        <x:v>NYITOTT</x:v>
      </x:c>
      <x:c r="G148" s="5" t="str">
        <x:v>NYITOTT</x:v>
      </x:c>
      <x:c r="H148" s="5" t="str">
        <x:v>NYITOTT</x:v>
      </x:c>
      <x:c r="I148" s="5" t="str">
        <x:v>NYITOTT</x:v>
      </x:c>
      <x:c r="J148" s="5" t="str">
        <x:v>NEM KIVALASZTOTT</x:v>
      </x:c>
      <x:c r="K148" s="5" t="str">
        <x:v>NINCS NC MOZGAS</x:v>
      </x:c>
    </x:row>
    <x:row r="149" ht="36" customHeight="1">
      <x:c r="A149" s="5" t="str">
        <x:v>KI12-TV02H2-02</x:v>
      </x:c>
      <x:c r="B149" s="5" t="n">
        <x:v>3</x:v>
      </x:c>
      <x:c r="C149" s="5" t="str">
        <x:v>Kötés / támasz / rögzítés műhelyi jóváhagyásra</x:v>
      </x:c>
      <x:c r="D149" s="5" t="str">
        <x:v>NYITOTT</x:v>
      </x:c>
      <x:c r="E149" s="5" t="str">
        <x:v>NYITOTT</x:v>
      </x:c>
      <x:c r="F149" s="5" t="str">
        <x:v>NYITOTT</x:v>
      </x:c>
      <x:c r="G149" s="5" t="str">
        <x:v>NYITOTT</x:v>
      </x:c>
      <x:c r="H149" s="5" t="str">
        <x:v>NYITOTT</x:v>
      </x:c>
      <x:c r="I149" s="5" t="str">
        <x:v>NYITOTT</x:v>
      </x:c>
      <x:c r="J149" s="5" t="str">
        <x:v>NEM KIVALASZTOTT</x:v>
      </x:c>
      <x:c r="K149" s="5" t="str">
        <x:v>NINCS NC MOZGAS</x:v>
      </x:c>
    </x:row>
    <x:row r="150" ht="36" customHeight="1">
      <x:c r="A150" s="5" t="str">
        <x:v>KI12-TV02H2-03</x:v>
      </x:c>
      <x:c r="B150" s="5" t="n">
        <x:v>1</x:v>
      </x:c>
      <x:c r="C150" s="5" t="str">
        <x:v>Befoglaló és anyag ellenőrzése</x:v>
      </x:c>
      <x:c r="D150" s="5" t="str">
        <x:v>NYITOTT</x:v>
      </x:c>
      <x:c r="E150" s="5" t="str">
        <x:v>NYITOTT</x:v>
      </x:c>
      <x:c r="F150" s="5" t="str">
        <x:v>NYITOTT</x:v>
      </x:c>
      <x:c r="G150" s="5" t="str">
        <x:v>NYITOTT</x:v>
      </x:c>
      <x:c r="H150" s="5" t="str">
        <x:v>NYITOTT</x:v>
      </x:c>
      <x:c r="I150" s="5" t="str">
        <x:v>NYITOTT</x:v>
      </x:c>
      <x:c r="J150" s="5" t="str">
        <x:v>NEM KIVALASZTOTT</x:v>
      </x:c>
      <x:c r="K150" s="5" t="str">
        <x:v>NINCS NC MOZGAS</x:v>
      </x:c>
    </x:row>
    <x:row r="151" ht="36" customHeight="1">
      <x:c r="A151" s="5" t="str">
        <x:v>KI12-TV02H2-03</x:v>
      </x:c>
      <x:c r="B151" s="5" t="n">
        <x:v>2</x:v>
      </x:c>
      <x:c r="C151" s="5" t="str">
        <x:v>Élzárás / élanyag igazolása</x:v>
      </x:c>
      <x:c r="D151" s="5" t="str">
        <x:v>NYITOTT</x:v>
      </x:c>
      <x:c r="E151" s="5" t="str">
        <x:v>NYITOTT</x:v>
      </x:c>
      <x:c r="F151" s="5" t="str">
        <x:v>NYITOTT</x:v>
      </x:c>
      <x:c r="G151" s="5" t="str">
        <x:v>NYITOTT</x:v>
      </x:c>
      <x:c r="H151" s="5" t="str">
        <x:v>NYITOTT</x:v>
      </x:c>
      <x:c r="I151" s="5" t="str">
        <x:v>NYITOTT</x:v>
      </x:c>
      <x:c r="J151" s="5" t="str">
        <x:v>NEM KIVALASZTOTT</x:v>
      </x:c>
      <x:c r="K151" s="5" t="str">
        <x:v>NINCS NC MOZGAS</x:v>
      </x:c>
    </x:row>
    <x:row r="152" ht="36" customHeight="1">
      <x:c r="A152" s="5" t="str">
        <x:v>KI12-TV02H2-03</x:v>
      </x:c>
      <x:c r="B152" s="5" t="n">
        <x:v>3</x:v>
      </x:c>
      <x:c r="C152" s="5" t="str">
        <x:v>Kötés / támasz / rögzítés műhelyi jóváhagyásra</x:v>
      </x:c>
      <x:c r="D152" s="5" t="str">
        <x:v>NYITOTT</x:v>
      </x:c>
      <x:c r="E152" s="5" t="str">
        <x:v>NYITOTT</x:v>
      </x:c>
      <x:c r="F152" s="5" t="str">
        <x:v>NYITOTT</x:v>
      </x:c>
      <x:c r="G152" s="5" t="str">
        <x:v>NYITOTT</x:v>
      </x:c>
      <x:c r="H152" s="5" t="str">
        <x:v>NYITOTT</x:v>
      </x:c>
      <x:c r="I152" s="5" t="str">
        <x:v>NYITOTT</x:v>
      </x:c>
      <x:c r="J152" s="5" t="str">
        <x:v>NEM KIVALASZTOTT</x:v>
      </x:c>
      <x:c r="K152" s="5" t="str">
        <x:v>NINCS NC MOZGAS</x:v>
      </x:c>
    </x:row>
    <x:row r="153" ht="36" customHeight="1">
      <x:c r="A153" s="5" t="str">
        <x:v>KI12-TV02H2-04</x:v>
      </x:c>
      <x:c r="B153" s="5" t="n">
        <x:v>1</x:v>
      </x:c>
      <x:c r="C153" s="5" t="str">
        <x:v>Befoglaló és anyag ellenőrzése</x:v>
      </x:c>
      <x:c r="D153" s="5" t="str">
        <x:v>NYITOTT</x:v>
      </x:c>
      <x:c r="E153" s="5" t="str">
        <x:v>NYITOTT</x:v>
      </x:c>
      <x:c r="F153" s="5" t="str">
        <x:v>NYITOTT</x:v>
      </x:c>
      <x:c r="G153" s="5" t="str">
        <x:v>NYITOTT</x:v>
      </x:c>
      <x:c r="H153" s="5" t="str">
        <x:v>NYITOTT</x:v>
      </x:c>
      <x:c r="I153" s="5" t="str">
        <x:v>NYITOTT</x:v>
      </x:c>
      <x:c r="J153" s="5" t="str">
        <x:v>NEM KIVALASZTOTT</x:v>
      </x:c>
      <x:c r="K153" s="5" t="str">
        <x:v>NINCS NC MOZGAS</x:v>
      </x:c>
    </x:row>
    <x:row r="154" ht="36" customHeight="1">
      <x:c r="A154" s="5" t="str">
        <x:v>KI12-TV02H2-04</x:v>
      </x:c>
      <x:c r="B154" s="5" t="n">
        <x:v>2</x:v>
      </x:c>
      <x:c r="C154" s="5" t="str">
        <x:v>Élzárás / élanyag igazolása</x:v>
      </x:c>
      <x:c r="D154" s="5" t="str">
        <x:v>NYITOTT</x:v>
      </x:c>
      <x:c r="E154" s="5" t="str">
        <x:v>NYITOTT</x:v>
      </x:c>
      <x:c r="F154" s="5" t="str">
        <x:v>NYITOTT</x:v>
      </x:c>
      <x:c r="G154" s="5" t="str">
        <x:v>NYITOTT</x:v>
      </x:c>
      <x:c r="H154" s="5" t="str">
        <x:v>NYITOTT</x:v>
      </x:c>
      <x:c r="I154" s="5" t="str">
        <x:v>NYITOTT</x:v>
      </x:c>
      <x:c r="J154" s="5" t="str">
        <x:v>NEM KIVALASZTOTT</x:v>
      </x:c>
      <x:c r="K154" s="5" t="str">
        <x:v>NINCS NC MOZGAS</x:v>
      </x:c>
    </x:row>
    <x:row r="155" ht="36" customHeight="1">
      <x:c r="A155" s="5" t="str">
        <x:v>KI12-TV02H2-04</x:v>
      </x:c>
      <x:c r="B155" s="5" t="n">
        <x:v>3</x:v>
      </x:c>
      <x:c r="C155" s="5" t="str">
        <x:v>Kötés / támasz / rögzítés műhelyi jóváhagyásra</x:v>
      </x:c>
      <x:c r="D155" s="5" t="str">
        <x:v>NYITOTT</x:v>
      </x:c>
      <x:c r="E155" s="5" t="str">
        <x:v>NYITOTT</x:v>
      </x:c>
      <x:c r="F155" s="5" t="str">
        <x:v>NYITOTT</x:v>
      </x:c>
      <x:c r="G155" s="5" t="str">
        <x:v>NYITOTT</x:v>
      </x:c>
      <x:c r="H155" s="5" t="str">
        <x:v>NYITOTT</x:v>
      </x:c>
      <x:c r="I155" s="5" t="str">
        <x:v>NYITOTT</x:v>
      </x:c>
      <x:c r="J155" s="5" t="str">
        <x:v>NEM KIVALASZTOTT</x:v>
      </x:c>
      <x:c r="K155" s="5" t="str">
        <x:v>NINCS NC MOZGAS</x:v>
      </x:c>
    </x:row>
    <x:row r="156" ht="36" customHeight="1">
      <x:c r="A156" s="5" t="str">
        <x:v>KI12-TV02CAP-01</x:v>
      </x:c>
      <x:c r="B156" s="5" t="n">
        <x:v>1</x:v>
      </x:c>
      <x:c r="C156" s="5" t="str">
        <x:v>Befoglaló és anyag ellenőrzése</x:v>
      </x:c>
      <x:c r="D156" s="5" t="str">
        <x:v>NYITOTT</x:v>
      </x:c>
      <x:c r="E156" s="5" t="str">
        <x:v>NYITOTT</x:v>
      </x:c>
      <x:c r="F156" s="5" t="str">
        <x:v>NYITOTT</x:v>
      </x:c>
      <x:c r="G156" s="5" t="str">
        <x:v>NYITOTT</x:v>
      </x:c>
      <x:c r="H156" s="5" t="str">
        <x:v>NYITOTT</x:v>
      </x:c>
      <x:c r="I156" s="5" t="str">
        <x:v>NYITOTT</x:v>
      </x:c>
      <x:c r="J156" s="5" t="str">
        <x:v>NEM KIVALASZTOTT</x:v>
      </x:c>
      <x:c r="K156" s="5" t="str">
        <x:v>NINCS NC MOZGAS</x:v>
      </x:c>
    </x:row>
    <x:row r="157" ht="36" customHeight="1">
      <x:c r="A157" s="5" t="str">
        <x:v>KI12-TV02CAP-01</x:v>
      </x:c>
      <x:c r="B157" s="5" t="n">
        <x:v>2</x:v>
      </x:c>
      <x:c r="C157" s="5" t="str">
        <x:v>Élzárás / élanyag igazolása</x:v>
      </x:c>
      <x:c r="D157" s="5" t="str">
        <x:v>NYITOTT</x:v>
      </x:c>
      <x:c r="E157" s="5" t="str">
        <x:v>NYITOTT</x:v>
      </x:c>
      <x:c r="F157" s="5" t="str">
        <x:v>NYITOTT</x:v>
      </x:c>
      <x:c r="G157" s="5" t="str">
        <x:v>NYITOTT</x:v>
      </x:c>
      <x:c r="H157" s="5" t="str">
        <x:v>NYITOTT</x:v>
      </x:c>
      <x:c r="I157" s="5" t="str">
        <x:v>NYITOTT</x:v>
      </x:c>
      <x:c r="J157" s="5" t="str">
        <x:v>NEM KIVALASZTOTT</x:v>
      </x:c>
      <x:c r="K157" s="5" t="str">
        <x:v>NINCS NC MOZGAS</x:v>
      </x:c>
    </x:row>
    <x:row r="158" ht="36" customHeight="1">
      <x:c r="A158" s="5" t="str">
        <x:v>KI12-TV02CAP-01</x:v>
      </x:c>
      <x:c r="B158" s="5" t="n">
        <x:v>3</x:v>
      </x:c>
      <x:c r="C158" s="5" t="str">
        <x:v>Kötés / támasz / rögzítés műhelyi jóváhagyásra</x:v>
      </x:c>
      <x:c r="D158" s="5" t="str">
        <x:v>NYITOTT</x:v>
      </x:c>
      <x:c r="E158" s="5" t="str">
        <x:v>NYITOTT</x:v>
      </x:c>
      <x:c r="F158" s="5" t="str">
        <x:v>NYITOTT</x:v>
      </x:c>
      <x:c r="G158" s="5" t="str">
        <x:v>NYITOTT</x:v>
      </x:c>
      <x:c r="H158" s="5" t="str">
        <x:v>NYITOTT</x:v>
      </x:c>
      <x:c r="I158" s="5" t="str">
        <x:v>NYITOTT</x:v>
      </x:c>
      <x:c r="J158" s="5" t="str">
        <x:v>NEM KIVALASZTOTT</x:v>
      </x:c>
      <x:c r="K158" s="5" t="str">
        <x:v>NINCS NC MOZGAS</x:v>
      </x:c>
    </x:row>
    <x:row r="159" ht="36" customHeight="1">
      <x:c r="A159" s="5" t="str">
        <x:v>KI12-TV03P-01</x:v>
      </x:c>
      <x:c r="B159" s="5" t="n">
        <x:v>1</x:v>
      </x:c>
      <x:c r="C159" s="5" t="str">
        <x:v>Befoglaló és anyag ellenőrzése</x:v>
      </x:c>
      <x:c r="D159" s="5" t="str">
        <x:v>NYITOTT</x:v>
      </x:c>
      <x:c r="E159" s="5" t="str">
        <x:v>NYITOTT</x:v>
      </x:c>
      <x:c r="F159" s="5" t="str">
        <x:v>NYITOTT</x:v>
      </x:c>
      <x:c r="G159" s="5" t="str">
        <x:v>NYITOTT</x:v>
      </x:c>
      <x:c r="H159" s="5" t="str">
        <x:v>NYITOTT</x:v>
      </x:c>
      <x:c r="I159" s="5" t="str">
        <x:v>NYITOTT</x:v>
      </x:c>
      <x:c r="J159" s="5" t="str">
        <x:v>NEM KIVALASZTOTT</x:v>
      </x:c>
      <x:c r="K159" s="5" t="str">
        <x:v>NINCS NC MOZGAS</x:v>
      </x:c>
    </x:row>
    <x:row r="160" ht="36" customHeight="1">
      <x:c r="A160" s="5" t="str">
        <x:v>KI12-TV03P-01</x:v>
      </x:c>
      <x:c r="B160" s="5" t="n">
        <x:v>2</x:v>
      </x:c>
      <x:c r="C160" s="5" t="str">
        <x:v>Élzárás / élanyag igazolása</x:v>
      </x:c>
      <x:c r="D160" s="5" t="str">
        <x:v>NYITOTT</x:v>
      </x:c>
      <x:c r="E160" s="5" t="str">
        <x:v>NYITOTT</x:v>
      </x:c>
      <x:c r="F160" s="5" t="str">
        <x:v>NYITOTT</x:v>
      </x:c>
      <x:c r="G160" s="5" t="str">
        <x:v>NYITOTT</x:v>
      </x:c>
      <x:c r="H160" s="5" t="str">
        <x:v>NYITOTT</x:v>
      </x:c>
      <x:c r="I160" s="5" t="str">
        <x:v>NYITOTT</x:v>
      </x:c>
      <x:c r="J160" s="5" t="str">
        <x:v>NEM KIVALASZTOTT</x:v>
      </x:c>
      <x:c r="K160" s="5" t="str">
        <x:v>NINCS NC MOZGAS</x:v>
      </x:c>
    </x:row>
    <x:row r="161" ht="36" customHeight="1">
      <x:c r="A161" s="5" t="str">
        <x:v>KI12-TV03P-01</x:v>
      </x:c>
      <x:c r="B161" s="5" t="n">
        <x:v>3</x:v>
      </x:c>
      <x:c r="C161" s="5" t="str">
        <x:v>Panel rögzítés/TV/LED kivágás: hely és rögzítő választandó</x:v>
      </x:c>
      <x:c r="D161" s="5" t="str">
        <x:v>NYITOTT</x:v>
      </x:c>
      <x:c r="E161" s="5" t="str">
        <x:v>NYITOTT</x:v>
      </x:c>
      <x:c r="F161" s="5" t="str">
        <x:v>NYITOTT</x:v>
      </x:c>
      <x:c r="G161" s="5" t="str">
        <x:v>NYITOTT</x:v>
      </x:c>
      <x:c r="H161" s="5" t="str">
        <x:v>NYITOTT</x:v>
      </x:c>
      <x:c r="I161" s="5" t="str">
        <x:v>NYITOTT</x:v>
      </x:c>
      <x:c r="J161" s="5" t="str">
        <x:v>NEM KIVALASZTOTT</x:v>
      </x:c>
      <x:c r="K161" s="5" t="str">
        <x:v>NINCS NC MOZGAS</x:v>
      </x:c>
    </x:row>
    <x:row r="162" ht="36" customHeight="1">
      <x:c r="A162" s="5" t="str">
        <x:v>KI12-TV03P-02</x:v>
      </x:c>
      <x:c r="B162" s="5" t="n">
        <x:v>1</x:v>
      </x:c>
      <x:c r="C162" s="5" t="str">
        <x:v>Befoglaló és anyag ellenőrzése</x:v>
      </x:c>
      <x:c r="D162" s="5" t="str">
        <x:v>NYITOTT</x:v>
      </x:c>
      <x:c r="E162" s="5" t="str">
        <x:v>NYITOTT</x:v>
      </x:c>
      <x:c r="F162" s="5" t="str">
        <x:v>NYITOTT</x:v>
      </x:c>
      <x:c r="G162" s="5" t="str">
        <x:v>NYITOTT</x:v>
      </x:c>
      <x:c r="H162" s="5" t="str">
        <x:v>NYITOTT</x:v>
      </x:c>
      <x:c r="I162" s="5" t="str">
        <x:v>NYITOTT</x:v>
      </x:c>
      <x:c r="J162" s="5" t="str">
        <x:v>NEM KIVALASZTOTT</x:v>
      </x:c>
      <x:c r="K162" s="5" t="str">
        <x:v>NINCS NC MOZGAS</x:v>
      </x:c>
    </x:row>
    <x:row r="163" ht="36" customHeight="1">
      <x:c r="A163" s="5" t="str">
        <x:v>KI12-TV03P-02</x:v>
      </x:c>
      <x:c r="B163" s="5" t="n">
        <x:v>2</x:v>
      </x:c>
      <x:c r="C163" s="5" t="str">
        <x:v>Élzárás / élanyag igazolása</x:v>
      </x:c>
      <x:c r="D163" s="5" t="str">
        <x:v>NYITOTT</x:v>
      </x:c>
      <x:c r="E163" s="5" t="str">
        <x:v>NYITOTT</x:v>
      </x:c>
      <x:c r="F163" s="5" t="str">
        <x:v>NYITOTT</x:v>
      </x:c>
      <x:c r="G163" s="5" t="str">
        <x:v>NYITOTT</x:v>
      </x:c>
      <x:c r="H163" s="5" t="str">
        <x:v>NYITOTT</x:v>
      </x:c>
      <x:c r="I163" s="5" t="str">
        <x:v>NYITOTT</x:v>
      </x:c>
      <x:c r="J163" s="5" t="str">
        <x:v>NEM KIVALASZTOTT</x:v>
      </x:c>
      <x:c r="K163" s="5" t="str">
        <x:v>NINCS NC MOZGAS</x:v>
      </x:c>
    </x:row>
    <x:row r="164" ht="36" customHeight="1">
      <x:c r="A164" s="5" t="str">
        <x:v>KI12-TV03P-02</x:v>
      </x:c>
      <x:c r="B164" s="5" t="n">
        <x:v>3</x:v>
      </x:c>
      <x:c r="C164" s="5" t="str">
        <x:v>Panel rögzítés/TV/LED kivágás: hely és rögzítő választandó</x:v>
      </x:c>
      <x:c r="D164" s="5" t="str">
        <x:v>NYITOTT</x:v>
      </x:c>
      <x:c r="E164" s="5" t="str">
        <x:v>NYITOTT</x:v>
      </x:c>
      <x:c r="F164" s="5" t="str">
        <x:v>NYITOTT</x:v>
      </x:c>
      <x:c r="G164" s="5" t="str">
        <x:v>NYITOTT</x:v>
      </x:c>
      <x:c r="H164" s="5" t="str">
        <x:v>NYITOTT</x:v>
      </x:c>
      <x:c r="I164" s="5" t="str">
        <x:v>NYITOTT</x:v>
      </x:c>
      <x:c r="J164" s="5" t="str">
        <x:v>NEM KIVALASZTOTT</x:v>
      </x:c>
      <x:c r="K164" s="5" t="str">
        <x:v>NINCS NC MOZGAS</x:v>
      </x:c>
    </x:row>
    <x:row r="165" ht="36" customHeight="1">
      <x:c r="A165" s="5" t="str">
        <x:v>KI12-TV03P-03</x:v>
      </x:c>
      <x:c r="B165" s="5" t="n">
        <x:v>1</x:v>
      </x:c>
      <x:c r="C165" s="5" t="str">
        <x:v>Befoglaló és anyag ellenőrzése</x:v>
      </x:c>
      <x:c r="D165" s="5" t="str">
        <x:v>NYITOTT</x:v>
      </x:c>
      <x:c r="E165" s="5" t="str">
        <x:v>NYITOTT</x:v>
      </x:c>
      <x:c r="F165" s="5" t="str">
        <x:v>NYITOTT</x:v>
      </x:c>
      <x:c r="G165" s="5" t="str">
        <x:v>NYITOTT</x:v>
      </x:c>
      <x:c r="H165" s="5" t="str">
        <x:v>NYITOTT</x:v>
      </x:c>
      <x:c r="I165" s="5" t="str">
        <x:v>NYITOTT</x:v>
      </x:c>
      <x:c r="J165" s="5" t="str">
        <x:v>NEM KIVALASZTOTT</x:v>
      </x:c>
      <x:c r="K165" s="5" t="str">
        <x:v>NINCS NC MOZGAS</x:v>
      </x:c>
    </x:row>
    <x:row r="166" ht="36" customHeight="1">
      <x:c r="A166" s="5" t="str">
        <x:v>KI12-TV03P-03</x:v>
      </x:c>
      <x:c r="B166" s="5" t="n">
        <x:v>2</x:v>
      </x:c>
      <x:c r="C166" s="5" t="str">
        <x:v>Élzárás / élanyag igazolása</x:v>
      </x:c>
      <x:c r="D166" s="5" t="str">
        <x:v>NYITOTT</x:v>
      </x:c>
      <x:c r="E166" s="5" t="str">
        <x:v>NYITOTT</x:v>
      </x:c>
      <x:c r="F166" s="5" t="str">
        <x:v>NYITOTT</x:v>
      </x:c>
      <x:c r="G166" s="5" t="str">
        <x:v>NYITOTT</x:v>
      </x:c>
      <x:c r="H166" s="5" t="str">
        <x:v>NYITOTT</x:v>
      </x:c>
      <x:c r="I166" s="5" t="str">
        <x:v>NYITOTT</x:v>
      </x:c>
      <x:c r="J166" s="5" t="str">
        <x:v>NEM KIVALASZTOTT</x:v>
      </x:c>
      <x:c r="K166" s="5" t="str">
        <x:v>NINCS NC MOZGAS</x:v>
      </x:c>
    </x:row>
    <x:row r="167" ht="36" customHeight="1">
      <x:c r="A167" s="5" t="str">
        <x:v>KI12-TV03P-03</x:v>
      </x:c>
      <x:c r="B167" s="5" t="n">
        <x:v>3</x:v>
      </x:c>
      <x:c r="C167" s="5" t="str">
        <x:v>Panel rögzítés/TV/LED kivágás: hely és rögzítő választandó</x:v>
      </x:c>
      <x:c r="D167" s="5" t="str">
        <x:v>NYITOTT</x:v>
      </x:c>
      <x:c r="E167" s="5" t="str">
        <x:v>NYITOTT</x:v>
      </x:c>
      <x:c r="F167" s="5" t="str">
        <x:v>NYITOTT</x:v>
      </x:c>
      <x:c r="G167" s="5" t="str">
        <x:v>NYITOTT</x:v>
      </x:c>
      <x:c r="H167" s="5" t="str">
        <x:v>NYITOTT</x:v>
      </x:c>
      <x:c r="I167" s="5" t="str">
        <x:v>NYITOTT</x:v>
      </x:c>
      <x:c r="J167" s="5" t="str">
        <x:v>NEM KIVALASZTOTT</x:v>
      </x:c>
      <x:c r="K167" s="5" t="str">
        <x:v>NINCS NC MOZGAS</x:v>
      </x:c>
    </x:row>
    <x:row r="168" ht="36" customHeight="1">
      <x:c r="A168" s="5" t="str">
        <x:v>KI12-TV03P-04</x:v>
      </x:c>
      <x:c r="B168" s="5" t="n">
        <x:v>1</x:v>
      </x:c>
      <x:c r="C168" s="5" t="str">
        <x:v>Befoglaló és anyag ellenőrzése</x:v>
      </x:c>
      <x:c r="D168" s="5" t="str">
        <x:v>NYITOTT</x:v>
      </x:c>
      <x:c r="E168" s="5" t="str">
        <x:v>NYITOTT</x:v>
      </x:c>
      <x:c r="F168" s="5" t="str">
        <x:v>NYITOTT</x:v>
      </x:c>
      <x:c r="G168" s="5" t="str">
        <x:v>NYITOTT</x:v>
      </x:c>
      <x:c r="H168" s="5" t="str">
        <x:v>NYITOTT</x:v>
      </x:c>
      <x:c r="I168" s="5" t="str">
        <x:v>NYITOTT</x:v>
      </x:c>
      <x:c r="J168" s="5" t="str">
        <x:v>NEM KIVALASZTOTT</x:v>
      </x:c>
      <x:c r="K168" s="5" t="str">
        <x:v>NINCS NC MOZGAS</x:v>
      </x:c>
    </x:row>
    <x:row r="169" ht="36" customHeight="1">
      <x:c r="A169" s="5" t="str">
        <x:v>KI12-TV03P-04</x:v>
      </x:c>
      <x:c r="B169" s="5" t="n">
        <x:v>2</x:v>
      </x:c>
      <x:c r="C169" s="5" t="str">
        <x:v>Élzárás / élanyag igazolása</x:v>
      </x:c>
      <x:c r="D169" s="5" t="str">
        <x:v>NYITOTT</x:v>
      </x:c>
      <x:c r="E169" s="5" t="str">
        <x:v>NYITOTT</x:v>
      </x:c>
      <x:c r="F169" s="5" t="str">
        <x:v>NYITOTT</x:v>
      </x:c>
      <x:c r="G169" s="5" t="str">
        <x:v>NYITOTT</x:v>
      </x:c>
      <x:c r="H169" s="5" t="str">
        <x:v>NYITOTT</x:v>
      </x:c>
      <x:c r="I169" s="5" t="str">
        <x:v>NYITOTT</x:v>
      </x:c>
      <x:c r="J169" s="5" t="str">
        <x:v>NEM KIVALASZTOTT</x:v>
      </x:c>
      <x:c r="K169" s="5" t="str">
        <x:v>NINCS NC MOZGAS</x:v>
      </x:c>
    </x:row>
    <x:row r="170" ht="36" customHeight="1">
      <x:c r="A170" s="5" t="str">
        <x:v>KI12-TV03P-04</x:v>
      </x:c>
      <x:c r="B170" s="5" t="n">
        <x:v>3</x:v>
      </x:c>
      <x:c r="C170" s="5" t="str">
        <x:v>Panel rögzítés/TV/LED kivágás: hely és rögzítő választandó</x:v>
      </x:c>
      <x:c r="D170" s="5" t="str">
        <x:v>NYITOTT</x:v>
      </x:c>
      <x:c r="E170" s="5" t="str">
        <x:v>NYITOTT</x:v>
      </x:c>
      <x:c r="F170" s="5" t="str">
        <x:v>NYITOTT</x:v>
      </x:c>
      <x:c r="G170" s="5" t="str">
        <x:v>NYITOTT</x:v>
      </x:c>
      <x:c r="H170" s="5" t="str">
        <x:v>NYITOTT</x:v>
      </x:c>
      <x:c r="I170" s="5" t="str">
        <x:v>NYITOTT</x:v>
      </x:c>
      <x:c r="J170" s="5" t="str">
        <x:v>NEM KIVALASZTOTT</x:v>
      </x:c>
      <x:c r="K170" s="5" t="str">
        <x:v>NINCS NC MOZGAS</x:v>
      </x:c>
    </x:row>
    <x:row r="171" ht="36" customHeight="1">
      <x:c r="A171" s="5" t="str">
        <x:v>KI12-GAP-01</x:v>
      </x:c>
      <x:c r="B171" s="5" t="n">
        <x:v>1</x:v>
      </x:c>
      <x:c r="C171" s="5" t="str">
        <x:v>Befoglaló és anyag ellenőrzése</x:v>
      </x:c>
      <x:c r="D171" s="5" t="str">
        <x:v>NYITOTT</x:v>
      </x:c>
      <x:c r="E171" s="5" t="str">
        <x:v>NYITOTT</x:v>
      </x:c>
      <x:c r="F171" s="5" t="str">
        <x:v>NYITOTT</x:v>
      </x:c>
      <x:c r="G171" s="5" t="str">
        <x:v>NYITOTT</x:v>
      </x:c>
      <x:c r="H171" s="5" t="str">
        <x:v>NYITOTT</x:v>
      </x:c>
      <x:c r="I171" s="5" t="str">
        <x:v>NYITOTT</x:v>
      </x:c>
      <x:c r="J171" s="5" t="str">
        <x:v>NEM KIVALASZTOTT</x:v>
      </x:c>
      <x:c r="K171" s="5" t="str">
        <x:v>NINCS NC MOZGAS</x:v>
      </x:c>
    </x:row>
    <x:row r="172" ht="36" customHeight="1">
      <x:c r="A172" s="5" t="str">
        <x:v>KI12-GAP-01</x:v>
      </x:c>
      <x:c r="B172" s="5" t="n">
        <x:v>2</x:v>
      </x:c>
      <x:c r="C172" s="5" t="str">
        <x:v>Élzárás / élanyag igazolása</x:v>
      </x:c>
      <x:c r="D172" s="5" t="str">
        <x:v>NYITOTT</x:v>
      </x:c>
      <x:c r="E172" s="5" t="str">
        <x:v>NYITOTT</x:v>
      </x:c>
      <x:c r="F172" s="5" t="str">
        <x:v>NYITOTT</x:v>
      </x:c>
      <x:c r="G172" s="5" t="str">
        <x:v>NYITOTT</x:v>
      </x:c>
      <x:c r="H172" s="5" t="str">
        <x:v>NYITOTT</x:v>
      </x:c>
      <x:c r="I172" s="5" t="str">
        <x:v>NYITOTT</x:v>
      </x:c>
      <x:c r="J172" s="5" t="str">
        <x:v>NEM KIVALASZTOTT</x:v>
      </x:c>
      <x:c r="K172" s="5" t="str">
        <x:v>NINCS NC MOZGAS</x:v>
      </x:c>
    </x:row>
    <x:row r="173" ht="36" customHeight="1">
      <x:c r="A173" s="5" t="str">
        <x:v>KI12-GAP-01</x:v>
      </x:c>
      <x:c r="B173" s="5" t="n">
        <x:v>3</x:v>
      </x:c>
      <x:c r="C173" s="5" t="str">
        <x:v>Kötés / támasz / rögzítés műhelyi jóváhagyásra</x:v>
      </x:c>
      <x:c r="D173" s="5" t="str">
        <x:v>NYITOTT</x:v>
      </x:c>
      <x:c r="E173" s="5" t="str">
        <x:v>NYITOTT</x:v>
      </x:c>
      <x:c r="F173" s="5" t="str">
        <x:v>NYITOTT</x:v>
      </x:c>
      <x:c r="G173" s="5" t="str">
        <x:v>NYITOTT</x:v>
      </x:c>
      <x:c r="H173" s="5" t="str">
        <x:v>NYITOTT</x:v>
      </x:c>
      <x:c r="I173" s="5" t="str">
        <x:v>NYITOTT</x:v>
      </x:c>
      <x:c r="J173" s="5" t="str">
        <x:v>NEM KIVALASZTOTT</x:v>
      </x:c>
      <x:c r="K173" s="5" t="str">
        <x:v>NINCS NC MOZGAS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0" hidden="0" customWidth="1"/>
  </x:cols>
  <x:sheetData>
    <x:row r="1" ht="48" customHeight="1">
      <x:c r="A1" s="12" t="str">
        <x:v>R12 műhelycsomag</x:v>
      </x:c>
      <x:c r="B1" s="12" t="str">
        <x:v>Használat / korlát</x:v>
      </x:c>
    </x:row>
    <x:row r="2" ht="48" customHeight="1">
      <x:c r="A2" s="12" t="str">
        <x:v>Gép</x:v>
      </x:c>
      <x:c r="B2" s="12" t="str">
        <x:v>Homag WOF211 - tulajdonosi közlés; pontos adattábla még nincs ellenőrizve</x:v>
      </x:c>
    </x:row>
    <x:row r="3" ht="48" customHeight="1">
      <x:c r="A3" s="12" t="str">
        <x:v>Szoftver</x:v>
      </x:c>
      <x:c r="B3" s="12" t="str">
        <x:v>woodWOP 5.0. MPR alapfájlok helyi woodWOP megnyitása még nem tesztelt.</x:v>
      </x:c>
    </x:row>
    <x:row r="4" ht="48" customHeight="1">
      <x:c r="A4" s="12" t="str">
        <x:v>Tájolás</x:v>
      </x:c>
      <x:c r="B4" s="12" t="str">
        <x:v>A felület felül nézve; O=(0,0), X jobbra, Y felfelé. E1 alul(Y0), E2 jobb(Xmax), E3 felül(Ymax), E4 bal(X0).</x:v>
      </x:c>
    </x:row>
    <x:row r="5" ht="48" customHeight="1">
      <x:c r="A5" s="12" t="str">
        <x:v>Gépütköző</x:v>
      </x:c>
      <x:c r="B5" s="12" t="str">
        <x:v>E1+E4 csak rajzi javaslat. Nem bizonyított gépoldal vagy vákuumos befogás. B oldali megmunkálás külön transzformációt igényel.</x:v>
      </x:c>
    </x:row>
    <x:row r="6" ht="48" customHeight="1">
      <x:c r="A6" s="12" t="str">
        <x:v>C kód</x:v>
      </x:c>
      <x:c r="B6" s="12" t="str">
        <x:v>Élzárás/vastagság műhelykódja. Nincs C=1mm feltételezés. X oszlop műhelyben töltendő.</x:v>
      </x:c>
    </x:row>
    <x:row r="7" ht="48" customHeight="1">
      <x:c r="A7" s="12" t="str">
        <x:v>Élvastagság</x:v>
      </x:c>
      <x:c r="B7" s="12" t="str">
        <x:v>O:R tervezett mm, a C kódtól függetlenül. Üres érték ismeretlen, 0 valódi élzárás nélküli él.</x:v>
      </x:c>
    </x:row>
    <x:row r="8" ht="48" customHeight="1">
      <x:c r="A8" s="12" t="str">
        <x:v>Nyers méret</x:v>
      </x:c>
      <x:c r="B8" s="12" t="str">
        <x:v>Kész X - E2 - E4 + X ráhagyás; kész Y - E1 - E3 + Y ráhagyás. S/T üres, ezért nincs jóváhagyatlan szabásméret.</x:v>
      </x:c>
    </x:row>
    <x:row r="9" ht="48" customHeight="1">
      <x:c r="A9" s="12" t="str">
        <x:v>MPR alap</x:v>
      </x:c>
      <x:c r="B9" s="12" t="str">
        <x:v>53 fájl: kész befoglaló és azonosító. Nincs furat, horony, marás, szerszám, befogó vagy gépi futás.</x:v>
      </x:c>
    </x:row>
    <x:row r="10" ht="48" customHeight="1">
      <x:c r="A10" s="12" t="str">
        <x:v>DXF</x:v>
      </x:c>
      <x:c r="B10" s="12" t="str">
        <x:v>53 külön vonalas kész kontúr, REF rétegek. Nem a km.dwg konverziója és nem CAM-import profil.</x:v>
      </x:c>
    </x:row>
    <x:row r="11" ht="48" customHeight="1">
      <x:c r="A11" s="12" t="str">
        <x:v>Címkék</x:v>
      </x:c>
      <x:c r="B11" s="12" t="str">
        <x:v>A Cimkek lap képletei az Alkatreszek sorait olvassák. 2×5 címke/A4, 95×50mm próbaelrendezés, 100% nyomtatás.</x:v>
      </x:c>
    </x:row>
    <x:row r="12" ht="48" customHeight="1">
      <x:c r="A12" s="12" t="str">
        <x:v>Címkeazonosító</x:v>
      </x:c>
      <x:c r="B12" s="12" t="str">
        <x:v>A matricán ugyanaz az ID, mint az MPR fájlneve kiterjesztés nélkül. Helyi programkönyvtárba kézi másolás/teszt kell.</x:v>
      </x:c>
    </x:row>
    <x:row r="13" ht="48" customHeight="1">
      <x:c r="A13" s="12" t="str">
        <x:v>PDF frissítés</x:v>
      </x:c>
      <x:c r="B13" s="12" t="str">
        <x:v>A címke-PDF kiadási pillanatkép. Excel módosítás után újragenerálás kell; közvetlen Excel-nyomtatás a képleteket követi.</x:v>
      </x:c>
    </x:row>
    <x:row r="14" ht="48" customHeight="1">
      <x:c r="A14" s="12" t="str">
        <x:v>Teljesség</x:v>
      </x:c>
      <x:c r="B14" s="12" t="str">
        <x:v>53 ismert R11 lapalkatrész. Köztes alsó betét és szerelőlécek/rögzítők részletei nyitottak; a teljes gyártási darabjegyzék még nem lezárt.</x:v>
      </x:c>
    </x:row>
    <x:row r="15" ht="48" customHeight="1">
      <x:c r="A15" s="12" t="str">
        <x:v>DWG referencia</x:v>
      </x:c>
      <x:c r="B15" s="12" t="str">
        <x:v>coo1.dwg: 481 térfogattest-entitás a modelltérben; a konverter ACIS-geometriát nem adott vissza. Saját R12: 53 külön térfogattest DXF-ben, visszaolvasva.</x:v>
      </x:c>
    </x:row>
    <x:row r="16" ht="48" customHeight="1">
      <x:c r="A16" s="12" t="str">
        <x:v>Méretek</x:v>
      </x:c>
      <x:c r="B16" s="12" t="str">
        <x:v>Nem helyszíni felmérés. 3600mm fedlap táblaméret/gépút/szállítás ellenőrzendő.</x:v>
      </x:c>
    </x:row>
    <x:row r="17" ht="48" customHeight="1">
      <x:c r="A17" s="12" t="str">
        <x:v>Lezárás</x:v>
      </x:c>
      <x:c r="B17" s="12" t="str">
        <x:v>Felmérés + kötés/vasalat + szerszámadat + gépi tájolás + woodWOP megnyitás és szimuláció + műhelyjóváhagyás.</x:v>
      </x:c>
    </x:row>
    <x:row r="18" ht="48" customHeight="1">
      <x:c r="A18" s="12" t="str">
        <x:v>R11 javítás 1</x:v>
      </x:c>
      <x:c r="B18" s="12" t="str">
        <x:v>Alsó belmagasság 382-18=364 mm, nem346; öt hátlap javítva.</x:v>
      </x:c>
    </x:row>
    <x:row r="19" ht="48" customHeight="1">
      <x:c r="A19" s="12" t="str">
        <x:v>R11 javítás 2</x:v>
      </x:c>
      <x:c r="B19" s="12" t="str">
        <x:v>A400mm mély tető a frontokba hatolt. R12 fedő382mm mély; front18mm; teljes mélység400mm.</x:v>
      </x:c>
    </x:row>
    <x:row r="20" ht="48" customHeight="1">
      <x:c r="A20" s="12" t="str">
        <x:v>Kötőpontok</x:v>
      </x:c>
      <x:c r="B20" s="12" t="str">
        <x:v>26 csapos kötés:156 tervezett furattengely. Összeállítási XYZ, NEM CNC-koordináta. Szilárdság és szerszámozás még nem jóváhagyott.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5" hidden="0" customWidth="1"/>
    <x:col min="13" max="13" width="35" hidden="0" customWidth="1"/>
  </x:cols>
  <x:sheetData>
    <x:row r="1" ht="28" customHeight="1">
      <x:c r="A1" s="10" t="str">
        <x:v>Kötés</x:v>
      </x:c>
      <x:c r="B1" s="10" t="str">
        <x:v>Pár</x:v>
      </x:c>
      <x:c r="C1" s="10" t="str">
        <x:v>Darab</x:v>
      </x:c>
      <x:c r="D1" s="10" t="str">
        <x:v>X mm</x:v>
      </x:c>
      <x:c r="E1" s="10" t="str">
        <x:v>Y mm</x:v>
      </x:c>
      <x:c r="F1" s="10" t="str">
        <x:v>Z mm</x:v>
      </x:c>
      <x:c r="G1" s="10" t="str">
        <x:v>Irány X</x:v>
      </x:c>
      <x:c r="H1" s="10" t="str">
        <x:v>Irány Y</x:v>
      </x:c>
      <x:c r="I1" s="10" t="str">
        <x:v>Irány Z</x:v>
      </x:c>
      <x:c r="J1" s="10" t="str">
        <x:v>Átmérő mm</x:v>
      </x:c>
      <x:c r="K1" s="10" t="str">
        <x:v>Mélység mm</x:v>
      </x:c>
      <x:c r="L1" s="10" t="str">
        <x:v>Koordinátarendszer</x:v>
      </x:c>
      <x:c r="M1" s="10" t="str">
        <x:v>Státusz</x:v>
      </x:c>
    </x:row>
    <x:row r="2" ht="28" customHeight="1">
      <x:c r="A2" s="5" t="str">
        <x:v>J01</x:v>
      </x:c>
      <x:c r="B2" s="5" t="n">
        <x:v>1</x:v>
      </x:c>
      <x:c r="C2" s="5" t="str">
        <x:v>KI12-TV01S-01</x:v>
      </x:c>
      <x:c r="D2" s="5" t="n">
        <x:v>18</x:v>
      </x:c>
      <x:c r="E2" s="5" t="n">
        <x:v>50</x:v>
      </x:c>
      <x:c r="F2" s="5" t="n">
        <x:v>559</x:v>
      </x:c>
      <x:c r="G2" s="5" t="n">
        <x:v>-1</x:v>
      </x:c>
      <x:c r="H2" s="5" t="n">
        <x:v>0</x:v>
      </x:c>
      <x:c r="I2" s="5" t="n">
        <x:v>0</x:v>
      </x:c>
      <x:c r="J2" s="5" t="n">
        <x:v>8</x:v>
      </x:c>
      <x:c r="K2" s="5" t="n">
        <x:v>12</x:v>
      </x:c>
      <x:c r="L2" s="5" t="str">
        <x:v>ASSEMBLY_XYZ_NOT_MACHINE</x:v>
      </x:c>
      <x:c r="M2" s="5" t="str">
        <x:v>DESIGN_NOT_NC</x:v>
      </x:c>
    </x:row>
    <x:row r="3" ht="28" customHeight="1">
      <x:c r="A3" s="5" t="str">
        <x:v>J01</x:v>
      </x:c>
      <x:c r="B3" s="5" t="n">
        <x:v>1</x:v>
      </x:c>
      <x:c r="C3" s="5" t="str">
        <x:v>KI12-TV01T-01</x:v>
      </x:c>
      <x:c r="D3" s="5" t="n">
        <x:v>18</x:v>
      </x:c>
      <x:c r="E3" s="5" t="n">
        <x:v>50</x:v>
      </x:c>
      <x:c r="F3" s="5" t="n">
        <x:v>559</x:v>
      </x:c>
      <x:c r="G3" s="5" t="n">
        <x:v>1</x:v>
      </x:c>
      <x:c r="H3" s="5" t="n">
        <x:v>0</x:v>
      </x:c>
      <x:c r="I3" s="5" t="n">
        <x:v>0</x:v>
      </x:c>
      <x:c r="J3" s="5" t="n">
        <x:v>8</x:v>
      </x:c>
      <x:c r="K3" s="5" t="n">
        <x:v>22</x:v>
      </x:c>
      <x:c r="L3" s="5" t="str">
        <x:v>ASSEMBLY_XYZ_NOT_MACHINE</x:v>
      </x:c>
      <x:c r="M3" s="5" t="str">
        <x:v>DESIGN_NOT_NC</x:v>
      </x:c>
    </x:row>
    <x:row r="4" ht="28" customHeight="1">
      <x:c r="A4" s="5" t="str">
        <x:v>J01</x:v>
      </x:c>
      <x:c r="B4" s="5" t="n">
        <x:v>2</x:v>
      </x:c>
      <x:c r="C4" s="5" t="str">
        <x:v>KI12-TV01S-01</x:v>
      </x:c>
      <x:c r="D4" s="5" t="n">
        <x:v>18</x:v>
      </x:c>
      <x:c r="E4" s="5" t="n">
        <x:v>191</x:v>
      </x:c>
      <x:c r="F4" s="5" t="n">
        <x:v>559</x:v>
      </x:c>
      <x:c r="G4" s="5" t="n">
        <x:v>-1</x:v>
      </x:c>
      <x:c r="H4" s="5" t="n">
        <x:v>0</x:v>
      </x:c>
      <x:c r="I4" s="5" t="n">
        <x:v>0</x:v>
      </x:c>
      <x:c r="J4" s="5" t="n">
        <x:v>8</x:v>
      </x:c>
      <x:c r="K4" s="5" t="n">
        <x:v>12</x:v>
      </x:c>
      <x:c r="L4" s="5" t="str">
        <x:v>ASSEMBLY_XYZ_NOT_MACHINE</x:v>
      </x:c>
      <x:c r="M4" s="5" t="str">
        <x:v>DESIGN_NOT_NC</x:v>
      </x:c>
    </x:row>
    <x:row r="5" ht="28" customHeight="1">
      <x:c r="A5" s="5" t="str">
        <x:v>J01</x:v>
      </x:c>
      <x:c r="B5" s="5" t="n">
        <x:v>2</x:v>
      </x:c>
      <x:c r="C5" s="5" t="str">
        <x:v>KI12-TV01T-01</x:v>
      </x:c>
      <x:c r="D5" s="5" t="n">
        <x:v>18</x:v>
      </x:c>
      <x:c r="E5" s="5" t="n">
        <x:v>191</x:v>
      </x:c>
      <x:c r="F5" s="5" t="n">
        <x:v>559</x:v>
      </x:c>
      <x:c r="G5" s="5" t="n">
        <x:v>1</x:v>
      </x:c>
      <x:c r="H5" s="5" t="n">
        <x:v>0</x:v>
      </x:c>
      <x:c r="I5" s="5" t="n">
        <x:v>0</x:v>
      </x:c>
      <x:c r="J5" s="5" t="n">
        <x:v>8</x:v>
      </x:c>
      <x:c r="K5" s="5" t="n">
        <x:v>22</x:v>
      </x:c>
      <x:c r="L5" s="5" t="str">
        <x:v>ASSEMBLY_XYZ_NOT_MACHINE</x:v>
      </x:c>
      <x:c r="M5" s="5" t="str">
        <x:v>DESIGN_NOT_NC</x:v>
      </x:c>
    </x:row>
    <x:row r="6" ht="28" customHeight="1">
      <x:c r="A6" s="5" t="str">
        <x:v>J01</x:v>
      </x:c>
      <x:c r="B6" s="5" t="n">
        <x:v>3</x:v>
      </x:c>
      <x:c r="C6" s="5" t="str">
        <x:v>KI12-TV01S-01</x:v>
      </x:c>
      <x:c r="D6" s="5" t="n">
        <x:v>18</x:v>
      </x:c>
      <x:c r="E6" s="5" t="n">
        <x:v>332</x:v>
      </x:c>
      <x:c r="F6" s="5" t="n">
        <x:v>559</x:v>
      </x:c>
      <x:c r="G6" s="5" t="n">
        <x:v>-1</x:v>
      </x:c>
      <x:c r="H6" s="5" t="n">
        <x:v>0</x:v>
      </x:c>
      <x:c r="I6" s="5" t="n">
        <x:v>0</x:v>
      </x:c>
      <x:c r="J6" s="5" t="n">
        <x:v>8</x:v>
      </x:c>
      <x:c r="K6" s="5" t="n">
        <x:v>12</x:v>
      </x:c>
      <x:c r="L6" s="5" t="str">
        <x:v>ASSEMBLY_XYZ_NOT_MACHINE</x:v>
      </x:c>
      <x:c r="M6" s="5" t="str">
        <x:v>DESIGN_NOT_NC</x:v>
      </x:c>
    </x:row>
    <x:row r="7" ht="28" customHeight="1">
      <x:c r="A7" s="5" t="str">
        <x:v>J01</x:v>
      </x:c>
      <x:c r="B7" s="5" t="n">
        <x:v>3</x:v>
      </x:c>
      <x:c r="C7" s="5" t="str">
        <x:v>KI12-TV01T-01</x:v>
      </x:c>
      <x:c r="D7" s="5" t="n">
        <x:v>18</x:v>
      </x:c>
      <x:c r="E7" s="5" t="n">
        <x:v>332</x:v>
      </x:c>
      <x:c r="F7" s="5" t="n">
        <x:v>559</x:v>
      </x:c>
      <x:c r="G7" s="5" t="n">
        <x:v>1</x:v>
      </x:c>
      <x:c r="H7" s="5" t="n">
        <x:v>0</x:v>
      </x:c>
      <x:c r="I7" s="5" t="n">
        <x:v>0</x:v>
      </x:c>
      <x:c r="J7" s="5" t="n">
        <x:v>8</x:v>
      </x:c>
      <x:c r="K7" s="5" t="n">
        <x:v>22</x:v>
      </x:c>
      <x:c r="L7" s="5" t="str">
        <x:v>ASSEMBLY_XYZ_NOT_MACHINE</x:v>
      </x:c>
      <x:c r="M7" s="5" t="str">
        <x:v>DESIGN_NOT_NC</x:v>
      </x:c>
    </x:row>
    <x:row r="8" ht="28" customHeight="1">
      <x:c r="A8" s="5" t="str">
        <x:v>J02</x:v>
      </x:c>
      <x:c r="B8" s="5" t="n">
        <x:v>1</x:v>
      </x:c>
      <x:c r="C8" s="5" t="str">
        <x:v>KI12-TV01S-01</x:v>
      </x:c>
      <x:c r="D8" s="5" t="n">
        <x:v>18</x:v>
      </x:c>
      <x:c r="E8" s="5" t="n">
        <x:v>50</x:v>
      </x:c>
      <x:c r="F8" s="5" t="n">
        <x:v>2871</x:v>
      </x:c>
      <x:c r="G8" s="5" t="n">
        <x:v>-1</x:v>
      </x:c>
      <x:c r="H8" s="5" t="n">
        <x:v>0</x:v>
      </x:c>
      <x:c r="I8" s="5" t="n">
        <x:v>0</x:v>
      </x:c>
      <x:c r="J8" s="5" t="n">
        <x:v>8</x:v>
      </x:c>
      <x:c r="K8" s="5" t="n">
        <x:v>12</x:v>
      </x:c>
      <x:c r="L8" s="5" t="str">
        <x:v>ASSEMBLY_XYZ_NOT_MACHINE</x:v>
      </x:c>
      <x:c r="M8" s="5" t="str">
        <x:v>DESIGN_NOT_NC</x:v>
      </x:c>
    </x:row>
    <x:row r="9" ht="28" customHeight="1">
      <x:c r="A9" s="5" t="str">
        <x:v>J02</x:v>
      </x:c>
      <x:c r="B9" s="5" t="n">
        <x:v>1</x:v>
      </x:c>
      <x:c r="C9" s="5" t="str">
        <x:v>KI12-TV01T-02</x:v>
      </x:c>
      <x:c r="D9" s="5" t="n">
        <x:v>18</x:v>
      </x:c>
      <x:c r="E9" s="5" t="n">
        <x:v>50</x:v>
      </x:c>
      <x:c r="F9" s="5" t="n">
        <x:v>2871</x:v>
      </x:c>
      <x:c r="G9" s="5" t="n">
        <x:v>1</x:v>
      </x:c>
      <x:c r="H9" s="5" t="n">
        <x:v>0</x:v>
      </x:c>
      <x:c r="I9" s="5" t="n">
        <x:v>0</x:v>
      </x:c>
      <x:c r="J9" s="5" t="n">
        <x:v>8</x:v>
      </x:c>
      <x:c r="K9" s="5" t="n">
        <x:v>22</x:v>
      </x:c>
      <x:c r="L9" s="5" t="str">
        <x:v>ASSEMBLY_XYZ_NOT_MACHINE</x:v>
      </x:c>
      <x:c r="M9" s="5" t="str">
        <x:v>DESIGN_NOT_NC</x:v>
      </x:c>
    </x:row>
    <x:row r="10" ht="28" customHeight="1">
      <x:c r="A10" s="5" t="str">
        <x:v>J02</x:v>
      </x:c>
      <x:c r="B10" s="5" t="n">
        <x:v>2</x:v>
      </x:c>
      <x:c r="C10" s="5" t="str">
        <x:v>KI12-TV01S-01</x:v>
      </x:c>
      <x:c r="D10" s="5" t="n">
        <x:v>18</x:v>
      </x:c>
      <x:c r="E10" s="5" t="n">
        <x:v>191</x:v>
      </x:c>
      <x:c r="F10" s="5" t="n">
        <x:v>2871</x:v>
      </x:c>
      <x:c r="G10" s="5" t="n">
        <x:v>-1</x:v>
      </x:c>
      <x:c r="H10" s="5" t="n">
        <x:v>0</x:v>
      </x:c>
      <x:c r="I10" s="5" t="n">
        <x:v>0</x:v>
      </x:c>
      <x:c r="J10" s="5" t="n">
        <x:v>8</x:v>
      </x:c>
      <x:c r="K10" s="5" t="n">
        <x:v>12</x:v>
      </x:c>
      <x:c r="L10" s="5" t="str">
        <x:v>ASSEMBLY_XYZ_NOT_MACHINE</x:v>
      </x:c>
      <x:c r="M10" s="5" t="str">
        <x:v>DESIGN_NOT_NC</x:v>
      </x:c>
    </x:row>
    <x:row r="11" ht="28" customHeight="1">
      <x:c r="A11" s="5" t="str">
        <x:v>J02</x:v>
      </x:c>
      <x:c r="B11" s="5" t="n">
        <x:v>2</x:v>
      </x:c>
      <x:c r="C11" s="5" t="str">
        <x:v>KI12-TV01T-02</x:v>
      </x:c>
      <x:c r="D11" s="5" t="n">
        <x:v>18</x:v>
      </x:c>
      <x:c r="E11" s="5" t="n">
        <x:v>191</x:v>
      </x:c>
      <x:c r="F11" s="5" t="n">
        <x:v>2871</x:v>
      </x:c>
      <x:c r="G11" s="5" t="n">
        <x:v>1</x:v>
      </x:c>
      <x:c r="H11" s="5" t="n">
        <x:v>0</x:v>
      </x:c>
      <x:c r="I11" s="5" t="n">
        <x:v>0</x:v>
      </x:c>
      <x:c r="J11" s="5" t="n">
        <x:v>8</x:v>
      </x:c>
      <x:c r="K11" s="5" t="n">
        <x:v>22</x:v>
      </x:c>
      <x:c r="L11" s="5" t="str">
        <x:v>ASSEMBLY_XYZ_NOT_MACHINE</x:v>
      </x:c>
      <x:c r="M11" s="5" t="str">
        <x:v>DESIGN_NOT_NC</x:v>
      </x:c>
    </x:row>
    <x:row r="12" ht="28" customHeight="1">
      <x:c r="A12" s="5" t="str">
        <x:v>J02</x:v>
      </x:c>
      <x:c r="B12" s="5" t="n">
        <x:v>3</x:v>
      </x:c>
      <x:c r="C12" s="5" t="str">
        <x:v>KI12-TV01S-01</x:v>
      </x:c>
      <x:c r="D12" s="5" t="n">
        <x:v>18</x:v>
      </x:c>
      <x:c r="E12" s="5" t="n">
        <x:v>332</x:v>
      </x:c>
      <x:c r="F12" s="5" t="n">
        <x:v>2871</x:v>
      </x:c>
      <x:c r="G12" s="5" t="n">
        <x:v>-1</x:v>
      </x:c>
      <x:c r="H12" s="5" t="n">
        <x:v>0</x:v>
      </x:c>
      <x:c r="I12" s="5" t="n">
        <x:v>0</x:v>
      </x:c>
      <x:c r="J12" s="5" t="n">
        <x:v>8</x:v>
      </x:c>
      <x:c r="K12" s="5" t="n">
        <x:v>12</x:v>
      </x:c>
      <x:c r="L12" s="5" t="str">
        <x:v>ASSEMBLY_XYZ_NOT_MACHINE</x:v>
      </x:c>
      <x:c r="M12" s="5" t="str">
        <x:v>DESIGN_NOT_NC</x:v>
      </x:c>
    </x:row>
    <x:row r="13" ht="28" customHeight="1">
      <x:c r="A13" s="5" t="str">
        <x:v>J02</x:v>
      </x:c>
      <x:c r="B13" s="5" t="n">
        <x:v>3</x:v>
      </x:c>
      <x:c r="C13" s="5" t="str">
        <x:v>KI12-TV01T-02</x:v>
      </x:c>
      <x:c r="D13" s="5" t="n">
        <x:v>18</x:v>
      </x:c>
      <x:c r="E13" s="5" t="n">
        <x:v>332</x:v>
      </x:c>
      <x:c r="F13" s="5" t="n">
        <x:v>2871</x:v>
      </x:c>
      <x:c r="G13" s="5" t="n">
        <x:v>1</x:v>
      </x:c>
      <x:c r="H13" s="5" t="n">
        <x:v>0</x:v>
      </x:c>
      <x:c r="I13" s="5" t="n">
        <x:v>0</x:v>
      </x:c>
      <x:c r="J13" s="5" t="n">
        <x:v>8</x:v>
      </x:c>
      <x:c r="K13" s="5" t="n">
        <x:v>22</x:v>
      </x:c>
      <x:c r="L13" s="5" t="str">
        <x:v>ASSEMBLY_XYZ_NOT_MACHINE</x:v>
      </x:c>
      <x:c r="M13" s="5" t="str">
        <x:v>DESIGN_NOT_NC</x:v>
      </x:c>
    </x:row>
    <x:row r="14" ht="28" customHeight="1">
      <x:c r="A14" s="5" t="str">
        <x:v>J03</x:v>
      </x:c>
      <x:c r="B14" s="5" t="n">
        <x:v>1</x:v>
      </x:c>
      <x:c r="C14" s="5" t="str">
        <x:v>KI12-TV01S-02</x:v>
      </x:c>
      <x:c r="D14" s="5" t="n">
        <x:v>702</x:v>
      </x:c>
      <x:c r="E14" s="5" t="n">
        <x:v>50</x:v>
      </x:c>
      <x:c r="F14" s="5" t="n">
        <x:v>559</x:v>
      </x:c>
      <x:c r="G14" s="5" t="n">
        <x:v>1</x:v>
      </x:c>
      <x:c r="H14" s="5" t="n">
        <x:v>0</x:v>
      </x:c>
      <x:c r="I14" s="5" t="n">
        <x:v>0</x:v>
      </x:c>
      <x:c r="J14" s="5" t="n">
        <x:v>8</x:v>
      </x:c>
      <x:c r="K14" s="5" t="n">
        <x:v>12</x:v>
      </x:c>
      <x:c r="L14" s="5" t="str">
        <x:v>ASSEMBLY_XYZ_NOT_MACHINE</x:v>
      </x:c>
      <x:c r="M14" s="5" t="str">
        <x:v>DESIGN_NOT_NC</x:v>
      </x:c>
    </x:row>
    <x:row r="15" ht="28" customHeight="1">
      <x:c r="A15" s="5" t="str">
        <x:v>J03</x:v>
      </x:c>
      <x:c r="B15" s="5" t="n">
        <x:v>1</x:v>
      </x:c>
      <x:c r="C15" s="5" t="str">
        <x:v>KI12-TV01T-01</x:v>
      </x:c>
      <x:c r="D15" s="5" t="n">
        <x:v>702</x:v>
      </x:c>
      <x:c r="E15" s="5" t="n">
        <x:v>50</x:v>
      </x:c>
      <x:c r="F15" s="5" t="n">
        <x:v>559</x:v>
      </x:c>
      <x:c r="G15" s="5" t="n">
        <x:v>-1</x:v>
      </x:c>
      <x:c r="H15" s="5" t="n">
        <x:v>0</x:v>
      </x:c>
      <x:c r="I15" s="5" t="n">
        <x:v>0</x:v>
      </x:c>
      <x:c r="J15" s="5" t="n">
        <x:v>8</x:v>
      </x:c>
      <x:c r="K15" s="5" t="n">
        <x:v>22</x:v>
      </x:c>
      <x:c r="L15" s="5" t="str">
        <x:v>ASSEMBLY_XYZ_NOT_MACHINE</x:v>
      </x:c>
      <x:c r="M15" s="5" t="str">
        <x:v>DESIGN_NOT_NC</x:v>
      </x:c>
    </x:row>
    <x:row r="16" ht="28" customHeight="1">
      <x:c r="A16" s="5" t="str">
        <x:v>J03</x:v>
      </x:c>
      <x:c r="B16" s="5" t="n">
        <x:v>2</x:v>
      </x:c>
      <x:c r="C16" s="5" t="str">
        <x:v>KI12-TV01S-02</x:v>
      </x:c>
      <x:c r="D16" s="5" t="n">
        <x:v>702</x:v>
      </x:c>
      <x:c r="E16" s="5" t="n">
        <x:v>191</x:v>
      </x:c>
      <x:c r="F16" s="5" t="n">
        <x:v>559</x:v>
      </x:c>
      <x:c r="G16" s="5" t="n">
        <x:v>1</x:v>
      </x:c>
      <x:c r="H16" s="5" t="n">
        <x:v>0</x:v>
      </x:c>
      <x:c r="I16" s="5" t="n">
        <x:v>0</x:v>
      </x:c>
      <x:c r="J16" s="5" t="n">
        <x:v>8</x:v>
      </x:c>
      <x:c r="K16" s="5" t="n">
        <x:v>12</x:v>
      </x:c>
      <x:c r="L16" s="5" t="str">
        <x:v>ASSEMBLY_XYZ_NOT_MACHINE</x:v>
      </x:c>
      <x:c r="M16" s="5" t="str">
        <x:v>DESIGN_NOT_NC</x:v>
      </x:c>
    </x:row>
    <x:row r="17" ht="28" customHeight="1">
      <x:c r="A17" s="5" t="str">
        <x:v>J03</x:v>
      </x:c>
      <x:c r="B17" s="5" t="n">
        <x:v>2</x:v>
      </x:c>
      <x:c r="C17" s="5" t="str">
        <x:v>KI12-TV01T-01</x:v>
      </x:c>
      <x:c r="D17" s="5" t="n">
        <x:v>702</x:v>
      </x:c>
      <x:c r="E17" s="5" t="n">
        <x:v>191</x:v>
      </x:c>
      <x:c r="F17" s="5" t="n">
        <x:v>559</x:v>
      </x:c>
      <x:c r="G17" s="5" t="n">
        <x:v>-1</x:v>
      </x:c>
      <x:c r="H17" s="5" t="n">
        <x:v>0</x:v>
      </x:c>
      <x:c r="I17" s="5" t="n">
        <x:v>0</x:v>
      </x:c>
      <x:c r="J17" s="5" t="n">
        <x:v>8</x:v>
      </x:c>
      <x:c r="K17" s="5" t="n">
        <x:v>22</x:v>
      </x:c>
      <x:c r="L17" s="5" t="str">
        <x:v>ASSEMBLY_XYZ_NOT_MACHINE</x:v>
      </x:c>
      <x:c r="M17" s="5" t="str">
        <x:v>DESIGN_NOT_NC</x:v>
      </x:c>
    </x:row>
    <x:row r="18" ht="28" customHeight="1">
      <x:c r="A18" s="5" t="str">
        <x:v>J03</x:v>
      </x:c>
      <x:c r="B18" s="5" t="n">
        <x:v>3</x:v>
      </x:c>
      <x:c r="C18" s="5" t="str">
        <x:v>KI12-TV01S-02</x:v>
      </x:c>
      <x:c r="D18" s="5" t="n">
        <x:v>702</x:v>
      </x:c>
      <x:c r="E18" s="5" t="n">
        <x:v>332</x:v>
      </x:c>
      <x:c r="F18" s="5" t="n">
        <x:v>559</x:v>
      </x:c>
      <x:c r="G18" s="5" t="n">
        <x:v>1</x:v>
      </x:c>
      <x:c r="H18" s="5" t="n">
        <x:v>0</x:v>
      </x:c>
      <x:c r="I18" s="5" t="n">
        <x:v>0</x:v>
      </x:c>
      <x:c r="J18" s="5" t="n">
        <x:v>8</x:v>
      </x:c>
      <x:c r="K18" s="5" t="n">
        <x:v>12</x:v>
      </x:c>
      <x:c r="L18" s="5" t="str">
        <x:v>ASSEMBLY_XYZ_NOT_MACHINE</x:v>
      </x:c>
      <x:c r="M18" s="5" t="str">
        <x:v>DESIGN_NOT_NC</x:v>
      </x:c>
    </x:row>
    <x:row r="19" ht="28" customHeight="1">
      <x:c r="A19" s="5" t="str">
        <x:v>J03</x:v>
      </x:c>
      <x:c r="B19" s="5" t="n">
        <x:v>3</x:v>
      </x:c>
      <x:c r="C19" s="5" t="str">
        <x:v>KI12-TV01T-01</x:v>
      </x:c>
      <x:c r="D19" s="5" t="n">
        <x:v>702</x:v>
      </x:c>
      <x:c r="E19" s="5" t="n">
        <x:v>332</x:v>
      </x:c>
      <x:c r="F19" s="5" t="n">
        <x:v>559</x:v>
      </x:c>
      <x:c r="G19" s="5" t="n">
        <x:v>-1</x:v>
      </x:c>
      <x:c r="H19" s="5" t="n">
        <x:v>0</x:v>
      </x:c>
      <x:c r="I19" s="5" t="n">
        <x:v>0</x:v>
      </x:c>
      <x:c r="J19" s="5" t="n">
        <x:v>8</x:v>
      </x:c>
      <x:c r="K19" s="5" t="n">
        <x:v>22</x:v>
      </x:c>
      <x:c r="L19" s="5" t="str">
        <x:v>ASSEMBLY_XYZ_NOT_MACHINE</x:v>
      </x:c>
      <x:c r="M19" s="5" t="str">
        <x:v>DESIGN_NOT_NC</x:v>
      </x:c>
    </x:row>
    <x:row r="20" ht="28" customHeight="1">
      <x:c r="A20" s="5" t="str">
        <x:v>J04</x:v>
      </x:c>
      <x:c r="B20" s="5" t="n">
        <x:v>1</x:v>
      </x:c>
      <x:c r="C20" s="5" t="str">
        <x:v>KI12-TV01S-02</x:v>
      </x:c>
      <x:c r="D20" s="5" t="n">
        <x:v>702</x:v>
      </x:c>
      <x:c r="E20" s="5" t="n">
        <x:v>50</x:v>
      </x:c>
      <x:c r="F20" s="5" t="n">
        <x:v>2871</x:v>
      </x:c>
      <x:c r="G20" s="5" t="n">
        <x:v>1</x:v>
      </x:c>
      <x:c r="H20" s="5" t="n">
        <x:v>0</x:v>
      </x:c>
      <x:c r="I20" s="5" t="n">
        <x:v>0</x:v>
      </x:c>
      <x:c r="J20" s="5" t="n">
        <x:v>8</x:v>
      </x:c>
      <x:c r="K20" s="5" t="n">
        <x:v>12</x:v>
      </x:c>
      <x:c r="L20" s="5" t="str">
        <x:v>ASSEMBLY_XYZ_NOT_MACHINE</x:v>
      </x:c>
      <x:c r="M20" s="5" t="str">
        <x:v>DESIGN_NOT_NC</x:v>
      </x:c>
    </x:row>
    <x:row r="21" ht="28" customHeight="1">
      <x:c r="A21" s="5" t="str">
        <x:v>J04</x:v>
      </x:c>
      <x:c r="B21" s="5" t="n">
        <x:v>1</x:v>
      </x:c>
      <x:c r="C21" s="5" t="str">
        <x:v>KI12-TV01T-02</x:v>
      </x:c>
      <x:c r="D21" s="5" t="n">
        <x:v>702</x:v>
      </x:c>
      <x:c r="E21" s="5" t="n">
        <x:v>50</x:v>
      </x:c>
      <x:c r="F21" s="5" t="n">
        <x:v>2871</x:v>
      </x:c>
      <x:c r="G21" s="5" t="n">
        <x:v>-1</x:v>
      </x:c>
      <x:c r="H21" s="5" t="n">
        <x:v>0</x:v>
      </x:c>
      <x:c r="I21" s="5" t="n">
        <x:v>0</x:v>
      </x:c>
      <x:c r="J21" s="5" t="n">
        <x:v>8</x:v>
      </x:c>
      <x:c r="K21" s="5" t="n">
        <x:v>22</x:v>
      </x:c>
      <x:c r="L21" s="5" t="str">
        <x:v>ASSEMBLY_XYZ_NOT_MACHINE</x:v>
      </x:c>
      <x:c r="M21" s="5" t="str">
        <x:v>DESIGN_NOT_NC</x:v>
      </x:c>
    </x:row>
    <x:row r="22" ht="28" customHeight="1">
      <x:c r="A22" s="5" t="str">
        <x:v>J04</x:v>
      </x:c>
      <x:c r="B22" s="5" t="n">
        <x:v>2</x:v>
      </x:c>
      <x:c r="C22" s="5" t="str">
        <x:v>KI12-TV01S-02</x:v>
      </x:c>
      <x:c r="D22" s="5" t="n">
        <x:v>702</x:v>
      </x:c>
      <x:c r="E22" s="5" t="n">
        <x:v>191</x:v>
      </x:c>
      <x:c r="F22" s="5" t="n">
        <x:v>2871</x:v>
      </x:c>
      <x:c r="G22" s="5" t="n">
        <x:v>1</x:v>
      </x:c>
      <x:c r="H22" s="5" t="n">
        <x:v>0</x:v>
      </x:c>
      <x:c r="I22" s="5" t="n">
        <x:v>0</x:v>
      </x:c>
      <x:c r="J22" s="5" t="n">
        <x:v>8</x:v>
      </x:c>
      <x:c r="K22" s="5" t="n">
        <x:v>12</x:v>
      </x:c>
      <x:c r="L22" s="5" t="str">
        <x:v>ASSEMBLY_XYZ_NOT_MACHINE</x:v>
      </x:c>
      <x:c r="M22" s="5" t="str">
        <x:v>DESIGN_NOT_NC</x:v>
      </x:c>
    </x:row>
    <x:row r="23" ht="28" customHeight="1">
      <x:c r="A23" s="5" t="str">
        <x:v>J04</x:v>
      </x:c>
      <x:c r="B23" s="5" t="n">
        <x:v>2</x:v>
      </x:c>
      <x:c r="C23" s="5" t="str">
        <x:v>KI12-TV01T-02</x:v>
      </x:c>
      <x:c r="D23" s="5" t="n">
        <x:v>702</x:v>
      </x:c>
      <x:c r="E23" s="5" t="n">
        <x:v>191</x:v>
      </x:c>
      <x:c r="F23" s="5" t="n">
        <x:v>2871</x:v>
      </x:c>
      <x:c r="G23" s="5" t="n">
        <x:v>-1</x:v>
      </x:c>
      <x:c r="H23" s="5" t="n">
        <x:v>0</x:v>
      </x:c>
      <x:c r="I23" s="5" t="n">
        <x:v>0</x:v>
      </x:c>
      <x:c r="J23" s="5" t="n">
        <x:v>8</x:v>
      </x:c>
      <x:c r="K23" s="5" t="n">
        <x:v>22</x:v>
      </x:c>
      <x:c r="L23" s="5" t="str">
        <x:v>ASSEMBLY_XYZ_NOT_MACHINE</x:v>
      </x:c>
      <x:c r="M23" s="5" t="str">
        <x:v>DESIGN_NOT_NC</x:v>
      </x:c>
    </x:row>
    <x:row r="24" ht="28" customHeight="1">
      <x:c r="A24" s="5" t="str">
        <x:v>J04</x:v>
      </x:c>
      <x:c r="B24" s="5" t="n">
        <x:v>3</x:v>
      </x:c>
      <x:c r="C24" s="5" t="str">
        <x:v>KI12-TV01S-02</x:v>
      </x:c>
      <x:c r="D24" s="5" t="n">
        <x:v>702</x:v>
      </x:c>
      <x:c r="E24" s="5" t="n">
        <x:v>332</x:v>
      </x:c>
      <x:c r="F24" s="5" t="n">
        <x:v>2871</x:v>
      </x:c>
      <x:c r="G24" s="5" t="n">
        <x:v>1</x:v>
      </x:c>
      <x:c r="H24" s="5" t="n">
        <x:v>0</x:v>
      </x:c>
      <x:c r="I24" s="5" t="n">
        <x:v>0</x:v>
      </x:c>
      <x:c r="J24" s="5" t="n">
        <x:v>8</x:v>
      </x:c>
      <x:c r="K24" s="5" t="n">
        <x:v>12</x:v>
      </x:c>
      <x:c r="L24" s="5" t="str">
        <x:v>ASSEMBLY_XYZ_NOT_MACHINE</x:v>
      </x:c>
      <x:c r="M24" s="5" t="str">
        <x:v>DESIGN_NOT_NC</x:v>
      </x:c>
    </x:row>
    <x:row r="25" ht="28" customHeight="1">
      <x:c r="A25" s="5" t="str">
        <x:v>J04</x:v>
      </x:c>
      <x:c r="B25" s="5" t="n">
        <x:v>3</x:v>
      </x:c>
      <x:c r="C25" s="5" t="str">
        <x:v>KI12-TV01T-02</x:v>
      </x:c>
      <x:c r="D25" s="5" t="n">
        <x:v>702</x:v>
      </x:c>
      <x:c r="E25" s="5" t="n">
        <x:v>332</x:v>
      </x:c>
      <x:c r="F25" s="5" t="n">
        <x:v>2871</x:v>
      </x:c>
      <x:c r="G25" s="5" t="n">
        <x:v>-1</x:v>
      </x:c>
      <x:c r="H25" s="5" t="n">
        <x:v>0</x:v>
      </x:c>
      <x:c r="I25" s="5" t="n">
        <x:v>0</x:v>
      </x:c>
      <x:c r="J25" s="5" t="n">
        <x:v>8</x:v>
      </x:c>
      <x:c r="K25" s="5" t="n">
        <x:v>22</x:v>
      </x:c>
      <x:c r="L25" s="5" t="str">
        <x:v>ASSEMBLY_XYZ_NOT_MACHINE</x:v>
      </x:c>
      <x:c r="M25" s="5" t="str">
        <x:v>DESIGN_NOT_NC</x:v>
      </x:c>
    </x:row>
    <x:row r="26" ht="28" customHeight="1">
      <x:c r="A26" s="5" t="str">
        <x:v>J05</x:v>
      </x:c>
      <x:c r="B26" s="5" t="n">
        <x:v>1</x:v>
      </x:c>
      <x:c r="C26" s="5" t="str">
        <x:v>KI12-TV01T-01</x:v>
      </x:c>
      <x:c r="D26" s="5" t="n">
        <x:v>360</x:v>
      </x:c>
      <x:c r="E26" s="5" t="n">
        <x:v>50</x:v>
      </x:c>
      <x:c r="F26" s="5" t="n">
        <x:v>568</x:v>
      </x:c>
      <x:c r="G26" s="5" t="n">
        <x:v>0</x:v>
      </x:c>
      <x:c r="H26" s="5" t="n">
        <x:v>0</x:v>
      </x:c>
      <x:c r="I26" s="5" t="n">
        <x:v>-1</x:v>
      </x:c>
      <x:c r="J26" s="5" t="n">
        <x:v>8</x:v>
      </x:c>
      <x:c r="K26" s="5" t="n">
        <x:v>12</x:v>
      </x:c>
      <x:c r="L26" s="5" t="str">
        <x:v>ASSEMBLY_XYZ_NOT_MACHINE</x:v>
      </x:c>
      <x:c r="M26" s="5" t="str">
        <x:v>DESIGN_NOT_NC</x:v>
      </x:c>
    </x:row>
    <x:row r="27" ht="28" customHeight="1">
      <x:c r="A27" s="5" t="str">
        <x:v>J05</x:v>
      </x:c>
      <x:c r="B27" s="5" t="n">
        <x:v>1</x:v>
      </x:c>
      <x:c r="C27" s="5" t="str">
        <x:v>KI12-TV01C-01</x:v>
      </x:c>
      <x:c r="D27" s="5" t="n">
        <x:v>360</x:v>
      </x:c>
      <x:c r="E27" s="5" t="n">
        <x:v>50</x:v>
      </x:c>
      <x:c r="F27" s="5" t="n">
        <x:v>568</x:v>
      </x:c>
      <x:c r="G27" s="5" t="n">
        <x:v>0</x:v>
      </x:c>
      <x:c r="H27" s="5" t="n">
        <x:v>0</x:v>
      </x:c>
      <x:c r="I27" s="5" t="n">
        <x:v>1</x:v>
      </x:c>
      <x:c r="J27" s="5" t="n">
        <x:v>8</x:v>
      </x:c>
      <x:c r="K27" s="5" t="n">
        <x:v>22</x:v>
      </x:c>
      <x:c r="L27" s="5" t="str">
        <x:v>ASSEMBLY_XYZ_NOT_MACHINE</x:v>
      </x:c>
      <x:c r="M27" s="5" t="str">
        <x:v>DESIGN_NOT_NC</x:v>
      </x:c>
    </x:row>
    <x:row r="28" ht="28" customHeight="1">
      <x:c r="A28" s="5" t="str">
        <x:v>J05</x:v>
      </x:c>
      <x:c r="B28" s="5" t="n">
        <x:v>2</x:v>
      </x:c>
      <x:c r="C28" s="5" t="str">
        <x:v>KI12-TV01T-01</x:v>
      </x:c>
      <x:c r="D28" s="5" t="n">
        <x:v>360</x:v>
      </x:c>
      <x:c r="E28" s="5" t="n">
        <x:v>191</x:v>
      </x:c>
      <x:c r="F28" s="5" t="n">
        <x:v>568</x:v>
      </x:c>
      <x:c r="G28" s="5" t="n">
        <x:v>0</x:v>
      </x:c>
      <x:c r="H28" s="5" t="n">
        <x:v>0</x:v>
      </x:c>
      <x:c r="I28" s="5" t="n">
        <x:v>-1</x:v>
      </x:c>
      <x:c r="J28" s="5" t="n">
        <x:v>8</x:v>
      </x:c>
      <x:c r="K28" s="5" t="n">
        <x:v>12</x:v>
      </x:c>
      <x:c r="L28" s="5" t="str">
        <x:v>ASSEMBLY_XYZ_NOT_MACHINE</x:v>
      </x:c>
      <x:c r="M28" s="5" t="str">
        <x:v>DESIGN_NOT_NC</x:v>
      </x:c>
    </x:row>
    <x:row r="29" ht="28" customHeight="1">
      <x:c r="A29" s="5" t="str">
        <x:v>J05</x:v>
      </x:c>
      <x:c r="B29" s="5" t="n">
        <x:v>2</x:v>
      </x:c>
      <x:c r="C29" s="5" t="str">
        <x:v>KI12-TV01C-01</x:v>
      </x:c>
      <x:c r="D29" s="5" t="n">
        <x:v>360</x:v>
      </x:c>
      <x:c r="E29" s="5" t="n">
        <x:v>191</x:v>
      </x:c>
      <x:c r="F29" s="5" t="n">
        <x:v>568</x:v>
      </x:c>
      <x:c r="G29" s="5" t="n">
        <x:v>0</x:v>
      </x:c>
      <x:c r="H29" s="5" t="n">
        <x:v>0</x:v>
      </x:c>
      <x:c r="I29" s="5" t="n">
        <x:v>1</x:v>
      </x:c>
      <x:c r="J29" s="5" t="n">
        <x:v>8</x:v>
      </x:c>
      <x:c r="K29" s="5" t="n">
        <x:v>22</x:v>
      </x:c>
      <x:c r="L29" s="5" t="str">
        <x:v>ASSEMBLY_XYZ_NOT_MACHINE</x:v>
      </x:c>
      <x:c r="M29" s="5" t="str">
        <x:v>DESIGN_NOT_NC</x:v>
      </x:c>
    </x:row>
    <x:row r="30" ht="28" customHeight="1">
      <x:c r="A30" s="5" t="str">
        <x:v>J05</x:v>
      </x:c>
      <x:c r="B30" s="5" t="n">
        <x:v>3</x:v>
      </x:c>
      <x:c r="C30" s="5" t="str">
        <x:v>KI12-TV01T-01</x:v>
      </x:c>
      <x:c r="D30" s="5" t="n">
        <x:v>360</x:v>
      </x:c>
      <x:c r="E30" s="5" t="n">
        <x:v>332</x:v>
      </x:c>
      <x:c r="F30" s="5" t="n">
        <x:v>568</x:v>
      </x:c>
      <x:c r="G30" s="5" t="n">
        <x:v>0</x:v>
      </x:c>
      <x:c r="H30" s="5" t="n">
        <x:v>0</x:v>
      </x:c>
      <x:c r="I30" s="5" t="n">
        <x:v>-1</x:v>
      </x:c>
      <x:c r="J30" s="5" t="n">
        <x:v>8</x:v>
      </x:c>
      <x:c r="K30" s="5" t="n">
        <x:v>12</x:v>
      </x:c>
      <x:c r="L30" s="5" t="str">
        <x:v>ASSEMBLY_XYZ_NOT_MACHINE</x:v>
      </x:c>
      <x:c r="M30" s="5" t="str">
        <x:v>DESIGN_NOT_NC</x:v>
      </x:c>
    </x:row>
    <x:row r="31" ht="28" customHeight="1">
      <x:c r="A31" s="5" t="str">
        <x:v>J05</x:v>
      </x:c>
      <x:c r="B31" s="5" t="n">
        <x:v>3</x:v>
      </x:c>
      <x:c r="C31" s="5" t="str">
        <x:v>KI12-TV01C-01</x:v>
      </x:c>
      <x:c r="D31" s="5" t="n">
        <x:v>360</x:v>
      </x:c>
      <x:c r="E31" s="5" t="n">
        <x:v>332</x:v>
      </x:c>
      <x:c r="F31" s="5" t="n">
        <x:v>568</x:v>
      </x:c>
      <x:c r="G31" s="5" t="n">
        <x:v>0</x:v>
      </x:c>
      <x:c r="H31" s="5" t="n">
        <x:v>0</x:v>
      </x:c>
      <x:c r="I31" s="5" t="n">
        <x:v>1</x:v>
      </x:c>
      <x:c r="J31" s="5" t="n">
        <x:v>8</x:v>
      </x:c>
      <x:c r="K31" s="5" t="n">
        <x:v>22</x:v>
      </x:c>
      <x:c r="L31" s="5" t="str">
        <x:v>ASSEMBLY_XYZ_NOT_MACHINE</x:v>
      </x:c>
      <x:c r="M31" s="5" t="str">
        <x:v>DESIGN_NOT_NC</x:v>
      </x:c>
    </x:row>
    <x:row r="32" ht="28" customHeight="1">
      <x:c r="A32" s="5" t="str">
        <x:v>J06</x:v>
      </x:c>
      <x:c r="B32" s="5" t="n">
        <x:v>1</x:v>
      </x:c>
      <x:c r="C32" s="5" t="str">
        <x:v>KI12-TV01T-02</x:v>
      </x:c>
      <x:c r="D32" s="5" t="n">
        <x:v>360</x:v>
      </x:c>
      <x:c r="E32" s="5" t="n">
        <x:v>50</x:v>
      </x:c>
      <x:c r="F32" s="5" t="n">
        <x:v>2862</x:v>
      </x:c>
      <x:c r="G32" s="5" t="n">
        <x:v>0</x:v>
      </x:c>
      <x:c r="H32" s="5" t="n">
        <x:v>0</x:v>
      </x:c>
      <x:c r="I32" s="5" t="n">
        <x:v>1</x:v>
      </x:c>
      <x:c r="J32" s="5" t="n">
        <x:v>8</x:v>
      </x:c>
      <x:c r="K32" s="5" t="n">
        <x:v>12</x:v>
      </x:c>
      <x:c r="L32" s="5" t="str">
        <x:v>ASSEMBLY_XYZ_NOT_MACHINE</x:v>
      </x:c>
      <x:c r="M32" s="5" t="str">
        <x:v>DESIGN_NOT_NC</x:v>
      </x:c>
    </x:row>
    <x:row r="33" ht="28" customHeight="1">
      <x:c r="A33" s="5" t="str">
        <x:v>J06</x:v>
      </x:c>
      <x:c r="B33" s="5" t="n">
        <x:v>1</x:v>
      </x:c>
      <x:c r="C33" s="5" t="str">
        <x:v>KI12-TV01C-01</x:v>
      </x:c>
      <x:c r="D33" s="5" t="n">
        <x:v>360</x:v>
      </x:c>
      <x:c r="E33" s="5" t="n">
        <x:v>50</x:v>
      </x:c>
      <x:c r="F33" s="5" t="n">
        <x:v>2862</x:v>
      </x:c>
      <x:c r="G33" s="5" t="n">
        <x:v>0</x:v>
      </x:c>
      <x:c r="H33" s="5" t="n">
        <x:v>0</x:v>
      </x:c>
      <x:c r="I33" s="5" t="n">
        <x:v>-1</x:v>
      </x:c>
      <x:c r="J33" s="5" t="n">
        <x:v>8</x:v>
      </x:c>
      <x:c r="K33" s="5" t="n">
        <x:v>22</x:v>
      </x:c>
      <x:c r="L33" s="5" t="str">
        <x:v>ASSEMBLY_XYZ_NOT_MACHINE</x:v>
      </x:c>
      <x:c r="M33" s="5" t="str">
        <x:v>DESIGN_NOT_NC</x:v>
      </x:c>
    </x:row>
    <x:row r="34" ht="28" customHeight="1">
      <x:c r="A34" s="5" t="str">
        <x:v>J06</x:v>
      </x:c>
      <x:c r="B34" s="5" t="n">
        <x:v>2</x:v>
      </x:c>
      <x:c r="C34" s="5" t="str">
        <x:v>KI12-TV01T-02</x:v>
      </x:c>
      <x:c r="D34" s="5" t="n">
        <x:v>360</x:v>
      </x:c>
      <x:c r="E34" s="5" t="n">
        <x:v>191</x:v>
      </x:c>
      <x:c r="F34" s="5" t="n">
        <x:v>2862</x:v>
      </x:c>
      <x:c r="G34" s="5" t="n">
        <x:v>0</x:v>
      </x:c>
      <x:c r="H34" s="5" t="n">
        <x:v>0</x:v>
      </x:c>
      <x:c r="I34" s="5" t="n">
        <x:v>1</x:v>
      </x:c>
      <x:c r="J34" s="5" t="n">
        <x:v>8</x:v>
      </x:c>
      <x:c r="K34" s="5" t="n">
        <x:v>12</x:v>
      </x:c>
      <x:c r="L34" s="5" t="str">
        <x:v>ASSEMBLY_XYZ_NOT_MACHINE</x:v>
      </x:c>
      <x:c r="M34" s="5" t="str">
        <x:v>DESIGN_NOT_NC</x:v>
      </x:c>
    </x:row>
    <x:row r="35" ht="28" customHeight="1">
      <x:c r="A35" s="5" t="str">
        <x:v>J06</x:v>
      </x:c>
      <x:c r="B35" s="5" t="n">
        <x:v>2</x:v>
      </x:c>
      <x:c r="C35" s="5" t="str">
        <x:v>KI12-TV01C-01</x:v>
      </x:c>
      <x:c r="D35" s="5" t="n">
        <x:v>360</x:v>
      </x:c>
      <x:c r="E35" s="5" t="n">
        <x:v>191</x:v>
      </x:c>
      <x:c r="F35" s="5" t="n">
        <x:v>2862</x:v>
      </x:c>
      <x:c r="G35" s="5" t="n">
        <x:v>0</x:v>
      </x:c>
      <x:c r="H35" s="5" t="n">
        <x:v>0</x:v>
      </x:c>
      <x:c r="I35" s="5" t="n">
        <x:v>-1</x:v>
      </x:c>
      <x:c r="J35" s="5" t="n">
        <x:v>8</x:v>
      </x:c>
      <x:c r="K35" s="5" t="n">
        <x:v>22</x:v>
      </x:c>
      <x:c r="L35" s="5" t="str">
        <x:v>ASSEMBLY_XYZ_NOT_MACHINE</x:v>
      </x:c>
      <x:c r="M35" s="5" t="str">
        <x:v>DESIGN_NOT_NC</x:v>
      </x:c>
    </x:row>
    <x:row r="36" ht="28" customHeight="1">
      <x:c r="A36" s="5" t="str">
        <x:v>J06</x:v>
      </x:c>
      <x:c r="B36" s="5" t="n">
        <x:v>3</x:v>
      </x:c>
      <x:c r="C36" s="5" t="str">
        <x:v>KI12-TV01T-02</x:v>
      </x:c>
      <x:c r="D36" s="5" t="n">
        <x:v>360</x:v>
      </x:c>
      <x:c r="E36" s="5" t="n">
        <x:v>332</x:v>
      </x:c>
      <x:c r="F36" s="5" t="n">
        <x:v>2862</x:v>
      </x:c>
      <x:c r="G36" s="5" t="n">
        <x:v>0</x:v>
      </x:c>
      <x:c r="H36" s="5" t="n">
        <x:v>0</x:v>
      </x:c>
      <x:c r="I36" s="5" t="n">
        <x:v>1</x:v>
      </x:c>
      <x:c r="J36" s="5" t="n">
        <x:v>8</x:v>
      </x:c>
      <x:c r="K36" s="5" t="n">
        <x:v>12</x:v>
      </x:c>
      <x:c r="L36" s="5" t="str">
        <x:v>ASSEMBLY_XYZ_NOT_MACHINE</x:v>
      </x:c>
      <x:c r="M36" s="5" t="str">
        <x:v>DESIGN_NOT_NC</x:v>
      </x:c>
    </x:row>
    <x:row r="37" ht="28" customHeight="1">
      <x:c r="A37" s="5" t="str">
        <x:v>J06</x:v>
      </x:c>
      <x:c r="B37" s="5" t="n">
        <x:v>3</x:v>
      </x:c>
      <x:c r="C37" s="5" t="str">
        <x:v>KI12-TV01C-01</x:v>
      </x:c>
      <x:c r="D37" s="5" t="n">
        <x:v>360</x:v>
      </x:c>
      <x:c r="E37" s="5" t="n">
        <x:v>332</x:v>
      </x:c>
      <x:c r="F37" s="5" t="n">
        <x:v>2862</x:v>
      </x:c>
      <x:c r="G37" s="5" t="n">
        <x:v>0</x:v>
      </x:c>
      <x:c r="H37" s="5" t="n">
        <x:v>0</x:v>
      </x:c>
      <x:c r="I37" s="5" t="n">
        <x:v>-1</x:v>
      </x:c>
      <x:c r="J37" s="5" t="n">
        <x:v>8</x:v>
      </x:c>
      <x:c r="K37" s="5" t="n">
        <x:v>22</x:v>
      </x:c>
      <x:c r="L37" s="5" t="str">
        <x:v>ASSEMBLY_XYZ_NOT_MACHINE</x:v>
      </x:c>
      <x:c r="M37" s="5" t="str">
        <x:v>DESIGN_NOT_NC</x:v>
      </x:c>
    </x:row>
    <x:row r="38" ht="28" customHeight="1">
      <x:c r="A38" s="5" t="str">
        <x:v>J07</x:v>
      </x:c>
      <x:c r="B38" s="5" t="n">
        <x:v>1</x:v>
      </x:c>
      <x:c r="C38" s="5" t="str">
        <x:v>KI12-TV02S-01</x:v>
      </x:c>
      <x:c r="D38" s="5" t="n">
        <x:v>18</x:v>
      </x:c>
      <x:c r="E38" s="5" t="n">
        <x:v>50</x:v>
      </x:c>
      <x:c r="F38" s="5" t="n">
        <x:v>159</x:v>
      </x:c>
      <x:c r="G38" s="5" t="n">
        <x:v>-1</x:v>
      </x:c>
      <x:c r="H38" s="5" t="n">
        <x:v>0</x:v>
      </x:c>
      <x:c r="I38" s="5" t="n">
        <x:v>0</x:v>
      </x:c>
      <x:c r="J38" s="5" t="n">
        <x:v>8</x:v>
      </x:c>
      <x:c r="K38" s="5" t="n">
        <x:v>12</x:v>
      </x:c>
      <x:c r="L38" s="5" t="str">
        <x:v>ASSEMBLY_XYZ_NOT_MACHINE</x:v>
      </x:c>
      <x:c r="M38" s="5" t="str">
        <x:v>DESIGN_NOT_NC</x:v>
      </x:c>
    </x:row>
    <x:row r="39" ht="28" customHeight="1">
      <x:c r="A39" s="5" t="str">
        <x:v>J07</x:v>
      </x:c>
      <x:c r="B39" s="5" t="n">
        <x:v>1</x:v>
      </x:c>
      <x:c r="C39" s="5" t="str">
        <x:v>KI12-TV02T1-01</x:v>
      </x:c>
      <x:c r="D39" s="5" t="n">
        <x:v>18</x:v>
      </x:c>
      <x:c r="E39" s="5" t="n">
        <x:v>50</x:v>
      </x:c>
      <x:c r="F39" s="5" t="n">
        <x:v>159</x:v>
      </x:c>
      <x:c r="G39" s="5" t="n">
        <x:v>1</x:v>
      </x:c>
      <x:c r="H39" s="5" t="n">
        <x:v>0</x:v>
      </x:c>
      <x:c r="I39" s="5" t="n">
        <x:v>0</x:v>
      </x:c>
      <x:c r="J39" s="5" t="n">
        <x:v>8</x:v>
      </x:c>
      <x:c r="K39" s="5" t="n">
        <x:v>22</x:v>
      </x:c>
      <x:c r="L39" s="5" t="str">
        <x:v>ASSEMBLY_XYZ_NOT_MACHINE</x:v>
      </x:c>
      <x:c r="M39" s="5" t="str">
        <x:v>DESIGN_NOT_NC</x:v>
      </x:c>
    </x:row>
    <x:row r="40" ht="28" customHeight="1">
      <x:c r="A40" s="5" t="str">
        <x:v>J07</x:v>
      </x:c>
      <x:c r="B40" s="5" t="n">
        <x:v>2</x:v>
      </x:c>
      <x:c r="C40" s="5" t="str">
        <x:v>KI12-TV02S-01</x:v>
      </x:c>
      <x:c r="D40" s="5" t="n">
        <x:v>18</x:v>
      </x:c>
      <x:c r="E40" s="5" t="n">
        <x:v>191</x:v>
      </x:c>
      <x:c r="F40" s="5" t="n">
        <x:v>159</x:v>
      </x:c>
      <x:c r="G40" s="5" t="n">
        <x:v>-1</x:v>
      </x:c>
      <x:c r="H40" s="5" t="n">
        <x:v>0</x:v>
      </x:c>
      <x:c r="I40" s="5" t="n">
        <x:v>0</x:v>
      </x:c>
      <x:c r="J40" s="5" t="n">
        <x:v>8</x:v>
      </x:c>
      <x:c r="K40" s="5" t="n">
        <x:v>12</x:v>
      </x:c>
      <x:c r="L40" s="5" t="str">
        <x:v>ASSEMBLY_XYZ_NOT_MACHINE</x:v>
      </x:c>
      <x:c r="M40" s="5" t="str">
        <x:v>DESIGN_NOT_NC</x:v>
      </x:c>
    </x:row>
    <x:row r="41" ht="28" customHeight="1">
      <x:c r="A41" s="5" t="str">
        <x:v>J07</x:v>
      </x:c>
      <x:c r="B41" s="5" t="n">
        <x:v>2</x:v>
      </x:c>
      <x:c r="C41" s="5" t="str">
        <x:v>KI12-TV02T1-01</x:v>
      </x:c>
      <x:c r="D41" s="5" t="n">
        <x:v>18</x:v>
      </x:c>
      <x:c r="E41" s="5" t="n">
        <x:v>191</x:v>
      </x:c>
      <x:c r="F41" s="5" t="n">
        <x:v>159</x:v>
      </x:c>
      <x:c r="G41" s="5" t="n">
        <x:v>1</x:v>
      </x:c>
      <x:c r="H41" s="5" t="n">
        <x:v>0</x:v>
      </x:c>
      <x:c r="I41" s="5" t="n">
        <x:v>0</x:v>
      </x:c>
      <x:c r="J41" s="5" t="n">
        <x:v>8</x:v>
      </x:c>
      <x:c r="K41" s="5" t="n">
        <x:v>22</x:v>
      </x:c>
      <x:c r="L41" s="5" t="str">
        <x:v>ASSEMBLY_XYZ_NOT_MACHINE</x:v>
      </x:c>
      <x:c r="M41" s="5" t="str">
        <x:v>DESIGN_NOT_NC</x:v>
      </x:c>
    </x:row>
    <x:row r="42" ht="28" customHeight="1">
      <x:c r="A42" s="5" t="str">
        <x:v>J07</x:v>
      </x:c>
      <x:c r="B42" s="5" t="n">
        <x:v>3</x:v>
      </x:c>
      <x:c r="C42" s="5" t="str">
        <x:v>KI12-TV02S-01</x:v>
      </x:c>
      <x:c r="D42" s="5" t="n">
        <x:v>18</x:v>
      </x:c>
      <x:c r="E42" s="5" t="n">
        <x:v>332</x:v>
      </x:c>
      <x:c r="F42" s="5" t="n">
        <x:v>159</x:v>
      </x:c>
      <x:c r="G42" s="5" t="n">
        <x:v>-1</x:v>
      </x:c>
      <x:c r="H42" s="5" t="n">
        <x:v>0</x:v>
      </x:c>
      <x:c r="I42" s="5" t="n">
        <x:v>0</x:v>
      </x:c>
      <x:c r="J42" s="5" t="n">
        <x:v>8</x:v>
      </x:c>
      <x:c r="K42" s="5" t="n">
        <x:v>12</x:v>
      </x:c>
      <x:c r="L42" s="5" t="str">
        <x:v>ASSEMBLY_XYZ_NOT_MACHINE</x:v>
      </x:c>
      <x:c r="M42" s="5" t="str">
        <x:v>DESIGN_NOT_NC</x:v>
      </x:c>
    </x:row>
    <x:row r="43" ht="28" customHeight="1">
      <x:c r="A43" s="5" t="str">
        <x:v>J07</x:v>
      </x:c>
      <x:c r="B43" s="5" t="n">
        <x:v>3</x:v>
      </x:c>
      <x:c r="C43" s="5" t="str">
        <x:v>KI12-TV02T1-01</x:v>
      </x:c>
      <x:c r="D43" s="5" t="n">
        <x:v>18</x:v>
      </x:c>
      <x:c r="E43" s="5" t="n">
        <x:v>332</x:v>
      </x:c>
      <x:c r="F43" s="5" t="n">
        <x:v>159</x:v>
      </x:c>
      <x:c r="G43" s="5" t="n">
        <x:v>1</x:v>
      </x:c>
      <x:c r="H43" s="5" t="n">
        <x:v>0</x:v>
      </x:c>
      <x:c r="I43" s="5" t="n">
        <x:v>0</x:v>
      </x:c>
      <x:c r="J43" s="5" t="n">
        <x:v>8</x:v>
      </x:c>
      <x:c r="K43" s="5" t="n">
        <x:v>22</x:v>
      </x:c>
      <x:c r="L43" s="5" t="str">
        <x:v>ASSEMBLY_XYZ_NOT_MACHINE</x:v>
      </x:c>
      <x:c r="M43" s="5" t="str">
        <x:v>DESIGN_NOT_NC</x:v>
      </x:c>
    </x:row>
    <x:row r="44" ht="28" customHeight="1">
      <x:c r="A44" s="5" t="str">
        <x:v>J08</x:v>
      </x:c>
      <x:c r="B44" s="5" t="n">
        <x:v>1</x:v>
      </x:c>
      <x:c r="C44" s="5" t="str">
        <x:v>KI12-TV02CAP-01</x:v>
      </x:c>
      <x:c r="D44" s="5" t="n">
        <x:v>9</x:v>
      </x:c>
      <x:c r="E44" s="5" t="n">
        <x:v>50</x:v>
      </x:c>
      <x:c r="F44" s="5" t="n">
        <x:v>532</x:v>
      </x:c>
      <x:c r="G44" s="5" t="n">
        <x:v>0</x:v>
      </x:c>
      <x:c r="H44" s="5" t="n">
        <x:v>0</x:v>
      </x:c>
      <x:c r="I44" s="5" t="n">
        <x:v>1</x:v>
      </x:c>
      <x:c r="J44" s="5" t="n">
        <x:v>8</x:v>
      </x:c>
      <x:c r="K44" s="5" t="n">
        <x:v>12</x:v>
      </x:c>
      <x:c r="L44" s="5" t="str">
        <x:v>ASSEMBLY_XYZ_NOT_MACHINE</x:v>
      </x:c>
      <x:c r="M44" s="5" t="str">
        <x:v>DESIGN_NOT_NC</x:v>
      </x:c>
    </x:row>
    <x:row r="45" ht="28" customHeight="1">
      <x:c r="A45" s="5" t="str">
        <x:v>J08</x:v>
      </x:c>
      <x:c r="B45" s="5" t="n">
        <x:v>1</x:v>
      </x:c>
      <x:c r="C45" s="5" t="str">
        <x:v>KI12-TV02S-01</x:v>
      </x:c>
      <x:c r="D45" s="5" t="n">
        <x:v>9</x:v>
      </x:c>
      <x:c r="E45" s="5" t="n">
        <x:v>50</x:v>
      </x:c>
      <x:c r="F45" s="5" t="n">
        <x:v>532</x:v>
      </x:c>
      <x:c r="G45" s="5" t="n">
        <x:v>0</x:v>
      </x:c>
      <x:c r="H45" s="5" t="n">
        <x:v>0</x:v>
      </x:c>
      <x:c r="I45" s="5" t="n">
        <x:v>-1</x:v>
      </x:c>
      <x:c r="J45" s="5" t="n">
        <x:v>8</x:v>
      </x:c>
      <x:c r="K45" s="5" t="n">
        <x:v>22</x:v>
      </x:c>
      <x:c r="L45" s="5" t="str">
        <x:v>ASSEMBLY_XYZ_NOT_MACHINE</x:v>
      </x:c>
      <x:c r="M45" s="5" t="str">
        <x:v>DESIGN_NOT_NC</x:v>
      </x:c>
    </x:row>
    <x:row r="46" ht="28" customHeight="1">
      <x:c r="A46" s="5" t="str">
        <x:v>J08</x:v>
      </x:c>
      <x:c r="B46" s="5" t="n">
        <x:v>2</x:v>
      </x:c>
      <x:c r="C46" s="5" t="str">
        <x:v>KI12-TV02CAP-01</x:v>
      </x:c>
      <x:c r="D46" s="5" t="n">
        <x:v>9</x:v>
      </x:c>
      <x:c r="E46" s="5" t="n">
        <x:v>191</x:v>
      </x:c>
      <x:c r="F46" s="5" t="n">
        <x:v>532</x:v>
      </x:c>
      <x:c r="G46" s="5" t="n">
        <x:v>0</x:v>
      </x:c>
      <x:c r="H46" s="5" t="n">
        <x:v>0</x:v>
      </x:c>
      <x:c r="I46" s="5" t="n">
        <x:v>1</x:v>
      </x:c>
      <x:c r="J46" s="5" t="n">
        <x:v>8</x:v>
      </x:c>
      <x:c r="K46" s="5" t="n">
        <x:v>12</x:v>
      </x:c>
      <x:c r="L46" s="5" t="str">
        <x:v>ASSEMBLY_XYZ_NOT_MACHINE</x:v>
      </x:c>
      <x:c r="M46" s="5" t="str">
        <x:v>DESIGN_NOT_NC</x:v>
      </x:c>
    </x:row>
    <x:row r="47" ht="28" customHeight="1">
      <x:c r="A47" s="5" t="str">
        <x:v>J08</x:v>
      </x:c>
      <x:c r="B47" s="5" t="n">
        <x:v>2</x:v>
      </x:c>
      <x:c r="C47" s="5" t="str">
        <x:v>KI12-TV02S-01</x:v>
      </x:c>
      <x:c r="D47" s="5" t="n">
        <x:v>9</x:v>
      </x:c>
      <x:c r="E47" s="5" t="n">
        <x:v>191</x:v>
      </x:c>
      <x:c r="F47" s="5" t="n">
        <x:v>532</x:v>
      </x:c>
      <x:c r="G47" s="5" t="n">
        <x:v>0</x:v>
      </x:c>
      <x:c r="H47" s="5" t="n">
        <x:v>0</x:v>
      </x:c>
      <x:c r="I47" s="5" t="n">
        <x:v>-1</x:v>
      </x:c>
      <x:c r="J47" s="5" t="n">
        <x:v>8</x:v>
      </x:c>
      <x:c r="K47" s="5" t="n">
        <x:v>22</x:v>
      </x:c>
      <x:c r="L47" s="5" t="str">
        <x:v>ASSEMBLY_XYZ_NOT_MACHINE</x:v>
      </x:c>
      <x:c r="M47" s="5" t="str">
        <x:v>DESIGN_NOT_NC</x:v>
      </x:c>
    </x:row>
    <x:row r="48" ht="28" customHeight="1">
      <x:c r="A48" s="5" t="str">
        <x:v>J08</x:v>
      </x:c>
      <x:c r="B48" s="5" t="n">
        <x:v>3</x:v>
      </x:c>
      <x:c r="C48" s="5" t="str">
        <x:v>KI12-TV02CAP-01</x:v>
      </x:c>
      <x:c r="D48" s="5" t="n">
        <x:v>9</x:v>
      </x:c>
      <x:c r="E48" s="5" t="n">
        <x:v>332</x:v>
      </x:c>
      <x:c r="F48" s="5" t="n">
        <x:v>532</x:v>
      </x:c>
      <x:c r="G48" s="5" t="n">
        <x:v>0</x:v>
      </x:c>
      <x:c r="H48" s="5" t="n">
        <x:v>0</x:v>
      </x:c>
      <x:c r="I48" s="5" t="n">
        <x:v>1</x:v>
      </x:c>
      <x:c r="J48" s="5" t="n">
        <x:v>8</x:v>
      </x:c>
      <x:c r="K48" s="5" t="n">
        <x:v>12</x:v>
      </x:c>
      <x:c r="L48" s="5" t="str">
        <x:v>ASSEMBLY_XYZ_NOT_MACHINE</x:v>
      </x:c>
      <x:c r="M48" s="5" t="str">
        <x:v>DESIGN_NOT_NC</x:v>
      </x:c>
    </x:row>
    <x:row r="49" ht="28" customHeight="1">
      <x:c r="A49" s="5" t="str">
        <x:v>J08</x:v>
      </x:c>
      <x:c r="B49" s="5" t="n">
        <x:v>3</x:v>
      </x:c>
      <x:c r="C49" s="5" t="str">
        <x:v>KI12-TV02S-01</x:v>
      </x:c>
      <x:c r="D49" s="5" t="n">
        <x:v>9</x:v>
      </x:c>
      <x:c r="E49" s="5" t="n">
        <x:v>332</x:v>
      </x:c>
      <x:c r="F49" s="5" t="n">
        <x:v>532</x:v>
      </x:c>
      <x:c r="G49" s="5" t="n">
        <x:v>0</x:v>
      </x:c>
      <x:c r="H49" s="5" t="n">
        <x:v>0</x:v>
      </x:c>
      <x:c r="I49" s="5" t="n">
        <x:v>-1</x:v>
      </x:c>
      <x:c r="J49" s="5" t="n">
        <x:v>8</x:v>
      </x:c>
      <x:c r="K49" s="5" t="n">
        <x:v>22</x:v>
      </x:c>
      <x:c r="L49" s="5" t="str">
        <x:v>ASSEMBLY_XYZ_NOT_MACHINE</x:v>
      </x:c>
      <x:c r="M49" s="5" t="str">
        <x:v>DESIGN_NOT_NC</x:v>
      </x:c>
    </x:row>
    <x:row r="50" ht="28" customHeight="1">
      <x:c r="A50" s="5" t="str">
        <x:v>J09</x:v>
      </x:c>
      <x:c r="B50" s="5" t="n">
        <x:v>1</x:v>
      </x:c>
      <x:c r="C50" s="5" t="str">
        <x:v>KI12-TV02S-02</x:v>
      </x:c>
      <x:c r="D50" s="5" t="n">
        <x:v>702</x:v>
      </x:c>
      <x:c r="E50" s="5" t="n">
        <x:v>50</x:v>
      </x:c>
      <x:c r="F50" s="5" t="n">
        <x:v>159</x:v>
      </x:c>
      <x:c r="G50" s="5" t="n">
        <x:v>1</x:v>
      </x:c>
      <x:c r="H50" s="5" t="n">
        <x:v>0</x:v>
      </x:c>
      <x:c r="I50" s="5" t="n">
        <x:v>0</x:v>
      </x:c>
      <x:c r="J50" s="5" t="n">
        <x:v>8</x:v>
      </x:c>
      <x:c r="K50" s="5" t="n">
        <x:v>12</x:v>
      </x:c>
      <x:c r="L50" s="5" t="str">
        <x:v>ASSEMBLY_XYZ_NOT_MACHINE</x:v>
      </x:c>
      <x:c r="M50" s="5" t="str">
        <x:v>DESIGN_NOT_NC</x:v>
      </x:c>
    </x:row>
    <x:row r="51" ht="28" customHeight="1">
      <x:c r="A51" s="5" t="str">
        <x:v>J09</x:v>
      </x:c>
      <x:c r="B51" s="5" t="n">
        <x:v>1</x:v>
      </x:c>
      <x:c r="C51" s="5" t="str">
        <x:v>KI12-TV02T1-01</x:v>
      </x:c>
      <x:c r="D51" s="5" t="n">
        <x:v>702</x:v>
      </x:c>
      <x:c r="E51" s="5" t="n">
        <x:v>50</x:v>
      </x:c>
      <x:c r="F51" s="5" t="n">
        <x:v>159</x:v>
      </x:c>
      <x:c r="G51" s="5" t="n">
        <x:v>-1</x:v>
      </x:c>
      <x:c r="H51" s="5" t="n">
        <x:v>0</x:v>
      </x:c>
      <x:c r="I51" s="5" t="n">
        <x:v>0</x:v>
      </x:c>
      <x:c r="J51" s="5" t="n">
        <x:v>8</x:v>
      </x:c>
      <x:c r="K51" s="5" t="n">
        <x:v>22</x:v>
      </x:c>
      <x:c r="L51" s="5" t="str">
        <x:v>ASSEMBLY_XYZ_NOT_MACHINE</x:v>
      </x:c>
      <x:c r="M51" s="5" t="str">
        <x:v>DESIGN_NOT_NC</x:v>
      </x:c>
    </x:row>
    <x:row r="52" ht="28" customHeight="1">
      <x:c r="A52" s="5" t="str">
        <x:v>J09</x:v>
      </x:c>
      <x:c r="B52" s="5" t="n">
        <x:v>2</x:v>
      </x:c>
      <x:c r="C52" s="5" t="str">
        <x:v>KI12-TV02S-02</x:v>
      </x:c>
      <x:c r="D52" s="5" t="n">
        <x:v>702</x:v>
      </x:c>
      <x:c r="E52" s="5" t="n">
        <x:v>191</x:v>
      </x:c>
      <x:c r="F52" s="5" t="n">
        <x:v>159</x:v>
      </x:c>
      <x:c r="G52" s="5" t="n">
        <x:v>1</x:v>
      </x:c>
      <x:c r="H52" s="5" t="n">
        <x:v>0</x:v>
      </x:c>
      <x:c r="I52" s="5" t="n">
        <x:v>0</x:v>
      </x:c>
      <x:c r="J52" s="5" t="n">
        <x:v>8</x:v>
      </x:c>
      <x:c r="K52" s="5" t="n">
        <x:v>12</x:v>
      </x:c>
      <x:c r="L52" s="5" t="str">
        <x:v>ASSEMBLY_XYZ_NOT_MACHINE</x:v>
      </x:c>
      <x:c r="M52" s="5" t="str">
        <x:v>DESIGN_NOT_NC</x:v>
      </x:c>
    </x:row>
    <x:row r="53" ht="28" customHeight="1">
      <x:c r="A53" s="5" t="str">
        <x:v>J09</x:v>
      </x:c>
      <x:c r="B53" s="5" t="n">
        <x:v>2</x:v>
      </x:c>
      <x:c r="C53" s="5" t="str">
        <x:v>KI12-TV02T1-01</x:v>
      </x:c>
      <x:c r="D53" s="5" t="n">
        <x:v>702</x:v>
      </x:c>
      <x:c r="E53" s="5" t="n">
        <x:v>191</x:v>
      </x:c>
      <x:c r="F53" s="5" t="n">
        <x:v>159</x:v>
      </x:c>
      <x:c r="G53" s="5" t="n">
        <x:v>-1</x:v>
      </x:c>
      <x:c r="H53" s="5" t="n">
        <x:v>0</x:v>
      </x:c>
      <x:c r="I53" s="5" t="n">
        <x:v>0</x:v>
      </x:c>
      <x:c r="J53" s="5" t="n">
        <x:v>8</x:v>
      </x:c>
      <x:c r="K53" s="5" t="n">
        <x:v>22</x:v>
      </x:c>
      <x:c r="L53" s="5" t="str">
        <x:v>ASSEMBLY_XYZ_NOT_MACHINE</x:v>
      </x:c>
      <x:c r="M53" s="5" t="str">
        <x:v>DESIGN_NOT_NC</x:v>
      </x:c>
    </x:row>
    <x:row r="54" ht="28" customHeight="1">
      <x:c r="A54" s="5" t="str">
        <x:v>J09</x:v>
      </x:c>
      <x:c r="B54" s="5" t="n">
        <x:v>3</x:v>
      </x:c>
      <x:c r="C54" s="5" t="str">
        <x:v>KI12-TV02S-02</x:v>
      </x:c>
      <x:c r="D54" s="5" t="n">
        <x:v>702</x:v>
      </x:c>
      <x:c r="E54" s="5" t="n">
        <x:v>332</x:v>
      </x:c>
      <x:c r="F54" s="5" t="n">
        <x:v>159</x:v>
      </x:c>
      <x:c r="G54" s="5" t="n">
        <x:v>1</x:v>
      </x:c>
      <x:c r="H54" s="5" t="n">
        <x:v>0</x:v>
      </x:c>
      <x:c r="I54" s="5" t="n">
        <x:v>0</x:v>
      </x:c>
      <x:c r="J54" s="5" t="n">
        <x:v>8</x:v>
      </x:c>
      <x:c r="K54" s="5" t="n">
        <x:v>12</x:v>
      </x:c>
      <x:c r="L54" s="5" t="str">
        <x:v>ASSEMBLY_XYZ_NOT_MACHINE</x:v>
      </x:c>
      <x:c r="M54" s="5" t="str">
        <x:v>DESIGN_NOT_NC</x:v>
      </x:c>
    </x:row>
    <x:row r="55" ht="28" customHeight="1">
      <x:c r="A55" s="5" t="str">
        <x:v>J09</x:v>
      </x:c>
      <x:c r="B55" s="5" t="n">
        <x:v>3</x:v>
      </x:c>
      <x:c r="C55" s="5" t="str">
        <x:v>KI12-TV02T1-01</x:v>
      </x:c>
      <x:c r="D55" s="5" t="n">
        <x:v>702</x:v>
      </x:c>
      <x:c r="E55" s="5" t="n">
        <x:v>332</x:v>
      </x:c>
      <x:c r="F55" s="5" t="n">
        <x:v>159</x:v>
      </x:c>
      <x:c r="G55" s="5" t="n">
        <x:v>-1</x:v>
      </x:c>
      <x:c r="H55" s="5" t="n">
        <x:v>0</x:v>
      </x:c>
      <x:c r="I55" s="5" t="n">
        <x:v>0</x:v>
      </x:c>
      <x:c r="J55" s="5" t="n">
        <x:v>8</x:v>
      </x:c>
      <x:c r="K55" s="5" t="n">
        <x:v>22</x:v>
      </x:c>
      <x:c r="L55" s="5" t="str">
        <x:v>ASSEMBLY_XYZ_NOT_MACHINE</x:v>
      </x:c>
      <x:c r="M55" s="5" t="str">
        <x:v>DESIGN_NOT_NC</x:v>
      </x:c>
    </x:row>
    <x:row r="56" ht="28" customHeight="1">
      <x:c r="A56" s="5" t="str">
        <x:v>J10</x:v>
      </x:c>
      <x:c r="B56" s="5" t="n">
        <x:v>1</x:v>
      </x:c>
      <x:c r="C56" s="5" t="str">
        <x:v>KI12-TV02CAP-01</x:v>
      </x:c>
      <x:c r="D56" s="5" t="n">
        <x:v>711</x:v>
      </x:c>
      <x:c r="E56" s="5" t="n">
        <x:v>50</x:v>
      </x:c>
      <x:c r="F56" s="5" t="n">
        <x:v>532</x:v>
      </x:c>
      <x:c r="G56" s="5" t="n">
        <x:v>0</x:v>
      </x:c>
      <x:c r="H56" s="5" t="n">
        <x:v>0</x:v>
      </x:c>
      <x:c r="I56" s="5" t="n">
        <x:v>1</x:v>
      </x:c>
      <x:c r="J56" s="5" t="n">
        <x:v>8</x:v>
      </x:c>
      <x:c r="K56" s="5" t="n">
        <x:v>12</x:v>
      </x:c>
      <x:c r="L56" s="5" t="str">
        <x:v>ASSEMBLY_XYZ_NOT_MACHINE</x:v>
      </x:c>
      <x:c r="M56" s="5" t="str">
        <x:v>DESIGN_NOT_NC</x:v>
      </x:c>
    </x:row>
    <x:row r="57" ht="28" customHeight="1">
      <x:c r="A57" s="5" t="str">
        <x:v>J10</x:v>
      </x:c>
      <x:c r="B57" s="5" t="n">
        <x:v>1</x:v>
      </x:c>
      <x:c r="C57" s="5" t="str">
        <x:v>KI12-TV02S-02</x:v>
      </x:c>
      <x:c r="D57" s="5" t="n">
        <x:v>711</x:v>
      </x:c>
      <x:c r="E57" s="5" t="n">
        <x:v>50</x:v>
      </x:c>
      <x:c r="F57" s="5" t="n">
        <x:v>532</x:v>
      </x:c>
      <x:c r="G57" s="5" t="n">
        <x:v>0</x:v>
      </x:c>
      <x:c r="H57" s="5" t="n">
        <x:v>0</x:v>
      </x:c>
      <x:c r="I57" s="5" t="n">
        <x:v>-1</x:v>
      </x:c>
      <x:c r="J57" s="5" t="n">
        <x:v>8</x:v>
      </x:c>
      <x:c r="K57" s="5" t="n">
        <x:v>22</x:v>
      </x:c>
      <x:c r="L57" s="5" t="str">
        <x:v>ASSEMBLY_XYZ_NOT_MACHINE</x:v>
      </x:c>
      <x:c r="M57" s="5" t="str">
        <x:v>DESIGN_NOT_NC</x:v>
      </x:c>
    </x:row>
    <x:row r="58" ht="28" customHeight="1">
      <x:c r="A58" s="5" t="str">
        <x:v>J10</x:v>
      </x:c>
      <x:c r="B58" s="5" t="n">
        <x:v>2</x:v>
      </x:c>
      <x:c r="C58" s="5" t="str">
        <x:v>KI12-TV02CAP-01</x:v>
      </x:c>
      <x:c r="D58" s="5" t="n">
        <x:v>711</x:v>
      </x:c>
      <x:c r="E58" s="5" t="n">
        <x:v>191</x:v>
      </x:c>
      <x:c r="F58" s="5" t="n">
        <x:v>532</x:v>
      </x:c>
      <x:c r="G58" s="5" t="n">
        <x:v>0</x:v>
      </x:c>
      <x:c r="H58" s="5" t="n">
        <x:v>0</x:v>
      </x:c>
      <x:c r="I58" s="5" t="n">
        <x:v>1</x:v>
      </x:c>
      <x:c r="J58" s="5" t="n">
        <x:v>8</x:v>
      </x:c>
      <x:c r="K58" s="5" t="n">
        <x:v>12</x:v>
      </x:c>
      <x:c r="L58" s="5" t="str">
        <x:v>ASSEMBLY_XYZ_NOT_MACHINE</x:v>
      </x:c>
      <x:c r="M58" s="5" t="str">
        <x:v>DESIGN_NOT_NC</x:v>
      </x:c>
    </x:row>
    <x:row r="59" ht="28" customHeight="1">
      <x:c r="A59" s="5" t="str">
        <x:v>J10</x:v>
      </x:c>
      <x:c r="B59" s="5" t="n">
        <x:v>2</x:v>
      </x:c>
      <x:c r="C59" s="5" t="str">
        <x:v>KI12-TV02S-02</x:v>
      </x:c>
      <x:c r="D59" s="5" t="n">
        <x:v>711</x:v>
      </x:c>
      <x:c r="E59" s="5" t="n">
        <x:v>191</x:v>
      </x:c>
      <x:c r="F59" s="5" t="n">
        <x:v>532</x:v>
      </x:c>
      <x:c r="G59" s="5" t="n">
        <x:v>0</x:v>
      </x:c>
      <x:c r="H59" s="5" t="n">
        <x:v>0</x:v>
      </x:c>
      <x:c r="I59" s="5" t="n">
        <x:v>-1</x:v>
      </x:c>
      <x:c r="J59" s="5" t="n">
        <x:v>8</x:v>
      </x:c>
      <x:c r="K59" s="5" t="n">
        <x:v>22</x:v>
      </x:c>
      <x:c r="L59" s="5" t="str">
        <x:v>ASSEMBLY_XYZ_NOT_MACHINE</x:v>
      </x:c>
      <x:c r="M59" s="5" t="str">
        <x:v>DESIGN_NOT_NC</x:v>
      </x:c>
    </x:row>
    <x:row r="60" ht="28" customHeight="1">
      <x:c r="A60" s="5" t="str">
        <x:v>J10</x:v>
      </x:c>
      <x:c r="B60" s="5" t="n">
        <x:v>3</x:v>
      </x:c>
      <x:c r="C60" s="5" t="str">
        <x:v>KI12-TV02CAP-01</x:v>
      </x:c>
      <x:c r="D60" s="5" t="n">
        <x:v>711</x:v>
      </x:c>
      <x:c r="E60" s="5" t="n">
        <x:v>332</x:v>
      </x:c>
      <x:c r="F60" s="5" t="n">
        <x:v>532</x:v>
      </x:c>
      <x:c r="G60" s="5" t="n">
        <x:v>0</x:v>
      </x:c>
      <x:c r="H60" s="5" t="n">
        <x:v>0</x:v>
      </x:c>
      <x:c r="I60" s="5" t="n">
        <x:v>1</x:v>
      </x:c>
      <x:c r="J60" s="5" t="n">
        <x:v>8</x:v>
      </x:c>
      <x:c r="K60" s="5" t="n">
        <x:v>12</x:v>
      </x:c>
      <x:c r="L60" s="5" t="str">
        <x:v>ASSEMBLY_XYZ_NOT_MACHINE</x:v>
      </x:c>
      <x:c r="M60" s="5" t="str">
        <x:v>DESIGN_NOT_NC</x:v>
      </x:c>
    </x:row>
    <x:row r="61" ht="28" customHeight="1">
      <x:c r="A61" s="5" t="str">
        <x:v>J10</x:v>
      </x:c>
      <x:c r="B61" s="5" t="n">
        <x:v>3</x:v>
      </x:c>
      <x:c r="C61" s="5" t="str">
        <x:v>KI12-TV02S-02</x:v>
      </x:c>
      <x:c r="D61" s="5" t="n">
        <x:v>711</x:v>
      </x:c>
      <x:c r="E61" s="5" t="n">
        <x:v>332</x:v>
      </x:c>
      <x:c r="F61" s="5" t="n">
        <x:v>532</x:v>
      </x:c>
      <x:c r="G61" s="5" t="n">
        <x:v>0</x:v>
      </x:c>
      <x:c r="H61" s="5" t="n">
        <x:v>0</x:v>
      </x:c>
      <x:c r="I61" s="5" t="n">
        <x:v>-1</x:v>
      </x:c>
      <x:c r="J61" s="5" t="n">
        <x:v>8</x:v>
      </x:c>
      <x:c r="K61" s="5" t="n">
        <x:v>22</x:v>
      </x:c>
      <x:c r="L61" s="5" t="str">
        <x:v>ASSEMBLY_XYZ_NOT_MACHINE</x:v>
      </x:c>
      <x:c r="M61" s="5" t="str">
        <x:v>DESIGN_NOT_NC</x:v>
      </x:c>
    </x:row>
    <x:row r="62" ht="28" customHeight="1">
      <x:c r="A62" s="5" t="str">
        <x:v>J11</x:v>
      </x:c>
      <x:c r="B62" s="5" t="n">
        <x:v>1</x:v>
      </x:c>
      <x:c r="C62" s="5" t="str">
        <x:v>KI12-TV02S-03</x:v>
      </x:c>
      <x:c r="D62" s="5" t="n">
        <x:v>858</x:v>
      </x:c>
      <x:c r="E62" s="5" t="n">
        <x:v>50</x:v>
      </x:c>
      <x:c r="F62" s="5" t="n">
        <x:v>159</x:v>
      </x:c>
      <x:c r="G62" s="5" t="n">
        <x:v>-1</x:v>
      </x:c>
      <x:c r="H62" s="5" t="n">
        <x:v>0</x:v>
      </x:c>
      <x:c r="I62" s="5" t="n">
        <x:v>0</x:v>
      </x:c>
      <x:c r="J62" s="5" t="n">
        <x:v>8</x:v>
      </x:c>
      <x:c r="K62" s="5" t="n">
        <x:v>12</x:v>
      </x:c>
      <x:c r="L62" s="5" t="str">
        <x:v>ASSEMBLY_XYZ_NOT_MACHINE</x:v>
      </x:c>
      <x:c r="M62" s="5" t="str">
        <x:v>DESIGN_NOT_NC</x:v>
      </x:c>
    </x:row>
    <x:row r="63" ht="28" customHeight="1">
      <x:c r="A63" s="5" t="str">
        <x:v>J11</x:v>
      </x:c>
      <x:c r="B63" s="5" t="n">
        <x:v>1</x:v>
      </x:c>
      <x:c r="C63" s="5" t="str">
        <x:v>KI12-TV02T2-01</x:v>
      </x:c>
      <x:c r="D63" s="5" t="n">
        <x:v>858</x:v>
      </x:c>
      <x:c r="E63" s="5" t="n">
        <x:v>50</x:v>
      </x:c>
      <x:c r="F63" s="5" t="n">
        <x:v>159</x:v>
      </x:c>
      <x:c r="G63" s="5" t="n">
        <x:v>1</x:v>
      </x:c>
      <x:c r="H63" s="5" t="n">
        <x:v>0</x:v>
      </x:c>
      <x:c r="I63" s="5" t="n">
        <x:v>0</x:v>
      </x:c>
      <x:c r="J63" s="5" t="n">
        <x:v>8</x:v>
      </x:c>
      <x:c r="K63" s="5" t="n">
        <x:v>22</x:v>
      </x:c>
      <x:c r="L63" s="5" t="str">
        <x:v>ASSEMBLY_XYZ_NOT_MACHINE</x:v>
      </x:c>
      <x:c r="M63" s="5" t="str">
        <x:v>DESIGN_NOT_NC</x:v>
      </x:c>
    </x:row>
    <x:row r="64" ht="28" customHeight="1">
      <x:c r="A64" s="5" t="str">
        <x:v>J11</x:v>
      </x:c>
      <x:c r="B64" s="5" t="n">
        <x:v>2</x:v>
      </x:c>
      <x:c r="C64" s="5" t="str">
        <x:v>KI12-TV02S-03</x:v>
      </x:c>
      <x:c r="D64" s="5" t="n">
        <x:v>858</x:v>
      </x:c>
      <x:c r="E64" s="5" t="n">
        <x:v>191</x:v>
      </x:c>
      <x:c r="F64" s="5" t="n">
        <x:v>159</x:v>
      </x:c>
      <x:c r="G64" s="5" t="n">
        <x:v>-1</x:v>
      </x:c>
      <x:c r="H64" s="5" t="n">
        <x:v>0</x:v>
      </x:c>
      <x:c r="I64" s="5" t="n">
        <x:v>0</x:v>
      </x:c>
      <x:c r="J64" s="5" t="n">
        <x:v>8</x:v>
      </x:c>
      <x:c r="K64" s="5" t="n">
        <x:v>12</x:v>
      </x:c>
      <x:c r="L64" s="5" t="str">
        <x:v>ASSEMBLY_XYZ_NOT_MACHINE</x:v>
      </x:c>
      <x:c r="M64" s="5" t="str">
        <x:v>DESIGN_NOT_NC</x:v>
      </x:c>
    </x:row>
    <x:row r="65" ht="28" customHeight="1">
      <x:c r="A65" s="5" t="str">
        <x:v>J11</x:v>
      </x:c>
      <x:c r="B65" s="5" t="n">
        <x:v>2</x:v>
      </x:c>
      <x:c r="C65" s="5" t="str">
        <x:v>KI12-TV02T2-01</x:v>
      </x:c>
      <x:c r="D65" s="5" t="n">
        <x:v>858</x:v>
      </x:c>
      <x:c r="E65" s="5" t="n">
        <x:v>191</x:v>
      </x:c>
      <x:c r="F65" s="5" t="n">
        <x:v>159</x:v>
      </x:c>
      <x:c r="G65" s="5" t="n">
        <x:v>1</x:v>
      </x:c>
      <x:c r="H65" s="5" t="n">
        <x:v>0</x:v>
      </x:c>
      <x:c r="I65" s="5" t="n">
        <x:v>0</x:v>
      </x:c>
      <x:c r="J65" s="5" t="n">
        <x:v>8</x:v>
      </x:c>
      <x:c r="K65" s="5" t="n">
        <x:v>22</x:v>
      </x:c>
      <x:c r="L65" s="5" t="str">
        <x:v>ASSEMBLY_XYZ_NOT_MACHINE</x:v>
      </x:c>
      <x:c r="M65" s="5" t="str">
        <x:v>DESIGN_NOT_NC</x:v>
      </x:c>
    </x:row>
    <x:row r="66" ht="28" customHeight="1">
      <x:c r="A66" s="5" t="str">
        <x:v>J11</x:v>
      </x:c>
      <x:c r="B66" s="5" t="n">
        <x:v>3</x:v>
      </x:c>
      <x:c r="C66" s="5" t="str">
        <x:v>KI12-TV02S-03</x:v>
      </x:c>
      <x:c r="D66" s="5" t="n">
        <x:v>858</x:v>
      </x:c>
      <x:c r="E66" s="5" t="n">
        <x:v>332</x:v>
      </x:c>
      <x:c r="F66" s="5" t="n">
        <x:v>159</x:v>
      </x:c>
      <x:c r="G66" s="5" t="n">
        <x:v>-1</x:v>
      </x:c>
      <x:c r="H66" s="5" t="n">
        <x:v>0</x:v>
      </x:c>
      <x:c r="I66" s="5" t="n">
        <x:v>0</x:v>
      </x:c>
      <x:c r="J66" s="5" t="n">
        <x:v>8</x:v>
      </x:c>
      <x:c r="K66" s="5" t="n">
        <x:v>12</x:v>
      </x:c>
      <x:c r="L66" s="5" t="str">
        <x:v>ASSEMBLY_XYZ_NOT_MACHINE</x:v>
      </x:c>
      <x:c r="M66" s="5" t="str">
        <x:v>DESIGN_NOT_NC</x:v>
      </x:c>
    </x:row>
    <x:row r="67" ht="28" customHeight="1">
      <x:c r="A67" s="5" t="str">
        <x:v>J11</x:v>
      </x:c>
      <x:c r="B67" s="5" t="n">
        <x:v>3</x:v>
      </x:c>
      <x:c r="C67" s="5" t="str">
        <x:v>KI12-TV02T2-01</x:v>
      </x:c>
      <x:c r="D67" s="5" t="n">
        <x:v>858</x:v>
      </x:c>
      <x:c r="E67" s="5" t="n">
        <x:v>332</x:v>
      </x:c>
      <x:c r="F67" s="5" t="n">
        <x:v>159</x:v>
      </x:c>
      <x:c r="G67" s="5" t="n">
        <x:v>1</x:v>
      </x:c>
      <x:c r="H67" s="5" t="n">
        <x:v>0</x:v>
      </x:c>
      <x:c r="I67" s="5" t="n">
        <x:v>0</x:v>
      </x:c>
      <x:c r="J67" s="5" t="n">
        <x:v>8</x:v>
      </x:c>
      <x:c r="K67" s="5" t="n">
        <x:v>22</x:v>
      </x:c>
      <x:c r="L67" s="5" t="str">
        <x:v>ASSEMBLY_XYZ_NOT_MACHINE</x:v>
      </x:c>
      <x:c r="M67" s="5" t="str">
        <x:v>DESIGN_NOT_NC</x:v>
      </x:c>
    </x:row>
    <x:row r="68" ht="28" customHeight="1">
      <x:c r="A68" s="5" t="str">
        <x:v>J12</x:v>
      </x:c>
      <x:c r="B68" s="5" t="n">
        <x:v>1</x:v>
      </x:c>
      <x:c r="C68" s="5" t="str">
        <x:v>KI12-TV02CAP-01</x:v>
      </x:c>
      <x:c r="D68" s="5" t="n">
        <x:v>849</x:v>
      </x:c>
      <x:c r="E68" s="5" t="n">
        <x:v>50</x:v>
      </x:c>
      <x:c r="F68" s="5" t="n">
        <x:v>532</x:v>
      </x:c>
      <x:c r="G68" s="5" t="n">
        <x:v>0</x:v>
      </x:c>
      <x:c r="H68" s="5" t="n">
        <x:v>0</x:v>
      </x:c>
      <x:c r="I68" s="5" t="n">
        <x:v>1</x:v>
      </x:c>
      <x:c r="J68" s="5" t="n">
        <x:v>8</x:v>
      </x:c>
      <x:c r="K68" s="5" t="n">
        <x:v>12</x:v>
      </x:c>
      <x:c r="L68" s="5" t="str">
        <x:v>ASSEMBLY_XYZ_NOT_MACHINE</x:v>
      </x:c>
      <x:c r="M68" s="5" t="str">
        <x:v>DESIGN_NOT_NC</x:v>
      </x:c>
    </x:row>
    <x:row r="69" ht="28" customHeight="1">
      <x:c r="A69" s="5" t="str">
        <x:v>J12</x:v>
      </x:c>
      <x:c r="B69" s="5" t="n">
        <x:v>1</x:v>
      </x:c>
      <x:c r="C69" s="5" t="str">
        <x:v>KI12-TV02S-03</x:v>
      </x:c>
      <x:c r="D69" s="5" t="n">
        <x:v>849</x:v>
      </x:c>
      <x:c r="E69" s="5" t="n">
        <x:v>50</x:v>
      </x:c>
      <x:c r="F69" s="5" t="n">
        <x:v>532</x:v>
      </x:c>
      <x:c r="G69" s="5" t="n">
        <x:v>0</x:v>
      </x:c>
      <x:c r="H69" s="5" t="n">
        <x:v>0</x:v>
      </x:c>
      <x:c r="I69" s="5" t="n">
        <x:v>-1</x:v>
      </x:c>
      <x:c r="J69" s="5" t="n">
        <x:v>8</x:v>
      </x:c>
      <x:c r="K69" s="5" t="n">
        <x:v>22</x:v>
      </x:c>
      <x:c r="L69" s="5" t="str">
        <x:v>ASSEMBLY_XYZ_NOT_MACHINE</x:v>
      </x:c>
      <x:c r="M69" s="5" t="str">
        <x:v>DESIGN_NOT_NC</x:v>
      </x:c>
    </x:row>
    <x:row r="70" ht="28" customHeight="1">
      <x:c r="A70" s="5" t="str">
        <x:v>J12</x:v>
      </x:c>
      <x:c r="B70" s="5" t="n">
        <x:v>2</x:v>
      </x:c>
      <x:c r="C70" s="5" t="str">
        <x:v>KI12-TV02CAP-01</x:v>
      </x:c>
      <x:c r="D70" s="5" t="n">
        <x:v>849</x:v>
      </x:c>
      <x:c r="E70" s="5" t="n">
        <x:v>191</x:v>
      </x:c>
      <x:c r="F70" s="5" t="n">
        <x:v>532</x:v>
      </x:c>
      <x:c r="G70" s="5" t="n">
        <x:v>0</x:v>
      </x:c>
      <x:c r="H70" s="5" t="n">
        <x:v>0</x:v>
      </x:c>
      <x:c r="I70" s="5" t="n">
        <x:v>1</x:v>
      </x:c>
      <x:c r="J70" s="5" t="n">
        <x:v>8</x:v>
      </x:c>
      <x:c r="K70" s="5" t="n">
        <x:v>12</x:v>
      </x:c>
      <x:c r="L70" s="5" t="str">
        <x:v>ASSEMBLY_XYZ_NOT_MACHINE</x:v>
      </x:c>
      <x:c r="M70" s="5" t="str">
        <x:v>DESIGN_NOT_NC</x:v>
      </x:c>
    </x:row>
    <x:row r="71" ht="28" customHeight="1">
      <x:c r="A71" s="5" t="str">
        <x:v>J12</x:v>
      </x:c>
      <x:c r="B71" s="5" t="n">
        <x:v>2</x:v>
      </x:c>
      <x:c r="C71" s="5" t="str">
        <x:v>KI12-TV02S-03</x:v>
      </x:c>
      <x:c r="D71" s="5" t="n">
        <x:v>849</x:v>
      </x:c>
      <x:c r="E71" s="5" t="n">
        <x:v>191</x:v>
      </x:c>
      <x:c r="F71" s="5" t="n">
        <x:v>532</x:v>
      </x:c>
      <x:c r="G71" s="5" t="n">
        <x:v>0</x:v>
      </x:c>
      <x:c r="H71" s="5" t="n">
        <x:v>0</x:v>
      </x:c>
      <x:c r="I71" s="5" t="n">
        <x:v>-1</x:v>
      </x:c>
      <x:c r="J71" s="5" t="n">
        <x:v>8</x:v>
      </x:c>
      <x:c r="K71" s="5" t="n">
        <x:v>22</x:v>
      </x:c>
      <x:c r="L71" s="5" t="str">
        <x:v>ASSEMBLY_XYZ_NOT_MACHINE</x:v>
      </x:c>
      <x:c r="M71" s="5" t="str">
        <x:v>DESIGN_NOT_NC</x:v>
      </x:c>
    </x:row>
    <x:row r="72" ht="28" customHeight="1">
      <x:c r="A72" s="5" t="str">
        <x:v>J12</x:v>
      </x:c>
      <x:c r="B72" s="5" t="n">
        <x:v>3</x:v>
      </x:c>
      <x:c r="C72" s="5" t="str">
        <x:v>KI12-TV02CAP-01</x:v>
      </x:c>
      <x:c r="D72" s="5" t="n">
        <x:v>849</x:v>
      </x:c>
      <x:c r="E72" s="5" t="n">
        <x:v>332</x:v>
      </x:c>
      <x:c r="F72" s="5" t="n">
        <x:v>532</x:v>
      </x:c>
      <x:c r="G72" s="5" t="n">
        <x:v>0</x:v>
      </x:c>
      <x:c r="H72" s="5" t="n">
        <x:v>0</x:v>
      </x:c>
      <x:c r="I72" s="5" t="n">
        <x:v>1</x:v>
      </x:c>
      <x:c r="J72" s="5" t="n">
        <x:v>8</x:v>
      </x:c>
      <x:c r="K72" s="5" t="n">
        <x:v>12</x:v>
      </x:c>
      <x:c r="L72" s="5" t="str">
        <x:v>ASSEMBLY_XYZ_NOT_MACHINE</x:v>
      </x:c>
      <x:c r="M72" s="5" t="str">
        <x:v>DESIGN_NOT_NC</x:v>
      </x:c>
    </x:row>
    <x:row r="73" ht="28" customHeight="1">
      <x:c r="A73" s="5" t="str">
        <x:v>J12</x:v>
      </x:c>
      <x:c r="B73" s="5" t="n">
        <x:v>3</x:v>
      </x:c>
      <x:c r="C73" s="5" t="str">
        <x:v>KI12-TV02S-03</x:v>
      </x:c>
      <x:c r="D73" s="5" t="n">
        <x:v>849</x:v>
      </x:c>
      <x:c r="E73" s="5" t="n">
        <x:v>332</x:v>
      </x:c>
      <x:c r="F73" s="5" t="n">
        <x:v>532</x:v>
      </x:c>
      <x:c r="G73" s="5" t="n">
        <x:v>0</x:v>
      </x:c>
      <x:c r="H73" s="5" t="n">
        <x:v>0</x:v>
      </x:c>
      <x:c r="I73" s="5" t="n">
        <x:v>-1</x:v>
      </x:c>
      <x:c r="J73" s="5" t="n">
        <x:v>8</x:v>
      </x:c>
      <x:c r="K73" s="5" t="n">
        <x:v>22</x:v>
      </x:c>
      <x:c r="L73" s="5" t="str">
        <x:v>ASSEMBLY_XYZ_NOT_MACHINE</x:v>
      </x:c>
      <x:c r="M73" s="5" t="str">
        <x:v>DESIGN_NOT_NC</x:v>
      </x:c>
    </x:row>
    <x:row r="74" ht="28" customHeight="1">
      <x:c r="A74" s="5" t="str">
        <x:v>J13</x:v>
      </x:c>
      <x:c r="B74" s="5" t="n">
        <x:v>1</x:v>
      </x:c>
      <x:c r="C74" s="5" t="str">
        <x:v>KI12-TV02S-04</x:v>
      </x:c>
      <x:c r="D74" s="5" t="n">
        <x:v>1512</x:v>
      </x:c>
      <x:c r="E74" s="5" t="n">
        <x:v>50</x:v>
      </x:c>
      <x:c r="F74" s="5" t="n">
        <x:v>159</x:v>
      </x:c>
      <x:c r="G74" s="5" t="n">
        <x:v>1</x:v>
      </x:c>
      <x:c r="H74" s="5" t="n">
        <x:v>0</x:v>
      </x:c>
      <x:c r="I74" s="5" t="n">
        <x:v>0</x:v>
      </x:c>
      <x:c r="J74" s="5" t="n">
        <x:v>8</x:v>
      </x:c>
      <x:c r="K74" s="5" t="n">
        <x:v>12</x:v>
      </x:c>
      <x:c r="L74" s="5" t="str">
        <x:v>ASSEMBLY_XYZ_NOT_MACHINE</x:v>
      </x:c>
      <x:c r="M74" s="5" t="str">
        <x:v>DESIGN_NOT_NC</x:v>
      </x:c>
    </x:row>
    <x:row r="75" ht="28" customHeight="1">
      <x:c r="A75" s="5" t="str">
        <x:v>J13</x:v>
      </x:c>
      <x:c r="B75" s="5" t="n">
        <x:v>1</x:v>
      </x:c>
      <x:c r="C75" s="5" t="str">
        <x:v>KI12-TV02T2-01</x:v>
      </x:c>
      <x:c r="D75" s="5" t="n">
        <x:v>1512</x:v>
      </x:c>
      <x:c r="E75" s="5" t="n">
        <x:v>50</x:v>
      </x:c>
      <x:c r="F75" s="5" t="n">
        <x:v>159</x:v>
      </x:c>
      <x:c r="G75" s="5" t="n">
        <x:v>-1</x:v>
      </x:c>
      <x:c r="H75" s="5" t="n">
        <x:v>0</x:v>
      </x:c>
      <x:c r="I75" s="5" t="n">
        <x:v>0</x:v>
      </x:c>
      <x:c r="J75" s="5" t="n">
        <x:v>8</x:v>
      </x:c>
      <x:c r="K75" s="5" t="n">
        <x:v>22</x:v>
      </x:c>
      <x:c r="L75" s="5" t="str">
        <x:v>ASSEMBLY_XYZ_NOT_MACHINE</x:v>
      </x:c>
      <x:c r="M75" s="5" t="str">
        <x:v>DESIGN_NOT_NC</x:v>
      </x:c>
    </x:row>
    <x:row r="76" ht="28" customHeight="1">
      <x:c r="A76" s="5" t="str">
        <x:v>J13</x:v>
      </x:c>
      <x:c r="B76" s="5" t="n">
        <x:v>2</x:v>
      </x:c>
      <x:c r="C76" s="5" t="str">
        <x:v>KI12-TV02S-04</x:v>
      </x:c>
      <x:c r="D76" s="5" t="n">
        <x:v>1512</x:v>
      </x:c>
      <x:c r="E76" s="5" t="n">
        <x:v>191</x:v>
      </x:c>
      <x:c r="F76" s="5" t="n">
        <x:v>159</x:v>
      </x:c>
      <x:c r="G76" s="5" t="n">
        <x:v>1</x:v>
      </x:c>
      <x:c r="H76" s="5" t="n">
        <x:v>0</x:v>
      </x:c>
      <x:c r="I76" s="5" t="n">
        <x:v>0</x:v>
      </x:c>
      <x:c r="J76" s="5" t="n">
        <x:v>8</x:v>
      </x:c>
      <x:c r="K76" s="5" t="n">
        <x:v>12</x:v>
      </x:c>
      <x:c r="L76" s="5" t="str">
        <x:v>ASSEMBLY_XYZ_NOT_MACHINE</x:v>
      </x:c>
      <x:c r="M76" s="5" t="str">
        <x:v>DESIGN_NOT_NC</x:v>
      </x:c>
    </x:row>
    <x:row r="77" ht="28" customHeight="1">
      <x:c r="A77" s="5" t="str">
        <x:v>J13</x:v>
      </x:c>
      <x:c r="B77" s="5" t="n">
        <x:v>2</x:v>
      </x:c>
      <x:c r="C77" s="5" t="str">
        <x:v>KI12-TV02T2-01</x:v>
      </x:c>
      <x:c r="D77" s="5" t="n">
        <x:v>1512</x:v>
      </x:c>
      <x:c r="E77" s="5" t="n">
        <x:v>191</x:v>
      </x:c>
      <x:c r="F77" s="5" t="n">
        <x:v>159</x:v>
      </x:c>
      <x:c r="G77" s="5" t="n">
        <x:v>-1</x:v>
      </x:c>
      <x:c r="H77" s="5" t="n">
        <x:v>0</x:v>
      </x:c>
      <x:c r="I77" s="5" t="n">
        <x:v>0</x:v>
      </x:c>
      <x:c r="J77" s="5" t="n">
        <x:v>8</x:v>
      </x:c>
      <x:c r="K77" s="5" t="n">
        <x:v>22</x:v>
      </x:c>
      <x:c r="L77" s="5" t="str">
        <x:v>ASSEMBLY_XYZ_NOT_MACHINE</x:v>
      </x:c>
      <x:c r="M77" s="5" t="str">
        <x:v>DESIGN_NOT_NC</x:v>
      </x:c>
    </x:row>
    <x:row r="78" ht="28" customHeight="1">
      <x:c r="A78" s="5" t="str">
        <x:v>J13</x:v>
      </x:c>
      <x:c r="B78" s="5" t="n">
        <x:v>3</x:v>
      </x:c>
      <x:c r="C78" s="5" t="str">
        <x:v>KI12-TV02S-04</x:v>
      </x:c>
      <x:c r="D78" s="5" t="n">
        <x:v>1512</x:v>
      </x:c>
      <x:c r="E78" s="5" t="n">
        <x:v>332</x:v>
      </x:c>
      <x:c r="F78" s="5" t="n">
        <x:v>159</x:v>
      </x:c>
      <x:c r="G78" s="5" t="n">
        <x:v>1</x:v>
      </x:c>
      <x:c r="H78" s="5" t="n">
        <x:v>0</x:v>
      </x:c>
      <x:c r="I78" s="5" t="n">
        <x:v>0</x:v>
      </x:c>
      <x:c r="J78" s="5" t="n">
        <x:v>8</x:v>
      </x:c>
      <x:c r="K78" s="5" t="n">
        <x:v>12</x:v>
      </x:c>
      <x:c r="L78" s="5" t="str">
        <x:v>ASSEMBLY_XYZ_NOT_MACHINE</x:v>
      </x:c>
      <x:c r="M78" s="5" t="str">
        <x:v>DESIGN_NOT_NC</x:v>
      </x:c>
    </x:row>
    <x:row r="79" ht="28" customHeight="1">
      <x:c r="A79" s="5" t="str">
        <x:v>J13</x:v>
      </x:c>
      <x:c r="B79" s="5" t="n">
        <x:v>3</x:v>
      </x:c>
      <x:c r="C79" s="5" t="str">
        <x:v>KI12-TV02T2-01</x:v>
      </x:c>
      <x:c r="D79" s="5" t="n">
        <x:v>1512</x:v>
      </x:c>
      <x:c r="E79" s="5" t="n">
        <x:v>332</x:v>
      </x:c>
      <x:c r="F79" s="5" t="n">
        <x:v>159</x:v>
      </x:c>
      <x:c r="G79" s="5" t="n">
        <x:v>-1</x:v>
      </x:c>
      <x:c r="H79" s="5" t="n">
        <x:v>0</x:v>
      </x:c>
      <x:c r="I79" s="5" t="n">
        <x:v>0</x:v>
      </x:c>
      <x:c r="J79" s="5" t="n">
        <x:v>8</x:v>
      </x:c>
      <x:c r="K79" s="5" t="n">
        <x:v>22</x:v>
      </x:c>
      <x:c r="L79" s="5" t="str">
        <x:v>ASSEMBLY_XYZ_NOT_MACHINE</x:v>
      </x:c>
      <x:c r="M79" s="5" t="str">
        <x:v>DESIGN_NOT_NC</x:v>
      </x:c>
    </x:row>
    <x:row r="80" ht="28" customHeight="1">
      <x:c r="A80" s="5" t="str">
        <x:v>J14</x:v>
      </x:c>
      <x:c r="B80" s="5" t="n">
        <x:v>1</x:v>
      </x:c>
      <x:c r="C80" s="5" t="str">
        <x:v>KI12-TV02CAP-01</x:v>
      </x:c>
      <x:c r="D80" s="5" t="n">
        <x:v>1521</x:v>
      </x:c>
      <x:c r="E80" s="5" t="n">
        <x:v>50</x:v>
      </x:c>
      <x:c r="F80" s="5" t="n">
        <x:v>532</x:v>
      </x:c>
      <x:c r="G80" s="5" t="n">
        <x:v>0</x:v>
      </x:c>
      <x:c r="H80" s="5" t="n">
        <x:v>0</x:v>
      </x:c>
      <x:c r="I80" s="5" t="n">
        <x:v>1</x:v>
      </x:c>
      <x:c r="J80" s="5" t="n">
        <x:v>8</x:v>
      </x:c>
      <x:c r="K80" s="5" t="n">
        <x:v>12</x:v>
      </x:c>
      <x:c r="L80" s="5" t="str">
        <x:v>ASSEMBLY_XYZ_NOT_MACHINE</x:v>
      </x:c>
      <x:c r="M80" s="5" t="str">
        <x:v>DESIGN_NOT_NC</x:v>
      </x:c>
    </x:row>
    <x:row r="81" ht="28" customHeight="1">
      <x:c r="A81" s="5" t="str">
        <x:v>J14</x:v>
      </x:c>
      <x:c r="B81" s="5" t="n">
        <x:v>1</x:v>
      </x:c>
      <x:c r="C81" s="5" t="str">
        <x:v>KI12-TV02S-04</x:v>
      </x:c>
      <x:c r="D81" s="5" t="n">
        <x:v>1521</x:v>
      </x:c>
      <x:c r="E81" s="5" t="n">
        <x:v>50</x:v>
      </x:c>
      <x:c r="F81" s="5" t="n">
        <x:v>532</x:v>
      </x:c>
      <x:c r="G81" s="5" t="n">
        <x:v>0</x:v>
      </x:c>
      <x:c r="H81" s="5" t="n">
        <x:v>0</x:v>
      </x:c>
      <x:c r="I81" s="5" t="n">
        <x:v>-1</x:v>
      </x:c>
      <x:c r="J81" s="5" t="n">
        <x:v>8</x:v>
      </x:c>
      <x:c r="K81" s="5" t="n">
        <x:v>22</x:v>
      </x:c>
      <x:c r="L81" s="5" t="str">
        <x:v>ASSEMBLY_XYZ_NOT_MACHINE</x:v>
      </x:c>
      <x:c r="M81" s="5" t="str">
        <x:v>DESIGN_NOT_NC</x:v>
      </x:c>
    </x:row>
    <x:row r="82" ht="28" customHeight="1">
      <x:c r="A82" s="5" t="str">
        <x:v>J14</x:v>
      </x:c>
      <x:c r="B82" s="5" t="n">
        <x:v>2</x:v>
      </x:c>
      <x:c r="C82" s="5" t="str">
        <x:v>KI12-TV02CAP-01</x:v>
      </x:c>
      <x:c r="D82" s="5" t="n">
        <x:v>1521</x:v>
      </x:c>
      <x:c r="E82" s="5" t="n">
        <x:v>191</x:v>
      </x:c>
      <x:c r="F82" s="5" t="n">
        <x:v>532</x:v>
      </x:c>
      <x:c r="G82" s="5" t="n">
        <x:v>0</x:v>
      </x:c>
      <x:c r="H82" s="5" t="n">
        <x:v>0</x:v>
      </x:c>
      <x:c r="I82" s="5" t="n">
        <x:v>1</x:v>
      </x:c>
      <x:c r="J82" s="5" t="n">
        <x:v>8</x:v>
      </x:c>
      <x:c r="K82" s="5" t="n">
        <x:v>12</x:v>
      </x:c>
      <x:c r="L82" s="5" t="str">
        <x:v>ASSEMBLY_XYZ_NOT_MACHINE</x:v>
      </x:c>
      <x:c r="M82" s="5" t="str">
        <x:v>DESIGN_NOT_NC</x:v>
      </x:c>
    </x:row>
    <x:row r="83" ht="28" customHeight="1">
      <x:c r="A83" s="5" t="str">
        <x:v>J14</x:v>
      </x:c>
      <x:c r="B83" s="5" t="n">
        <x:v>2</x:v>
      </x:c>
      <x:c r="C83" s="5" t="str">
        <x:v>KI12-TV02S-04</x:v>
      </x:c>
      <x:c r="D83" s="5" t="n">
        <x:v>1521</x:v>
      </x:c>
      <x:c r="E83" s="5" t="n">
        <x:v>191</x:v>
      </x:c>
      <x:c r="F83" s="5" t="n">
        <x:v>532</x:v>
      </x:c>
      <x:c r="G83" s="5" t="n">
        <x:v>0</x:v>
      </x:c>
      <x:c r="H83" s="5" t="n">
        <x:v>0</x:v>
      </x:c>
      <x:c r="I83" s="5" t="n">
        <x:v>-1</x:v>
      </x:c>
      <x:c r="J83" s="5" t="n">
        <x:v>8</x:v>
      </x:c>
      <x:c r="K83" s="5" t="n">
        <x:v>22</x:v>
      </x:c>
      <x:c r="L83" s="5" t="str">
        <x:v>ASSEMBLY_XYZ_NOT_MACHINE</x:v>
      </x:c>
      <x:c r="M83" s="5" t="str">
        <x:v>DESIGN_NOT_NC</x:v>
      </x:c>
    </x:row>
    <x:row r="84" ht="28" customHeight="1">
      <x:c r="A84" s="5" t="str">
        <x:v>J14</x:v>
      </x:c>
      <x:c r="B84" s="5" t="n">
        <x:v>3</x:v>
      </x:c>
      <x:c r="C84" s="5" t="str">
        <x:v>KI12-TV02CAP-01</x:v>
      </x:c>
      <x:c r="D84" s="5" t="n">
        <x:v>1521</x:v>
      </x:c>
      <x:c r="E84" s="5" t="n">
        <x:v>332</x:v>
      </x:c>
      <x:c r="F84" s="5" t="n">
        <x:v>532</x:v>
      </x:c>
      <x:c r="G84" s="5" t="n">
        <x:v>0</x:v>
      </x:c>
      <x:c r="H84" s="5" t="n">
        <x:v>0</x:v>
      </x:c>
      <x:c r="I84" s="5" t="n">
        <x:v>1</x:v>
      </x:c>
      <x:c r="J84" s="5" t="n">
        <x:v>8</x:v>
      </x:c>
      <x:c r="K84" s="5" t="n">
        <x:v>12</x:v>
      </x:c>
      <x:c r="L84" s="5" t="str">
        <x:v>ASSEMBLY_XYZ_NOT_MACHINE</x:v>
      </x:c>
      <x:c r="M84" s="5" t="str">
        <x:v>DESIGN_NOT_NC</x:v>
      </x:c>
    </x:row>
    <x:row r="85" ht="28" customHeight="1">
      <x:c r="A85" s="5" t="str">
        <x:v>J14</x:v>
      </x:c>
      <x:c r="B85" s="5" t="n">
        <x:v>3</x:v>
      </x:c>
      <x:c r="C85" s="5" t="str">
        <x:v>KI12-TV02S-04</x:v>
      </x:c>
      <x:c r="D85" s="5" t="n">
        <x:v>1521</x:v>
      </x:c>
      <x:c r="E85" s="5" t="n">
        <x:v>332</x:v>
      </x:c>
      <x:c r="F85" s="5" t="n">
        <x:v>532</x:v>
      </x:c>
      <x:c r="G85" s="5" t="n">
        <x:v>0</x:v>
      </x:c>
      <x:c r="H85" s="5" t="n">
        <x:v>0</x:v>
      </x:c>
      <x:c r="I85" s="5" t="n">
        <x:v>-1</x:v>
      </x:c>
      <x:c r="J85" s="5" t="n">
        <x:v>8</x:v>
      </x:c>
      <x:c r="K85" s="5" t="n">
        <x:v>22</x:v>
      </x:c>
      <x:c r="L85" s="5" t="str">
        <x:v>ASSEMBLY_XYZ_NOT_MACHINE</x:v>
      </x:c>
      <x:c r="M85" s="5" t="str">
        <x:v>DESIGN_NOT_NC</x:v>
      </x:c>
    </x:row>
    <x:row r="86" ht="28" customHeight="1">
      <x:c r="A86" s="5" t="str">
        <x:v>J15</x:v>
      </x:c>
      <x:c r="B86" s="5" t="n">
        <x:v>1</x:v>
      </x:c>
      <x:c r="C86" s="5" t="str">
        <x:v>KI12-TV02S-05</x:v>
      </x:c>
      <x:c r="D86" s="5" t="n">
        <x:v>1548</x:v>
      </x:c>
      <x:c r="E86" s="5" t="n">
        <x:v>50</x:v>
      </x:c>
      <x:c r="F86" s="5" t="n">
        <x:v>159</x:v>
      </x:c>
      <x:c r="G86" s="5" t="n">
        <x:v>-1</x:v>
      </x:c>
      <x:c r="H86" s="5" t="n">
        <x:v>0</x:v>
      </x:c>
      <x:c r="I86" s="5" t="n">
        <x:v>0</x:v>
      </x:c>
      <x:c r="J86" s="5" t="n">
        <x:v>8</x:v>
      </x:c>
      <x:c r="K86" s="5" t="n">
        <x:v>12</x:v>
      </x:c>
      <x:c r="L86" s="5" t="str">
        <x:v>ASSEMBLY_XYZ_NOT_MACHINE</x:v>
      </x:c>
      <x:c r="M86" s="5" t="str">
        <x:v>DESIGN_NOT_NC</x:v>
      </x:c>
    </x:row>
    <x:row r="87" ht="28" customHeight="1">
      <x:c r="A87" s="5" t="str">
        <x:v>J15</x:v>
      </x:c>
      <x:c r="B87" s="5" t="n">
        <x:v>1</x:v>
      </x:c>
      <x:c r="C87" s="5" t="str">
        <x:v>KI12-TV02T2-02</x:v>
      </x:c>
      <x:c r="D87" s="5" t="n">
        <x:v>1548</x:v>
      </x:c>
      <x:c r="E87" s="5" t="n">
        <x:v>50</x:v>
      </x:c>
      <x:c r="F87" s="5" t="n">
        <x:v>159</x:v>
      </x:c>
      <x:c r="G87" s="5" t="n">
        <x:v>1</x:v>
      </x:c>
      <x:c r="H87" s="5" t="n">
        <x:v>0</x:v>
      </x:c>
      <x:c r="I87" s="5" t="n">
        <x:v>0</x:v>
      </x:c>
      <x:c r="J87" s="5" t="n">
        <x:v>8</x:v>
      </x:c>
      <x:c r="K87" s="5" t="n">
        <x:v>22</x:v>
      </x:c>
      <x:c r="L87" s="5" t="str">
        <x:v>ASSEMBLY_XYZ_NOT_MACHINE</x:v>
      </x:c>
      <x:c r="M87" s="5" t="str">
        <x:v>DESIGN_NOT_NC</x:v>
      </x:c>
    </x:row>
    <x:row r="88" ht="28" customHeight="1">
      <x:c r="A88" s="5" t="str">
        <x:v>J15</x:v>
      </x:c>
      <x:c r="B88" s="5" t="n">
        <x:v>2</x:v>
      </x:c>
      <x:c r="C88" s="5" t="str">
        <x:v>KI12-TV02S-05</x:v>
      </x:c>
      <x:c r="D88" s="5" t="n">
        <x:v>1548</x:v>
      </x:c>
      <x:c r="E88" s="5" t="n">
        <x:v>191</x:v>
      </x:c>
      <x:c r="F88" s="5" t="n">
        <x:v>159</x:v>
      </x:c>
      <x:c r="G88" s="5" t="n">
        <x:v>-1</x:v>
      </x:c>
      <x:c r="H88" s="5" t="n">
        <x:v>0</x:v>
      </x:c>
      <x:c r="I88" s="5" t="n">
        <x:v>0</x:v>
      </x:c>
      <x:c r="J88" s="5" t="n">
        <x:v>8</x:v>
      </x:c>
      <x:c r="K88" s="5" t="n">
        <x:v>12</x:v>
      </x:c>
      <x:c r="L88" s="5" t="str">
        <x:v>ASSEMBLY_XYZ_NOT_MACHINE</x:v>
      </x:c>
      <x:c r="M88" s="5" t="str">
        <x:v>DESIGN_NOT_NC</x:v>
      </x:c>
    </x:row>
    <x:row r="89" ht="28" customHeight="1">
      <x:c r="A89" s="5" t="str">
        <x:v>J15</x:v>
      </x:c>
      <x:c r="B89" s="5" t="n">
        <x:v>2</x:v>
      </x:c>
      <x:c r="C89" s="5" t="str">
        <x:v>KI12-TV02T2-02</x:v>
      </x:c>
      <x:c r="D89" s="5" t="n">
        <x:v>1548</x:v>
      </x:c>
      <x:c r="E89" s="5" t="n">
        <x:v>191</x:v>
      </x:c>
      <x:c r="F89" s="5" t="n">
        <x:v>159</x:v>
      </x:c>
      <x:c r="G89" s="5" t="n">
        <x:v>1</x:v>
      </x:c>
      <x:c r="H89" s="5" t="n">
        <x:v>0</x:v>
      </x:c>
      <x:c r="I89" s="5" t="n">
        <x:v>0</x:v>
      </x:c>
      <x:c r="J89" s="5" t="n">
        <x:v>8</x:v>
      </x:c>
      <x:c r="K89" s="5" t="n">
        <x:v>22</x:v>
      </x:c>
      <x:c r="L89" s="5" t="str">
        <x:v>ASSEMBLY_XYZ_NOT_MACHINE</x:v>
      </x:c>
      <x:c r="M89" s="5" t="str">
        <x:v>DESIGN_NOT_NC</x:v>
      </x:c>
    </x:row>
    <x:row r="90" ht="28" customHeight="1">
      <x:c r="A90" s="5" t="str">
        <x:v>J15</x:v>
      </x:c>
      <x:c r="B90" s="5" t="n">
        <x:v>3</x:v>
      </x:c>
      <x:c r="C90" s="5" t="str">
        <x:v>KI12-TV02S-05</x:v>
      </x:c>
      <x:c r="D90" s="5" t="n">
        <x:v>1548</x:v>
      </x:c>
      <x:c r="E90" s="5" t="n">
        <x:v>332</x:v>
      </x:c>
      <x:c r="F90" s="5" t="n">
        <x:v>159</x:v>
      </x:c>
      <x:c r="G90" s="5" t="n">
        <x:v>-1</x:v>
      </x:c>
      <x:c r="H90" s="5" t="n">
        <x:v>0</x:v>
      </x:c>
      <x:c r="I90" s="5" t="n">
        <x:v>0</x:v>
      </x:c>
      <x:c r="J90" s="5" t="n">
        <x:v>8</x:v>
      </x:c>
      <x:c r="K90" s="5" t="n">
        <x:v>12</x:v>
      </x:c>
      <x:c r="L90" s="5" t="str">
        <x:v>ASSEMBLY_XYZ_NOT_MACHINE</x:v>
      </x:c>
      <x:c r="M90" s="5" t="str">
        <x:v>DESIGN_NOT_NC</x:v>
      </x:c>
    </x:row>
    <x:row r="91" ht="28" customHeight="1">
      <x:c r="A91" s="5" t="str">
        <x:v>J15</x:v>
      </x:c>
      <x:c r="B91" s="5" t="n">
        <x:v>3</x:v>
      </x:c>
      <x:c r="C91" s="5" t="str">
        <x:v>KI12-TV02T2-02</x:v>
      </x:c>
      <x:c r="D91" s="5" t="n">
        <x:v>1548</x:v>
      </x:c>
      <x:c r="E91" s="5" t="n">
        <x:v>332</x:v>
      </x:c>
      <x:c r="F91" s="5" t="n">
        <x:v>159</x:v>
      </x:c>
      <x:c r="G91" s="5" t="n">
        <x:v>1</x:v>
      </x:c>
      <x:c r="H91" s="5" t="n">
        <x:v>0</x:v>
      </x:c>
      <x:c r="I91" s="5" t="n">
        <x:v>0</x:v>
      </x:c>
      <x:c r="J91" s="5" t="n">
        <x:v>8</x:v>
      </x:c>
      <x:c r="K91" s="5" t="n">
        <x:v>22</x:v>
      </x:c>
      <x:c r="L91" s="5" t="str">
        <x:v>ASSEMBLY_XYZ_NOT_MACHINE</x:v>
      </x:c>
      <x:c r="M91" s="5" t="str">
        <x:v>DESIGN_NOT_NC</x:v>
      </x:c>
    </x:row>
    <x:row r="92" ht="28" customHeight="1">
      <x:c r="A92" s="5" t="str">
        <x:v>J16</x:v>
      </x:c>
      <x:c r="B92" s="5" t="n">
        <x:v>1</x:v>
      </x:c>
      <x:c r="C92" s="5" t="str">
        <x:v>KI12-TV02CAP-01</x:v>
      </x:c>
      <x:c r="D92" s="5" t="n">
        <x:v>1539</x:v>
      </x:c>
      <x:c r="E92" s="5" t="n">
        <x:v>50</x:v>
      </x:c>
      <x:c r="F92" s="5" t="n">
        <x:v>532</x:v>
      </x:c>
      <x:c r="G92" s="5" t="n">
        <x:v>0</x:v>
      </x:c>
      <x:c r="H92" s="5" t="n">
        <x:v>0</x:v>
      </x:c>
      <x:c r="I92" s="5" t="n">
        <x:v>1</x:v>
      </x:c>
      <x:c r="J92" s="5" t="n">
        <x:v>8</x:v>
      </x:c>
      <x:c r="K92" s="5" t="n">
        <x:v>12</x:v>
      </x:c>
      <x:c r="L92" s="5" t="str">
        <x:v>ASSEMBLY_XYZ_NOT_MACHINE</x:v>
      </x:c>
      <x:c r="M92" s="5" t="str">
        <x:v>DESIGN_NOT_NC</x:v>
      </x:c>
    </x:row>
    <x:row r="93" ht="28" customHeight="1">
      <x:c r="A93" s="5" t="str">
        <x:v>J16</x:v>
      </x:c>
      <x:c r="B93" s="5" t="n">
        <x:v>1</x:v>
      </x:c>
      <x:c r="C93" s="5" t="str">
        <x:v>KI12-TV02S-05</x:v>
      </x:c>
      <x:c r="D93" s="5" t="n">
        <x:v>1539</x:v>
      </x:c>
      <x:c r="E93" s="5" t="n">
        <x:v>50</x:v>
      </x:c>
      <x:c r="F93" s="5" t="n">
        <x:v>532</x:v>
      </x:c>
      <x:c r="G93" s="5" t="n">
        <x:v>0</x:v>
      </x:c>
      <x:c r="H93" s="5" t="n">
        <x:v>0</x:v>
      </x:c>
      <x:c r="I93" s="5" t="n">
        <x:v>-1</x:v>
      </x:c>
      <x:c r="J93" s="5" t="n">
        <x:v>8</x:v>
      </x:c>
      <x:c r="K93" s="5" t="n">
        <x:v>22</x:v>
      </x:c>
      <x:c r="L93" s="5" t="str">
        <x:v>ASSEMBLY_XYZ_NOT_MACHINE</x:v>
      </x:c>
      <x:c r="M93" s="5" t="str">
        <x:v>DESIGN_NOT_NC</x:v>
      </x:c>
    </x:row>
    <x:row r="94" ht="28" customHeight="1">
      <x:c r="A94" s="5" t="str">
        <x:v>J16</x:v>
      </x:c>
      <x:c r="B94" s="5" t="n">
        <x:v>2</x:v>
      </x:c>
      <x:c r="C94" s="5" t="str">
        <x:v>KI12-TV02CAP-01</x:v>
      </x:c>
      <x:c r="D94" s="5" t="n">
        <x:v>1539</x:v>
      </x:c>
      <x:c r="E94" s="5" t="n">
        <x:v>191</x:v>
      </x:c>
      <x:c r="F94" s="5" t="n">
        <x:v>532</x:v>
      </x:c>
      <x:c r="G94" s="5" t="n">
        <x:v>0</x:v>
      </x:c>
      <x:c r="H94" s="5" t="n">
        <x:v>0</x:v>
      </x:c>
      <x:c r="I94" s="5" t="n">
        <x:v>1</x:v>
      </x:c>
      <x:c r="J94" s="5" t="n">
        <x:v>8</x:v>
      </x:c>
      <x:c r="K94" s="5" t="n">
        <x:v>12</x:v>
      </x:c>
      <x:c r="L94" s="5" t="str">
        <x:v>ASSEMBLY_XYZ_NOT_MACHINE</x:v>
      </x:c>
      <x:c r="M94" s="5" t="str">
        <x:v>DESIGN_NOT_NC</x:v>
      </x:c>
    </x:row>
    <x:row r="95" ht="28" customHeight="1">
      <x:c r="A95" s="5" t="str">
        <x:v>J16</x:v>
      </x:c>
      <x:c r="B95" s="5" t="n">
        <x:v>2</x:v>
      </x:c>
      <x:c r="C95" s="5" t="str">
        <x:v>KI12-TV02S-05</x:v>
      </x:c>
      <x:c r="D95" s="5" t="n">
        <x:v>1539</x:v>
      </x:c>
      <x:c r="E95" s="5" t="n">
        <x:v>191</x:v>
      </x:c>
      <x:c r="F95" s="5" t="n">
        <x:v>532</x:v>
      </x:c>
      <x:c r="G95" s="5" t="n">
        <x:v>0</x:v>
      </x:c>
      <x:c r="H95" s="5" t="n">
        <x:v>0</x:v>
      </x:c>
      <x:c r="I95" s="5" t="n">
        <x:v>-1</x:v>
      </x:c>
      <x:c r="J95" s="5" t="n">
        <x:v>8</x:v>
      </x:c>
      <x:c r="K95" s="5" t="n">
        <x:v>22</x:v>
      </x:c>
      <x:c r="L95" s="5" t="str">
        <x:v>ASSEMBLY_XYZ_NOT_MACHINE</x:v>
      </x:c>
      <x:c r="M95" s="5" t="str">
        <x:v>DESIGN_NOT_NC</x:v>
      </x:c>
    </x:row>
    <x:row r="96" ht="28" customHeight="1">
      <x:c r="A96" s="5" t="str">
        <x:v>J16</x:v>
      </x:c>
      <x:c r="B96" s="5" t="n">
        <x:v>3</x:v>
      </x:c>
      <x:c r="C96" s="5" t="str">
        <x:v>KI12-TV02CAP-01</x:v>
      </x:c>
      <x:c r="D96" s="5" t="n">
        <x:v>1539</x:v>
      </x:c>
      <x:c r="E96" s="5" t="n">
        <x:v>332</x:v>
      </x:c>
      <x:c r="F96" s="5" t="n">
        <x:v>532</x:v>
      </x:c>
      <x:c r="G96" s="5" t="n">
        <x:v>0</x:v>
      </x:c>
      <x:c r="H96" s="5" t="n">
        <x:v>0</x:v>
      </x:c>
      <x:c r="I96" s="5" t="n">
        <x:v>1</x:v>
      </x:c>
      <x:c r="J96" s="5" t="n">
        <x:v>8</x:v>
      </x:c>
      <x:c r="K96" s="5" t="n">
        <x:v>12</x:v>
      </x:c>
      <x:c r="L96" s="5" t="str">
        <x:v>ASSEMBLY_XYZ_NOT_MACHINE</x:v>
      </x:c>
      <x:c r="M96" s="5" t="str">
        <x:v>DESIGN_NOT_NC</x:v>
      </x:c>
    </x:row>
    <x:row r="97" ht="28" customHeight="1">
      <x:c r="A97" s="5" t="str">
        <x:v>J16</x:v>
      </x:c>
      <x:c r="B97" s="5" t="n">
        <x:v>3</x:v>
      </x:c>
      <x:c r="C97" s="5" t="str">
        <x:v>KI12-TV02S-05</x:v>
      </x:c>
      <x:c r="D97" s="5" t="n">
        <x:v>1539</x:v>
      </x:c>
      <x:c r="E97" s="5" t="n">
        <x:v>332</x:v>
      </x:c>
      <x:c r="F97" s="5" t="n">
        <x:v>532</x:v>
      </x:c>
      <x:c r="G97" s="5" t="n">
        <x:v>0</x:v>
      </x:c>
      <x:c r="H97" s="5" t="n">
        <x:v>0</x:v>
      </x:c>
      <x:c r="I97" s="5" t="n">
        <x:v>-1</x:v>
      </x:c>
      <x:c r="J97" s="5" t="n">
        <x:v>8</x:v>
      </x:c>
      <x:c r="K97" s="5" t="n">
        <x:v>22</x:v>
      </x:c>
      <x:c r="L97" s="5" t="str">
        <x:v>ASSEMBLY_XYZ_NOT_MACHINE</x:v>
      </x:c>
      <x:c r="M97" s="5" t="str">
        <x:v>DESIGN_NOT_NC</x:v>
      </x:c>
    </x:row>
    <x:row r="98" ht="28" customHeight="1">
      <x:c r="A98" s="5" t="str">
        <x:v>J17</x:v>
      </x:c>
      <x:c r="B98" s="5" t="n">
        <x:v>1</x:v>
      </x:c>
      <x:c r="C98" s="5" t="str">
        <x:v>KI12-TV02S-06</x:v>
      </x:c>
      <x:c r="D98" s="5" t="n">
        <x:v>2202</x:v>
      </x:c>
      <x:c r="E98" s="5" t="n">
        <x:v>50</x:v>
      </x:c>
      <x:c r="F98" s="5" t="n">
        <x:v>159</x:v>
      </x:c>
      <x:c r="G98" s="5" t="n">
        <x:v>1</x:v>
      </x:c>
      <x:c r="H98" s="5" t="n">
        <x:v>0</x:v>
      </x:c>
      <x:c r="I98" s="5" t="n">
        <x:v>0</x:v>
      </x:c>
      <x:c r="J98" s="5" t="n">
        <x:v>8</x:v>
      </x:c>
      <x:c r="K98" s="5" t="n">
        <x:v>12</x:v>
      </x:c>
      <x:c r="L98" s="5" t="str">
        <x:v>ASSEMBLY_XYZ_NOT_MACHINE</x:v>
      </x:c>
      <x:c r="M98" s="5" t="str">
        <x:v>DESIGN_NOT_NC</x:v>
      </x:c>
    </x:row>
    <x:row r="99" ht="28" customHeight="1">
      <x:c r="A99" s="5" t="str">
        <x:v>J17</x:v>
      </x:c>
      <x:c r="B99" s="5" t="n">
        <x:v>1</x:v>
      </x:c>
      <x:c r="C99" s="5" t="str">
        <x:v>KI12-TV02T2-02</x:v>
      </x:c>
      <x:c r="D99" s="5" t="n">
        <x:v>2202</x:v>
      </x:c>
      <x:c r="E99" s="5" t="n">
        <x:v>50</x:v>
      </x:c>
      <x:c r="F99" s="5" t="n">
        <x:v>159</x:v>
      </x:c>
      <x:c r="G99" s="5" t="n">
        <x:v>-1</x:v>
      </x:c>
      <x:c r="H99" s="5" t="n">
        <x:v>0</x:v>
      </x:c>
      <x:c r="I99" s="5" t="n">
        <x:v>0</x:v>
      </x:c>
      <x:c r="J99" s="5" t="n">
        <x:v>8</x:v>
      </x:c>
      <x:c r="K99" s="5" t="n">
        <x:v>22</x:v>
      </x:c>
      <x:c r="L99" s="5" t="str">
        <x:v>ASSEMBLY_XYZ_NOT_MACHINE</x:v>
      </x:c>
      <x:c r="M99" s="5" t="str">
        <x:v>DESIGN_NOT_NC</x:v>
      </x:c>
    </x:row>
    <x:row r="100" ht="28" customHeight="1">
      <x:c r="A100" s="5" t="str">
        <x:v>J17</x:v>
      </x:c>
      <x:c r="B100" s="5" t="n">
        <x:v>2</x:v>
      </x:c>
      <x:c r="C100" s="5" t="str">
        <x:v>KI12-TV02S-06</x:v>
      </x:c>
      <x:c r="D100" s="5" t="n">
        <x:v>2202</x:v>
      </x:c>
      <x:c r="E100" s="5" t="n">
        <x:v>191</x:v>
      </x:c>
      <x:c r="F100" s="5" t="n">
        <x:v>159</x:v>
      </x:c>
      <x:c r="G100" s="5" t="n">
        <x:v>1</x:v>
      </x:c>
      <x:c r="H100" s="5" t="n">
        <x:v>0</x:v>
      </x:c>
      <x:c r="I100" s="5" t="n">
        <x:v>0</x:v>
      </x:c>
      <x:c r="J100" s="5" t="n">
        <x:v>8</x:v>
      </x:c>
      <x:c r="K100" s="5" t="n">
        <x:v>12</x:v>
      </x:c>
      <x:c r="L100" s="5" t="str">
        <x:v>ASSEMBLY_XYZ_NOT_MACHINE</x:v>
      </x:c>
      <x:c r="M100" s="5" t="str">
        <x:v>DESIGN_NOT_NC</x:v>
      </x:c>
    </x:row>
    <x:row r="101" ht="28" customHeight="1">
      <x:c r="A101" s="5" t="str">
        <x:v>J17</x:v>
      </x:c>
      <x:c r="B101" s="5" t="n">
        <x:v>2</x:v>
      </x:c>
      <x:c r="C101" s="5" t="str">
        <x:v>KI12-TV02T2-02</x:v>
      </x:c>
      <x:c r="D101" s="5" t="n">
        <x:v>2202</x:v>
      </x:c>
      <x:c r="E101" s="5" t="n">
        <x:v>191</x:v>
      </x:c>
      <x:c r="F101" s="5" t="n">
        <x:v>159</x:v>
      </x:c>
      <x:c r="G101" s="5" t="n">
        <x:v>-1</x:v>
      </x:c>
      <x:c r="H101" s="5" t="n">
        <x:v>0</x:v>
      </x:c>
      <x:c r="I101" s="5" t="n">
        <x:v>0</x:v>
      </x:c>
      <x:c r="J101" s="5" t="n">
        <x:v>8</x:v>
      </x:c>
      <x:c r="K101" s="5" t="n">
        <x:v>22</x:v>
      </x:c>
      <x:c r="L101" s="5" t="str">
        <x:v>ASSEMBLY_XYZ_NOT_MACHINE</x:v>
      </x:c>
      <x:c r="M101" s="5" t="str">
        <x:v>DESIGN_NOT_NC</x:v>
      </x:c>
    </x:row>
    <x:row r="102" ht="28" customHeight="1">
      <x:c r="A102" s="5" t="str">
        <x:v>J17</x:v>
      </x:c>
      <x:c r="B102" s="5" t="n">
        <x:v>3</x:v>
      </x:c>
      <x:c r="C102" s="5" t="str">
        <x:v>KI12-TV02S-06</x:v>
      </x:c>
      <x:c r="D102" s="5" t="n">
        <x:v>2202</x:v>
      </x:c>
      <x:c r="E102" s="5" t="n">
        <x:v>332</x:v>
      </x:c>
      <x:c r="F102" s="5" t="n">
        <x:v>159</x:v>
      </x:c>
      <x:c r="G102" s="5" t="n">
        <x:v>1</x:v>
      </x:c>
      <x:c r="H102" s="5" t="n">
        <x:v>0</x:v>
      </x:c>
      <x:c r="I102" s="5" t="n">
        <x:v>0</x:v>
      </x:c>
      <x:c r="J102" s="5" t="n">
        <x:v>8</x:v>
      </x:c>
      <x:c r="K102" s="5" t="n">
        <x:v>12</x:v>
      </x:c>
      <x:c r="L102" s="5" t="str">
        <x:v>ASSEMBLY_XYZ_NOT_MACHINE</x:v>
      </x:c>
      <x:c r="M102" s="5" t="str">
        <x:v>DESIGN_NOT_NC</x:v>
      </x:c>
    </x:row>
    <x:row r="103" ht="28" customHeight="1">
      <x:c r="A103" s="5" t="str">
        <x:v>J17</x:v>
      </x:c>
      <x:c r="B103" s="5" t="n">
        <x:v>3</x:v>
      </x:c>
      <x:c r="C103" s="5" t="str">
        <x:v>KI12-TV02T2-02</x:v>
      </x:c>
      <x:c r="D103" s="5" t="n">
        <x:v>2202</x:v>
      </x:c>
      <x:c r="E103" s="5" t="n">
        <x:v>332</x:v>
      </x:c>
      <x:c r="F103" s="5" t="n">
        <x:v>159</x:v>
      </x:c>
      <x:c r="G103" s="5" t="n">
        <x:v>-1</x:v>
      </x:c>
      <x:c r="H103" s="5" t="n">
        <x:v>0</x:v>
      </x:c>
      <x:c r="I103" s="5" t="n">
        <x:v>0</x:v>
      </x:c>
      <x:c r="J103" s="5" t="n">
        <x:v>8</x:v>
      </x:c>
      <x:c r="K103" s="5" t="n">
        <x:v>22</x:v>
      </x:c>
      <x:c r="L103" s="5" t="str">
        <x:v>ASSEMBLY_XYZ_NOT_MACHINE</x:v>
      </x:c>
      <x:c r="M103" s="5" t="str">
        <x:v>DESIGN_NOT_NC</x:v>
      </x:c>
    </x:row>
    <x:row r="104" ht="28" customHeight="1">
      <x:c r="A104" s="5" t="str">
        <x:v>J18</x:v>
      </x:c>
      <x:c r="B104" s="5" t="n">
        <x:v>1</x:v>
      </x:c>
      <x:c r="C104" s="5" t="str">
        <x:v>KI12-TV02CAP-01</x:v>
      </x:c>
      <x:c r="D104" s="5" t="n">
        <x:v>2211</x:v>
      </x:c>
      <x:c r="E104" s="5" t="n">
        <x:v>50</x:v>
      </x:c>
      <x:c r="F104" s="5" t="n">
        <x:v>532</x:v>
      </x:c>
      <x:c r="G104" s="5" t="n">
        <x:v>0</x:v>
      </x:c>
      <x:c r="H104" s="5" t="n">
        <x:v>0</x:v>
      </x:c>
      <x:c r="I104" s="5" t="n">
        <x:v>1</x:v>
      </x:c>
      <x:c r="J104" s="5" t="n">
        <x:v>8</x:v>
      </x:c>
      <x:c r="K104" s="5" t="n">
        <x:v>12</x:v>
      </x:c>
      <x:c r="L104" s="5" t="str">
        <x:v>ASSEMBLY_XYZ_NOT_MACHINE</x:v>
      </x:c>
      <x:c r="M104" s="5" t="str">
        <x:v>DESIGN_NOT_NC</x:v>
      </x:c>
    </x:row>
    <x:row r="105" ht="28" customHeight="1">
      <x:c r="A105" s="5" t="str">
        <x:v>J18</x:v>
      </x:c>
      <x:c r="B105" s="5" t="n">
        <x:v>1</x:v>
      </x:c>
      <x:c r="C105" s="5" t="str">
        <x:v>KI12-TV02S-06</x:v>
      </x:c>
      <x:c r="D105" s="5" t="n">
        <x:v>2211</x:v>
      </x:c>
      <x:c r="E105" s="5" t="n">
        <x:v>50</x:v>
      </x:c>
      <x:c r="F105" s="5" t="n">
        <x:v>532</x:v>
      </x:c>
      <x:c r="G105" s="5" t="n">
        <x:v>0</x:v>
      </x:c>
      <x:c r="H105" s="5" t="n">
        <x:v>0</x:v>
      </x:c>
      <x:c r="I105" s="5" t="n">
        <x:v>-1</x:v>
      </x:c>
      <x:c r="J105" s="5" t="n">
        <x:v>8</x:v>
      </x:c>
      <x:c r="K105" s="5" t="n">
        <x:v>22</x:v>
      </x:c>
      <x:c r="L105" s="5" t="str">
        <x:v>ASSEMBLY_XYZ_NOT_MACHINE</x:v>
      </x:c>
      <x:c r="M105" s="5" t="str">
        <x:v>DESIGN_NOT_NC</x:v>
      </x:c>
    </x:row>
    <x:row r="106" ht="28" customHeight="1">
      <x:c r="A106" s="5" t="str">
        <x:v>J18</x:v>
      </x:c>
      <x:c r="B106" s="5" t="n">
        <x:v>2</x:v>
      </x:c>
      <x:c r="C106" s="5" t="str">
        <x:v>KI12-TV02CAP-01</x:v>
      </x:c>
      <x:c r="D106" s="5" t="n">
        <x:v>2211</x:v>
      </x:c>
      <x:c r="E106" s="5" t="n">
        <x:v>191</x:v>
      </x:c>
      <x:c r="F106" s="5" t="n">
        <x:v>532</x:v>
      </x:c>
      <x:c r="G106" s="5" t="n">
        <x:v>0</x:v>
      </x:c>
      <x:c r="H106" s="5" t="n">
        <x:v>0</x:v>
      </x:c>
      <x:c r="I106" s="5" t="n">
        <x:v>1</x:v>
      </x:c>
      <x:c r="J106" s="5" t="n">
        <x:v>8</x:v>
      </x:c>
      <x:c r="K106" s="5" t="n">
        <x:v>12</x:v>
      </x:c>
      <x:c r="L106" s="5" t="str">
        <x:v>ASSEMBLY_XYZ_NOT_MACHINE</x:v>
      </x:c>
      <x:c r="M106" s="5" t="str">
        <x:v>DESIGN_NOT_NC</x:v>
      </x:c>
    </x:row>
    <x:row r="107" ht="28" customHeight="1">
      <x:c r="A107" s="5" t="str">
        <x:v>J18</x:v>
      </x:c>
      <x:c r="B107" s="5" t="n">
        <x:v>2</x:v>
      </x:c>
      <x:c r="C107" s="5" t="str">
        <x:v>KI12-TV02S-06</x:v>
      </x:c>
      <x:c r="D107" s="5" t="n">
        <x:v>2211</x:v>
      </x:c>
      <x:c r="E107" s="5" t="n">
        <x:v>191</x:v>
      </x:c>
      <x:c r="F107" s="5" t="n">
        <x:v>532</x:v>
      </x:c>
      <x:c r="G107" s="5" t="n">
        <x:v>0</x:v>
      </x:c>
      <x:c r="H107" s="5" t="n">
        <x:v>0</x:v>
      </x:c>
      <x:c r="I107" s="5" t="n">
        <x:v>-1</x:v>
      </x:c>
      <x:c r="J107" s="5" t="n">
        <x:v>8</x:v>
      </x:c>
      <x:c r="K107" s="5" t="n">
        <x:v>22</x:v>
      </x:c>
      <x:c r="L107" s="5" t="str">
        <x:v>ASSEMBLY_XYZ_NOT_MACHINE</x:v>
      </x:c>
      <x:c r="M107" s="5" t="str">
        <x:v>DESIGN_NOT_NC</x:v>
      </x:c>
    </x:row>
    <x:row r="108" ht="28" customHeight="1">
      <x:c r="A108" s="5" t="str">
        <x:v>J18</x:v>
      </x:c>
      <x:c r="B108" s="5" t="n">
        <x:v>3</x:v>
      </x:c>
      <x:c r="C108" s="5" t="str">
        <x:v>KI12-TV02CAP-01</x:v>
      </x:c>
      <x:c r="D108" s="5" t="n">
        <x:v>2211</x:v>
      </x:c>
      <x:c r="E108" s="5" t="n">
        <x:v>332</x:v>
      </x:c>
      <x:c r="F108" s="5" t="n">
        <x:v>532</x:v>
      </x:c>
      <x:c r="G108" s="5" t="n">
        <x:v>0</x:v>
      </x:c>
      <x:c r="H108" s="5" t="n">
        <x:v>0</x:v>
      </x:c>
      <x:c r="I108" s="5" t="n">
        <x:v>1</x:v>
      </x:c>
      <x:c r="J108" s="5" t="n">
        <x:v>8</x:v>
      </x:c>
      <x:c r="K108" s="5" t="n">
        <x:v>12</x:v>
      </x:c>
      <x:c r="L108" s="5" t="str">
        <x:v>ASSEMBLY_XYZ_NOT_MACHINE</x:v>
      </x:c>
      <x:c r="M108" s="5" t="str">
        <x:v>DESIGN_NOT_NC</x:v>
      </x:c>
    </x:row>
    <x:row r="109" ht="28" customHeight="1">
      <x:c r="A109" s="5" t="str">
        <x:v>J18</x:v>
      </x:c>
      <x:c r="B109" s="5" t="n">
        <x:v>3</x:v>
      </x:c>
      <x:c r="C109" s="5" t="str">
        <x:v>KI12-TV02S-06</x:v>
      </x:c>
      <x:c r="D109" s="5" t="n">
        <x:v>2211</x:v>
      </x:c>
      <x:c r="E109" s="5" t="n">
        <x:v>332</x:v>
      </x:c>
      <x:c r="F109" s="5" t="n">
        <x:v>532</x:v>
      </x:c>
      <x:c r="G109" s="5" t="n">
        <x:v>0</x:v>
      </x:c>
      <x:c r="H109" s="5" t="n">
        <x:v>0</x:v>
      </x:c>
      <x:c r="I109" s="5" t="n">
        <x:v>-1</x:v>
      </x:c>
      <x:c r="J109" s="5" t="n">
        <x:v>8</x:v>
      </x:c>
      <x:c r="K109" s="5" t="n">
        <x:v>22</x:v>
      </x:c>
      <x:c r="L109" s="5" t="str">
        <x:v>ASSEMBLY_XYZ_NOT_MACHINE</x:v>
      </x:c>
      <x:c r="M109" s="5" t="str">
        <x:v>DESIGN_NOT_NC</x:v>
      </x:c>
    </x:row>
    <x:row r="110" ht="28" customHeight="1">
      <x:c r="A110" s="5" t="str">
        <x:v>J19</x:v>
      </x:c>
      <x:c r="B110" s="5" t="n">
        <x:v>1</x:v>
      </x:c>
      <x:c r="C110" s="5" t="str">
        <x:v>KI12-TV02S-07</x:v>
      </x:c>
      <x:c r="D110" s="5" t="n">
        <x:v>2238</x:v>
      </x:c>
      <x:c r="E110" s="5" t="n">
        <x:v>50</x:v>
      </x:c>
      <x:c r="F110" s="5" t="n">
        <x:v>159</x:v>
      </x:c>
      <x:c r="G110" s="5" t="n">
        <x:v>-1</x:v>
      </x:c>
      <x:c r="H110" s="5" t="n">
        <x:v>0</x:v>
      </x:c>
      <x:c r="I110" s="5" t="n">
        <x:v>0</x:v>
      </x:c>
      <x:c r="J110" s="5" t="n">
        <x:v>8</x:v>
      </x:c>
      <x:c r="K110" s="5" t="n">
        <x:v>12</x:v>
      </x:c>
      <x:c r="L110" s="5" t="str">
        <x:v>ASSEMBLY_XYZ_NOT_MACHINE</x:v>
      </x:c>
      <x:c r="M110" s="5" t="str">
        <x:v>DESIGN_NOT_NC</x:v>
      </x:c>
    </x:row>
    <x:row r="111" ht="28" customHeight="1">
      <x:c r="A111" s="5" t="str">
        <x:v>J19</x:v>
      </x:c>
      <x:c r="B111" s="5" t="n">
        <x:v>1</x:v>
      </x:c>
      <x:c r="C111" s="5" t="str">
        <x:v>KI12-TV02T2-03</x:v>
      </x:c>
      <x:c r="D111" s="5" t="n">
        <x:v>2238</x:v>
      </x:c>
      <x:c r="E111" s="5" t="n">
        <x:v>50</x:v>
      </x:c>
      <x:c r="F111" s="5" t="n">
        <x:v>159</x:v>
      </x:c>
      <x:c r="G111" s="5" t="n">
        <x:v>1</x:v>
      </x:c>
      <x:c r="H111" s="5" t="n">
        <x:v>0</x:v>
      </x:c>
      <x:c r="I111" s="5" t="n">
        <x:v>0</x:v>
      </x:c>
      <x:c r="J111" s="5" t="n">
        <x:v>8</x:v>
      </x:c>
      <x:c r="K111" s="5" t="n">
        <x:v>22</x:v>
      </x:c>
      <x:c r="L111" s="5" t="str">
        <x:v>ASSEMBLY_XYZ_NOT_MACHINE</x:v>
      </x:c>
      <x:c r="M111" s="5" t="str">
        <x:v>DESIGN_NOT_NC</x:v>
      </x:c>
    </x:row>
    <x:row r="112" ht="28" customHeight="1">
      <x:c r="A112" s="5" t="str">
        <x:v>J19</x:v>
      </x:c>
      <x:c r="B112" s="5" t="n">
        <x:v>2</x:v>
      </x:c>
      <x:c r="C112" s="5" t="str">
        <x:v>KI12-TV02S-07</x:v>
      </x:c>
      <x:c r="D112" s="5" t="n">
        <x:v>2238</x:v>
      </x:c>
      <x:c r="E112" s="5" t="n">
        <x:v>191</x:v>
      </x:c>
      <x:c r="F112" s="5" t="n">
        <x:v>159</x:v>
      </x:c>
      <x:c r="G112" s="5" t="n">
        <x:v>-1</x:v>
      </x:c>
      <x:c r="H112" s="5" t="n">
        <x:v>0</x:v>
      </x:c>
      <x:c r="I112" s="5" t="n">
        <x:v>0</x:v>
      </x:c>
      <x:c r="J112" s="5" t="n">
        <x:v>8</x:v>
      </x:c>
      <x:c r="K112" s="5" t="n">
        <x:v>12</x:v>
      </x:c>
      <x:c r="L112" s="5" t="str">
        <x:v>ASSEMBLY_XYZ_NOT_MACHINE</x:v>
      </x:c>
      <x:c r="M112" s="5" t="str">
        <x:v>DESIGN_NOT_NC</x:v>
      </x:c>
    </x:row>
    <x:row r="113" ht="28" customHeight="1">
      <x:c r="A113" s="5" t="str">
        <x:v>J19</x:v>
      </x:c>
      <x:c r="B113" s="5" t="n">
        <x:v>2</x:v>
      </x:c>
      <x:c r="C113" s="5" t="str">
        <x:v>KI12-TV02T2-03</x:v>
      </x:c>
      <x:c r="D113" s="5" t="n">
        <x:v>2238</x:v>
      </x:c>
      <x:c r="E113" s="5" t="n">
        <x:v>191</x:v>
      </x:c>
      <x:c r="F113" s="5" t="n">
        <x:v>159</x:v>
      </x:c>
      <x:c r="G113" s="5" t="n">
        <x:v>1</x:v>
      </x:c>
      <x:c r="H113" s="5" t="n">
        <x:v>0</x:v>
      </x:c>
      <x:c r="I113" s="5" t="n">
        <x:v>0</x:v>
      </x:c>
      <x:c r="J113" s="5" t="n">
        <x:v>8</x:v>
      </x:c>
      <x:c r="K113" s="5" t="n">
        <x:v>22</x:v>
      </x:c>
      <x:c r="L113" s="5" t="str">
        <x:v>ASSEMBLY_XYZ_NOT_MACHINE</x:v>
      </x:c>
      <x:c r="M113" s="5" t="str">
        <x:v>DESIGN_NOT_NC</x:v>
      </x:c>
    </x:row>
    <x:row r="114" ht="28" customHeight="1">
      <x:c r="A114" s="5" t="str">
        <x:v>J19</x:v>
      </x:c>
      <x:c r="B114" s="5" t="n">
        <x:v>3</x:v>
      </x:c>
      <x:c r="C114" s="5" t="str">
        <x:v>KI12-TV02S-07</x:v>
      </x:c>
      <x:c r="D114" s="5" t="n">
        <x:v>2238</x:v>
      </x:c>
      <x:c r="E114" s="5" t="n">
        <x:v>332</x:v>
      </x:c>
      <x:c r="F114" s="5" t="n">
        <x:v>159</x:v>
      </x:c>
      <x:c r="G114" s="5" t="n">
        <x:v>-1</x:v>
      </x:c>
      <x:c r="H114" s="5" t="n">
        <x:v>0</x:v>
      </x:c>
      <x:c r="I114" s="5" t="n">
        <x:v>0</x:v>
      </x:c>
      <x:c r="J114" s="5" t="n">
        <x:v>8</x:v>
      </x:c>
      <x:c r="K114" s="5" t="n">
        <x:v>12</x:v>
      </x:c>
      <x:c r="L114" s="5" t="str">
        <x:v>ASSEMBLY_XYZ_NOT_MACHINE</x:v>
      </x:c>
      <x:c r="M114" s="5" t="str">
        <x:v>DESIGN_NOT_NC</x:v>
      </x:c>
    </x:row>
    <x:row r="115" ht="28" customHeight="1">
      <x:c r="A115" s="5" t="str">
        <x:v>J19</x:v>
      </x:c>
      <x:c r="B115" s="5" t="n">
        <x:v>3</x:v>
      </x:c>
      <x:c r="C115" s="5" t="str">
        <x:v>KI12-TV02T2-03</x:v>
      </x:c>
      <x:c r="D115" s="5" t="n">
        <x:v>2238</x:v>
      </x:c>
      <x:c r="E115" s="5" t="n">
        <x:v>332</x:v>
      </x:c>
      <x:c r="F115" s="5" t="n">
        <x:v>159</x:v>
      </x:c>
      <x:c r="G115" s="5" t="n">
        <x:v>1</x:v>
      </x:c>
      <x:c r="H115" s="5" t="n">
        <x:v>0</x:v>
      </x:c>
      <x:c r="I115" s="5" t="n">
        <x:v>0</x:v>
      </x:c>
      <x:c r="J115" s="5" t="n">
        <x:v>8</x:v>
      </x:c>
      <x:c r="K115" s="5" t="n">
        <x:v>22</x:v>
      </x:c>
      <x:c r="L115" s="5" t="str">
        <x:v>ASSEMBLY_XYZ_NOT_MACHINE</x:v>
      </x:c>
      <x:c r="M115" s="5" t="str">
        <x:v>DESIGN_NOT_NC</x:v>
      </x:c>
    </x:row>
    <x:row r="116" ht="28" customHeight="1">
      <x:c r="A116" s="5" t="str">
        <x:v>J20</x:v>
      </x:c>
      <x:c r="B116" s="5" t="n">
        <x:v>1</x:v>
      </x:c>
      <x:c r="C116" s="5" t="str">
        <x:v>KI12-TV02CAP-01</x:v>
      </x:c>
      <x:c r="D116" s="5" t="n">
        <x:v>2229</x:v>
      </x:c>
      <x:c r="E116" s="5" t="n">
        <x:v>50</x:v>
      </x:c>
      <x:c r="F116" s="5" t="n">
        <x:v>532</x:v>
      </x:c>
      <x:c r="G116" s="5" t="n">
        <x:v>0</x:v>
      </x:c>
      <x:c r="H116" s="5" t="n">
        <x:v>0</x:v>
      </x:c>
      <x:c r="I116" s="5" t="n">
        <x:v>1</x:v>
      </x:c>
      <x:c r="J116" s="5" t="n">
        <x:v>8</x:v>
      </x:c>
      <x:c r="K116" s="5" t="n">
        <x:v>12</x:v>
      </x:c>
      <x:c r="L116" s="5" t="str">
        <x:v>ASSEMBLY_XYZ_NOT_MACHINE</x:v>
      </x:c>
      <x:c r="M116" s="5" t="str">
        <x:v>DESIGN_NOT_NC</x:v>
      </x:c>
    </x:row>
    <x:row r="117" ht="28" customHeight="1">
      <x:c r="A117" s="5" t="str">
        <x:v>J20</x:v>
      </x:c>
      <x:c r="B117" s="5" t="n">
        <x:v>1</x:v>
      </x:c>
      <x:c r="C117" s="5" t="str">
        <x:v>KI12-TV02S-07</x:v>
      </x:c>
      <x:c r="D117" s="5" t="n">
        <x:v>2229</x:v>
      </x:c>
      <x:c r="E117" s="5" t="n">
        <x:v>50</x:v>
      </x:c>
      <x:c r="F117" s="5" t="n">
        <x:v>532</x:v>
      </x:c>
      <x:c r="G117" s="5" t="n">
        <x:v>0</x:v>
      </x:c>
      <x:c r="H117" s="5" t="n">
        <x:v>0</x:v>
      </x:c>
      <x:c r="I117" s="5" t="n">
        <x:v>-1</x:v>
      </x:c>
      <x:c r="J117" s="5" t="n">
        <x:v>8</x:v>
      </x:c>
      <x:c r="K117" s="5" t="n">
        <x:v>22</x:v>
      </x:c>
      <x:c r="L117" s="5" t="str">
        <x:v>ASSEMBLY_XYZ_NOT_MACHINE</x:v>
      </x:c>
      <x:c r="M117" s="5" t="str">
        <x:v>DESIGN_NOT_NC</x:v>
      </x:c>
    </x:row>
    <x:row r="118" ht="28" customHeight="1">
      <x:c r="A118" s="5" t="str">
        <x:v>J20</x:v>
      </x:c>
      <x:c r="B118" s="5" t="n">
        <x:v>2</x:v>
      </x:c>
      <x:c r="C118" s="5" t="str">
        <x:v>KI12-TV02CAP-01</x:v>
      </x:c>
      <x:c r="D118" s="5" t="n">
        <x:v>2229</x:v>
      </x:c>
      <x:c r="E118" s="5" t="n">
        <x:v>191</x:v>
      </x:c>
      <x:c r="F118" s="5" t="n">
        <x:v>532</x:v>
      </x:c>
      <x:c r="G118" s="5" t="n">
        <x:v>0</x:v>
      </x:c>
      <x:c r="H118" s="5" t="n">
        <x:v>0</x:v>
      </x:c>
      <x:c r="I118" s="5" t="n">
        <x:v>1</x:v>
      </x:c>
      <x:c r="J118" s="5" t="n">
        <x:v>8</x:v>
      </x:c>
      <x:c r="K118" s="5" t="n">
        <x:v>12</x:v>
      </x:c>
      <x:c r="L118" s="5" t="str">
        <x:v>ASSEMBLY_XYZ_NOT_MACHINE</x:v>
      </x:c>
      <x:c r="M118" s="5" t="str">
        <x:v>DESIGN_NOT_NC</x:v>
      </x:c>
    </x:row>
    <x:row r="119" ht="28" customHeight="1">
      <x:c r="A119" s="5" t="str">
        <x:v>J20</x:v>
      </x:c>
      <x:c r="B119" s="5" t="n">
        <x:v>2</x:v>
      </x:c>
      <x:c r="C119" s="5" t="str">
        <x:v>KI12-TV02S-07</x:v>
      </x:c>
      <x:c r="D119" s="5" t="n">
        <x:v>2229</x:v>
      </x:c>
      <x:c r="E119" s="5" t="n">
        <x:v>191</x:v>
      </x:c>
      <x:c r="F119" s="5" t="n">
        <x:v>532</x:v>
      </x:c>
      <x:c r="G119" s="5" t="n">
        <x:v>0</x:v>
      </x:c>
      <x:c r="H119" s="5" t="n">
        <x:v>0</x:v>
      </x:c>
      <x:c r="I119" s="5" t="n">
        <x:v>-1</x:v>
      </x:c>
      <x:c r="J119" s="5" t="n">
        <x:v>8</x:v>
      </x:c>
      <x:c r="K119" s="5" t="n">
        <x:v>22</x:v>
      </x:c>
      <x:c r="L119" s="5" t="str">
        <x:v>ASSEMBLY_XYZ_NOT_MACHINE</x:v>
      </x:c>
      <x:c r="M119" s="5" t="str">
        <x:v>DESIGN_NOT_NC</x:v>
      </x:c>
    </x:row>
    <x:row r="120" ht="28" customHeight="1">
      <x:c r="A120" s="5" t="str">
        <x:v>J20</x:v>
      </x:c>
      <x:c r="B120" s="5" t="n">
        <x:v>3</x:v>
      </x:c>
      <x:c r="C120" s="5" t="str">
        <x:v>KI12-TV02CAP-01</x:v>
      </x:c>
      <x:c r="D120" s="5" t="n">
        <x:v>2229</x:v>
      </x:c>
      <x:c r="E120" s="5" t="n">
        <x:v>332</x:v>
      </x:c>
      <x:c r="F120" s="5" t="n">
        <x:v>532</x:v>
      </x:c>
      <x:c r="G120" s="5" t="n">
        <x:v>0</x:v>
      </x:c>
      <x:c r="H120" s="5" t="n">
        <x:v>0</x:v>
      </x:c>
      <x:c r="I120" s="5" t="n">
        <x:v>1</x:v>
      </x:c>
      <x:c r="J120" s="5" t="n">
        <x:v>8</x:v>
      </x:c>
      <x:c r="K120" s="5" t="n">
        <x:v>12</x:v>
      </x:c>
      <x:c r="L120" s="5" t="str">
        <x:v>ASSEMBLY_XYZ_NOT_MACHINE</x:v>
      </x:c>
      <x:c r="M120" s="5" t="str">
        <x:v>DESIGN_NOT_NC</x:v>
      </x:c>
    </x:row>
    <x:row r="121" ht="28" customHeight="1">
      <x:c r="A121" s="5" t="str">
        <x:v>J20</x:v>
      </x:c>
      <x:c r="B121" s="5" t="n">
        <x:v>3</x:v>
      </x:c>
      <x:c r="C121" s="5" t="str">
        <x:v>KI12-TV02S-07</x:v>
      </x:c>
      <x:c r="D121" s="5" t="n">
        <x:v>2229</x:v>
      </x:c>
      <x:c r="E121" s="5" t="n">
        <x:v>332</x:v>
      </x:c>
      <x:c r="F121" s="5" t="n">
        <x:v>532</x:v>
      </x:c>
      <x:c r="G121" s="5" t="n">
        <x:v>0</x:v>
      </x:c>
      <x:c r="H121" s="5" t="n">
        <x:v>0</x:v>
      </x:c>
      <x:c r="I121" s="5" t="n">
        <x:v>-1</x:v>
      </x:c>
      <x:c r="J121" s="5" t="n">
        <x:v>8</x:v>
      </x:c>
      <x:c r="K121" s="5" t="n">
        <x:v>22</x:v>
      </x:c>
      <x:c r="L121" s="5" t="str">
        <x:v>ASSEMBLY_XYZ_NOT_MACHINE</x:v>
      </x:c>
      <x:c r="M121" s="5" t="str">
        <x:v>DESIGN_NOT_NC</x:v>
      </x:c>
    </x:row>
    <x:row r="122" ht="28" customHeight="1">
      <x:c r="A122" s="5" t="str">
        <x:v>J21</x:v>
      </x:c>
      <x:c r="B122" s="5" t="n">
        <x:v>1</x:v>
      </x:c>
      <x:c r="C122" s="5" t="str">
        <x:v>KI12-TV02S-08</x:v>
      </x:c>
      <x:c r="D122" s="5" t="n">
        <x:v>2892</x:v>
      </x:c>
      <x:c r="E122" s="5" t="n">
        <x:v>50</x:v>
      </x:c>
      <x:c r="F122" s="5" t="n">
        <x:v>159</x:v>
      </x:c>
      <x:c r="G122" s="5" t="n">
        <x:v>1</x:v>
      </x:c>
      <x:c r="H122" s="5" t="n">
        <x:v>0</x:v>
      </x:c>
      <x:c r="I122" s="5" t="n">
        <x:v>0</x:v>
      </x:c>
      <x:c r="J122" s="5" t="n">
        <x:v>8</x:v>
      </x:c>
      <x:c r="K122" s="5" t="n">
        <x:v>12</x:v>
      </x:c>
      <x:c r="L122" s="5" t="str">
        <x:v>ASSEMBLY_XYZ_NOT_MACHINE</x:v>
      </x:c>
      <x:c r="M122" s="5" t="str">
        <x:v>DESIGN_NOT_NC</x:v>
      </x:c>
    </x:row>
    <x:row r="123" ht="28" customHeight="1">
      <x:c r="A123" s="5" t="str">
        <x:v>J21</x:v>
      </x:c>
      <x:c r="B123" s="5" t="n">
        <x:v>1</x:v>
      </x:c>
      <x:c r="C123" s="5" t="str">
        <x:v>KI12-TV02T2-03</x:v>
      </x:c>
      <x:c r="D123" s="5" t="n">
        <x:v>2892</x:v>
      </x:c>
      <x:c r="E123" s="5" t="n">
        <x:v>50</x:v>
      </x:c>
      <x:c r="F123" s="5" t="n">
        <x:v>159</x:v>
      </x:c>
      <x:c r="G123" s="5" t="n">
        <x:v>-1</x:v>
      </x:c>
      <x:c r="H123" s="5" t="n">
        <x:v>0</x:v>
      </x:c>
      <x:c r="I123" s="5" t="n">
        <x:v>0</x:v>
      </x:c>
      <x:c r="J123" s="5" t="n">
        <x:v>8</x:v>
      </x:c>
      <x:c r="K123" s="5" t="n">
        <x:v>22</x:v>
      </x:c>
      <x:c r="L123" s="5" t="str">
        <x:v>ASSEMBLY_XYZ_NOT_MACHINE</x:v>
      </x:c>
      <x:c r="M123" s="5" t="str">
        <x:v>DESIGN_NOT_NC</x:v>
      </x:c>
    </x:row>
    <x:row r="124" ht="28" customHeight="1">
      <x:c r="A124" s="5" t="str">
        <x:v>J21</x:v>
      </x:c>
      <x:c r="B124" s="5" t="n">
        <x:v>2</x:v>
      </x:c>
      <x:c r="C124" s="5" t="str">
        <x:v>KI12-TV02S-08</x:v>
      </x:c>
      <x:c r="D124" s="5" t="n">
        <x:v>2892</x:v>
      </x:c>
      <x:c r="E124" s="5" t="n">
        <x:v>191</x:v>
      </x:c>
      <x:c r="F124" s="5" t="n">
        <x:v>159</x:v>
      </x:c>
      <x:c r="G124" s="5" t="n">
        <x:v>1</x:v>
      </x:c>
      <x:c r="H124" s="5" t="n">
        <x:v>0</x:v>
      </x:c>
      <x:c r="I124" s="5" t="n">
        <x:v>0</x:v>
      </x:c>
      <x:c r="J124" s="5" t="n">
        <x:v>8</x:v>
      </x:c>
      <x:c r="K124" s="5" t="n">
        <x:v>12</x:v>
      </x:c>
      <x:c r="L124" s="5" t="str">
        <x:v>ASSEMBLY_XYZ_NOT_MACHINE</x:v>
      </x:c>
      <x:c r="M124" s="5" t="str">
        <x:v>DESIGN_NOT_NC</x:v>
      </x:c>
    </x:row>
    <x:row r="125" ht="28" customHeight="1">
      <x:c r="A125" s="5" t="str">
        <x:v>J21</x:v>
      </x:c>
      <x:c r="B125" s="5" t="n">
        <x:v>2</x:v>
      </x:c>
      <x:c r="C125" s="5" t="str">
        <x:v>KI12-TV02T2-03</x:v>
      </x:c>
      <x:c r="D125" s="5" t="n">
        <x:v>2892</x:v>
      </x:c>
      <x:c r="E125" s="5" t="n">
        <x:v>191</x:v>
      </x:c>
      <x:c r="F125" s="5" t="n">
        <x:v>159</x:v>
      </x:c>
      <x:c r="G125" s="5" t="n">
        <x:v>-1</x:v>
      </x:c>
      <x:c r="H125" s="5" t="n">
        <x:v>0</x:v>
      </x:c>
      <x:c r="I125" s="5" t="n">
        <x:v>0</x:v>
      </x:c>
      <x:c r="J125" s="5" t="n">
        <x:v>8</x:v>
      </x:c>
      <x:c r="K125" s="5" t="n">
        <x:v>22</x:v>
      </x:c>
      <x:c r="L125" s="5" t="str">
        <x:v>ASSEMBLY_XYZ_NOT_MACHINE</x:v>
      </x:c>
      <x:c r="M125" s="5" t="str">
        <x:v>DESIGN_NOT_NC</x:v>
      </x:c>
    </x:row>
    <x:row r="126" ht="28" customHeight="1">
      <x:c r="A126" s="5" t="str">
        <x:v>J21</x:v>
      </x:c>
      <x:c r="B126" s="5" t="n">
        <x:v>3</x:v>
      </x:c>
      <x:c r="C126" s="5" t="str">
        <x:v>KI12-TV02S-08</x:v>
      </x:c>
      <x:c r="D126" s="5" t="n">
        <x:v>2892</x:v>
      </x:c>
      <x:c r="E126" s="5" t="n">
        <x:v>332</x:v>
      </x:c>
      <x:c r="F126" s="5" t="n">
        <x:v>159</x:v>
      </x:c>
      <x:c r="G126" s="5" t="n">
        <x:v>1</x:v>
      </x:c>
      <x:c r="H126" s="5" t="n">
        <x:v>0</x:v>
      </x:c>
      <x:c r="I126" s="5" t="n">
        <x:v>0</x:v>
      </x:c>
      <x:c r="J126" s="5" t="n">
        <x:v>8</x:v>
      </x:c>
      <x:c r="K126" s="5" t="n">
        <x:v>12</x:v>
      </x:c>
      <x:c r="L126" s="5" t="str">
        <x:v>ASSEMBLY_XYZ_NOT_MACHINE</x:v>
      </x:c>
      <x:c r="M126" s="5" t="str">
        <x:v>DESIGN_NOT_NC</x:v>
      </x:c>
    </x:row>
    <x:row r="127" ht="28" customHeight="1">
      <x:c r="A127" s="5" t="str">
        <x:v>J21</x:v>
      </x:c>
      <x:c r="B127" s="5" t="n">
        <x:v>3</x:v>
      </x:c>
      <x:c r="C127" s="5" t="str">
        <x:v>KI12-TV02T2-03</x:v>
      </x:c>
      <x:c r="D127" s="5" t="n">
        <x:v>2892</x:v>
      </x:c>
      <x:c r="E127" s="5" t="n">
        <x:v>332</x:v>
      </x:c>
      <x:c r="F127" s="5" t="n">
        <x:v>159</x:v>
      </x:c>
      <x:c r="G127" s="5" t="n">
        <x:v>-1</x:v>
      </x:c>
      <x:c r="H127" s="5" t="n">
        <x:v>0</x:v>
      </x:c>
      <x:c r="I127" s="5" t="n">
        <x:v>0</x:v>
      </x:c>
      <x:c r="J127" s="5" t="n">
        <x:v>8</x:v>
      </x:c>
      <x:c r="K127" s="5" t="n">
        <x:v>22</x:v>
      </x:c>
      <x:c r="L127" s="5" t="str">
        <x:v>ASSEMBLY_XYZ_NOT_MACHINE</x:v>
      </x:c>
      <x:c r="M127" s="5" t="str">
        <x:v>DESIGN_NOT_NC</x:v>
      </x:c>
    </x:row>
    <x:row r="128" ht="28" customHeight="1">
      <x:c r="A128" s="5" t="str">
        <x:v>J22</x:v>
      </x:c>
      <x:c r="B128" s="5" t="n">
        <x:v>1</x:v>
      </x:c>
      <x:c r="C128" s="5" t="str">
        <x:v>KI12-TV02CAP-01</x:v>
      </x:c>
      <x:c r="D128" s="5" t="n">
        <x:v>2901</x:v>
      </x:c>
      <x:c r="E128" s="5" t="n">
        <x:v>50</x:v>
      </x:c>
      <x:c r="F128" s="5" t="n">
        <x:v>532</x:v>
      </x:c>
      <x:c r="G128" s="5" t="n">
        <x:v>0</x:v>
      </x:c>
      <x:c r="H128" s="5" t="n">
        <x:v>0</x:v>
      </x:c>
      <x:c r="I128" s="5" t="n">
        <x:v>1</x:v>
      </x:c>
      <x:c r="J128" s="5" t="n">
        <x:v>8</x:v>
      </x:c>
      <x:c r="K128" s="5" t="n">
        <x:v>12</x:v>
      </x:c>
      <x:c r="L128" s="5" t="str">
        <x:v>ASSEMBLY_XYZ_NOT_MACHINE</x:v>
      </x:c>
      <x:c r="M128" s="5" t="str">
        <x:v>DESIGN_NOT_NC</x:v>
      </x:c>
    </x:row>
    <x:row r="129" ht="28" customHeight="1">
      <x:c r="A129" s="5" t="str">
        <x:v>J22</x:v>
      </x:c>
      <x:c r="B129" s="5" t="n">
        <x:v>1</x:v>
      </x:c>
      <x:c r="C129" s="5" t="str">
        <x:v>KI12-TV02S-08</x:v>
      </x:c>
      <x:c r="D129" s="5" t="n">
        <x:v>2901</x:v>
      </x:c>
      <x:c r="E129" s="5" t="n">
        <x:v>50</x:v>
      </x:c>
      <x:c r="F129" s="5" t="n">
        <x:v>532</x:v>
      </x:c>
      <x:c r="G129" s="5" t="n">
        <x:v>0</x:v>
      </x:c>
      <x:c r="H129" s="5" t="n">
        <x:v>0</x:v>
      </x:c>
      <x:c r="I129" s="5" t="n">
        <x:v>-1</x:v>
      </x:c>
      <x:c r="J129" s="5" t="n">
        <x:v>8</x:v>
      </x:c>
      <x:c r="K129" s="5" t="n">
        <x:v>22</x:v>
      </x:c>
      <x:c r="L129" s="5" t="str">
        <x:v>ASSEMBLY_XYZ_NOT_MACHINE</x:v>
      </x:c>
      <x:c r="M129" s="5" t="str">
        <x:v>DESIGN_NOT_NC</x:v>
      </x:c>
    </x:row>
    <x:row r="130" ht="28" customHeight="1">
      <x:c r="A130" s="5" t="str">
        <x:v>J22</x:v>
      </x:c>
      <x:c r="B130" s="5" t="n">
        <x:v>2</x:v>
      </x:c>
      <x:c r="C130" s="5" t="str">
        <x:v>KI12-TV02CAP-01</x:v>
      </x:c>
      <x:c r="D130" s="5" t="n">
        <x:v>2901</x:v>
      </x:c>
      <x:c r="E130" s="5" t="n">
        <x:v>191</x:v>
      </x:c>
      <x:c r="F130" s="5" t="n">
        <x:v>532</x:v>
      </x:c>
      <x:c r="G130" s="5" t="n">
        <x:v>0</x:v>
      </x:c>
      <x:c r="H130" s="5" t="n">
        <x:v>0</x:v>
      </x:c>
      <x:c r="I130" s="5" t="n">
        <x:v>1</x:v>
      </x:c>
      <x:c r="J130" s="5" t="n">
        <x:v>8</x:v>
      </x:c>
      <x:c r="K130" s="5" t="n">
        <x:v>12</x:v>
      </x:c>
      <x:c r="L130" s="5" t="str">
        <x:v>ASSEMBLY_XYZ_NOT_MACHINE</x:v>
      </x:c>
      <x:c r="M130" s="5" t="str">
        <x:v>DESIGN_NOT_NC</x:v>
      </x:c>
    </x:row>
    <x:row r="131" ht="28" customHeight="1">
      <x:c r="A131" s="5" t="str">
        <x:v>J22</x:v>
      </x:c>
      <x:c r="B131" s="5" t="n">
        <x:v>2</x:v>
      </x:c>
      <x:c r="C131" s="5" t="str">
        <x:v>KI12-TV02S-08</x:v>
      </x:c>
      <x:c r="D131" s="5" t="n">
        <x:v>2901</x:v>
      </x:c>
      <x:c r="E131" s="5" t="n">
        <x:v>191</x:v>
      </x:c>
      <x:c r="F131" s="5" t="n">
        <x:v>532</x:v>
      </x:c>
      <x:c r="G131" s="5" t="n">
        <x:v>0</x:v>
      </x:c>
      <x:c r="H131" s="5" t="n">
        <x:v>0</x:v>
      </x:c>
      <x:c r="I131" s="5" t="n">
        <x:v>-1</x:v>
      </x:c>
      <x:c r="J131" s="5" t="n">
        <x:v>8</x:v>
      </x:c>
      <x:c r="K131" s="5" t="n">
        <x:v>22</x:v>
      </x:c>
      <x:c r="L131" s="5" t="str">
        <x:v>ASSEMBLY_XYZ_NOT_MACHINE</x:v>
      </x:c>
      <x:c r="M131" s="5" t="str">
        <x:v>DESIGN_NOT_NC</x:v>
      </x:c>
    </x:row>
    <x:row r="132" ht="28" customHeight="1">
      <x:c r="A132" s="5" t="str">
        <x:v>J22</x:v>
      </x:c>
      <x:c r="B132" s="5" t="n">
        <x:v>3</x:v>
      </x:c>
      <x:c r="C132" s="5" t="str">
        <x:v>KI12-TV02CAP-01</x:v>
      </x:c>
      <x:c r="D132" s="5" t="n">
        <x:v>2901</x:v>
      </x:c>
      <x:c r="E132" s="5" t="n">
        <x:v>332</x:v>
      </x:c>
      <x:c r="F132" s="5" t="n">
        <x:v>532</x:v>
      </x:c>
      <x:c r="G132" s="5" t="n">
        <x:v>0</x:v>
      </x:c>
      <x:c r="H132" s="5" t="n">
        <x:v>0</x:v>
      </x:c>
      <x:c r="I132" s="5" t="n">
        <x:v>1</x:v>
      </x:c>
      <x:c r="J132" s="5" t="n">
        <x:v>8</x:v>
      </x:c>
      <x:c r="K132" s="5" t="n">
        <x:v>12</x:v>
      </x:c>
      <x:c r="L132" s="5" t="str">
        <x:v>ASSEMBLY_XYZ_NOT_MACHINE</x:v>
      </x:c>
      <x:c r="M132" s="5" t="str">
        <x:v>DESIGN_NOT_NC</x:v>
      </x:c>
    </x:row>
    <x:row r="133" ht="28" customHeight="1">
      <x:c r="A133" s="5" t="str">
        <x:v>J22</x:v>
      </x:c>
      <x:c r="B133" s="5" t="n">
        <x:v>3</x:v>
      </x:c>
      <x:c r="C133" s="5" t="str">
        <x:v>KI12-TV02S-08</x:v>
      </x:c>
      <x:c r="D133" s="5" t="n">
        <x:v>2901</x:v>
      </x:c>
      <x:c r="E133" s="5" t="n">
        <x:v>332</x:v>
      </x:c>
      <x:c r="F133" s="5" t="n">
        <x:v>532</x:v>
      </x:c>
      <x:c r="G133" s="5" t="n">
        <x:v>0</x:v>
      </x:c>
      <x:c r="H133" s="5" t="n">
        <x:v>0</x:v>
      </x:c>
      <x:c r="I133" s="5" t="n">
        <x:v>-1</x:v>
      </x:c>
      <x:c r="J133" s="5" t="n">
        <x:v>8</x:v>
      </x:c>
      <x:c r="K133" s="5" t="n">
        <x:v>22</x:v>
      </x:c>
      <x:c r="L133" s="5" t="str">
        <x:v>ASSEMBLY_XYZ_NOT_MACHINE</x:v>
      </x:c>
      <x:c r="M133" s="5" t="str">
        <x:v>DESIGN_NOT_NC</x:v>
      </x:c>
    </x:row>
    <x:row r="134" ht="28" customHeight="1">
      <x:c r="A134" s="5" t="str">
        <x:v>J23</x:v>
      </x:c>
      <x:c r="B134" s="5" t="n">
        <x:v>1</x:v>
      </x:c>
      <x:c r="C134" s="5" t="str">
        <x:v>KI12-TV02S-09</x:v>
      </x:c>
      <x:c r="D134" s="5" t="n">
        <x:v>2928</x:v>
      </x:c>
      <x:c r="E134" s="5" t="n">
        <x:v>50</x:v>
      </x:c>
      <x:c r="F134" s="5" t="n">
        <x:v>159</x:v>
      </x:c>
      <x:c r="G134" s="5" t="n">
        <x:v>-1</x:v>
      </x:c>
      <x:c r="H134" s="5" t="n">
        <x:v>0</x:v>
      </x:c>
      <x:c r="I134" s="5" t="n">
        <x:v>0</x:v>
      </x:c>
      <x:c r="J134" s="5" t="n">
        <x:v>8</x:v>
      </x:c>
      <x:c r="K134" s="5" t="n">
        <x:v>12</x:v>
      </x:c>
      <x:c r="L134" s="5" t="str">
        <x:v>ASSEMBLY_XYZ_NOT_MACHINE</x:v>
      </x:c>
      <x:c r="M134" s="5" t="str">
        <x:v>DESIGN_NOT_NC</x:v>
      </x:c>
    </x:row>
    <x:row r="135" ht="28" customHeight="1">
      <x:c r="A135" s="5" t="str">
        <x:v>J23</x:v>
      </x:c>
      <x:c r="B135" s="5" t="n">
        <x:v>1</x:v>
      </x:c>
      <x:c r="C135" s="5" t="str">
        <x:v>KI12-TV02T2-04</x:v>
      </x:c>
      <x:c r="D135" s="5" t="n">
        <x:v>2928</x:v>
      </x:c>
      <x:c r="E135" s="5" t="n">
        <x:v>50</x:v>
      </x:c>
      <x:c r="F135" s="5" t="n">
        <x:v>159</x:v>
      </x:c>
      <x:c r="G135" s="5" t="n">
        <x:v>1</x:v>
      </x:c>
      <x:c r="H135" s="5" t="n">
        <x:v>0</x:v>
      </x:c>
      <x:c r="I135" s="5" t="n">
        <x:v>0</x:v>
      </x:c>
      <x:c r="J135" s="5" t="n">
        <x:v>8</x:v>
      </x:c>
      <x:c r="K135" s="5" t="n">
        <x:v>22</x:v>
      </x:c>
      <x:c r="L135" s="5" t="str">
        <x:v>ASSEMBLY_XYZ_NOT_MACHINE</x:v>
      </x:c>
      <x:c r="M135" s="5" t="str">
        <x:v>DESIGN_NOT_NC</x:v>
      </x:c>
    </x:row>
    <x:row r="136" ht="28" customHeight="1">
      <x:c r="A136" s="5" t="str">
        <x:v>J23</x:v>
      </x:c>
      <x:c r="B136" s="5" t="n">
        <x:v>2</x:v>
      </x:c>
      <x:c r="C136" s="5" t="str">
        <x:v>KI12-TV02S-09</x:v>
      </x:c>
      <x:c r="D136" s="5" t="n">
        <x:v>2928</x:v>
      </x:c>
      <x:c r="E136" s="5" t="n">
        <x:v>191</x:v>
      </x:c>
      <x:c r="F136" s="5" t="n">
        <x:v>159</x:v>
      </x:c>
      <x:c r="G136" s="5" t="n">
        <x:v>-1</x:v>
      </x:c>
      <x:c r="H136" s="5" t="n">
        <x:v>0</x:v>
      </x:c>
      <x:c r="I136" s="5" t="n">
        <x:v>0</x:v>
      </x:c>
      <x:c r="J136" s="5" t="n">
        <x:v>8</x:v>
      </x:c>
      <x:c r="K136" s="5" t="n">
        <x:v>12</x:v>
      </x:c>
      <x:c r="L136" s="5" t="str">
        <x:v>ASSEMBLY_XYZ_NOT_MACHINE</x:v>
      </x:c>
      <x:c r="M136" s="5" t="str">
        <x:v>DESIGN_NOT_NC</x:v>
      </x:c>
    </x:row>
    <x:row r="137" ht="28" customHeight="1">
      <x:c r="A137" s="5" t="str">
        <x:v>J23</x:v>
      </x:c>
      <x:c r="B137" s="5" t="n">
        <x:v>2</x:v>
      </x:c>
      <x:c r="C137" s="5" t="str">
        <x:v>KI12-TV02T2-04</x:v>
      </x:c>
      <x:c r="D137" s="5" t="n">
        <x:v>2928</x:v>
      </x:c>
      <x:c r="E137" s="5" t="n">
        <x:v>191</x:v>
      </x:c>
      <x:c r="F137" s="5" t="n">
        <x:v>159</x:v>
      </x:c>
      <x:c r="G137" s="5" t="n">
        <x:v>1</x:v>
      </x:c>
      <x:c r="H137" s="5" t="n">
        <x:v>0</x:v>
      </x:c>
      <x:c r="I137" s="5" t="n">
        <x:v>0</x:v>
      </x:c>
      <x:c r="J137" s="5" t="n">
        <x:v>8</x:v>
      </x:c>
      <x:c r="K137" s="5" t="n">
        <x:v>22</x:v>
      </x:c>
      <x:c r="L137" s="5" t="str">
        <x:v>ASSEMBLY_XYZ_NOT_MACHINE</x:v>
      </x:c>
      <x:c r="M137" s="5" t="str">
        <x:v>DESIGN_NOT_NC</x:v>
      </x:c>
    </x:row>
    <x:row r="138" ht="28" customHeight="1">
      <x:c r="A138" s="5" t="str">
        <x:v>J23</x:v>
      </x:c>
      <x:c r="B138" s="5" t="n">
        <x:v>3</x:v>
      </x:c>
      <x:c r="C138" s="5" t="str">
        <x:v>KI12-TV02S-09</x:v>
      </x:c>
      <x:c r="D138" s="5" t="n">
        <x:v>2928</x:v>
      </x:c>
      <x:c r="E138" s="5" t="n">
        <x:v>332</x:v>
      </x:c>
      <x:c r="F138" s="5" t="n">
        <x:v>159</x:v>
      </x:c>
      <x:c r="G138" s="5" t="n">
        <x:v>-1</x:v>
      </x:c>
      <x:c r="H138" s="5" t="n">
        <x:v>0</x:v>
      </x:c>
      <x:c r="I138" s="5" t="n">
        <x:v>0</x:v>
      </x:c>
      <x:c r="J138" s="5" t="n">
        <x:v>8</x:v>
      </x:c>
      <x:c r="K138" s="5" t="n">
        <x:v>12</x:v>
      </x:c>
      <x:c r="L138" s="5" t="str">
        <x:v>ASSEMBLY_XYZ_NOT_MACHINE</x:v>
      </x:c>
      <x:c r="M138" s="5" t="str">
        <x:v>DESIGN_NOT_NC</x:v>
      </x:c>
    </x:row>
    <x:row r="139" ht="28" customHeight="1">
      <x:c r="A139" s="5" t="str">
        <x:v>J23</x:v>
      </x:c>
      <x:c r="B139" s="5" t="n">
        <x:v>3</x:v>
      </x:c>
      <x:c r="C139" s="5" t="str">
        <x:v>KI12-TV02T2-04</x:v>
      </x:c>
      <x:c r="D139" s="5" t="n">
        <x:v>2928</x:v>
      </x:c>
      <x:c r="E139" s="5" t="n">
        <x:v>332</x:v>
      </x:c>
      <x:c r="F139" s="5" t="n">
        <x:v>159</x:v>
      </x:c>
      <x:c r="G139" s="5" t="n">
        <x:v>1</x:v>
      </x:c>
      <x:c r="H139" s="5" t="n">
        <x:v>0</x:v>
      </x:c>
      <x:c r="I139" s="5" t="n">
        <x:v>0</x:v>
      </x:c>
      <x:c r="J139" s="5" t="n">
        <x:v>8</x:v>
      </x:c>
      <x:c r="K139" s="5" t="n">
        <x:v>22</x:v>
      </x:c>
      <x:c r="L139" s="5" t="str">
        <x:v>ASSEMBLY_XYZ_NOT_MACHINE</x:v>
      </x:c>
      <x:c r="M139" s="5" t="str">
        <x:v>DESIGN_NOT_NC</x:v>
      </x:c>
    </x:row>
    <x:row r="140" ht="28" customHeight="1">
      <x:c r="A140" s="5" t="str">
        <x:v>J24</x:v>
      </x:c>
      <x:c r="B140" s="5" t="n">
        <x:v>1</x:v>
      </x:c>
      <x:c r="C140" s="5" t="str">
        <x:v>KI12-TV02CAP-01</x:v>
      </x:c>
      <x:c r="D140" s="5" t="n">
        <x:v>2919</x:v>
      </x:c>
      <x:c r="E140" s="5" t="n">
        <x:v>50</x:v>
      </x:c>
      <x:c r="F140" s="5" t="n">
        <x:v>532</x:v>
      </x:c>
      <x:c r="G140" s="5" t="n">
        <x:v>0</x:v>
      </x:c>
      <x:c r="H140" s="5" t="n">
        <x:v>0</x:v>
      </x:c>
      <x:c r="I140" s="5" t="n">
        <x:v>1</x:v>
      </x:c>
      <x:c r="J140" s="5" t="n">
        <x:v>8</x:v>
      </x:c>
      <x:c r="K140" s="5" t="n">
        <x:v>12</x:v>
      </x:c>
      <x:c r="L140" s="5" t="str">
        <x:v>ASSEMBLY_XYZ_NOT_MACHINE</x:v>
      </x:c>
      <x:c r="M140" s="5" t="str">
        <x:v>DESIGN_NOT_NC</x:v>
      </x:c>
    </x:row>
    <x:row r="141" ht="28" customHeight="1">
      <x:c r="A141" s="5" t="str">
        <x:v>J24</x:v>
      </x:c>
      <x:c r="B141" s="5" t="n">
        <x:v>1</x:v>
      </x:c>
      <x:c r="C141" s="5" t="str">
        <x:v>KI12-TV02S-09</x:v>
      </x:c>
      <x:c r="D141" s="5" t="n">
        <x:v>2919</x:v>
      </x:c>
      <x:c r="E141" s="5" t="n">
        <x:v>50</x:v>
      </x:c>
      <x:c r="F141" s="5" t="n">
        <x:v>532</x:v>
      </x:c>
      <x:c r="G141" s="5" t="n">
        <x:v>0</x:v>
      </x:c>
      <x:c r="H141" s="5" t="n">
        <x:v>0</x:v>
      </x:c>
      <x:c r="I141" s="5" t="n">
        <x:v>-1</x:v>
      </x:c>
      <x:c r="J141" s="5" t="n">
        <x:v>8</x:v>
      </x:c>
      <x:c r="K141" s="5" t="n">
        <x:v>22</x:v>
      </x:c>
      <x:c r="L141" s="5" t="str">
        <x:v>ASSEMBLY_XYZ_NOT_MACHINE</x:v>
      </x:c>
      <x:c r="M141" s="5" t="str">
        <x:v>DESIGN_NOT_NC</x:v>
      </x:c>
    </x:row>
    <x:row r="142" ht="28" customHeight="1">
      <x:c r="A142" s="5" t="str">
        <x:v>J24</x:v>
      </x:c>
      <x:c r="B142" s="5" t="n">
        <x:v>2</x:v>
      </x:c>
      <x:c r="C142" s="5" t="str">
        <x:v>KI12-TV02CAP-01</x:v>
      </x:c>
      <x:c r="D142" s="5" t="n">
        <x:v>2919</x:v>
      </x:c>
      <x:c r="E142" s="5" t="n">
        <x:v>191</x:v>
      </x:c>
      <x:c r="F142" s="5" t="n">
        <x:v>532</x:v>
      </x:c>
      <x:c r="G142" s="5" t="n">
        <x:v>0</x:v>
      </x:c>
      <x:c r="H142" s="5" t="n">
        <x:v>0</x:v>
      </x:c>
      <x:c r="I142" s="5" t="n">
        <x:v>1</x:v>
      </x:c>
      <x:c r="J142" s="5" t="n">
        <x:v>8</x:v>
      </x:c>
      <x:c r="K142" s="5" t="n">
        <x:v>12</x:v>
      </x:c>
      <x:c r="L142" s="5" t="str">
        <x:v>ASSEMBLY_XYZ_NOT_MACHINE</x:v>
      </x:c>
      <x:c r="M142" s="5" t="str">
        <x:v>DESIGN_NOT_NC</x:v>
      </x:c>
    </x:row>
    <x:row r="143" ht="28" customHeight="1">
      <x:c r="A143" s="5" t="str">
        <x:v>J24</x:v>
      </x:c>
      <x:c r="B143" s="5" t="n">
        <x:v>2</x:v>
      </x:c>
      <x:c r="C143" s="5" t="str">
        <x:v>KI12-TV02S-09</x:v>
      </x:c>
      <x:c r="D143" s="5" t="n">
        <x:v>2919</x:v>
      </x:c>
      <x:c r="E143" s="5" t="n">
        <x:v>191</x:v>
      </x:c>
      <x:c r="F143" s="5" t="n">
        <x:v>532</x:v>
      </x:c>
      <x:c r="G143" s="5" t="n">
        <x:v>0</x:v>
      </x:c>
      <x:c r="H143" s="5" t="n">
        <x:v>0</x:v>
      </x:c>
      <x:c r="I143" s="5" t="n">
        <x:v>-1</x:v>
      </x:c>
      <x:c r="J143" s="5" t="n">
        <x:v>8</x:v>
      </x:c>
      <x:c r="K143" s="5" t="n">
        <x:v>22</x:v>
      </x:c>
      <x:c r="L143" s="5" t="str">
        <x:v>ASSEMBLY_XYZ_NOT_MACHINE</x:v>
      </x:c>
      <x:c r="M143" s="5" t="str">
        <x:v>DESIGN_NOT_NC</x:v>
      </x:c>
    </x:row>
    <x:row r="144" ht="28" customHeight="1">
      <x:c r="A144" s="5" t="str">
        <x:v>J24</x:v>
      </x:c>
      <x:c r="B144" s="5" t="n">
        <x:v>3</x:v>
      </x:c>
      <x:c r="C144" s="5" t="str">
        <x:v>KI12-TV02CAP-01</x:v>
      </x:c>
      <x:c r="D144" s="5" t="n">
        <x:v>2919</x:v>
      </x:c>
      <x:c r="E144" s="5" t="n">
        <x:v>332</x:v>
      </x:c>
      <x:c r="F144" s="5" t="n">
        <x:v>532</x:v>
      </x:c>
      <x:c r="G144" s="5" t="n">
        <x:v>0</x:v>
      </x:c>
      <x:c r="H144" s="5" t="n">
        <x:v>0</x:v>
      </x:c>
      <x:c r="I144" s="5" t="n">
        <x:v>1</x:v>
      </x:c>
      <x:c r="J144" s="5" t="n">
        <x:v>8</x:v>
      </x:c>
      <x:c r="K144" s="5" t="n">
        <x:v>12</x:v>
      </x:c>
      <x:c r="L144" s="5" t="str">
        <x:v>ASSEMBLY_XYZ_NOT_MACHINE</x:v>
      </x:c>
      <x:c r="M144" s="5" t="str">
        <x:v>DESIGN_NOT_NC</x:v>
      </x:c>
    </x:row>
    <x:row r="145" ht="28" customHeight="1">
      <x:c r="A145" s="5" t="str">
        <x:v>J24</x:v>
      </x:c>
      <x:c r="B145" s="5" t="n">
        <x:v>3</x:v>
      </x:c>
      <x:c r="C145" s="5" t="str">
        <x:v>KI12-TV02S-09</x:v>
      </x:c>
      <x:c r="D145" s="5" t="n">
        <x:v>2919</x:v>
      </x:c>
      <x:c r="E145" s="5" t="n">
        <x:v>332</x:v>
      </x:c>
      <x:c r="F145" s="5" t="n">
        <x:v>532</x:v>
      </x:c>
      <x:c r="G145" s="5" t="n">
        <x:v>0</x:v>
      </x:c>
      <x:c r="H145" s="5" t="n">
        <x:v>0</x:v>
      </x:c>
      <x:c r="I145" s="5" t="n">
        <x:v>-1</x:v>
      </x:c>
      <x:c r="J145" s="5" t="n">
        <x:v>8</x:v>
      </x:c>
      <x:c r="K145" s="5" t="n">
        <x:v>22</x:v>
      </x:c>
      <x:c r="L145" s="5" t="str">
        <x:v>ASSEMBLY_XYZ_NOT_MACHINE</x:v>
      </x:c>
      <x:c r="M145" s="5" t="str">
        <x:v>DESIGN_NOT_NC</x:v>
      </x:c>
    </x:row>
    <x:row r="146" ht="28" customHeight="1">
      <x:c r="A146" s="5" t="str">
        <x:v>J25</x:v>
      </x:c>
      <x:c r="B146" s="5" t="n">
        <x:v>1</x:v>
      </x:c>
      <x:c r="C146" s="5" t="str">
        <x:v>KI12-TV02S-10</x:v>
      </x:c>
      <x:c r="D146" s="5" t="n">
        <x:v>3582</x:v>
      </x:c>
      <x:c r="E146" s="5" t="n">
        <x:v>50</x:v>
      </x:c>
      <x:c r="F146" s="5" t="n">
        <x:v>159</x:v>
      </x:c>
      <x:c r="G146" s="5" t="n">
        <x:v>1</x:v>
      </x:c>
      <x:c r="H146" s="5" t="n">
        <x:v>0</x:v>
      </x:c>
      <x:c r="I146" s="5" t="n">
        <x:v>0</x:v>
      </x:c>
      <x:c r="J146" s="5" t="n">
        <x:v>8</x:v>
      </x:c>
      <x:c r="K146" s="5" t="n">
        <x:v>12</x:v>
      </x:c>
      <x:c r="L146" s="5" t="str">
        <x:v>ASSEMBLY_XYZ_NOT_MACHINE</x:v>
      </x:c>
      <x:c r="M146" s="5" t="str">
        <x:v>DESIGN_NOT_NC</x:v>
      </x:c>
    </x:row>
    <x:row r="147" ht="28" customHeight="1">
      <x:c r="A147" s="5" t="str">
        <x:v>J25</x:v>
      </x:c>
      <x:c r="B147" s="5" t="n">
        <x:v>1</x:v>
      </x:c>
      <x:c r="C147" s="5" t="str">
        <x:v>KI12-TV02T2-04</x:v>
      </x:c>
      <x:c r="D147" s="5" t="n">
        <x:v>3582</x:v>
      </x:c>
      <x:c r="E147" s="5" t="n">
        <x:v>50</x:v>
      </x:c>
      <x:c r="F147" s="5" t="n">
        <x:v>159</x:v>
      </x:c>
      <x:c r="G147" s="5" t="n">
        <x:v>-1</x:v>
      </x:c>
      <x:c r="H147" s="5" t="n">
        <x:v>0</x:v>
      </x:c>
      <x:c r="I147" s="5" t="n">
        <x:v>0</x:v>
      </x:c>
      <x:c r="J147" s="5" t="n">
        <x:v>8</x:v>
      </x:c>
      <x:c r="K147" s="5" t="n">
        <x:v>22</x:v>
      </x:c>
      <x:c r="L147" s="5" t="str">
        <x:v>ASSEMBLY_XYZ_NOT_MACHINE</x:v>
      </x:c>
      <x:c r="M147" s="5" t="str">
        <x:v>DESIGN_NOT_NC</x:v>
      </x:c>
    </x:row>
    <x:row r="148" ht="28" customHeight="1">
      <x:c r="A148" s="5" t="str">
        <x:v>J25</x:v>
      </x:c>
      <x:c r="B148" s="5" t="n">
        <x:v>2</x:v>
      </x:c>
      <x:c r="C148" s="5" t="str">
        <x:v>KI12-TV02S-10</x:v>
      </x:c>
      <x:c r="D148" s="5" t="n">
        <x:v>3582</x:v>
      </x:c>
      <x:c r="E148" s="5" t="n">
        <x:v>191</x:v>
      </x:c>
      <x:c r="F148" s="5" t="n">
        <x:v>159</x:v>
      </x:c>
      <x:c r="G148" s="5" t="n">
        <x:v>1</x:v>
      </x:c>
      <x:c r="H148" s="5" t="n">
        <x:v>0</x:v>
      </x:c>
      <x:c r="I148" s="5" t="n">
        <x:v>0</x:v>
      </x:c>
      <x:c r="J148" s="5" t="n">
        <x:v>8</x:v>
      </x:c>
      <x:c r="K148" s="5" t="n">
        <x:v>12</x:v>
      </x:c>
      <x:c r="L148" s="5" t="str">
        <x:v>ASSEMBLY_XYZ_NOT_MACHINE</x:v>
      </x:c>
      <x:c r="M148" s="5" t="str">
        <x:v>DESIGN_NOT_NC</x:v>
      </x:c>
    </x:row>
    <x:row r="149" ht="28" customHeight="1">
      <x:c r="A149" s="5" t="str">
        <x:v>J25</x:v>
      </x:c>
      <x:c r="B149" s="5" t="n">
        <x:v>2</x:v>
      </x:c>
      <x:c r="C149" s="5" t="str">
        <x:v>KI12-TV02T2-04</x:v>
      </x:c>
      <x:c r="D149" s="5" t="n">
        <x:v>3582</x:v>
      </x:c>
      <x:c r="E149" s="5" t="n">
        <x:v>191</x:v>
      </x:c>
      <x:c r="F149" s="5" t="n">
        <x:v>159</x:v>
      </x:c>
      <x:c r="G149" s="5" t="n">
        <x:v>-1</x:v>
      </x:c>
      <x:c r="H149" s="5" t="n">
        <x:v>0</x:v>
      </x:c>
      <x:c r="I149" s="5" t="n">
        <x:v>0</x:v>
      </x:c>
      <x:c r="J149" s="5" t="n">
        <x:v>8</x:v>
      </x:c>
      <x:c r="K149" s="5" t="n">
        <x:v>22</x:v>
      </x:c>
      <x:c r="L149" s="5" t="str">
        <x:v>ASSEMBLY_XYZ_NOT_MACHINE</x:v>
      </x:c>
      <x:c r="M149" s="5" t="str">
        <x:v>DESIGN_NOT_NC</x:v>
      </x:c>
    </x:row>
    <x:row r="150" ht="28" customHeight="1">
      <x:c r="A150" s="5" t="str">
        <x:v>J25</x:v>
      </x:c>
      <x:c r="B150" s="5" t="n">
        <x:v>3</x:v>
      </x:c>
      <x:c r="C150" s="5" t="str">
        <x:v>KI12-TV02S-10</x:v>
      </x:c>
      <x:c r="D150" s="5" t="n">
        <x:v>3582</x:v>
      </x:c>
      <x:c r="E150" s="5" t="n">
        <x:v>332</x:v>
      </x:c>
      <x:c r="F150" s="5" t="n">
        <x:v>159</x:v>
      </x:c>
      <x:c r="G150" s="5" t="n">
        <x:v>1</x:v>
      </x:c>
      <x:c r="H150" s="5" t="n">
        <x:v>0</x:v>
      </x:c>
      <x:c r="I150" s="5" t="n">
        <x:v>0</x:v>
      </x:c>
      <x:c r="J150" s="5" t="n">
        <x:v>8</x:v>
      </x:c>
      <x:c r="K150" s="5" t="n">
        <x:v>12</x:v>
      </x:c>
      <x:c r="L150" s="5" t="str">
        <x:v>ASSEMBLY_XYZ_NOT_MACHINE</x:v>
      </x:c>
      <x:c r="M150" s="5" t="str">
        <x:v>DESIGN_NOT_NC</x:v>
      </x:c>
    </x:row>
    <x:row r="151" ht="28" customHeight="1">
      <x:c r="A151" s="5" t="str">
        <x:v>J25</x:v>
      </x:c>
      <x:c r="B151" s="5" t="n">
        <x:v>3</x:v>
      </x:c>
      <x:c r="C151" s="5" t="str">
        <x:v>KI12-TV02T2-04</x:v>
      </x:c>
      <x:c r="D151" s="5" t="n">
        <x:v>3582</x:v>
      </x:c>
      <x:c r="E151" s="5" t="n">
        <x:v>332</x:v>
      </x:c>
      <x:c r="F151" s="5" t="n">
        <x:v>159</x:v>
      </x:c>
      <x:c r="G151" s="5" t="n">
        <x:v>-1</x:v>
      </x:c>
      <x:c r="H151" s="5" t="n">
        <x:v>0</x:v>
      </x:c>
      <x:c r="I151" s="5" t="n">
        <x:v>0</x:v>
      </x:c>
      <x:c r="J151" s="5" t="n">
        <x:v>8</x:v>
      </x:c>
      <x:c r="K151" s="5" t="n">
        <x:v>22</x:v>
      </x:c>
      <x:c r="L151" s="5" t="str">
        <x:v>ASSEMBLY_XYZ_NOT_MACHINE</x:v>
      </x:c>
      <x:c r="M151" s="5" t="str">
        <x:v>DESIGN_NOT_NC</x:v>
      </x:c>
    </x:row>
    <x:row r="152" ht="28" customHeight="1">
      <x:c r="A152" s="5" t="str">
        <x:v>J26</x:v>
      </x:c>
      <x:c r="B152" s="5" t="n">
        <x:v>1</x:v>
      </x:c>
      <x:c r="C152" s="5" t="str">
        <x:v>KI12-TV02CAP-01</x:v>
      </x:c>
      <x:c r="D152" s="5" t="n">
        <x:v>3591</x:v>
      </x:c>
      <x:c r="E152" s="5" t="n">
        <x:v>50</x:v>
      </x:c>
      <x:c r="F152" s="5" t="n">
        <x:v>532</x:v>
      </x:c>
      <x:c r="G152" s="5" t="n">
        <x:v>0</x:v>
      </x:c>
      <x:c r="H152" s="5" t="n">
        <x:v>0</x:v>
      </x:c>
      <x:c r="I152" s="5" t="n">
        <x:v>1</x:v>
      </x:c>
      <x:c r="J152" s="5" t="n">
        <x:v>8</x:v>
      </x:c>
      <x:c r="K152" s="5" t="n">
        <x:v>12</x:v>
      </x:c>
      <x:c r="L152" s="5" t="str">
        <x:v>ASSEMBLY_XYZ_NOT_MACHINE</x:v>
      </x:c>
      <x:c r="M152" s="5" t="str">
        <x:v>DESIGN_NOT_NC</x:v>
      </x:c>
    </x:row>
    <x:row r="153" ht="28" customHeight="1">
      <x:c r="A153" s="5" t="str">
        <x:v>J26</x:v>
      </x:c>
      <x:c r="B153" s="5" t="n">
        <x:v>1</x:v>
      </x:c>
      <x:c r="C153" s="5" t="str">
        <x:v>KI12-TV02S-10</x:v>
      </x:c>
      <x:c r="D153" s="5" t="n">
        <x:v>3591</x:v>
      </x:c>
      <x:c r="E153" s="5" t="n">
        <x:v>50</x:v>
      </x:c>
      <x:c r="F153" s="5" t="n">
        <x:v>532</x:v>
      </x:c>
      <x:c r="G153" s="5" t="n">
        <x:v>0</x:v>
      </x:c>
      <x:c r="H153" s="5" t="n">
        <x:v>0</x:v>
      </x:c>
      <x:c r="I153" s="5" t="n">
        <x:v>-1</x:v>
      </x:c>
      <x:c r="J153" s="5" t="n">
        <x:v>8</x:v>
      </x:c>
      <x:c r="K153" s="5" t="n">
        <x:v>22</x:v>
      </x:c>
      <x:c r="L153" s="5" t="str">
        <x:v>ASSEMBLY_XYZ_NOT_MACHINE</x:v>
      </x:c>
      <x:c r="M153" s="5" t="str">
        <x:v>DESIGN_NOT_NC</x:v>
      </x:c>
    </x:row>
    <x:row r="154" ht="28" customHeight="1">
      <x:c r="A154" s="5" t="str">
        <x:v>J26</x:v>
      </x:c>
      <x:c r="B154" s="5" t="n">
        <x:v>2</x:v>
      </x:c>
      <x:c r="C154" s="5" t="str">
        <x:v>KI12-TV02CAP-01</x:v>
      </x:c>
      <x:c r="D154" s="5" t="n">
        <x:v>3591</x:v>
      </x:c>
      <x:c r="E154" s="5" t="n">
        <x:v>191</x:v>
      </x:c>
      <x:c r="F154" s="5" t="n">
        <x:v>532</x:v>
      </x:c>
      <x:c r="G154" s="5" t="n">
        <x:v>0</x:v>
      </x:c>
      <x:c r="H154" s="5" t="n">
        <x:v>0</x:v>
      </x:c>
      <x:c r="I154" s="5" t="n">
        <x:v>1</x:v>
      </x:c>
      <x:c r="J154" s="5" t="n">
        <x:v>8</x:v>
      </x:c>
      <x:c r="K154" s="5" t="n">
        <x:v>12</x:v>
      </x:c>
      <x:c r="L154" s="5" t="str">
        <x:v>ASSEMBLY_XYZ_NOT_MACHINE</x:v>
      </x:c>
      <x:c r="M154" s="5" t="str">
        <x:v>DESIGN_NOT_NC</x:v>
      </x:c>
    </x:row>
    <x:row r="155" ht="28" customHeight="1">
      <x:c r="A155" s="5" t="str">
        <x:v>J26</x:v>
      </x:c>
      <x:c r="B155" s="5" t="n">
        <x:v>2</x:v>
      </x:c>
      <x:c r="C155" s="5" t="str">
        <x:v>KI12-TV02S-10</x:v>
      </x:c>
      <x:c r="D155" s="5" t="n">
        <x:v>3591</x:v>
      </x:c>
      <x:c r="E155" s="5" t="n">
        <x:v>191</x:v>
      </x:c>
      <x:c r="F155" s="5" t="n">
        <x:v>532</x:v>
      </x:c>
      <x:c r="G155" s="5" t="n">
        <x:v>0</x:v>
      </x:c>
      <x:c r="H155" s="5" t="n">
        <x:v>0</x:v>
      </x:c>
      <x:c r="I155" s="5" t="n">
        <x:v>-1</x:v>
      </x:c>
      <x:c r="J155" s="5" t="n">
        <x:v>8</x:v>
      </x:c>
      <x:c r="K155" s="5" t="n">
        <x:v>22</x:v>
      </x:c>
      <x:c r="L155" s="5" t="str">
        <x:v>ASSEMBLY_XYZ_NOT_MACHINE</x:v>
      </x:c>
      <x:c r="M155" s="5" t="str">
        <x:v>DESIGN_NOT_NC</x:v>
      </x:c>
    </x:row>
    <x:row r="156" ht="28" customHeight="1">
      <x:c r="A156" s="5" t="str">
        <x:v>J26</x:v>
      </x:c>
      <x:c r="B156" s="5" t="n">
        <x:v>3</x:v>
      </x:c>
      <x:c r="C156" s="5" t="str">
        <x:v>KI12-TV02CAP-01</x:v>
      </x:c>
      <x:c r="D156" s="5" t="n">
        <x:v>3591</x:v>
      </x:c>
      <x:c r="E156" s="5" t="n">
        <x:v>332</x:v>
      </x:c>
      <x:c r="F156" s="5" t="n">
        <x:v>532</x:v>
      </x:c>
      <x:c r="G156" s="5" t="n">
        <x:v>0</x:v>
      </x:c>
      <x:c r="H156" s="5" t="n">
        <x:v>0</x:v>
      </x:c>
      <x:c r="I156" s="5" t="n">
        <x:v>1</x:v>
      </x:c>
      <x:c r="J156" s="5" t="n">
        <x:v>8</x:v>
      </x:c>
      <x:c r="K156" s="5" t="n">
        <x:v>12</x:v>
      </x:c>
      <x:c r="L156" s="5" t="str">
        <x:v>ASSEMBLY_XYZ_NOT_MACHINE</x:v>
      </x:c>
      <x:c r="M156" s="5" t="str">
        <x:v>DESIGN_NOT_NC</x:v>
      </x:c>
    </x:row>
    <x:row r="157" ht="28" customHeight="1">
      <x:c r="A157" s="5" t="str">
        <x:v>J26</x:v>
      </x:c>
      <x:c r="B157" s="5" t="n">
        <x:v>3</x:v>
      </x:c>
      <x:c r="C157" s="5" t="str">
        <x:v>KI12-TV02S-10</x:v>
      </x:c>
      <x:c r="D157" s="5" t="n">
        <x:v>3591</x:v>
      </x:c>
      <x:c r="E157" s="5" t="n">
        <x:v>332</x:v>
      </x:c>
      <x:c r="F157" s="5" t="n">
        <x:v>532</x:v>
      </x:c>
      <x:c r="G157" s="5" t="n">
        <x:v>0</x:v>
      </x:c>
      <x:c r="H157" s="5" t="n">
        <x:v>0</x:v>
      </x:c>
      <x:c r="I157" s="5" t="n">
        <x:v>-1</x:v>
      </x:c>
      <x:c r="J157" s="5" t="n">
        <x:v>8</x:v>
      </x:c>
      <x:c r="K157" s="5" t="n">
        <x:v>22</x:v>
      </x:c>
      <x:c r="L157" s="5" t="str">
        <x:v>ASSEMBLY_XYZ_NOT_MACHINE</x:v>
      </x:c>
      <x:c r="M157" s="5" t="str">
        <x:v>DESIGN_NOT_NC</x:v>
      </x:c>
    </x:row>
  </x:sheetData>
  <x:pageMargins left="0.7" right="0.7" top="0.75" bottom="0.75" header="0.3" footer="0.3"/>
</x:worksheet>
</file>