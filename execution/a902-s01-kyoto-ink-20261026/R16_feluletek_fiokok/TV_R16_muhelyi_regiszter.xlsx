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f3fb42da1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kintes" sheetId="1" r:id="R402821d2281f4f9b"/>
    <x:sheet xmlns:r="http://schemas.openxmlformats.org/officeDocument/2006/relationships" name="Darabok" sheetId="2" r:id="R5cc159660b4d44ab"/>
    <x:sheet xmlns:r="http://schemas.openxmlformats.org/officeDocument/2006/relationships" name="Furatok" sheetId="3" r:id="R86360b63b6494b5e"/>
    <x:sheet xmlns:r="http://schemas.openxmlformats.org/officeDocument/2006/relationships" name="Programok" sheetId="4" r:id="R1102fec1548d4fcc"/>
    <x:sheet xmlns:r="http://schemas.openxmlformats.org/officeDocument/2006/relationships" name="Vasalat" sheetId="5" r:id="Refc3cc7b7d834eb2"/>
    <x:sheet xmlns:r="http://schemas.openxmlformats.org/officeDocument/2006/relationships" name="Vilagitas" sheetId="6" r:id="Rb73409b06f7b42e0"/>
    <x:sheet xmlns:r="http://schemas.openxmlformats.org/officeDocument/2006/relationships" name="Koltseg" sheetId="7" r:id="Rb09c306f52d64e50"/>
    <x:sheet xmlns:r="http://schemas.openxmlformats.org/officeDocument/2006/relationships" name="Muhelyprofil" sheetId="8" r:id="R3cc28c48a3d24bb8"/>
    <x:sheet xmlns:r="http://schemas.openxmlformats.org/officeDocument/2006/relationships" name="Pilot" sheetId="9" r:id="Rdf205f8ee3744d76"/>
    <x:sheet xmlns:r="http://schemas.openxmlformats.org/officeDocument/2006/relationships" name="Meres" sheetId="10" r:id="Rad2fdd20ea7c4198"/>
    <x:sheet xmlns:r="http://schemas.openxmlformats.org/officeDocument/2006/relationships" name="Kotesek" sheetId="11" r:id="R1ff7109f98de496d"/>
    <x:sheet xmlns:r="http://schemas.openxmlformats.org/officeDocument/2006/relationships" name="Cimkek" sheetId="12" r:id="R6a91e2fbfe344d98"/>
    <x:sheet xmlns:r="http://schemas.openxmlformats.org/officeDocument/2006/relationships" name="R16_Attekintes" sheetId="13" r:id="Rb1a685ffee5a4edd"/>
    <x:sheet xmlns:r="http://schemas.openxmlformats.org/officeDocument/2006/relationships" name="R16_Darabok" sheetId="14" r:id="R0febc677dc49442b"/>
    <x:sheet xmlns:r="http://schemas.openxmlformats.org/officeDocument/2006/relationships" name="R16_Furatok" sheetId="15" r:id="Rc706605a4595479e"/>
    <x:sheet xmlns:r="http://schemas.openxmlformats.org/officeDocument/2006/relationships" name="R16_Fiokok" sheetId="16" r:id="R0259bcff13a44eff"/>
    <x:sheet xmlns:r="http://schemas.openxmlformats.org/officeDocument/2006/relationships" name="R16_Feny" sheetId="17" r:id="Re36188e7c03241cb"/>
    <x:sheet xmlns:r="http://schemas.openxmlformats.org/officeDocument/2006/relationships" name="R16_Koltseg" sheetId="18" r:id="R9bc5a24379f84367"/>
    <x:sheet xmlns:r="http://schemas.openxmlformats.org/officeDocument/2006/relationships" name="R16_Feluletek" sheetId="19" r:id="R0df6188520ab494e"/>
    <x:sheet xmlns:r="http://schemas.openxmlformats.org/officeDocument/2006/relationships" name="R16_Anyagok" sheetId="20" r:id="Rb21b299c9cc04e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0"/>
    <x:numFmt numFmtId="202" formatCode="0.00%"/>
    <x:numFmt numFmtId="203" formatCode="0.0%"/>
    <x:numFmt numFmtId="204" formatCode="#,##0 &quot;Ft&quot;"/>
  </x:numFmts>
  <x:fonts count="7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name val="Arial"/>
    </x:font>
    <x:font>
      <x:sz val="11"/>
      <x:name val="Arial"/>
    </x:font>
    <x:font>
      <x:sz val="12"/>
      <x:name val="Arial"/>
    </x:font>
    <x:font>
      <x:b/>
      <x:sz val="1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354C45"/>
      </x:patternFill>
    </x:fill>
    <x:fill>
      <x:patternFill patternType="solid">
        <x:fgColor rgb="FFFFF1CD"/>
      </x:patternFill>
    </x:fill>
    <x:fill>
      <x:patternFill patternType="solid">
        <x:fgColor rgb="FFDCE7DE"/>
      </x:patternFill>
    </x:fill>
    <x:fill>
      <x:patternFill patternType="solid">
        <x:fgColor rgb="FF4E4035"/>
      </x:patternFill>
    </x:fill>
    <x:fill>
      <x:patternFill patternType="solid">
        <x:fgColor rgb="FFFFF0CA"/>
      </x:patternFill>
    </x:fill>
  </x:fills>
  <x:borders count="9">
    <x:border>
      <x:left/>
      <x:right/>
      <x:top/>
      <x:bottom/>
      <x:diagonal/>
    </x:border>
    <x:border>
      <x:left style="thin">
        <x:color rgb="FFAAAAAA"/>
      </x:left>
      <x:right/>
      <x:top style="thin">
        <x:color rgb="FFAAAAAA"/>
      </x:top>
      <x:bottom/>
      <x:diagonal/>
    </x:border>
    <x:border>
      <x:left/>
      <x:right/>
      <x:top style="thin">
        <x:color rgb="FFAAAAAA"/>
      </x:top>
      <x:bottom/>
      <x:diagonal/>
    </x:border>
    <x:border>
      <x:left/>
      <x:right style="thin">
        <x:color rgb="FFAAAAAA"/>
      </x:right>
      <x:top style="thin">
        <x:color rgb="FFAAAAAA"/>
      </x:top>
      <x:bottom/>
      <x:diagonal/>
    </x:border>
    <x:border>
      <x:left style="thin">
        <x:color rgb="FFAAAAAA"/>
      </x:left>
      <x:right/>
      <x:top/>
      <x:bottom/>
      <x:diagonal/>
    </x:border>
    <x:border>
      <x:left/>
      <x:right style="thin">
        <x:color rgb="FFAAAAAA"/>
      </x:right>
      <x:top/>
      <x:bottom/>
      <x:diagonal/>
    </x:border>
    <x:border>
      <x:left style="thin">
        <x:color rgb="FFAAAAAA"/>
      </x:left>
      <x:right/>
      <x:top/>
      <x:bottom style="thin">
        <x:color rgb="FFAAAAAA"/>
      </x:bottom>
      <x:diagonal/>
    </x:border>
    <x:border>
      <x:left/>
      <x:right/>
      <x:top/>
      <x:bottom style="thin">
        <x:color rgb="FFAAAAAA"/>
      </x:bottom>
      <x:diagonal/>
    </x:border>
    <x:border>
      <x:left/>
      <x:right style="thin">
        <x:color rgb="FFAAAAAA"/>
      </x:right>
      <x:top/>
      <x:bottom style="thin">
        <x:color rgb="FFAAAAAA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1" fillId="3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204" fontId="4" fillId="0" borderId="0" xfId="0" applyNumberFormat="1" applyFont="1" applyFill="1" applyBorder="1" applyAlignment="1">
      <x:alignment wrapText="1"/>
    </x:xf>
    <x:xf numFmtId="204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204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c228ea79984825" /><Relationship Type="http://schemas.openxmlformats.org/officeDocument/2006/relationships/theme" Target="/xl/theme/theme1.xml" Id="R9f1a9eaacffa4016" /><Relationship Type="http://schemas.openxmlformats.org/officeDocument/2006/relationships/sharedStrings" Target="/xl/sharedStrings.xml" Id="R2a6f92663e11464d" /><Relationship Type="http://schemas.openxmlformats.org/officeDocument/2006/relationships/worksheet" Target="/xl/worksheets/sheet1.xml" Id="R402821d2281f4f9b" /><Relationship Type="http://schemas.openxmlformats.org/officeDocument/2006/relationships/worksheet" Target="/xl/worksheets/sheet2.xml" Id="R5cc159660b4d44ab" /><Relationship Type="http://schemas.openxmlformats.org/officeDocument/2006/relationships/worksheet" Target="/xl/worksheets/sheet3.xml" Id="R86360b63b6494b5e" /><Relationship Type="http://schemas.openxmlformats.org/officeDocument/2006/relationships/worksheet" Target="/xl/worksheets/sheet4.xml" Id="R1102fec1548d4fcc" /><Relationship Type="http://schemas.openxmlformats.org/officeDocument/2006/relationships/worksheet" Target="/xl/worksheets/sheet5.xml" Id="Refc3cc7b7d834eb2" /><Relationship Type="http://schemas.openxmlformats.org/officeDocument/2006/relationships/worksheet" Target="/xl/worksheets/sheet6.xml" Id="Rb73409b06f7b42e0" /><Relationship Type="http://schemas.openxmlformats.org/officeDocument/2006/relationships/worksheet" Target="/xl/worksheets/sheet7.xml" Id="Rb09c306f52d64e50" /><Relationship Type="http://schemas.openxmlformats.org/officeDocument/2006/relationships/worksheet" Target="/xl/worksheets/sheet8.xml" Id="R3cc28c48a3d24bb8" /><Relationship Type="http://schemas.openxmlformats.org/officeDocument/2006/relationships/worksheet" Target="/xl/worksheets/sheet9.xml" Id="Rdf205f8ee3744d76" /><Relationship Type="http://schemas.openxmlformats.org/officeDocument/2006/relationships/worksheet" Target="/xl/worksheets/sheet10.xml" Id="Rad2fdd20ea7c4198" /><Relationship Type="http://schemas.openxmlformats.org/officeDocument/2006/relationships/worksheet" Target="/xl/worksheets/sheet11.xml" Id="R1ff7109f98de496d" /><Relationship Type="http://schemas.openxmlformats.org/officeDocument/2006/relationships/worksheet" Target="/xl/worksheets/sheet12.xml" Id="R6a91e2fbfe344d98" /><Relationship Type="http://schemas.openxmlformats.org/officeDocument/2006/relationships/worksheet" Target="/xl/worksheets/sheet13.xml" Id="Rb1a685ffee5a4edd" /><Relationship Type="http://schemas.openxmlformats.org/officeDocument/2006/relationships/worksheet" Target="/xl/worksheets/sheet14.xml" Id="R0febc677dc49442b" /><Relationship Type="http://schemas.openxmlformats.org/officeDocument/2006/relationships/worksheet" Target="/xl/worksheets/sheet15.xml" Id="Rc706605a4595479e" /><Relationship Type="http://schemas.openxmlformats.org/officeDocument/2006/relationships/worksheet" Target="/xl/worksheets/sheet16.xml" Id="R0259bcff13a44eff" /><Relationship Type="http://schemas.openxmlformats.org/officeDocument/2006/relationships/worksheet" Target="/xl/worksheets/sheet17.xml" Id="Re36188e7c03241cb" /><Relationship Type="http://schemas.openxmlformats.org/officeDocument/2006/relationships/worksheet" Target="/xl/worksheets/sheet18.xml" Id="R9bc5a24379f84367" /><Relationship Type="http://schemas.openxmlformats.org/officeDocument/2006/relationships/worksheet" Target="/xl/worksheets/sheet19.xml" Id="R0df6188520ab494e" /><Relationship Type="http://schemas.openxmlformats.org/officeDocument/2006/relationships/worksheet" Target="/xl/worksheets/sheet20.xml" Id="Rb21b299c9cc04ed2" /></Relationships>
</file>

<file path=xl/tables/table1.xml><?xml version="1.0" encoding="utf-8"?>
<x:table xmlns:x="http://schemas.openxmlformats.org/spreadsheetml/2006/main" id="1" name="R15Parts" displayName="R15Parts" ref="A5:S80" headerRowCount="1" totalsRowCount="0" totalsRowShown="0">
  <x:tableColumns count="19">
    <x:tableColumn id="1" name="Darab ID"/>
    <x:tableColumn id="2" name="Megnevezés"/>
    <x:tableColumn id="3" name="Kész U mm"/>
    <x:tableColumn id="4" name="Kész V mm"/>
    <x:tableColumn id="5" name="t mm"/>
    <x:tableColumn id="6" name="Anyag"/>
    <x:tableColumn id="7" name="E1 mm"/>
    <x:tableColumn id="8" name="E2 mm"/>
    <x:tableColumn id="9" name="E3 mm"/>
    <x:tableColumn id="10" name="E4 mm"/>
    <x:tableColumn id="11" name="U ráhagyás"/>
    <x:tableColumn id="12" name="V ráhagyás"/>
    <x:tableColumn id="13" name="Nyers U mm"/>
    <x:tableColumn id="14" name="Nyers V mm"/>
    <x:tableColumn id="15" name="Felület m²"/>
    <x:tableColumn id="16" name="C műhelykód"/>
    <x:tableColumn id="17" name="Műhely megjegyzés"/>
    <x:tableColumn id="18" name="Furat db"/>
    <x:tableColumn id="19" name="Revíziós kulc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d2f79714b0451a" /></Relationships>
</file>

<file path=xl/worksheets/sheet1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00" hidden="0" customWidth="1"/>
  </x:cols>
  <x:sheetData>
    <x:row r="1" ht="46" customHeight="1">
      <x:c r="A1" s="22" t="str">
        <x:v>R16 / AKTUÁLIS TERV / 2026.10.29.</x:v>
      </x:c>
      <x:c r="B1" s="22" t="str">
        <x:v>A további R15 lapok archív előzmények; az új adatok az R16_ kezdetű lapokon.</x:v>
      </x:c>
    </x:row>
    <x:row r="2" ht="46" customHeight="1">
      <x:c r="A2" s="21" t="str">
        <x:v>Lapalkatrész</x:v>
      </x:c>
      <x:c r="B2" s="21" t="n">
        <x:v>106</x:v>
      </x:c>
    </x:row>
    <x:row r="3" ht="46" customHeight="1">
      <x:c r="A3" s="21" t="str">
        <x:v>Szerkezeti furat</x:v>
      </x:c>
      <x:c r="B3" s="21" t="n">
        <x:v>956</x:v>
      </x:c>
    </x:row>
    <x:row r="4" ht="46" customHeight="1">
      <x:c r="A4" s="21" t="str">
        <x:v>Alsó fiókok</x:v>
      </x:c>
      <x:c r="B4" s="21" t="n">
        <x:v>6</x:v>
      </x:c>
    </x:row>
    <x:row r="5" ht="46" customHeight="1">
      <x:c r="A5" s="21" t="str">
        <x:v>Frontok</x:v>
      </x:c>
      <x:c r="B5" s="21" t="str">
        <x:v>Minden alsó front egyetlen magas fiók. A magas szekrény ajtós.</x:v>
      </x:c>
    </x:row>
    <x:row r="6" ht="46" customHeight="1">
      <x:c r="A6" s="21" t="str">
        <x:v>Bronzbetét</x:v>
      </x:c>
      <x:c r="B6" s="23" t="str">
        <x:v>200 mm, önálló panel, a szekrény oldaláról megvilágítva.</x:v>
      </x:c>
    </x:row>
    <x:row r="7" ht="46" customHeight="1">
      <x:c r="A7" s="21" t="str">
        <x:v>Projektösszeg</x:v>
      </x:c>
      <x:c r="B7" s="23" t="n">
        <x:v>26212190</x:v>
      </x:c>
    </x:row>
    <x:row r="8" ht="46" customHeight="1">
      <x:c r="A8" s="21" t="str">
        <x:v>Árstátusz</x:v>
      </x:c>
      <x:c r="B8" s="21" t="str">
        <x:v>Becslés, nem beszállítói ajánlat.</x:v>
      </x:c>
    </x:row>
    <x:row r="9" ht="46" customHeight="1">
      <x:c r="A9" s="21" t="str">
        <x:v>Teljes világítás W</x:v>
      </x:c>
      <x:c r="B9" s="21" t="n">
        <x:v>102.8</x:v>
      </x:c>
    </x:row>
    <x:row r="10" ht="46" customHeight="1">
      <x:c r="A10" s="21" t="str">
        <x:v>Fontos</x:v>
      </x:c>
      <x:c r="B10" s="21" t="str">
        <x:v>MOVENTO sablonfuratok, falrögzítés, anyagminta és műhelypróba nyitott.</x:v>
      </x:c>
    </x:row>
    <x:row r="11" ht="46" customHeight="1">
      <x:c r="A11" s="21" t="str">
        <x:v>Fiók- és ajtófény</x:v>
      </x:c>
      <x:c r="B11" s="21" t="str">
        <x:v>8 külön nyitásérzékelő.</x:v>
      </x:c>
    </x:row>
    <x:row r="12" ht="46" customHeight="1">
      <x:c r="A12" s="21" t="str">
        <x:v>Kézi adatok</x:v>
      </x:c>
      <x:c r="B12" s="21" t="str">
        <x:v>Meglévő él- és műhelyadatok ID szerint megőrizve.</x:v>
      </x:c>
    </x:row>
    <x:row r="13" ht="46" customHeight="1">
      <x:c r="A13" s="21" t="str">
        <x:v>Eredeti fájl</x:v>
      </x:c>
      <x:c r="B13" s="21" t="str">
        <x:v>sources/TV_R15_eredeti_munkafuzet.xlsx változatlanul megőrizve.</x:v>
      </x:c>
    </x:row>
    <x:row r="14" ht="46" customHeight="1">
      <x:c r="A14" s="21" t="str">
        <x:v>Érvényes címke</x:v>
      </x:c>
      <x:c r="B14" s="21" t="str">
        <x:v>R16: előtag; R15 programot az új alsó sorhoz ne használj.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3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1" hidden="0" customWidth="1"/>
    <x:col min="17" max="17" width="31" hidden="0" customWidth="1"/>
    <x:col min="18" max="18" width="31" hidden="0" customWidth="1"/>
    <x:col min="19" max="19" width="31" hidden="0" customWidth="1"/>
  </x:cols>
  <x:sheetData>
    <x:row r="1">
      <x:c r="A1" s="5" t="str">
        <x:v>R15 / készméret és műhelyi nyersméret / 75 beépülő darab</x:v>
      </x:c>
    </x:row>
    <x:row r="2">
      <x:c r="A2" t="str">
        <x:v>G:L és P:Q az R14-ből megőrizve. E1 V0 / E2 Umax / E3 Vmax / E4 U0; nem igazolt gépi ütköző.</x:v>
      </x:c>
    </x:row>
    <x:row r="5" ht="40" customHeight="1">
      <x:c r="A5" s="4" t="str">
        <x:v>Darab ID</x:v>
      </x:c>
      <x:c r="B5" s="4" t="str">
        <x:v>Megnevezés</x:v>
      </x:c>
      <x:c r="C5" s="4" t="str">
        <x:v>Kész U mm</x:v>
      </x:c>
      <x:c r="D5" s="4" t="str">
        <x:v>Kész V mm</x:v>
      </x:c>
      <x:c r="E5" s="4" t="str">
        <x:v>t mm</x:v>
      </x:c>
      <x:c r="F5" s="4" t="str">
        <x:v>Anyag</x:v>
      </x:c>
      <x:c r="G5" s="4" t="str">
        <x:v>E1 mm</x:v>
      </x:c>
      <x:c r="H5" s="4" t="str">
        <x:v>E2 mm</x:v>
      </x:c>
      <x:c r="I5" s="4" t="str">
        <x:v>E3 mm</x:v>
      </x:c>
      <x:c r="J5" s="4" t="str">
        <x:v>E4 mm</x:v>
      </x:c>
      <x:c r="K5" s="4" t="str">
        <x:v>U ráhagyás</x:v>
      </x:c>
      <x:c r="L5" s="4" t="str">
        <x:v>V ráhagyás</x:v>
      </x:c>
      <x:c r="M5" s="4" t="str">
        <x:v>Nyers U mm</x:v>
      </x:c>
      <x:c r="N5" s="4" t="str">
        <x:v>Nyers V mm</x:v>
      </x:c>
      <x:c r="O5" s="4" t="str">
        <x:v>Felület m²</x:v>
      </x:c>
      <x:c r="P5" s="4" t="str">
        <x:v>C műhelykód</x:v>
      </x:c>
      <x:c r="Q5" s="4" t="str">
        <x:v>Műhely megjegyzés</x:v>
      </x:c>
      <x:c r="R5" s="4" t="str">
        <x:v>Furat db</x:v>
      </x:c>
      <x:c r="S5" s="4" t="str">
        <x:v>Revíziós kulcs</x:v>
      </x:c>
    </x:row>
    <x:row r="6" ht="34" customHeight="1">
      <x:c r="A6" s="2" t="str">
        <x:v>KI12-TV01S-01</x:v>
      </x:c>
      <x:c r="B6" s="2" t="str">
        <x:v>Torony oldalak / bal oldallap</x:v>
      </x:c>
      <x:c r="C6" s="7" t="n">
        <x:v>2330</x:v>
      </x:c>
      <x:c r="D6" s="7" t="n">
        <x:v>382</x:v>
      </x:c>
      <x:c r="E6" s="7" t="n">
        <x:v>18</x:v>
      </x:c>
      <x:c r="F6" s="7" t="str">
        <x:v>M03</x:v>
      </x:c>
      <x:c r="G6" s="8" t="n">
        <x:v>1</x:v>
      </x:c>
      <x:c r="H6" s="8" t="n">
        <x:v>0</x:v>
      </x:c>
      <x:c r="I6" s="8" t="n">
        <x:v>0</x:v>
      </x:c>
      <x:c r="J6" s="8" t="n">
        <x:v>0</x:v>
      </x:c>
      <x:c r="K6" s="8"/>
      <x:c r="L6" s="8"/>
      <x:c r="M6" s="7" t="str">
        <x:f>IF(COUNT(H6,J6,K6)=3,C6-H6-J6+K6,"NYITOTT")</x:f>
        <x:v>NYITOTT</x:v>
      </x:c>
      <x:c r="N6" s="7" t="str">
        <x:f>IF(COUNT(G6,I6,L6)=3,D6-G6-I6+L6,"NYITOTT")</x:f>
        <x:v>NYITOTT</x:v>
      </x:c>
      <x:c r="O6" s="9" t="n">
        <x:f>C6*D6/1000000</x:f>
        <x:v>0.89006</x:v>
      </x:c>
      <x:c r="P6" s="6" t="str">
        <x:v>NYITOTT</x:v>
      </x:c>
      <x:c r="Q6" s="6" t="str">
        <x:v>NEM</x:v>
      </x:c>
      <x:c r="R6" s="2" t="n">
        <x:f>COUNTIF(Furatok!B6:B831,A6)</x:f>
        <x:v>40</x:v>
      </x:c>
      <x:c r="S6" s="2" t="str">
        <x:v>R15:KI12-TV01S-01</x:v>
      </x:c>
    </x:row>
    <x:row r="7" ht="34" customHeight="1">
      <x:c r="A7" s="2" t="str">
        <x:v>KI12-TV01S-02</x:v>
      </x:c>
      <x:c r="B7" s="2" t="str">
        <x:v>Torony oldalak / jobb oldallap</x:v>
      </x:c>
      <x:c r="C7" s="7" t="n">
        <x:v>2330</x:v>
      </x:c>
      <x:c r="D7" s="7" t="n">
        <x:v>382</x:v>
      </x:c>
      <x:c r="E7" s="7" t="n">
        <x:v>18</x:v>
      </x:c>
      <x:c r="F7" s="7" t="str">
        <x:v>M03</x:v>
      </x:c>
      <x:c r="G7" s="8" t="n">
        <x:v>1</x:v>
      </x:c>
      <x:c r="H7" s="8" t="n">
        <x:v>0</x:v>
      </x:c>
      <x:c r="I7" s="8" t="n">
        <x:v>0</x:v>
      </x:c>
      <x:c r="J7" s="8" t="n">
        <x:v>0</x:v>
      </x:c>
      <x:c r="K7" s="8"/>
      <x:c r="L7" s="8"/>
      <x:c r="M7" s="7" t="str">
        <x:f>IF(COUNT(H7,J7,K7)=3,C7-H7-J7+K7,"NYITOTT")</x:f>
        <x:v>NYITOTT</x:v>
      </x:c>
      <x:c r="N7" s="7" t="str">
        <x:f>IF(COUNT(G7,I7,L7)=3,D7-G7-I7+L7,"NYITOTT")</x:f>
        <x:v>NYITOTT</x:v>
      </x:c>
      <x:c r="O7" s="9" t="n">
        <x:f>C7*D7/1000000</x:f>
        <x:v>0.89006</x:v>
      </x:c>
      <x:c r="P7" s="6" t="str">
        <x:v>NYITOTT</x:v>
      </x:c>
      <x:c r="Q7" s="6" t="str">
        <x:v>NEM</x:v>
      </x:c>
      <x:c r="R7" s="2" t="n">
        <x:f>COUNTIF(Furatok!B6:B831,A7)</x:f>
        <x:v>40</x:v>
      </x:c>
      <x:c r="S7" s="2" t="str">
        <x:v>R15:KI12-TV01S-02</x:v>
      </x:c>
    </x:row>
    <x:row r="8" ht="34" customHeight="1">
      <x:c r="A8" s="2" t="str">
        <x:v>KI12-TV01T-01</x:v>
      </x:c>
      <x:c r="B8" s="2" t="str">
        <x:v>Torony tető/fenék / alsó</x:v>
      </x:c>
      <x:c r="C8" s="7" t="n">
        <x:v>684</x:v>
      </x:c>
      <x:c r="D8" s="7" t="n">
        <x:v>382</x:v>
      </x:c>
      <x:c r="E8" s="7" t="n">
        <x:v>18</x:v>
      </x:c>
      <x:c r="F8" s="7" t="str">
        <x:v>M03</x:v>
      </x:c>
      <x:c r="G8" s="8" t="n">
        <x:v>1</x:v>
      </x:c>
      <x:c r="H8" s="8" t="n">
        <x:v>0</x:v>
      </x:c>
      <x:c r="I8" s="8" t="n">
        <x:v>0</x:v>
      </x:c>
      <x:c r="J8" s="8" t="n">
        <x:v>0</x:v>
      </x:c>
      <x:c r="K8" s="8"/>
      <x:c r="L8" s="8"/>
      <x:c r="M8" s="7" t="str">
        <x:f>IF(COUNT(H8,J8,K8)=3,C8-H8-J8+K8,"NYITOTT")</x:f>
        <x:v>NYITOTT</x:v>
      </x:c>
      <x:c r="N8" s="7" t="str">
        <x:f>IF(COUNT(G8,I8,L8)=3,D8-G8-I8+L8,"NYITOTT")</x:f>
        <x:v>NYITOTT</x:v>
      </x:c>
      <x:c r="O8" s="9" t="n">
        <x:f>C8*D8/1000000</x:f>
        <x:v>0.261288</x:v>
      </x:c>
      <x:c r="P8" s="6" t="str">
        <x:v>NYITOTT</x:v>
      </x:c>
      <x:c r="Q8" s="6" t="str">
        <x:v>NEM</x:v>
      </x:c>
      <x:c r="R8" s="2" t="n">
        <x:f>COUNTIF(Furatok!B6:B831,A8)</x:f>
        <x:v>9</x:v>
      </x:c>
      <x:c r="S8" s="2" t="str">
        <x:v>R15:KI12-TV01T-01</x:v>
      </x:c>
    </x:row>
    <x:row r="9" ht="34" customHeight="1">
      <x:c r="A9" s="2" t="str">
        <x:v>KI12-TV01T-02</x:v>
      </x:c>
      <x:c r="B9" s="2" t="str">
        <x:v>Torony tető/fenék / felső</x:v>
      </x:c>
      <x:c r="C9" s="7" t="n">
        <x:v>684</x:v>
      </x:c>
      <x:c r="D9" s="7" t="n">
        <x:v>382</x:v>
      </x:c>
      <x:c r="E9" s="7" t="n">
        <x:v>18</x:v>
      </x:c>
      <x:c r="F9" s="7" t="str">
        <x:v>M03</x:v>
      </x:c>
      <x:c r="G9" s="8" t="n">
        <x:v>1</x:v>
      </x:c>
      <x:c r="H9" s="8" t="n">
        <x:v>0</x:v>
      </x:c>
      <x:c r="I9" s="8" t="n">
        <x:v>0</x:v>
      </x:c>
      <x:c r="J9" s="8" t="n">
        <x:v>0</x:v>
      </x:c>
      <x:c r="K9" s="8"/>
      <x:c r="L9" s="8"/>
      <x:c r="M9" s="7" t="str">
        <x:f>IF(COUNT(H9,J9,K9)=3,C9-H9-J9+K9,"NYITOTT")</x:f>
        <x:v>NYITOTT</x:v>
      </x:c>
      <x:c r="N9" s="7" t="str">
        <x:f>IF(COUNT(G9,I9,L9)=3,D9-G9-I9+L9,"NYITOTT")</x:f>
        <x:v>NYITOTT</x:v>
      </x:c>
      <x:c r="O9" s="9" t="n">
        <x:f>C9*D9/1000000</x:f>
        <x:v>0.261288</x:v>
      </x:c>
      <x:c r="P9" s="6" t="str">
        <x:v>NYITOTT</x:v>
      </x:c>
      <x:c r="Q9" s="6" t="str">
        <x:v>NEM</x:v>
      </x:c>
      <x:c r="R9" s="2" t="n">
        <x:f>COUNTIF(Furatok!B6:B831,A9)</x:f>
        <x:v>9</x:v>
      </x:c>
      <x:c r="S9" s="2" t="str">
        <x:v>R15:KI12-TV01T-02</x:v>
      </x:c>
    </x:row>
    <x:row r="10" ht="34" customHeight="1">
      <x:c r="A10" s="2" t="str">
        <x:v>KI12-TV01C-01</x:v>
      </x:c>
      <x:c r="B10" s="2" t="str">
        <x:v>Torony középosztó / példány 1</x:v>
      </x:c>
      <x:c r="C10" s="7" t="n">
        <x:v>2294</x:v>
      </x:c>
      <x:c r="D10" s="7" t="n">
        <x:v>354</x:v>
      </x:c>
      <x:c r="E10" s="7" t="n">
        <x:v>18</x:v>
      </x:c>
      <x:c r="F10" s="7" t="str">
        <x:v>M03</x:v>
      </x:c>
      <x:c r="G10" s="8" t="n">
        <x:v>1</x:v>
      </x:c>
      <x:c r="H10" s="8" t="n">
        <x:v>0</x:v>
      </x:c>
      <x:c r="I10" s="8" t="n">
        <x:v>0</x:v>
      </x:c>
      <x:c r="J10" s="8" t="n">
        <x:v>0</x:v>
      </x:c>
      <x:c r="K10" s="8"/>
      <x:c r="L10" s="8"/>
      <x:c r="M10" s="7" t="str">
        <x:f>IF(COUNT(H10,J10,K10)=3,C10-H10-J10+K10,"NYITOTT")</x:f>
        <x:v>NYITOTT</x:v>
      </x:c>
      <x:c r="N10" s="7" t="str">
        <x:f>IF(COUNT(G10,I10,L10)=3,D10-G10-I10+L10,"NYITOTT")</x:f>
        <x:v>NYITOTT</x:v>
      </x:c>
      <x:c r="O10" s="9" t="n">
        <x:f>C10*D10/1000000</x:f>
        <x:v>0.812076</x:v>
      </x:c>
      <x:c r="P10" s="6" t="str">
        <x:v>NYITOTT</x:v>
      </x:c>
      <x:c r="Q10" s="6" t="str">
        <x:v>NEM</x:v>
      </x:c>
      <x:c r="R10" s="2" t="n">
        <x:f>COUNTIF(Furatok!B6:B831,A10)</x:f>
        <x:v>36</x:v>
      </x:c>
      <x:c r="S10" s="2" t="str">
        <x:v>R15:KI12-TV01C-01</x:v>
      </x:c>
    </x:row>
    <x:row r="11" ht="34" customHeight="1">
      <x:c r="A11" s="2" t="str">
        <x:v>KI12-TV01P-01</x:v>
      </x:c>
      <x:c r="B11" s="2" t="str">
        <x:v>Torony állítható polc / példány 1</x:v>
      </x:c>
      <x:c r="C11" s="7" t="n">
        <x:v>331</x:v>
      </x:c>
      <x:c r="D11" s="7" t="n">
        <x:v>290</x:v>
      </x:c>
      <x:c r="E11" s="7" t="n">
        <x:v>18</x:v>
      </x:c>
      <x:c r="F11" s="7" t="str">
        <x:v>M03</x:v>
      </x:c>
      <x:c r="G11" s="8" t="n">
        <x:v>1</x:v>
      </x:c>
      <x:c r="H11" s="8" t="n">
        <x:v>0</x:v>
      </x:c>
      <x:c r="I11" s="8" t="n">
        <x:v>0</x:v>
      </x:c>
      <x:c r="J11" s="8" t="n">
        <x:v>0</x:v>
      </x:c>
      <x:c r="K11" s="8"/>
      <x:c r="L11" s="8"/>
      <x:c r="M11" s="7" t="str">
        <x:f>IF(COUNT(H11,J11,K11)=3,C11-H11-J11+K11,"NYITOTT")</x:f>
        <x:v>NYITOTT</x:v>
      </x:c>
      <x:c r="N11" s="7" t="str">
        <x:f>IF(COUNT(G11,I11,L11)=3,D11-G11-I11+L11,"NYITOTT")</x:f>
        <x:v>NYITOTT</x:v>
      </x:c>
      <x:c r="O11" s="9" t="n">
        <x:f>C11*D11/1000000</x:f>
        <x:v>0.09599</x:v>
      </x:c>
      <x:c r="P11" s="6" t="str">
        <x:v>NYITOTT</x:v>
      </x:c>
      <x:c r="Q11" s="6" t="str">
        <x:v>NEM</x:v>
      </x:c>
      <x:c r="R11" s="2" t="n">
        <x:f>COUNTIF(Furatok!B6:B831,A11)</x:f>
        <x:v>0</x:v>
      </x:c>
      <x:c r="S11" s="2" t="str">
        <x:v>R15:KI12-TV01P-01</x:v>
      </x:c>
    </x:row>
    <x:row r="12" ht="34" customHeight="1">
      <x:c r="A12" s="2" t="str">
        <x:v>KI12-TV01P-02</x:v>
      </x:c>
      <x:c r="B12" s="2" t="str">
        <x:v>Torony állítható polc / példány 2</x:v>
      </x:c>
      <x:c r="C12" s="7" t="n">
        <x:v>331</x:v>
      </x:c>
      <x:c r="D12" s="7" t="n">
        <x:v>290</x:v>
      </x:c>
      <x:c r="E12" s="7" t="n">
        <x:v>18</x:v>
      </x:c>
      <x:c r="F12" s="7" t="str">
        <x:v>M03</x:v>
      </x:c>
      <x:c r="G12" s="8" t="n">
        <x:v>1</x:v>
      </x:c>
      <x:c r="H12" s="8" t="n">
        <x:v>0</x:v>
      </x:c>
      <x:c r="I12" s="8" t="n">
        <x:v>0</x:v>
      </x:c>
      <x:c r="J12" s="8" t="n">
        <x:v>0</x:v>
      </x:c>
      <x:c r="K12" s="8"/>
      <x:c r="L12" s="8"/>
      <x:c r="M12" s="7" t="str">
        <x:f>IF(COUNT(H12,J12,K12)=3,C12-H12-J12+K12,"NYITOTT")</x:f>
        <x:v>NYITOTT</x:v>
      </x:c>
      <x:c r="N12" s="7" t="str">
        <x:f>IF(COUNT(G12,I12,L12)=3,D12-G12-I12+L12,"NYITOTT")</x:f>
        <x:v>NYITOTT</x:v>
      </x:c>
      <x:c r="O12" s="9" t="n">
        <x:f>C12*D12/1000000</x:f>
        <x:v>0.09599</x:v>
      </x:c>
      <x:c r="P12" s="6" t="str">
        <x:v>NYITOTT</x:v>
      </x:c>
      <x:c r="Q12" s="6" t="str">
        <x:v>NEM</x:v>
      </x:c>
      <x:c r="R12" s="2" t="n">
        <x:f>COUNTIF(Furatok!B6:B831,A12)</x:f>
        <x:v>0</x:v>
      </x:c>
      <x:c r="S12" s="2" t="str">
        <x:v>R15:KI12-TV01P-02</x:v>
      </x:c>
    </x:row>
    <x:row r="13" ht="34" customHeight="1">
      <x:c r="A13" s="2" t="str">
        <x:v>KI12-TV01P-03</x:v>
      </x:c>
      <x:c r="B13" s="2" t="str">
        <x:v>Torony állítható polc / példány 3</x:v>
      </x:c>
      <x:c r="C13" s="7" t="n">
        <x:v>331</x:v>
      </x:c>
      <x:c r="D13" s="7" t="n">
        <x:v>290</x:v>
      </x:c>
      <x:c r="E13" s="7" t="n">
        <x:v>18</x:v>
      </x:c>
      <x:c r="F13" s="7" t="str">
        <x:v>M03</x:v>
      </x:c>
      <x:c r="G13" s="8" t="n">
        <x:v>1</x:v>
      </x:c>
      <x:c r="H13" s="8" t="n">
        <x:v>0</x:v>
      </x:c>
      <x:c r="I13" s="8" t="n">
        <x:v>0</x:v>
      </x:c>
      <x:c r="J13" s="8" t="n">
        <x:v>0</x:v>
      </x:c>
      <x:c r="K13" s="8"/>
      <x:c r="L13" s="8"/>
      <x:c r="M13" s="7" t="str">
        <x:f>IF(COUNT(H13,J13,K13)=3,C13-H13-J13+K13,"NYITOTT")</x:f>
        <x:v>NYITOTT</x:v>
      </x:c>
      <x:c r="N13" s="7" t="str">
        <x:f>IF(COUNT(G13,I13,L13)=3,D13-G13-I13+L13,"NYITOTT")</x:f>
        <x:v>NYITOTT</x:v>
      </x:c>
      <x:c r="O13" s="9" t="n">
        <x:f>C13*D13/1000000</x:f>
        <x:v>0.09599</x:v>
      </x:c>
      <x:c r="P13" s="6" t="str">
        <x:v>NYITOTT</x:v>
      </x:c>
      <x:c r="Q13" s="6" t="str">
        <x:v>NEM</x:v>
      </x:c>
      <x:c r="R13" s="2" t="n">
        <x:f>COUNTIF(Furatok!B6:B831,A13)</x:f>
        <x:v>0</x:v>
      </x:c>
      <x:c r="S13" s="2" t="str">
        <x:v>R15:KI12-TV01P-03</x:v>
      </x:c>
    </x:row>
    <x:row r="14" ht="34" customHeight="1">
      <x:c r="A14" s="2" t="str">
        <x:v>KI12-TV01P-04</x:v>
      </x:c>
      <x:c r="B14" s="2" t="str">
        <x:v>Torony állítható polc / példány 4</x:v>
      </x:c>
      <x:c r="C14" s="7" t="n">
        <x:v>331</x:v>
      </x:c>
      <x:c r="D14" s="7" t="n">
        <x:v>290</x:v>
      </x:c>
      <x:c r="E14" s="7" t="n">
        <x:v>18</x:v>
      </x:c>
      <x:c r="F14" s="7" t="str">
        <x:v>M03</x:v>
      </x:c>
      <x:c r="G14" s="8" t="n">
        <x:v>1</x:v>
      </x:c>
      <x:c r="H14" s="8" t="n">
        <x:v>0</x:v>
      </x:c>
      <x:c r="I14" s="8" t="n">
        <x:v>0</x:v>
      </x:c>
      <x:c r="J14" s="8" t="n">
        <x:v>0</x:v>
      </x:c>
      <x:c r="K14" s="8"/>
      <x:c r="L14" s="8"/>
      <x:c r="M14" s="7" t="str">
        <x:f>IF(COUNT(H14,J14,K14)=3,C14-H14-J14+K14,"NYITOTT")</x:f>
        <x:v>NYITOTT</x:v>
      </x:c>
      <x:c r="N14" s="7" t="str">
        <x:f>IF(COUNT(G14,I14,L14)=3,D14-G14-I14+L14,"NYITOTT")</x:f>
        <x:v>NYITOTT</x:v>
      </x:c>
      <x:c r="O14" s="9" t="n">
        <x:f>C14*D14/1000000</x:f>
        <x:v>0.09599</x:v>
      </x:c>
      <x:c r="P14" s="6" t="str">
        <x:v>NYITOTT</x:v>
      </x:c>
      <x:c r="Q14" s="6" t="str">
        <x:v>NEM</x:v>
      </x:c>
      <x:c r="R14" s="2" t="n">
        <x:f>COUNTIF(Furatok!B6:B831,A14)</x:f>
        <x:v>0</x:v>
      </x:c>
      <x:c r="S14" s="2" t="str">
        <x:v>R15:KI12-TV01P-04</x:v>
      </x:c>
    </x:row>
    <x:row r="15" ht="34" customHeight="1">
      <x:c r="A15" s="2" t="str">
        <x:v>KI12-TV01P-05</x:v>
      </x:c>
      <x:c r="B15" s="2" t="str">
        <x:v>Torony állítható polc / példány 5</x:v>
      </x:c>
      <x:c r="C15" s="7" t="n">
        <x:v>331</x:v>
      </x:c>
      <x:c r="D15" s="7" t="n">
        <x:v>290</x:v>
      </x:c>
      <x:c r="E15" s="7" t="n">
        <x:v>18</x:v>
      </x:c>
      <x:c r="F15" s="7" t="str">
        <x:v>M03</x:v>
      </x:c>
      <x:c r="G15" s="8" t="n">
        <x:v>1</x:v>
      </x:c>
      <x:c r="H15" s="8" t="n">
        <x:v>0</x:v>
      </x:c>
      <x:c r="I15" s="8" t="n">
        <x:v>0</x:v>
      </x:c>
      <x:c r="J15" s="8" t="n">
        <x:v>0</x:v>
      </x:c>
      <x:c r="K15" s="8"/>
      <x:c r="L15" s="8"/>
      <x:c r="M15" s="7" t="str">
        <x:f>IF(COUNT(H15,J15,K15)=3,C15-H15-J15+K15,"NYITOTT")</x:f>
        <x:v>NYITOTT</x:v>
      </x:c>
      <x:c r="N15" s="7" t="str">
        <x:f>IF(COUNT(G15,I15,L15)=3,D15-G15-I15+L15,"NYITOTT")</x:f>
        <x:v>NYITOTT</x:v>
      </x:c>
      <x:c r="O15" s="9" t="n">
        <x:f>C15*D15/1000000</x:f>
        <x:v>0.09599</x:v>
      </x:c>
      <x:c r="P15" s="6" t="str">
        <x:v>NYITOTT</x:v>
      </x:c>
      <x:c r="Q15" s="6" t="str">
        <x:v>NEM</x:v>
      </x:c>
      <x:c r="R15" s="2" t="n">
        <x:f>COUNTIF(Furatok!B6:B831,A15)</x:f>
        <x:v>0</x:v>
      </x:c>
      <x:c r="S15" s="2" t="str">
        <x:v>R15:KI12-TV01P-05</x:v>
      </x:c>
    </x:row>
    <x:row r="16" ht="34" customHeight="1">
      <x:c r="A16" s="2" t="str">
        <x:v>KI12-TV01P-06</x:v>
      </x:c>
      <x:c r="B16" s="2" t="str">
        <x:v>Torony állítható polc / példány 6</x:v>
      </x:c>
      <x:c r="C16" s="7" t="n">
        <x:v>331</x:v>
      </x:c>
      <x:c r="D16" s="7" t="n">
        <x:v>290</x:v>
      </x:c>
      <x:c r="E16" s="7" t="n">
        <x:v>18</x:v>
      </x:c>
      <x:c r="F16" s="7" t="str">
        <x:v>M03</x:v>
      </x:c>
      <x:c r="G16" s="8" t="n">
        <x:v>1</x:v>
      </x:c>
      <x:c r="H16" s="8" t="n">
        <x:v>0</x:v>
      </x:c>
      <x:c r="I16" s="8" t="n">
        <x:v>0</x:v>
      </x:c>
      <x:c r="J16" s="8" t="n">
        <x:v>0</x:v>
      </x:c>
      <x:c r="K16" s="8"/>
      <x:c r="L16" s="8"/>
      <x:c r="M16" s="7" t="str">
        <x:f>IF(COUNT(H16,J16,K16)=3,C16-H16-J16+K16,"NYITOTT")</x:f>
        <x:v>NYITOTT</x:v>
      </x:c>
      <x:c r="N16" s="7" t="str">
        <x:f>IF(COUNT(G16,I16,L16)=3,D16-G16-I16+L16,"NYITOTT")</x:f>
        <x:v>NYITOTT</x:v>
      </x:c>
      <x:c r="O16" s="9" t="n">
        <x:f>C16*D16/1000000</x:f>
        <x:v>0.09599</x:v>
      </x:c>
      <x:c r="P16" s="6" t="str">
        <x:v>NYITOTT</x:v>
      </x:c>
      <x:c r="Q16" s="6" t="str">
        <x:v>NEM</x:v>
      </x:c>
      <x:c r="R16" s="2" t="n">
        <x:f>COUNTIF(Furatok!B6:B831,A16)</x:f>
        <x:v>0</x:v>
      </x:c>
      <x:c r="S16" s="2" t="str">
        <x:v>R15:KI12-TV01P-06</x:v>
      </x:c>
    </x:row>
    <x:row r="17" ht="34" customHeight="1">
      <x:c r="A17" s="2" t="str">
        <x:v>KI12-TV01P-07</x:v>
      </x:c>
      <x:c r="B17" s="2" t="str">
        <x:v>Torony állítható polc / példány 7</x:v>
      </x:c>
      <x:c r="C17" s="7" t="n">
        <x:v>331</x:v>
      </x:c>
      <x:c r="D17" s="7" t="n">
        <x:v>290</x:v>
      </x:c>
      <x:c r="E17" s="7" t="n">
        <x:v>18</x:v>
      </x:c>
      <x:c r="F17" s="7" t="str">
        <x:v>M03</x:v>
      </x:c>
      <x:c r="G17" s="8" t="n">
        <x:v>1</x:v>
      </x:c>
      <x:c r="H17" s="8" t="n">
        <x:v>0</x:v>
      </x:c>
      <x:c r="I17" s="8" t="n">
        <x:v>0</x:v>
      </x:c>
      <x:c r="J17" s="8" t="n">
        <x:v>0</x:v>
      </x:c>
      <x:c r="K17" s="8"/>
      <x:c r="L17" s="8"/>
      <x:c r="M17" s="7" t="str">
        <x:f>IF(COUNT(H17,J17,K17)=3,C17-H17-J17+K17,"NYITOTT")</x:f>
        <x:v>NYITOTT</x:v>
      </x:c>
      <x:c r="N17" s="7" t="str">
        <x:f>IF(COUNT(G17,I17,L17)=3,D17-G17-I17+L17,"NYITOTT")</x:f>
        <x:v>NYITOTT</x:v>
      </x:c>
      <x:c r="O17" s="9" t="n">
        <x:f>C17*D17/1000000</x:f>
        <x:v>0.09599</x:v>
      </x:c>
      <x:c r="P17" s="6" t="str">
        <x:v>NYITOTT</x:v>
      </x:c>
      <x:c r="Q17" s="6" t="str">
        <x:v>NEM</x:v>
      </x:c>
      <x:c r="R17" s="2" t="n">
        <x:f>COUNTIF(Furatok!B6:B831,A17)</x:f>
        <x:v>0</x:v>
      </x:c>
      <x:c r="S17" s="2" t="str">
        <x:v>R15:KI12-TV01P-07</x:v>
      </x:c>
    </x:row>
    <x:row r="18" ht="34" customHeight="1">
      <x:c r="A18" s="2" t="str">
        <x:v>KI12-TV01P-08</x:v>
      </x:c>
      <x:c r="B18" s="2" t="str">
        <x:v>Torony állítható polc / példány 8</x:v>
      </x:c>
      <x:c r="C18" s="7" t="n">
        <x:v>331</x:v>
      </x:c>
      <x:c r="D18" s="7" t="n">
        <x:v>290</x:v>
      </x:c>
      <x:c r="E18" s="7" t="n">
        <x:v>18</x:v>
      </x:c>
      <x:c r="F18" s="7" t="str">
        <x:v>M03</x:v>
      </x:c>
      <x:c r="G18" s="8" t="n">
        <x:v>1</x:v>
      </x:c>
      <x:c r="H18" s="8" t="n">
        <x:v>0</x:v>
      </x:c>
      <x:c r="I18" s="8" t="n">
        <x:v>0</x:v>
      </x:c>
      <x:c r="J18" s="8" t="n">
        <x:v>0</x:v>
      </x:c>
      <x:c r="K18" s="8"/>
      <x:c r="L18" s="8"/>
      <x:c r="M18" s="7" t="str">
        <x:f>IF(COUNT(H18,J18,K18)=3,C18-H18-J18+K18,"NYITOTT")</x:f>
        <x:v>NYITOTT</x:v>
      </x:c>
      <x:c r="N18" s="7" t="str">
        <x:f>IF(COUNT(G18,I18,L18)=3,D18-G18-I18+L18,"NYITOTT")</x:f>
        <x:v>NYITOTT</x:v>
      </x:c>
      <x:c r="O18" s="9" t="n">
        <x:f>C18*D18/1000000</x:f>
        <x:v>0.09599</x:v>
      </x:c>
      <x:c r="P18" s="6" t="str">
        <x:v>NYITOTT</x:v>
      </x:c>
      <x:c r="Q18" s="6" t="str">
        <x:v>NEM</x:v>
      </x:c>
      <x:c r="R18" s="2" t="n">
        <x:f>COUNTIF(Furatok!B6:B831,A18)</x:f>
        <x:v>0</x:v>
      </x:c>
      <x:c r="S18" s="2" t="str">
        <x:v>R15:KI12-TV01P-08</x:v>
      </x:c>
    </x:row>
    <x:row r="19" ht="34" customHeight="1">
      <x:c r="A19" s="2" t="str">
        <x:v>KI12-TV01P-09</x:v>
      </x:c>
      <x:c r="B19" s="2" t="str">
        <x:v>Torony állítható polc / példány 9</x:v>
      </x:c>
      <x:c r="C19" s="7" t="n">
        <x:v>331</x:v>
      </x:c>
      <x:c r="D19" s="7" t="n">
        <x:v>290</x:v>
      </x:c>
      <x:c r="E19" s="7" t="n">
        <x:v>18</x:v>
      </x:c>
      <x:c r="F19" s="7" t="str">
        <x:v>M03</x:v>
      </x:c>
      <x:c r="G19" s="8" t="n">
        <x:v>1</x:v>
      </x:c>
      <x:c r="H19" s="8" t="n">
        <x:v>0</x:v>
      </x:c>
      <x:c r="I19" s="8" t="n">
        <x:v>0</x:v>
      </x:c>
      <x:c r="J19" s="8" t="n">
        <x:v>0</x:v>
      </x:c>
      <x:c r="K19" s="8"/>
      <x:c r="L19" s="8"/>
      <x:c r="M19" s="7" t="str">
        <x:f>IF(COUNT(H19,J19,K19)=3,C19-H19-J19+K19,"NYITOTT")</x:f>
        <x:v>NYITOTT</x:v>
      </x:c>
      <x:c r="N19" s="7" t="str">
        <x:f>IF(COUNT(G19,I19,L19)=3,D19-G19-I19+L19,"NYITOTT")</x:f>
        <x:v>NYITOTT</x:v>
      </x:c>
      <x:c r="O19" s="9" t="n">
        <x:f>C19*D19/1000000</x:f>
        <x:v>0.09599</x:v>
      </x:c>
      <x:c r="P19" s="6" t="str">
        <x:v>NYITOTT</x:v>
      </x:c>
      <x:c r="Q19" s="6" t="str">
        <x:v>NEM</x:v>
      </x:c>
      <x:c r="R19" s="2" t="n">
        <x:f>COUNTIF(Furatok!B6:B831,A19)</x:f>
        <x:v>0</x:v>
      </x:c>
      <x:c r="S19" s="2" t="str">
        <x:v>R15:KI12-TV01P-09</x:v>
      </x:c>
    </x:row>
    <x:row r="20" ht="34" customHeight="1">
      <x:c r="A20" s="2" t="str">
        <x:v>KI12-TV01P-10</x:v>
      </x:c>
      <x:c r="B20" s="2" t="str">
        <x:v>Torony állítható polc / példány 10</x:v>
      </x:c>
      <x:c r="C20" s="7" t="n">
        <x:v>331</x:v>
      </x:c>
      <x:c r="D20" s="7" t="n">
        <x:v>290</x:v>
      </x:c>
      <x:c r="E20" s="7" t="n">
        <x:v>18</x:v>
      </x:c>
      <x:c r="F20" s="7" t="str">
        <x:v>M03</x:v>
      </x:c>
      <x:c r="G20" s="8" t="n">
        <x:v>1</x:v>
      </x:c>
      <x:c r="H20" s="8" t="n">
        <x:v>0</x:v>
      </x:c>
      <x:c r="I20" s="8" t="n">
        <x:v>0</x:v>
      </x:c>
      <x:c r="J20" s="8" t="n">
        <x:v>0</x:v>
      </x:c>
      <x:c r="K20" s="8"/>
      <x:c r="L20" s="8"/>
      <x:c r="M20" s="7" t="str">
        <x:f>IF(COUNT(H20,J20,K20)=3,C20-H20-J20+K20,"NYITOTT")</x:f>
        <x:v>NYITOTT</x:v>
      </x:c>
      <x:c r="N20" s="7" t="str">
        <x:f>IF(COUNT(G20,I20,L20)=3,D20-G20-I20+L20,"NYITOTT")</x:f>
        <x:v>NYITOTT</x:v>
      </x:c>
      <x:c r="O20" s="9" t="n">
        <x:f>C20*D20/1000000</x:f>
        <x:v>0.09599</x:v>
      </x:c>
      <x:c r="P20" s="6" t="str">
        <x:v>NYITOTT</x:v>
      </x:c>
      <x:c r="Q20" s="6" t="str">
        <x:v>NEM</x:v>
      </x:c>
      <x:c r="R20" s="2" t="n">
        <x:f>COUNTIF(Furatok!B6:B831,A20)</x:f>
        <x:v>0</x:v>
      </x:c>
      <x:c r="S20" s="2" t="str">
        <x:v>R15:KI12-TV01P-10</x:v>
      </x:c>
    </x:row>
    <x:row r="21" ht="34" customHeight="1">
      <x:c r="A21" s="2" t="str">
        <x:v>KI12-TV01F-01</x:v>
      </x:c>
      <x:c r="B21" s="2" t="str">
        <x:v>Torony front / bal ajtó</x:v>
      </x:c>
      <x:c r="C21" s="7" t="n">
        <x:v>2327</x:v>
      </x:c>
      <x:c r="D21" s="7" t="n">
        <x:v>357</x:v>
      </x:c>
      <x:c r="E21" s="7" t="n">
        <x:v>18</x:v>
      </x:c>
      <x:c r="F21" s="7" t="str">
        <x:v>M01+nyomat</x:v>
      </x:c>
      <x:c r="G21" s="8" t="n">
        <x:v>1</x:v>
      </x:c>
      <x:c r="H21" s="8" t="n">
        <x:v>1</x:v>
      </x:c>
      <x:c r="I21" s="8" t="n">
        <x:v>1</x:v>
      </x:c>
      <x:c r="J21" s="8" t="n">
        <x:v>1</x:v>
      </x:c>
      <x:c r="K21" s="8"/>
      <x:c r="L21" s="8"/>
      <x:c r="M21" s="7" t="str">
        <x:f>IF(COUNT(H21,J21,K21)=3,C21-H21-J21+K21,"NYITOTT")</x:f>
        <x:v>NYITOTT</x:v>
      </x:c>
      <x:c r="N21" s="7" t="str">
        <x:f>IF(COUNT(G21,I21,L21)=3,D21-G21-I21+L21,"NYITOTT")</x:f>
        <x:v>NYITOTT</x:v>
      </x:c>
      <x:c r="O21" s="9" t="n">
        <x:f>C21*D21/1000000</x:f>
        <x:v>0.830739</x:v>
      </x:c>
      <x:c r="P21" s="6" t="str">
        <x:v>NYITOTT</x:v>
      </x:c>
      <x:c r="Q21" s="6" t="str">
        <x:v>NEM</x:v>
      </x:c>
      <x:c r="R21" s="2" t="n">
        <x:f>COUNTIF(Furatok!B6:B831,A21)</x:f>
        <x:v>15</x:v>
      </x:c>
      <x:c r="S21" s="2" t="str">
        <x:v>R15:KI12-TV01F-01</x:v>
      </x:c>
    </x:row>
    <x:row r="22" ht="34" customHeight="1">
      <x:c r="A22" s="2" t="str">
        <x:v>KI12-TV01F-02</x:v>
      </x:c>
      <x:c r="B22" s="2" t="str">
        <x:v>Torony front / jobb ajtó</x:v>
      </x:c>
      <x:c r="C22" s="7" t="n">
        <x:v>2327</x:v>
      </x:c>
      <x:c r="D22" s="7" t="n">
        <x:v>357</x:v>
      </x:c>
      <x:c r="E22" s="7" t="n">
        <x:v>18</x:v>
      </x:c>
      <x:c r="F22" s="7" t="str">
        <x:v>M01+nyomat</x:v>
      </x:c>
      <x:c r="G22" s="8" t="n">
        <x:v>1</x:v>
      </x:c>
      <x:c r="H22" s="8" t="n">
        <x:v>1</x:v>
      </x:c>
      <x:c r="I22" s="8" t="n">
        <x:v>1</x:v>
      </x:c>
      <x:c r="J22" s="8" t="n">
        <x:v>1</x:v>
      </x:c>
      <x:c r="K22" s="8"/>
      <x:c r="L22" s="8"/>
      <x:c r="M22" s="7" t="str">
        <x:f>IF(COUNT(H22,J22,K22)=3,C22-H22-J22+K22,"NYITOTT")</x:f>
        <x:v>NYITOTT</x:v>
      </x:c>
      <x:c r="N22" s="7" t="str">
        <x:f>IF(COUNT(G22,I22,L22)=3,D22-G22-I22+L22,"NYITOTT")</x:f>
        <x:v>NYITOTT</x:v>
      </x:c>
      <x:c r="O22" s="9" t="n">
        <x:f>C22*D22/1000000</x:f>
        <x:v>0.830739</x:v>
      </x:c>
      <x:c r="P22" s="6" t="str">
        <x:v>NYITOTT</x:v>
      </x:c>
      <x:c r="Q22" s="6" t="str">
        <x:v>NEM</x:v>
      </x:c>
      <x:c r="R22" s="2" t="n">
        <x:f>COUNTIF(Furatok!B6:B831,A22)</x:f>
        <x:v>15</x:v>
      </x:c>
      <x:c r="S22" s="2" t="str">
        <x:v>R15:KI12-TV01F-02</x:v>
      </x:c>
    </x:row>
    <x:row r="23" ht="34" customHeight="1">
      <x:c r="A23" s="2" t="str">
        <x:v>KI12-TV01H-01</x:v>
      </x:c>
      <x:c r="B23" s="2" t="str">
        <x:v>Torony hátlap / példány 1</x:v>
      </x:c>
      <x:c r="C23" s="7" t="n">
        <x:v>2292</x:v>
      </x:c>
      <x:c r="D23" s="7" t="n">
        <x:v>682</x:v>
      </x:c>
      <x:c r="E23" s="7" t="n">
        <x:v>8</x:v>
      </x:c>
      <x:c r="F23" s="7" t="str">
        <x:v>M03</x:v>
      </x:c>
      <x:c r="G23" s="8" t="n">
        <x:v>0</x:v>
      </x:c>
      <x:c r="H23" s="8" t="n">
        <x:v>0</x:v>
      </x:c>
      <x:c r="I23" s="8" t="n">
        <x:v>0</x:v>
      </x:c>
      <x:c r="J23" s="8" t="n">
        <x:v>0</x:v>
      </x:c>
      <x:c r="K23" s="8"/>
      <x:c r="L23" s="8"/>
      <x:c r="M23" s="7" t="str">
        <x:f>IF(COUNT(H23,J23,K23)=3,C23-H23-J23+K23,"NYITOTT")</x:f>
        <x:v>NYITOTT</x:v>
      </x:c>
      <x:c r="N23" s="7" t="str">
        <x:f>IF(COUNT(G23,I23,L23)=3,D23-G23-I23+L23,"NYITOTT")</x:f>
        <x:v>NYITOTT</x:v>
      </x:c>
      <x:c r="O23" s="9" t="n">
        <x:f>C23*D23/1000000</x:f>
        <x:v>1.563144</x:v>
      </x:c>
      <x:c r="P23" s="6" t="str">
        <x:v>NYITOTT</x:v>
      </x:c>
      <x:c r="Q23" s="6" t="str">
        <x:v>NEM</x:v>
      </x:c>
      <x:c r="R23" s="2" t="n">
        <x:f>COUNTIF(Furatok!B6:B831,A23)</x:f>
        <x:v>14</x:v>
      </x:c>
      <x:c r="S23" s="2" t="str">
        <x:v>R15:KI12-TV01H-01</x:v>
      </x:c>
    </x:row>
    <x:row r="24" ht="34" customHeight="1">
      <x:c r="A24" s="2" t="str">
        <x:v>KI12-TV02S-01</x:v>
      </x:c>
      <x:c r="B24" s="2" t="str">
        <x:v>Alsó oldalak / bal oldallap</x:v>
      </x:c>
      <x:c r="C24" s="7" t="n">
        <x:v>382</x:v>
      </x:c>
      <x:c r="D24" s="7" t="n">
        <x:v>382</x:v>
      </x:c>
      <x:c r="E24" s="7" t="n">
        <x:v>18</x:v>
      </x:c>
      <x:c r="F24" s="7" t="str">
        <x:v>M03</x:v>
      </x:c>
      <x:c r="G24" s="8" t="n">
        <x:v>1</x:v>
      </x:c>
      <x:c r="H24" s="8" t="n">
        <x:v>0</x:v>
      </x:c>
      <x:c r="I24" s="8" t="n">
        <x:v>0</x:v>
      </x:c>
      <x:c r="J24" s="8" t="n">
        <x:v>0</x:v>
      </x:c>
      <x:c r="K24" s="8"/>
      <x:c r="L24" s="8"/>
      <x:c r="M24" s="7" t="str">
        <x:f>IF(COUNT(H24,J24,K24)=3,C24-H24-J24+K24,"NYITOTT")</x:f>
        <x:v>NYITOTT</x:v>
      </x:c>
      <x:c r="N24" s="7" t="str">
        <x:f>IF(COUNT(G24,I24,L24)=3,D24-G24-I24+L24,"NYITOTT")</x:f>
        <x:v>NYITOTT</x:v>
      </x:c>
      <x:c r="O24" s="9" t="n">
        <x:f>C24*D24/1000000</x:f>
        <x:v>0.145924</x:v>
      </x:c>
      <x:c r="P24" s="6" t="str">
        <x:v>NYITOTT</x:v>
      </x:c>
      <x:c r="Q24" s="6" t="str">
        <x:v>NEM</x:v>
      </x:c>
      <x:c r="R24" s="2" t="n">
        <x:f>COUNTIF(Furatok!B6:B831,A24)</x:f>
        <x:v>22</x:v>
      </x:c>
      <x:c r="S24" s="2" t="str">
        <x:v>R15:KI12-TV02S-01</x:v>
      </x:c>
    </x:row>
    <x:row r="25" ht="34" customHeight="1">
      <x:c r="A25" s="2" t="str">
        <x:v>KI12-TV02S-02</x:v>
      </x:c>
      <x:c r="B25" s="2" t="str">
        <x:v>Alsó oldalak / jobb oldallap</x:v>
      </x:c>
      <x:c r="C25" s="7" t="n">
        <x:v>382</x:v>
      </x:c>
      <x:c r="D25" s="7" t="n">
        <x:v>382</x:v>
      </x:c>
      <x:c r="E25" s="7" t="n">
        <x:v>18</x:v>
      </x:c>
      <x:c r="F25" s="7" t="str">
        <x:v>M03</x:v>
      </x:c>
      <x:c r="G25" s="8" t="n">
        <x:v>1</x:v>
      </x:c>
      <x:c r="H25" s="8" t="n">
        <x:v>0</x:v>
      </x:c>
      <x:c r="I25" s="8" t="n">
        <x:v>0</x:v>
      </x:c>
      <x:c r="J25" s="8" t="n">
        <x:v>0</x:v>
      </x:c>
      <x:c r="K25" s="8"/>
      <x:c r="L25" s="8"/>
      <x:c r="M25" s="7" t="str">
        <x:f>IF(COUNT(H25,J25,K25)=3,C25-H25-J25+K25,"NYITOTT")</x:f>
        <x:v>NYITOTT</x:v>
      </x:c>
      <x:c r="N25" s="7" t="str">
        <x:f>IF(COUNT(G25,I25,L25)=3,D25-G25-I25+L25,"NYITOTT")</x:f>
        <x:v>NYITOTT</x:v>
      </x:c>
      <x:c r="O25" s="9" t="n">
        <x:f>C25*D25/1000000</x:f>
        <x:v>0.145924</x:v>
      </x:c>
      <x:c r="P25" s="6" t="str">
        <x:v>NYITOTT</x:v>
      </x:c>
      <x:c r="Q25" s="6" t="str">
        <x:v>NEM</x:v>
      </x:c>
      <x:c r="R25" s="2" t="n">
        <x:f>COUNTIF(Furatok!B6:B831,A25)</x:f>
        <x:v>22</x:v>
      </x:c>
      <x:c r="S25" s="2" t="str">
        <x:v>R15:KI12-TV02S-02</x:v>
      </x:c>
    </x:row>
    <x:row r="26" ht="34" customHeight="1">
      <x:c r="A26" s="2" t="str">
        <x:v>KI12-TV02S-03</x:v>
      </x:c>
      <x:c r="B26" s="2" t="str">
        <x:v>Alsó oldalak / bal oldallap</x:v>
      </x:c>
      <x:c r="C26" s="7" t="n">
        <x:v>382</x:v>
      </x:c>
      <x:c r="D26" s="7" t="n">
        <x:v>382</x:v>
      </x:c>
      <x:c r="E26" s="7" t="n">
        <x:v>18</x:v>
      </x:c>
      <x:c r="F26" s="7" t="str">
        <x:v>M03</x:v>
      </x:c>
      <x:c r="G26" s="8" t="n">
        <x:v>1</x:v>
      </x:c>
      <x:c r="H26" s="8" t="n">
        <x:v>0</x:v>
      </x:c>
      <x:c r="I26" s="8" t="n">
        <x:v>0</x:v>
      </x:c>
      <x:c r="J26" s="8" t="n">
        <x:v>0</x:v>
      </x:c>
      <x:c r="K26" s="8"/>
      <x:c r="L26" s="8"/>
      <x:c r="M26" s="7" t="str">
        <x:f>IF(COUNT(H26,J26,K26)=3,C26-H26-J26+K26,"NYITOTT")</x:f>
        <x:v>NYITOTT</x:v>
      </x:c>
      <x:c r="N26" s="7" t="str">
        <x:f>IF(COUNT(G26,I26,L26)=3,D26-G26-I26+L26,"NYITOTT")</x:f>
        <x:v>NYITOTT</x:v>
      </x:c>
      <x:c r="O26" s="9" t="n">
        <x:f>C26*D26/1000000</x:f>
        <x:v>0.145924</x:v>
      </x:c>
      <x:c r="P26" s="6" t="str">
        <x:v>NYITOTT</x:v>
      </x:c>
      <x:c r="Q26" s="6" t="str">
        <x:v>NEM</x:v>
      </x:c>
      <x:c r="R26" s="2" t="n">
        <x:f>COUNTIF(Furatok!B6:B831,A26)</x:f>
        <x:v>22</x:v>
      </x:c>
      <x:c r="S26" s="2" t="str">
        <x:v>R15:KI12-TV02S-03</x:v>
      </x:c>
    </x:row>
    <x:row r="27" ht="34" customHeight="1">
      <x:c r="A27" s="2" t="str">
        <x:v>KI12-TV02S-04</x:v>
      </x:c>
      <x:c r="B27" s="2" t="str">
        <x:v>Alsó oldalak / jobb oldallap</x:v>
      </x:c>
      <x:c r="C27" s="7" t="n">
        <x:v>382</x:v>
      </x:c>
      <x:c r="D27" s="7" t="n">
        <x:v>382</x:v>
      </x:c>
      <x:c r="E27" s="7" t="n">
        <x:v>18</x:v>
      </x:c>
      <x:c r="F27" s="7" t="str">
        <x:v>M03</x:v>
      </x:c>
      <x:c r="G27" s="8" t="n">
        <x:v>1</x:v>
      </x:c>
      <x:c r="H27" s="8" t="n">
        <x:v>0</x:v>
      </x:c>
      <x:c r="I27" s="8" t="n">
        <x:v>0</x:v>
      </x:c>
      <x:c r="J27" s="8" t="n">
        <x:v>0</x:v>
      </x:c>
      <x:c r="K27" s="8"/>
      <x:c r="L27" s="8"/>
      <x:c r="M27" s="7" t="str">
        <x:f>IF(COUNT(H27,J27,K27)=3,C27-H27-J27+K27,"NYITOTT")</x:f>
        <x:v>NYITOTT</x:v>
      </x:c>
      <x:c r="N27" s="7" t="str">
        <x:f>IF(COUNT(G27,I27,L27)=3,D27-G27-I27+L27,"NYITOTT")</x:f>
        <x:v>NYITOTT</x:v>
      </x:c>
      <x:c r="O27" s="9" t="n">
        <x:f>C27*D27/1000000</x:f>
        <x:v>0.145924</x:v>
      </x:c>
      <x:c r="P27" s="6" t="str">
        <x:v>NYITOTT</x:v>
      </x:c>
      <x:c r="Q27" s="6" t="str">
        <x:v>NEM</x:v>
      </x:c>
      <x:c r="R27" s="2" t="n">
        <x:f>COUNTIF(Furatok!B6:B831,A27)</x:f>
        <x:v>18</x:v>
      </x:c>
      <x:c r="S27" s="2" t="str">
        <x:v>R15:KI12-TV02S-04</x:v>
      </x:c>
    </x:row>
    <x:row r="28" ht="34" customHeight="1">
      <x:c r="A28" s="2" t="str">
        <x:v>KI12-TV02S-05</x:v>
      </x:c>
      <x:c r="B28" s="2" t="str">
        <x:v>Alsó oldalak / bal oldallap</x:v>
      </x:c>
      <x:c r="C28" s="7" t="n">
        <x:v>382</x:v>
      </x:c>
      <x:c r="D28" s="7" t="n">
        <x:v>382</x:v>
      </x:c>
      <x:c r="E28" s="7" t="n">
        <x:v>18</x:v>
      </x:c>
      <x:c r="F28" s="7" t="str">
        <x:v>M03</x:v>
      </x:c>
      <x:c r="G28" s="8" t="n">
        <x:v>1</x:v>
      </x:c>
      <x:c r="H28" s="8" t="n">
        <x:v>0</x:v>
      </x:c>
      <x:c r="I28" s="8" t="n">
        <x:v>0</x:v>
      </x:c>
      <x:c r="J28" s="8" t="n">
        <x:v>0</x:v>
      </x:c>
      <x:c r="K28" s="8"/>
      <x:c r="L28" s="8"/>
      <x:c r="M28" s="7" t="str">
        <x:f>IF(COUNT(H28,J28,K28)=3,C28-H28-J28+K28,"NYITOTT")</x:f>
        <x:v>NYITOTT</x:v>
      </x:c>
      <x:c r="N28" s="7" t="str">
        <x:f>IF(COUNT(G28,I28,L28)=3,D28-G28-I28+L28,"NYITOTT")</x:f>
        <x:v>NYITOTT</x:v>
      </x:c>
      <x:c r="O28" s="9" t="n">
        <x:f>C28*D28/1000000</x:f>
        <x:v>0.145924</x:v>
      </x:c>
      <x:c r="P28" s="6" t="str">
        <x:v>NYITOTT</x:v>
      </x:c>
      <x:c r="Q28" s="6" t="str">
        <x:v>NEM</x:v>
      </x:c>
      <x:c r="R28" s="2" t="n">
        <x:f>COUNTIF(Furatok!B6:B831,A28)</x:f>
        <x:v>18</x:v>
      </x:c>
      <x:c r="S28" s="2" t="str">
        <x:v>R15:KI12-TV02S-05</x:v>
      </x:c>
    </x:row>
    <x:row r="29" ht="34" customHeight="1">
      <x:c r="A29" s="2" t="str">
        <x:v>KI12-TV02S-06</x:v>
      </x:c>
      <x:c r="B29" s="2" t="str">
        <x:v>Alsó oldalak / jobb oldallap</x:v>
      </x:c>
      <x:c r="C29" s="7" t="n">
        <x:v>382</x:v>
      </x:c>
      <x:c r="D29" s="7" t="n">
        <x:v>382</x:v>
      </x:c>
      <x:c r="E29" s="7" t="n">
        <x:v>18</x:v>
      </x:c>
      <x:c r="F29" s="7" t="str">
        <x:v>M03</x:v>
      </x:c>
      <x:c r="G29" s="8" t="n">
        <x:v>1</x:v>
      </x:c>
      <x:c r="H29" s="8" t="n">
        <x:v>0</x:v>
      </x:c>
      <x:c r="I29" s="8" t="n">
        <x:v>0</x:v>
      </x:c>
      <x:c r="J29" s="8" t="n">
        <x:v>0</x:v>
      </x:c>
      <x:c r="K29" s="8"/>
      <x:c r="L29" s="8"/>
      <x:c r="M29" s="7" t="str">
        <x:f>IF(COUNT(H29,J29,K29)=3,C29-H29-J29+K29,"NYITOTT")</x:f>
        <x:v>NYITOTT</x:v>
      </x:c>
      <x:c r="N29" s="7" t="str">
        <x:f>IF(COUNT(G29,I29,L29)=3,D29-G29-I29+L29,"NYITOTT")</x:f>
        <x:v>NYITOTT</x:v>
      </x:c>
      <x:c r="O29" s="9" t="n">
        <x:f>C29*D29/1000000</x:f>
        <x:v>0.145924</x:v>
      </x:c>
      <x:c r="P29" s="6" t="str">
        <x:v>NYITOTT</x:v>
      </x:c>
      <x:c r="Q29" s="6" t="str">
        <x:v>NEM</x:v>
      </x:c>
      <x:c r="R29" s="2" t="n">
        <x:f>COUNTIF(Furatok!B6:B831,A29)</x:f>
        <x:v>18</x:v>
      </x:c>
      <x:c r="S29" s="2" t="str">
        <x:v>R15:KI12-TV02S-06</x:v>
      </x:c>
    </x:row>
    <x:row r="30" ht="34" customHeight="1">
      <x:c r="A30" s="2" t="str">
        <x:v>KI12-TV02S-07</x:v>
      </x:c>
      <x:c r="B30" s="2" t="str">
        <x:v>Alsó oldalak / bal oldallap</x:v>
      </x:c>
      <x:c r="C30" s="7" t="n">
        <x:v>382</x:v>
      </x:c>
      <x:c r="D30" s="7" t="n">
        <x:v>382</x:v>
      </x:c>
      <x:c r="E30" s="7" t="n">
        <x:v>18</x:v>
      </x:c>
      <x:c r="F30" s="7" t="str">
        <x:v>M03</x:v>
      </x:c>
      <x:c r="G30" s="8" t="n">
        <x:v>1</x:v>
      </x:c>
      <x:c r="H30" s="8" t="n">
        <x:v>0</x:v>
      </x:c>
      <x:c r="I30" s="8" t="n">
        <x:v>0</x:v>
      </x:c>
      <x:c r="J30" s="8" t="n">
        <x:v>0</x:v>
      </x:c>
      <x:c r="K30" s="8"/>
      <x:c r="L30" s="8"/>
      <x:c r="M30" s="7" t="str">
        <x:f>IF(COUNT(H30,J30,K30)=3,C30-H30-J30+K30,"NYITOTT")</x:f>
        <x:v>NYITOTT</x:v>
      </x:c>
      <x:c r="N30" s="7" t="str">
        <x:f>IF(COUNT(G30,I30,L30)=3,D30-G30-I30+L30,"NYITOTT")</x:f>
        <x:v>NYITOTT</x:v>
      </x:c>
      <x:c r="O30" s="9" t="n">
        <x:f>C30*D30/1000000</x:f>
        <x:v>0.145924</x:v>
      </x:c>
      <x:c r="P30" s="6" t="str">
        <x:v>NYITOTT</x:v>
      </x:c>
      <x:c r="Q30" s="6" t="str">
        <x:v>NEM</x:v>
      </x:c>
      <x:c r="R30" s="2" t="n">
        <x:f>COUNTIF(Furatok!B6:B831,A30)</x:f>
        <x:v>18</x:v>
      </x:c>
      <x:c r="S30" s="2" t="str">
        <x:v>R15:KI12-TV02S-07</x:v>
      </x:c>
    </x:row>
    <x:row r="31" ht="34" customHeight="1">
      <x:c r="A31" s="2" t="str">
        <x:v>KI12-TV02S-08</x:v>
      </x:c>
      <x:c r="B31" s="2" t="str">
        <x:v>Alsó oldalak / jobb oldallap</x:v>
      </x:c>
      <x:c r="C31" s="7" t="n">
        <x:v>382</x:v>
      </x:c>
      <x:c r="D31" s="7" t="n">
        <x:v>382</x:v>
      </x:c>
      <x:c r="E31" s="7" t="n">
        <x:v>18</x:v>
      </x:c>
      <x:c r="F31" s="7" t="str">
        <x:v>M03</x:v>
      </x:c>
      <x:c r="G31" s="8" t="n">
        <x:v>1</x:v>
      </x:c>
      <x:c r="H31" s="8" t="n">
        <x:v>0</x:v>
      </x:c>
      <x:c r="I31" s="8" t="n">
        <x:v>0</x:v>
      </x:c>
      <x:c r="J31" s="8" t="n">
        <x:v>0</x:v>
      </x:c>
      <x:c r="K31" s="8"/>
      <x:c r="L31" s="8"/>
      <x:c r="M31" s="7" t="str">
        <x:f>IF(COUNT(H31,J31,K31)=3,C31-H31-J31+K31,"NYITOTT")</x:f>
        <x:v>NYITOTT</x:v>
      </x:c>
      <x:c r="N31" s="7" t="str">
        <x:f>IF(COUNT(G31,I31,L31)=3,D31-G31-I31+L31,"NYITOTT")</x:f>
        <x:v>NYITOTT</x:v>
      </x:c>
      <x:c r="O31" s="9" t="n">
        <x:f>C31*D31/1000000</x:f>
        <x:v>0.145924</x:v>
      </x:c>
      <x:c r="P31" s="6" t="str">
        <x:v>NYITOTT</x:v>
      </x:c>
      <x:c r="Q31" s="6" t="str">
        <x:v>NEM</x:v>
      </x:c>
      <x:c r="R31" s="2" t="n">
        <x:f>COUNTIF(Furatok!B6:B831,A31)</x:f>
        <x:v>18</x:v>
      </x:c>
      <x:c r="S31" s="2" t="str">
        <x:v>R15:KI12-TV02S-08</x:v>
      </x:c>
    </x:row>
    <x:row r="32" ht="34" customHeight="1">
      <x:c r="A32" s="2" t="str">
        <x:v>KI12-TV02S-09</x:v>
      </x:c>
      <x:c r="B32" s="2" t="str">
        <x:v>Alsó oldalak / bal oldallap</x:v>
      </x:c>
      <x:c r="C32" s="7" t="n">
        <x:v>382</x:v>
      </x:c>
      <x:c r="D32" s="7" t="n">
        <x:v>382</x:v>
      </x:c>
      <x:c r="E32" s="7" t="n">
        <x:v>18</x:v>
      </x:c>
      <x:c r="F32" s="7" t="str">
        <x:v>M03</x:v>
      </x:c>
      <x:c r="G32" s="8" t="n">
        <x:v>1</x:v>
      </x:c>
      <x:c r="H32" s="8" t="n">
        <x:v>0</x:v>
      </x:c>
      <x:c r="I32" s="8" t="n">
        <x:v>0</x:v>
      </x:c>
      <x:c r="J32" s="8" t="n">
        <x:v>0</x:v>
      </x:c>
      <x:c r="K32" s="8"/>
      <x:c r="L32" s="8"/>
      <x:c r="M32" s="7" t="str">
        <x:f>IF(COUNT(H32,J32,K32)=3,C32-H32-J32+K32,"NYITOTT")</x:f>
        <x:v>NYITOTT</x:v>
      </x:c>
      <x:c r="N32" s="7" t="str">
        <x:f>IF(COUNT(G32,I32,L32)=3,D32-G32-I32+L32,"NYITOTT")</x:f>
        <x:v>NYITOTT</x:v>
      </x:c>
      <x:c r="O32" s="9" t="n">
        <x:f>C32*D32/1000000</x:f>
        <x:v>0.145924</x:v>
      </x:c>
      <x:c r="P32" s="6" t="str">
        <x:v>NYITOTT</x:v>
      </x:c>
      <x:c r="Q32" s="6" t="str">
        <x:v>NEM</x:v>
      </x:c>
      <x:c r="R32" s="2" t="n">
        <x:f>COUNTIF(Furatok!B6:B831,A32)</x:f>
        <x:v>22</x:v>
      </x:c>
      <x:c r="S32" s="2" t="str">
        <x:v>R15:KI12-TV02S-09</x:v>
      </x:c>
    </x:row>
    <x:row r="33" ht="34" customHeight="1">
      <x:c r="A33" s="2" t="str">
        <x:v>KI12-TV02S-10</x:v>
      </x:c>
      <x:c r="B33" s="2" t="str">
        <x:v>Alsó oldalak / jobb oldallap</x:v>
      </x:c>
      <x:c r="C33" s="7" t="n">
        <x:v>382</x:v>
      </x:c>
      <x:c r="D33" s="7" t="n">
        <x:v>382</x:v>
      </x:c>
      <x:c r="E33" s="7" t="n">
        <x:v>18</x:v>
      </x:c>
      <x:c r="F33" s="7" t="str">
        <x:v>M03</x:v>
      </x:c>
      <x:c r="G33" s="8" t="n">
        <x:v>1</x:v>
      </x:c>
      <x:c r="H33" s="8" t="n">
        <x:v>0</x:v>
      </x:c>
      <x:c r="I33" s="8" t="n">
        <x:v>0</x:v>
      </x:c>
      <x:c r="J33" s="8" t="n">
        <x:v>0</x:v>
      </x:c>
      <x:c r="K33" s="8"/>
      <x:c r="L33" s="8"/>
      <x:c r="M33" s="7" t="str">
        <x:f>IF(COUNT(H33,J33,K33)=3,C33-H33-J33+K33,"NYITOTT")</x:f>
        <x:v>NYITOTT</x:v>
      </x:c>
      <x:c r="N33" s="7" t="str">
        <x:f>IF(COUNT(G33,I33,L33)=3,D33-G33-I33+L33,"NYITOTT")</x:f>
        <x:v>NYITOTT</x:v>
      </x:c>
      <x:c r="O33" s="9" t="n">
        <x:f>C33*D33/1000000</x:f>
        <x:v>0.145924</x:v>
      </x:c>
      <x:c r="P33" s="6" t="str">
        <x:v>NYITOTT</x:v>
      </x:c>
      <x:c r="Q33" s="6" t="str">
        <x:v>NEM</x:v>
      </x:c>
      <x:c r="R33" s="2" t="n">
        <x:f>COUNTIF(Furatok!B6:B831,A33)</x:f>
        <x:v>20</x:v>
      </x:c>
      <x:c r="S33" s="2" t="str">
        <x:v>R15:KI12-TV02S-10</x:v>
      </x:c>
    </x:row>
    <x:row r="34" ht="34" customHeight="1">
      <x:c r="A34" s="2" t="str">
        <x:v>KI12-TV02T1-01</x:v>
      </x:c>
      <x:c r="B34" s="2" t="str">
        <x:v>720-as modul fenék / példány 1</x:v>
      </x:c>
      <x:c r="C34" s="7" t="n">
        <x:v>684</x:v>
      </x:c>
      <x:c r="D34" s="7" t="n">
        <x:v>382</x:v>
      </x:c>
      <x:c r="E34" s="7" t="n">
        <x:v>18</x:v>
      </x:c>
      <x:c r="F34" s="7" t="str">
        <x:v>M03</x:v>
      </x:c>
      <x:c r="G34" s="8" t="n">
        <x:v>1</x:v>
      </x:c>
      <x:c r="H34" s="8" t="n">
        <x:v>0</x:v>
      </x:c>
      <x:c r="I34" s="8" t="n">
        <x:v>0</x:v>
      </x:c>
      <x:c r="J34" s="8" t="n">
        <x:v>0</x:v>
      </x:c>
      <x:c r="K34" s="8"/>
      <x:c r="L34" s="8"/>
      <x:c r="M34" s="7" t="str">
        <x:f>IF(COUNT(H34,J34,K34)=3,C34-H34-J34+K34,"NYITOTT")</x:f>
        <x:v>NYITOTT</x:v>
      </x:c>
      <x:c r="N34" s="7" t="str">
        <x:f>IF(COUNT(G34,I34,L34)=3,D34-G34-I34+L34,"NYITOTT")</x:f>
        <x:v>NYITOTT</x:v>
      </x:c>
      <x:c r="O34" s="9" t="n">
        <x:f>C34*D34/1000000</x:f>
        <x:v>0.261288</x:v>
      </x:c>
      <x:c r="P34" s="6" t="str">
        <x:v>NYITOTT</x:v>
      </x:c>
      <x:c r="Q34" s="6" t="str">
        <x:v>NEM</x:v>
      </x:c>
      <x:c r="R34" s="2" t="n">
        <x:f>COUNTIF(Furatok!B6:B831,A34)</x:f>
        <x:v>6</x:v>
      </x:c>
      <x:c r="S34" s="2" t="str">
        <x:v>R15:KI12-TV02T1-01</x:v>
      </x:c>
    </x:row>
    <x:row r="35" ht="34" customHeight="1">
      <x:c r="A35" s="2" t="str">
        <x:v>KI12-TV02T2-01</x:v>
      </x:c>
      <x:c r="B35" s="2" t="str">
        <x:v>690-es modul fenék / példány 1</x:v>
      </x:c>
      <x:c r="C35" s="7" t="n">
        <x:v>654</x:v>
      </x:c>
      <x:c r="D35" s="7" t="n">
        <x:v>382</x:v>
      </x:c>
      <x:c r="E35" s="7" t="n">
        <x:v>18</x:v>
      </x:c>
      <x:c r="F35" s="7" t="str">
        <x:v>M03</x:v>
      </x:c>
      <x:c r="G35" s="8" t="n">
        <x:v>1</x:v>
      </x:c>
      <x:c r="H35" s="8" t="n">
        <x:v>0</x:v>
      </x:c>
      <x:c r="I35" s="8" t="n">
        <x:v>0</x:v>
      </x:c>
      <x:c r="J35" s="8" t="n">
        <x:v>0</x:v>
      </x:c>
      <x:c r="K35" s="8"/>
      <x:c r="L35" s="8"/>
      <x:c r="M35" s="7" t="str">
        <x:f>IF(COUNT(H35,J35,K35)=3,C35-H35-J35+K35,"NYITOTT")</x:f>
        <x:v>NYITOTT</x:v>
      </x:c>
      <x:c r="N35" s="7" t="str">
        <x:f>IF(COUNT(G35,I35,L35)=3,D35-G35-I35+L35,"NYITOTT")</x:f>
        <x:v>NYITOTT</x:v>
      </x:c>
      <x:c r="O35" s="9" t="n">
        <x:f>C35*D35/1000000</x:f>
        <x:v>0.249828</x:v>
      </x:c>
      <x:c r="P35" s="6" t="str">
        <x:v>NYITOTT</x:v>
      </x:c>
      <x:c r="Q35" s="6" t="str">
        <x:v>NEM</x:v>
      </x:c>
      <x:c r="R35" s="2" t="n">
        <x:f>COUNTIF(Furatok!B6:B831,A35)</x:f>
        <x:v>11</x:v>
      </x:c>
      <x:c r="S35" s="2" t="str">
        <x:v>R15:KI12-TV02T2-01</x:v>
      </x:c>
    </x:row>
    <x:row r="36" ht="34" customHeight="1">
      <x:c r="A36" s="2" t="str">
        <x:v>KI12-TV02T2-02</x:v>
      </x:c>
      <x:c r="B36" s="2" t="str">
        <x:v>690-es modul fenék / példány 2</x:v>
      </x:c>
      <x:c r="C36" s="7" t="n">
        <x:v>654</x:v>
      </x:c>
      <x:c r="D36" s="7" t="n">
        <x:v>382</x:v>
      </x:c>
      <x:c r="E36" s="7" t="n">
        <x:v>18</x:v>
      </x:c>
      <x:c r="F36" s="7" t="str">
        <x:v>M03</x:v>
      </x:c>
      <x:c r="G36" s="8" t="n">
        <x:v>1</x:v>
      </x:c>
      <x:c r="H36" s="8" t="n">
        <x:v>0</x:v>
      </x:c>
      <x:c r="I36" s="8" t="n">
        <x:v>0</x:v>
      </x:c>
      <x:c r="J36" s="8" t="n">
        <x:v>0</x:v>
      </x:c>
      <x:c r="K36" s="8"/>
      <x:c r="L36" s="8"/>
      <x:c r="M36" s="7" t="str">
        <x:f>IF(COUNT(H36,J36,K36)=3,C36-H36-J36+K36,"NYITOTT")</x:f>
        <x:v>NYITOTT</x:v>
      </x:c>
      <x:c r="N36" s="7" t="str">
        <x:f>IF(COUNT(G36,I36,L36)=3,D36-G36-I36+L36,"NYITOTT")</x:f>
        <x:v>NYITOTT</x:v>
      </x:c>
      <x:c r="O36" s="9" t="n">
        <x:f>C36*D36/1000000</x:f>
        <x:v>0.249828</x:v>
      </x:c>
      <x:c r="P36" s="6" t="str">
        <x:v>NYITOTT</x:v>
      </x:c>
      <x:c r="Q36" s="6" t="str">
        <x:v>NEM</x:v>
      </x:c>
      <x:c r="R36" s="2" t="n">
        <x:f>COUNTIF(Furatok!B6:B831,A36)</x:f>
        <x:v>6</x:v>
      </x:c>
      <x:c r="S36" s="2" t="str">
        <x:v>R15:KI12-TV02T2-02</x:v>
      </x:c>
    </x:row>
    <x:row r="37" ht="34" customHeight="1">
      <x:c r="A37" s="2" t="str">
        <x:v>KI12-TV02T2-03</x:v>
      </x:c>
      <x:c r="B37" s="2" t="str">
        <x:v>690-es modul fenék / példány 3</x:v>
      </x:c>
      <x:c r="C37" s="7" t="n">
        <x:v>654</x:v>
      </x:c>
      <x:c r="D37" s="7" t="n">
        <x:v>382</x:v>
      </x:c>
      <x:c r="E37" s="7" t="n">
        <x:v>18</x:v>
      </x:c>
      <x:c r="F37" s="7" t="str">
        <x:v>M03</x:v>
      </x:c>
      <x:c r="G37" s="8" t="n">
        <x:v>1</x:v>
      </x:c>
      <x:c r="H37" s="8" t="n">
        <x:v>0</x:v>
      </x:c>
      <x:c r="I37" s="8" t="n">
        <x:v>0</x:v>
      </x:c>
      <x:c r="J37" s="8" t="n">
        <x:v>0</x:v>
      </x:c>
      <x:c r="K37" s="8"/>
      <x:c r="L37" s="8"/>
      <x:c r="M37" s="7" t="str">
        <x:f>IF(COUNT(H37,J37,K37)=3,C37-H37-J37+K37,"NYITOTT")</x:f>
        <x:v>NYITOTT</x:v>
      </x:c>
      <x:c r="N37" s="7" t="str">
        <x:f>IF(COUNT(G37,I37,L37)=3,D37-G37-I37+L37,"NYITOTT")</x:f>
        <x:v>NYITOTT</x:v>
      </x:c>
      <x:c r="O37" s="9" t="n">
        <x:f>C37*D37/1000000</x:f>
        <x:v>0.249828</x:v>
      </x:c>
      <x:c r="P37" s="6" t="str">
        <x:v>NYITOTT</x:v>
      </x:c>
      <x:c r="Q37" s="6" t="str">
        <x:v>NEM</x:v>
      </x:c>
      <x:c r="R37" s="2" t="n">
        <x:f>COUNTIF(Furatok!B6:B831,A37)</x:f>
        <x:v>6</x:v>
      </x:c>
      <x:c r="S37" s="2" t="str">
        <x:v>R15:KI12-TV02T2-03</x:v>
      </x:c>
    </x:row>
    <x:row r="38" ht="34" customHeight="1">
      <x:c r="A38" s="2" t="str">
        <x:v>KI12-TV02T2-04</x:v>
      </x:c>
      <x:c r="B38" s="2" t="str">
        <x:v>690-es modul fenék / példány 4</x:v>
      </x:c>
      <x:c r="C38" s="7" t="n">
        <x:v>654</x:v>
      </x:c>
      <x:c r="D38" s="7" t="n">
        <x:v>382</x:v>
      </x:c>
      <x:c r="E38" s="7" t="n">
        <x:v>18</x:v>
      </x:c>
      <x:c r="F38" s="7" t="str">
        <x:v>M03</x:v>
      </x:c>
      <x:c r="G38" s="8" t="n">
        <x:v>1</x:v>
      </x:c>
      <x:c r="H38" s="8" t="n">
        <x:v>0</x:v>
      </x:c>
      <x:c r="I38" s="8" t="n">
        <x:v>0</x:v>
      </x:c>
      <x:c r="J38" s="8" t="n">
        <x:v>0</x:v>
      </x:c>
      <x:c r="K38" s="8"/>
      <x:c r="L38" s="8"/>
      <x:c r="M38" s="7" t="str">
        <x:f>IF(COUNT(H38,J38,K38)=3,C38-H38-J38+K38,"NYITOTT")</x:f>
        <x:v>NYITOTT</x:v>
      </x:c>
      <x:c r="N38" s="7" t="str">
        <x:f>IF(COUNT(G38,I38,L38)=3,D38-G38-I38+L38,"NYITOTT")</x:f>
        <x:v>NYITOTT</x:v>
      </x:c>
      <x:c r="O38" s="9" t="n">
        <x:f>C38*D38/1000000</x:f>
        <x:v>0.249828</x:v>
      </x:c>
      <x:c r="P38" s="6" t="str">
        <x:v>NYITOTT</x:v>
      </x:c>
      <x:c r="Q38" s="6" t="str">
        <x:v>NEM</x:v>
      </x:c>
      <x:c r="R38" s="2" t="n">
        <x:f>COUNTIF(Furatok!B6:B831,A38)</x:f>
        <x:v>6</x:v>
      </x:c>
      <x:c r="S38" s="2" t="str">
        <x:v>R15:KI12-TV02T2-04</x:v>
      </x:c>
    </x:row>
    <x:row r="39" ht="34" customHeight="1">
      <x:c r="A39" s="2" t="str">
        <x:v>KI12-TV02P1-01</x:v>
      </x:c>
      <x:c r="B39" s="2" t="str">
        <x:v>720-as modul polc / példány 1</x:v>
      </x:c>
      <x:c r="C39" s="7" t="n">
        <x:v>682</x:v>
      </x:c>
      <x:c r="D39" s="7" t="n">
        <x:v>290</x:v>
      </x:c>
      <x:c r="E39" s="7" t="n">
        <x:v>18</x:v>
      </x:c>
      <x:c r="F39" s="7" t="str">
        <x:v>M03</x:v>
      </x:c>
      <x:c r="G39" s="8" t="n">
        <x:v>1</x:v>
      </x:c>
      <x:c r="H39" s="8" t="n">
        <x:v>0</x:v>
      </x:c>
      <x:c r="I39" s="8" t="n">
        <x:v>0</x:v>
      </x:c>
      <x:c r="J39" s="8" t="n">
        <x:v>0</x:v>
      </x:c>
      <x:c r="K39" s="8"/>
      <x:c r="L39" s="8"/>
      <x:c r="M39" s="7" t="str">
        <x:f>IF(COUNT(H39,J39,K39)=3,C39-H39-J39+K39,"NYITOTT")</x:f>
        <x:v>NYITOTT</x:v>
      </x:c>
      <x:c r="N39" s="7" t="str">
        <x:f>IF(COUNT(G39,I39,L39)=3,D39-G39-I39+L39,"NYITOTT")</x:f>
        <x:v>NYITOTT</x:v>
      </x:c>
      <x:c r="O39" s="9" t="n">
        <x:f>C39*D39/1000000</x:f>
        <x:v>0.19778</x:v>
      </x:c>
      <x:c r="P39" s="6" t="str">
        <x:v>NYITOTT</x:v>
      </x:c>
      <x:c r="Q39" s="6" t="str">
        <x:v>NEM</x:v>
      </x:c>
      <x:c r="R39" s="2" t="n">
        <x:f>COUNTIF(Furatok!B6:B831,A39)</x:f>
        <x:v>0</x:v>
      </x:c>
      <x:c r="S39" s="2" t="str">
        <x:v>R15:KI12-TV02P1-01</x:v>
      </x:c>
    </x:row>
    <x:row r="40" ht="34" customHeight="1">
      <x:c r="A40" s="2" t="str">
        <x:v>KI12-TV02P2-01</x:v>
      </x:c>
      <x:c r="B40" s="2" t="str">
        <x:v>690-es modul polc / példány 1</x:v>
      </x:c>
      <x:c r="C40" s="7" t="n">
        <x:v>652</x:v>
      </x:c>
      <x:c r="D40" s="7" t="n">
        <x:v>290</x:v>
      </x:c>
      <x:c r="E40" s="7" t="n">
        <x:v>18</x:v>
      </x:c>
      <x:c r="F40" s="7" t="str">
        <x:v>M03</x:v>
      </x:c>
      <x:c r="G40" s="8" t="n">
        <x:v>1</x:v>
      </x:c>
      <x:c r="H40" s="8" t="n">
        <x:v>0</x:v>
      </x:c>
      <x:c r="I40" s="8" t="n">
        <x:v>0</x:v>
      </x:c>
      <x:c r="J40" s="8" t="n">
        <x:v>0</x:v>
      </x:c>
      <x:c r="K40" s="8"/>
      <x:c r="L40" s="8"/>
      <x:c r="M40" s="7" t="str">
        <x:f>IF(COUNT(H40,J40,K40)=3,C40-H40-J40+K40,"NYITOTT")</x:f>
        <x:v>NYITOTT</x:v>
      </x:c>
      <x:c r="N40" s="7" t="str">
        <x:f>IF(COUNT(G40,I40,L40)=3,D40-G40-I40+L40,"NYITOTT")</x:f>
        <x:v>NYITOTT</x:v>
      </x:c>
      <x:c r="O40" s="9" t="n">
        <x:f>C40*D40/1000000</x:f>
        <x:v>0.18908</x:v>
      </x:c>
      <x:c r="P40" s="6" t="str">
        <x:v>NYITOTT</x:v>
      </x:c>
      <x:c r="Q40" s="6" t="str">
        <x:v>NEM</x:v>
      </x:c>
      <x:c r="R40" s="2" t="n">
        <x:f>COUNTIF(Furatok!B6:B831,A40)</x:f>
        <x:v>0</x:v>
      </x:c>
      <x:c r="S40" s="2" t="str">
        <x:v>R15:KI12-TV02P2-01</x:v>
      </x:c>
    </x:row>
    <x:row r="41" ht="34" customHeight="1">
      <x:c r="A41" s="2" t="str">
        <x:v>KI12-TV02P2-02</x:v>
      </x:c>
      <x:c r="B41" s="2" t="str">
        <x:v>690-es modul polc / példány 2</x:v>
      </x:c>
      <x:c r="C41" s="7" t="n">
        <x:v>652</x:v>
      </x:c>
      <x:c r="D41" s="7" t="n">
        <x:v>290</x:v>
      </x:c>
      <x:c r="E41" s="7" t="n">
        <x:v>18</x:v>
      </x:c>
      <x:c r="F41" s="7" t="str">
        <x:v>M03</x:v>
      </x:c>
      <x:c r="G41" s="8" t="n">
        <x:v>1</x:v>
      </x:c>
      <x:c r="H41" s="8" t="n">
        <x:v>0</x:v>
      </x:c>
      <x:c r="I41" s="8" t="n">
        <x:v>0</x:v>
      </x:c>
      <x:c r="J41" s="8" t="n">
        <x:v>0</x:v>
      </x:c>
      <x:c r="K41" s="8"/>
      <x:c r="L41" s="8"/>
      <x:c r="M41" s="7" t="str">
        <x:f>IF(COUNT(H41,J41,K41)=3,C41-H41-J41+K41,"NYITOTT")</x:f>
        <x:v>NYITOTT</x:v>
      </x:c>
      <x:c r="N41" s="7" t="str">
        <x:f>IF(COUNT(G41,I41,L41)=3,D41-G41-I41+L41,"NYITOTT")</x:f>
        <x:v>NYITOTT</x:v>
      </x:c>
      <x:c r="O41" s="9" t="n">
        <x:f>C41*D41/1000000</x:f>
        <x:v>0.18908</x:v>
      </x:c>
      <x:c r="P41" s="6" t="str">
        <x:v>NYITOTT</x:v>
      </x:c>
      <x:c r="Q41" s="6" t="str">
        <x:v>NEM</x:v>
      </x:c>
      <x:c r="R41" s="2" t="n">
        <x:f>COUNTIF(Furatok!B6:B831,A41)</x:f>
        <x:v>0</x:v>
      </x:c>
      <x:c r="S41" s="2" t="str">
        <x:v>R15:KI12-TV02P2-02</x:v>
      </x:c>
    </x:row>
    <x:row r="42" ht="34" customHeight="1">
      <x:c r="A42" s="2" t="str">
        <x:v>KI12-TV02P2-03</x:v>
      </x:c>
      <x:c r="B42" s="2" t="str">
        <x:v>690-es modul polc / példány 3</x:v>
      </x:c>
      <x:c r="C42" s="7" t="n">
        <x:v>652</x:v>
      </x:c>
      <x:c r="D42" s="7" t="n">
        <x:v>290</x:v>
      </x:c>
      <x:c r="E42" s="7" t="n">
        <x:v>18</x:v>
      </x:c>
      <x:c r="F42" s="7" t="str">
        <x:v>M03</x:v>
      </x:c>
      <x:c r="G42" s="8" t="n">
        <x:v>1</x:v>
      </x:c>
      <x:c r="H42" s="8" t="n">
        <x:v>0</x:v>
      </x:c>
      <x:c r="I42" s="8" t="n">
        <x:v>0</x:v>
      </x:c>
      <x:c r="J42" s="8" t="n">
        <x:v>0</x:v>
      </x:c>
      <x:c r="K42" s="8"/>
      <x:c r="L42" s="8"/>
      <x:c r="M42" s="7" t="str">
        <x:f>IF(COUNT(H42,J42,K42)=3,C42-H42-J42+K42,"NYITOTT")</x:f>
        <x:v>NYITOTT</x:v>
      </x:c>
      <x:c r="N42" s="7" t="str">
        <x:f>IF(COUNT(G42,I42,L42)=3,D42-G42-I42+L42,"NYITOTT")</x:f>
        <x:v>NYITOTT</x:v>
      </x:c>
      <x:c r="O42" s="9" t="n">
        <x:f>C42*D42/1000000</x:f>
        <x:v>0.18908</x:v>
      </x:c>
      <x:c r="P42" s="6" t="str">
        <x:v>NYITOTT</x:v>
      </x:c>
      <x:c r="Q42" s="6" t="str">
        <x:v>NEM</x:v>
      </x:c>
      <x:c r="R42" s="2" t="n">
        <x:f>COUNTIF(Furatok!B6:B831,A42)</x:f>
        <x:v>0</x:v>
      </x:c>
      <x:c r="S42" s="2" t="str">
        <x:v>R15:KI12-TV02P2-03</x:v>
      </x:c>
    </x:row>
    <x:row r="43" ht="34" customHeight="1">
      <x:c r="A43" s="2" t="str">
        <x:v>KI12-TV02F1-01</x:v>
      </x:c>
      <x:c r="B43" s="2" t="str">
        <x:v>Alsó front720 / példány 1</x:v>
      </x:c>
      <x:c r="C43" s="7" t="n">
        <x:v>717</x:v>
      </x:c>
      <x:c r="D43" s="7" t="n">
        <x:v>397</x:v>
      </x:c>
      <x:c r="E43" s="7" t="n">
        <x:v>18</x:v>
      </x:c>
      <x:c r="F43" s="7" t="str">
        <x:v>M01</x:v>
      </x:c>
      <x:c r="G43" s="8" t="n">
        <x:v>1</x:v>
      </x:c>
      <x:c r="H43" s="8" t="n">
        <x:v>1</x:v>
      </x:c>
      <x:c r="I43" s="8" t="n">
        <x:v>1</x:v>
      </x:c>
      <x:c r="J43" s="8" t="n">
        <x:v>1</x:v>
      </x:c>
      <x:c r="K43" s="8"/>
      <x:c r="L43" s="8"/>
      <x:c r="M43" s="7" t="str">
        <x:f>IF(COUNT(H43,J43,K43)=3,C43-H43-J43+K43,"NYITOTT")</x:f>
        <x:v>NYITOTT</x:v>
      </x:c>
      <x:c r="N43" s="7" t="str">
        <x:f>IF(COUNT(G43,I43,L43)=3,D43-G43-I43+L43,"NYITOTT")</x:f>
        <x:v>NYITOTT</x:v>
      </x:c>
      <x:c r="O43" s="9" t="n">
        <x:f>C43*D43/1000000</x:f>
        <x:v>0.284649</x:v>
      </x:c>
      <x:c r="P43" s="6" t="str">
        <x:v>NYITOTT</x:v>
      </x:c>
      <x:c r="Q43" s="6" t="str">
        <x:v>NEM</x:v>
      </x:c>
      <x:c r="R43" s="2" t="n">
        <x:f>COUNTIF(Furatok!B6:B831,A43)</x:f>
        <x:v>6</x:v>
      </x:c>
      <x:c r="S43" s="2" t="str">
        <x:v>R15:KI12-TV02F1-01</x:v>
      </x:c>
    </x:row>
    <x:row r="44" ht="34" customHeight="1">
      <x:c r="A44" s="2" t="str">
        <x:v>KI12-TV02F2-01</x:v>
      </x:c>
      <x:c r="B44" s="2" t="str">
        <x:v>Alsó front690 / példány 1</x:v>
      </x:c>
      <x:c r="C44" s="7" t="n">
        <x:v>687</x:v>
      </x:c>
      <x:c r="D44" s="7" t="n">
        <x:v>397</x:v>
      </x:c>
      <x:c r="E44" s="7" t="n">
        <x:v>18</x:v>
      </x:c>
      <x:c r="F44" s="7" t="str">
        <x:v>M01</x:v>
      </x:c>
      <x:c r="G44" s="8" t="n">
        <x:v>1</x:v>
      </x:c>
      <x:c r="H44" s="8" t="n">
        <x:v>1</x:v>
      </x:c>
      <x:c r="I44" s="8" t="n">
        <x:v>1</x:v>
      </x:c>
      <x:c r="J44" s="8" t="n">
        <x:v>1</x:v>
      </x:c>
      <x:c r="K44" s="8"/>
      <x:c r="L44" s="8"/>
      <x:c r="M44" s="7" t="str">
        <x:f>IF(COUNT(H44,J44,K44)=3,C44-H44-J44+K44,"NYITOTT")</x:f>
        <x:v>NYITOTT</x:v>
      </x:c>
      <x:c r="N44" s="7" t="str">
        <x:f>IF(COUNT(G44,I44,L44)=3,D44-G44-I44+L44,"NYITOTT")</x:f>
        <x:v>NYITOTT</x:v>
      </x:c>
      <x:c r="O44" s="9" t="n">
        <x:f>C44*D44/1000000</x:f>
        <x:v>0.272739</x:v>
      </x:c>
      <x:c r="P44" s="6" t="str">
        <x:v>NYITOTT</x:v>
      </x:c>
      <x:c r="Q44" s="6" t="str">
        <x:v>NEM</x:v>
      </x:c>
      <x:c r="R44" s="2" t="n">
        <x:f>COUNTIF(Furatok!B6:B831,A44)</x:f>
        <x:v>6</x:v>
      </x:c>
      <x:c r="S44" s="2" t="str">
        <x:v>R15:KI12-TV02F2-01</x:v>
      </x:c>
    </x:row>
    <x:row r="45" ht="34" customHeight="1">
      <x:c r="A45" s="2" t="str">
        <x:v>KI12-TV02F2-02</x:v>
      </x:c>
      <x:c r="B45" s="2" t="str">
        <x:v>Alsó front690 / példány 2</x:v>
      </x:c>
      <x:c r="C45" s="7" t="n">
        <x:v>687</x:v>
      </x:c>
      <x:c r="D45" s="7" t="n">
        <x:v>397</x:v>
      </x:c>
      <x:c r="E45" s="7" t="n">
        <x:v>18</x:v>
      </x:c>
      <x:c r="F45" s="7" t="str">
        <x:v>M01</x:v>
      </x:c>
      <x:c r="G45" s="8" t="n">
        <x:v>1</x:v>
      </x:c>
      <x:c r="H45" s="8" t="n">
        <x:v>1</x:v>
      </x:c>
      <x:c r="I45" s="8" t="n">
        <x:v>1</x:v>
      </x:c>
      <x:c r="J45" s="8" t="n">
        <x:v>1</x:v>
      </x:c>
      <x:c r="K45" s="8"/>
      <x:c r="L45" s="8"/>
      <x:c r="M45" s="7" t="str">
        <x:f>IF(COUNT(H45,J45,K45)=3,C45-H45-J45+K45,"NYITOTT")</x:f>
        <x:v>NYITOTT</x:v>
      </x:c>
      <x:c r="N45" s="7" t="str">
        <x:f>IF(COUNT(G45,I45,L45)=3,D45-G45-I45+L45,"NYITOTT")</x:f>
        <x:v>NYITOTT</x:v>
      </x:c>
      <x:c r="O45" s="9" t="n">
        <x:f>C45*D45/1000000</x:f>
        <x:v>0.272739</x:v>
      </x:c>
      <x:c r="P45" s="6" t="str">
        <x:v>NYITOTT</x:v>
      </x:c>
      <x:c r="Q45" s="6" t="str">
        <x:v>NEM</x:v>
      </x:c>
      <x:c r="R45" s="2" t="n">
        <x:f>COUNTIF(Furatok!B6:B831,A45)</x:f>
        <x:v>0</x:v>
      </x:c>
      <x:c r="S45" s="2" t="str">
        <x:v>R15:KI12-TV02F2-02</x:v>
      </x:c>
    </x:row>
    <x:row r="46" ht="34" customHeight="1">
      <x:c r="A46" s="2" t="str">
        <x:v>KI12-TV02F2-03</x:v>
      </x:c>
      <x:c r="B46" s="2" t="str">
        <x:v>Alsó front690 / példány 3</x:v>
      </x:c>
      <x:c r="C46" s="7" t="n">
        <x:v>687</x:v>
      </x:c>
      <x:c r="D46" s="7" t="n">
        <x:v>397</x:v>
      </x:c>
      <x:c r="E46" s="7" t="n">
        <x:v>18</x:v>
      </x:c>
      <x:c r="F46" s="7" t="str">
        <x:v>M01</x:v>
      </x:c>
      <x:c r="G46" s="8" t="n">
        <x:v>1</x:v>
      </x:c>
      <x:c r="H46" s="8" t="n">
        <x:v>1</x:v>
      </x:c>
      <x:c r="I46" s="8" t="n">
        <x:v>1</x:v>
      </x:c>
      <x:c r="J46" s="8" t="n">
        <x:v>1</x:v>
      </x:c>
      <x:c r="K46" s="8"/>
      <x:c r="L46" s="8"/>
      <x:c r="M46" s="7" t="str">
        <x:f>IF(COUNT(H46,J46,K46)=3,C46-H46-J46+K46,"NYITOTT")</x:f>
        <x:v>NYITOTT</x:v>
      </x:c>
      <x:c r="N46" s="7" t="str">
        <x:f>IF(COUNT(G46,I46,L46)=3,D46-G46-I46+L46,"NYITOTT")</x:f>
        <x:v>NYITOTT</x:v>
      </x:c>
      <x:c r="O46" s="9" t="n">
        <x:f>C46*D46/1000000</x:f>
        <x:v>0.272739</x:v>
      </x:c>
      <x:c r="P46" s="6" t="str">
        <x:v>NYITOTT</x:v>
      </x:c>
      <x:c r="Q46" s="6" t="str">
        <x:v>NEM</x:v>
      </x:c>
      <x:c r="R46" s="2" t="n">
        <x:f>COUNTIF(Furatok!B6:B831,A46)</x:f>
        <x:v>0</x:v>
      </x:c>
      <x:c r="S46" s="2" t="str">
        <x:v>R15:KI12-TV02F2-03</x:v>
      </x:c>
    </x:row>
    <x:row r="47" ht="34" customHeight="1">
      <x:c r="A47" s="2" t="str">
        <x:v>KI12-TV02F2-04</x:v>
      </x:c>
      <x:c r="B47" s="2" t="str">
        <x:v>Alsó front690 / példány 4</x:v>
      </x:c>
      <x:c r="C47" s="7" t="n">
        <x:v>687</x:v>
      </x:c>
      <x:c r="D47" s="7" t="n">
        <x:v>397</x:v>
      </x:c>
      <x:c r="E47" s="7" t="n">
        <x:v>18</x:v>
      </x:c>
      <x:c r="F47" s="7" t="str">
        <x:v>M01</x:v>
      </x:c>
      <x:c r="G47" s="8" t="n">
        <x:v>1</x:v>
      </x:c>
      <x:c r="H47" s="8" t="n">
        <x:v>1</x:v>
      </x:c>
      <x:c r="I47" s="8" t="n">
        <x:v>1</x:v>
      </x:c>
      <x:c r="J47" s="8" t="n">
        <x:v>1</x:v>
      </x:c>
      <x:c r="K47" s="8"/>
      <x:c r="L47" s="8"/>
      <x:c r="M47" s="7" t="str">
        <x:f>IF(COUNT(H47,J47,K47)=3,C47-H47-J47+K47,"NYITOTT")</x:f>
        <x:v>NYITOTT</x:v>
      </x:c>
      <x:c r="N47" s="7" t="str">
        <x:f>IF(COUNT(G47,I47,L47)=3,D47-G47-I47+L47,"NYITOTT")</x:f>
        <x:v>NYITOTT</x:v>
      </x:c>
      <x:c r="O47" s="9" t="n">
        <x:f>C47*D47/1000000</x:f>
        <x:v>0.272739</x:v>
      </x:c>
      <x:c r="P47" s="6" t="str">
        <x:v>NYITOTT</x:v>
      </x:c>
      <x:c r="Q47" s="6" t="str">
        <x:v>NEM</x:v>
      </x:c>
      <x:c r="R47" s="2" t="n">
        <x:f>COUNTIF(Furatok!B6:B831,A47)</x:f>
        <x:v>6</x:v>
      </x:c>
      <x:c r="S47" s="2" t="str">
        <x:v>R15:KI12-TV02F2-04</x:v>
      </x:c>
    </x:row>
    <x:row r="48" ht="34" customHeight="1">
      <x:c r="A48" s="2" t="str">
        <x:v>KI12-TV02H1-01</x:v>
      </x:c>
      <x:c r="B48" s="2" t="str">
        <x:v>Hátlap720 / példány 1</x:v>
      </x:c>
      <x:c r="C48" s="7" t="n">
        <x:v>682</x:v>
      </x:c>
      <x:c r="D48" s="7" t="n">
        <x:v>362</x:v>
      </x:c>
      <x:c r="E48" s="7" t="n">
        <x:v>8</x:v>
      </x:c>
      <x:c r="F48" s="7" t="str">
        <x:v>M03</x:v>
      </x:c>
      <x:c r="G48" s="8" t="n">
        <x:v>0</x:v>
      </x:c>
      <x:c r="H48" s="8" t="n">
        <x:v>0</x:v>
      </x:c>
      <x:c r="I48" s="8" t="n">
        <x:v>0</x:v>
      </x:c>
      <x:c r="J48" s="8" t="n">
        <x:v>0</x:v>
      </x:c>
      <x:c r="K48" s="8"/>
      <x:c r="L48" s="8"/>
      <x:c r="M48" s="7" t="str">
        <x:f>IF(COUNT(H48,J48,K48)=3,C48-H48-J48+K48,"NYITOTT")</x:f>
        <x:v>NYITOTT</x:v>
      </x:c>
      <x:c r="N48" s="7" t="str">
        <x:f>IF(COUNT(G48,I48,L48)=3,D48-G48-I48+L48,"NYITOTT")</x:f>
        <x:v>NYITOTT</x:v>
      </x:c>
      <x:c r="O48" s="9" t="n">
        <x:f>C48*D48/1000000</x:f>
        <x:v>0.246884</x:v>
      </x:c>
      <x:c r="P48" s="6" t="str">
        <x:v>NYITOTT</x:v>
      </x:c>
      <x:c r="Q48" s="6" t="str">
        <x:v>NEM</x:v>
      </x:c>
      <x:c r="R48" s="2" t="n">
        <x:f>COUNTIF(Furatok!B6:B831,A48)</x:f>
        <x:v>6</x:v>
      </x:c>
      <x:c r="S48" s="2" t="str">
        <x:v>R15:KI12-TV02H1-01</x:v>
      </x:c>
    </x:row>
    <x:row r="49" ht="34" customHeight="1">
      <x:c r="A49" s="2" t="str">
        <x:v>KI12-TV02H2-01</x:v>
      </x:c>
      <x:c r="B49" s="2" t="str">
        <x:v>Hátlap690 / példány 1</x:v>
      </x:c>
      <x:c r="C49" s="7" t="n">
        <x:v>652</x:v>
      </x:c>
      <x:c r="D49" s="7" t="n">
        <x:v>362</x:v>
      </x:c>
      <x:c r="E49" s="7" t="n">
        <x:v>8</x:v>
      </x:c>
      <x:c r="F49" s="7" t="str">
        <x:v>M03</x:v>
      </x:c>
      <x:c r="G49" s="8" t="n">
        <x:v>0</x:v>
      </x:c>
      <x:c r="H49" s="8" t="n">
        <x:v>0</x:v>
      </x:c>
      <x:c r="I49" s="8" t="n">
        <x:v>0</x:v>
      </x:c>
      <x:c r="J49" s="8" t="n">
        <x:v>0</x:v>
      </x:c>
      <x:c r="K49" s="8"/>
      <x:c r="L49" s="8"/>
      <x:c r="M49" s="7" t="str">
        <x:f>IF(COUNT(H49,J49,K49)=3,C49-H49-J49+K49,"NYITOTT")</x:f>
        <x:v>NYITOTT</x:v>
      </x:c>
      <x:c r="N49" s="7" t="str">
        <x:f>IF(COUNT(G49,I49,L49)=3,D49-G49-I49+L49,"NYITOTT")</x:f>
        <x:v>NYITOTT</x:v>
      </x:c>
      <x:c r="O49" s="9" t="n">
        <x:f>C49*D49/1000000</x:f>
        <x:v>0.236024</x:v>
      </x:c>
      <x:c r="P49" s="6" t="str">
        <x:v>NYITOTT</x:v>
      </x:c>
      <x:c r="Q49" s="6" t="str">
        <x:v>NEM</x:v>
      </x:c>
      <x:c r="R49" s="2" t="n">
        <x:f>COUNTIF(Furatok!B6:B831,A49)</x:f>
        <x:v>105</x:v>
      </x:c>
      <x:c r="S49" s="2" t="str">
        <x:v>R15:KI12-TV02H2-01</x:v>
      </x:c>
    </x:row>
    <x:row r="50" ht="34" customHeight="1">
      <x:c r="A50" s="2" t="str">
        <x:v>KI12-TV02H2-02</x:v>
      </x:c>
      <x:c r="B50" s="2" t="str">
        <x:v>Hátlap690 / példány 2</x:v>
      </x:c>
      <x:c r="C50" s="7" t="n">
        <x:v>652</x:v>
      </x:c>
      <x:c r="D50" s="7" t="n">
        <x:v>362</x:v>
      </x:c>
      <x:c r="E50" s="7" t="n">
        <x:v>8</x:v>
      </x:c>
      <x:c r="F50" s="7" t="str">
        <x:v>M03</x:v>
      </x:c>
      <x:c r="G50" s="8" t="n">
        <x:v>0</x:v>
      </x:c>
      <x:c r="H50" s="8" t="n">
        <x:v>0</x:v>
      </x:c>
      <x:c r="I50" s="8" t="n">
        <x:v>0</x:v>
      </x:c>
      <x:c r="J50" s="8" t="n">
        <x:v>0</x:v>
      </x:c>
      <x:c r="K50" s="8"/>
      <x:c r="L50" s="8"/>
      <x:c r="M50" s="7" t="str">
        <x:f>IF(COUNT(H50,J50,K50)=3,C50-H50-J50+K50,"NYITOTT")</x:f>
        <x:v>NYITOTT</x:v>
      </x:c>
      <x:c r="N50" s="7" t="str">
        <x:f>IF(COUNT(G50,I50,L50)=3,D50-G50-I50+L50,"NYITOTT")</x:f>
        <x:v>NYITOTT</x:v>
      </x:c>
      <x:c r="O50" s="9" t="n">
        <x:f>C50*D50/1000000</x:f>
        <x:v>0.236024</x:v>
      </x:c>
      <x:c r="P50" s="6" t="str">
        <x:v>NYITOTT</x:v>
      </x:c>
      <x:c r="Q50" s="6" t="str">
        <x:v>NEM</x:v>
      </x:c>
      <x:c r="R50" s="2" t="n">
        <x:f>COUNTIF(Furatok!B6:B831,A50)</x:f>
        <x:v>6</x:v>
      </x:c>
      <x:c r="S50" s="2" t="str">
        <x:v>R15:KI12-TV02H2-02</x:v>
      </x:c>
    </x:row>
    <x:row r="51" ht="34" customHeight="1">
      <x:c r="A51" s="2" t="str">
        <x:v>KI12-TV02H2-03</x:v>
      </x:c>
      <x:c r="B51" s="2" t="str">
        <x:v>Hátlap690 / példány 3</x:v>
      </x:c>
      <x:c r="C51" s="7" t="n">
        <x:v>652</x:v>
      </x:c>
      <x:c r="D51" s="7" t="n">
        <x:v>362</x:v>
      </x:c>
      <x:c r="E51" s="7" t="n">
        <x:v>8</x:v>
      </x:c>
      <x:c r="F51" s="7" t="str">
        <x:v>M03</x:v>
      </x:c>
      <x:c r="G51" s="8" t="n">
        <x:v>0</x:v>
      </x:c>
      <x:c r="H51" s="8" t="n">
        <x:v>0</x:v>
      </x:c>
      <x:c r="I51" s="8" t="n">
        <x:v>0</x:v>
      </x:c>
      <x:c r="J51" s="8" t="n">
        <x:v>0</x:v>
      </x:c>
      <x:c r="K51" s="8"/>
      <x:c r="L51" s="8"/>
      <x:c r="M51" s="7" t="str">
        <x:f>IF(COUNT(H51,J51,K51)=3,C51-H51-J51+K51,"NYITOTT")</x:f>
        <x:v>NYITOTT</x:v>
      </x:c>
      <x:c r="N51" s="7" t="str">
        <x:f>IF(COUNT(G51,I51,L51)=3,D51-G51-I51+L51,"NYITOTT")</x:f>
        <x:v>NYITOTT</x:v>
      </x:c>
      <x:c r="O51" s="9" t="n">
        <x:f>C51*D51/1000000</x:f>
        <x:v>0.236024</x:v>
      </x:c>
      <x:c r="P51" s="6" t="str">
        <x:v>NYITOTT</x:v>
      </x:c>
      <x:c r="Q51" s="6" t="str">
        <x:v>NEM</x:v>
      </x:c>
      <x:c r="R51" s="2" t="n">
        <x:f>COUNTIF(Furatok!B6:B831,A51)</x:f>
        <x:v>6</x:v>
      </x:c>
      <x:c r="S51" s="2" t="str">
        <x:v>R15:KI12-TV02H2-03</x:v>
      </x:c>
    </x:row>
    <x:row r="52" ht="34" customHeight="1">
      <x:c r="A52" s="2" t="str">
        <x:v>KI12-TV02H2-04</x:v>
      </x:c>
      <x:c r="B52" s="2" t="str">
        <x:v>Hátlap690 / példány 4</x:v>
      </x:c>
      <x:c r="C52" s="7" t="n">
        <x:v>652</x:v>
      </x:c>
      <x:c r="D52" s="7" t="n">
        <x:v>362</x:v>
      </x:c>
      <x:c r="E52" s="7" t="n">
        <x:v>8</x:v>
      </x:c>
      <x:c r="F52" s="7" t="str">
        <x:v>M03</x:v>
      </x:c>
      <x:c r="G52" s="8" t="n">
        <x:v>0</x:v>
      </x:c>
      <x:c r="H52" s="8" t="n">
        <x:v>0</x:v>
      </x:c>
      <x:c r="I52" s="8" t="n">
        <x:v>0</x:v>
      </x:c>
      <x:c r="J52" s="8" t="n">
        <x:v>0</x:v>
      </x:c>
      <x:c r="K52" s="8"/>
      <x:c r="L52" s="8"/>
      <x:c r="M52" s="7" t="str">
        <x:f>IF(COUNT(H52,J52,K52)=3,C52-H52-J52+K52,"NYITOTT")</x:f>
        <x:v>NYITOTT</x:v>
      </x:c>
      <x:c r="N52" s="7" t="str">
        <x:f>IF(COUNT(G52,I52,L52)=3,D52-G52-I52+L52,"NYITOTT")</x:f>
        <x:v>NYITOTT</x:v>
      </x:c>
      <x:c r="O52" s="9" t="n">
        <x:f>C52*D52/1000000</x:f>
        <x:v>0.236024</x:v>
      </x:c>
      <x:c r="P52" s="6" t="str">
        <x:v>NYITOTT</x:v>
      </x:c>
      <x:c r="Q52" s="6" t="str">
        <x:v>NEM</x:v>
      </x:c>
      <x:c r="R52" s="2" t="n">
        <x:f>COUNTIF(Furatok!B6:B831,A52)</x:f>
        <x:v>6</x:v>
      </x:c>
      <x:c r="S52" s="2" t="str">
        <x:v>R15:KI12-TV02H2-04</x:v>
      </x:c>
    </x:row>
    <x:row r="53" ht="34" customHeight="1">
      <x:c r="A53" s="2" t="str">
        <x:v>KI12-TV02CAP-01</x:v>
      </x:c>
      <x:c r="B53" s="2" t="str">
        <x:v>Összefüggő felső fedő / példány 1</x:v>
      </x:c>
      <x:c r="C53" s="7" t="n">
        <x:v>3600</x:v>
      </x:c>
      <x:c r="D53" s="7" t="n">
        <x:v>382</x:v>
      </x:c>
      <x:c r="E53" s="7" t="n">
        <x:v>18</x:v>
      </x:c>
      <x:c r="F53" s="7" t="str">
        <x:v>M01</x:v>
      </x:c>
      <x:c r="G53" s="8" t="n">
        <x:v>1</x:v>
      </x:c>
      <x:c r="H53" s="8" t="n">
        <x:v>1</x:v>
      </x:c>
      <x:c r="I53" s="8" t="n">
        <x:v>0</x:v>
      </x:c>
      <x:c r="J53" s="8" t="n">
        <x:v>1</x:v>
      </x:c>
      <x:c r="K53" s="8"/>
      <x:c r="L53" s="8"/>
      <x:c r="M53" s="7" t="str">
        <x:f>IF(COUNT(H53,J53,K53)=3,C53-H53-J53+K53,"NYITOTT")</x:f>
        <x:v>NYITOTT</x:v>
      </x:c>
      <x:c r="N53" s="7" t="str">
        <x:f>IF(COUNT(G53,I53,L53)=3,D53-G53-I53+L53,"NYITOTT")</x:f>
        <x:v>NYITOTT</x:v>
      </x:c>
      <x:c r="O53" s="9" t="n">
        <x:f>C53*D53/1000000</x:f>
        <x:v>1.3752</x:v>
      </x:c>
      <x:c r="P53" s="6" t="str">
        <x:v>NYITOTT</x:v>
      </x:c>
      <x:c r="Q53" s="6" t="str">
        <x:v>NEM</x:v>
      </x:c>
      <x:c r="R53" s="2" t="n">
        <x:f>COUNTIF(Furatok!B6:B831,A53)</x:f>
        <x:v>30</x:v>
      </x:c>
      <x:c r="S53" s="2" t="str">
        <x:v>R15:KI12-TV02CAP-01</x:v>
      </x:c>
    </x:row>
    <x:row r="54" ht="34" customHeight="1">
      <x:c r="A54" s="2" t="str">
        <x:v>KI12-TV03P-01</x:v>
      </x:c>
      <x:c r="B54" s="2" t="str">
        <x:v>Dekor hordozópanel / példány 1</x:v>
      </x:c>
      <x:c r="C54" s="7" t="n">
        <x:v>2330</x:v>
      </x:c>
      <x:c r="D54" s="7" t="n">
        <x:v>687</x:v>
      </x:c>
      <x:c r="E54" s="7" t="n">
        <x:v>18</x:v>
      </x:c>
      <x:c r="F54" s="7" t="str">
        <x:v>M02</x:v>
      </x:c>
      <x:c r="G54" s="8"/>
      <x:c r="H54" s="8"/>
      <x:c r="I54" s="8"/>
      <x:c r="J54" s="8"/>
      <x:c r="K54" s="8"/>
      <x:c r="L54" s="8"/>
      <x:c r="M54" s="7" t="str">
        <x:f>IF(COUNT(H54,J54,K54)=3,C54-H54-J54+K54,"NYITOTT")</x:f>
        <x:v>NYITOTT</x:v>
      </x:c>
      <x:c r="N54" s="7" t="str">
        <x:f>IF(COUNT(G54,I54,L54)=3,D54-G54-I54+L54,"NYITOTT")</x:f>
        <x:v>NYITOTT</x:v>
      </x:c>
      <x:c r="O54" s="9" t="n">
        <x:f>C54*D54/1000000</x:f>
        <x:v>1.60071</x:v>
      </x:c>
      <x:c r="P54" s="6" t="str">
        <x:v>NYITOTT</x:v>
      </x:c>
      <x:c r="Q54" s="6" t="str">
        <x:v>NEM</x:v>
      </x:c>
      <x:c r="R54" s="2" t="n">
        <x:f>COUNTIF(Furatok!B6:B831,A54)</x:f>
        <x:v>24</x:v>
      </x:c>
      <x:c r="S54" s="2" t="str">
        <x:v>R15:KI12-TV03P-01</x:v>
      </x:c>
    </x:row>
    <x:row r="55" ht="34" customHeight="1">
      <x:c r="A55" s="2" t="str">
        <x:v>KI12-TV03P-02</x:v>
      </x:c>
      <x:c r="B55" s="2" t="str">
        <x:v>Dekor hordozópanel / példány 2</x:v>
      </x:c>
      <x:c r="C55" s="7" t="n">
        <x:v>2330</x:v>
      </x:c>
      <x:c r="D55" s="7" t="n">
        <x:v>687</x:v>
      </x:c>
      <x:c r="E55" s="7" t="n">
        <x:v>18</x:v>
      </x:c>
      <x:c r="F55" s="7" t="str">
        <x:v>M02</x:v>
      </x:c>
      <x:c r="G55" s="8"/>
      <x:c r="H55" s="8"/>
      <x:c r="I55" s="8"/>
      <x:c r="J55" s="8"/>
      <x:c r="K55" s="8"/>
      <x:c r="L55" s="8"/>
      <x:c r="M55" s="7" t="str">
        <x:f>IF(COUNT(H55,J55,K55)=3,C55-H55-J55+K55,"NYITOTT")</x:f>
        <x:v>NYITOTT</x:v>
      </x:c>
      <x:c r="N55" s="7" t="str">
        <x:f>IF(COUNT(G55,I55,L55)=3,D55-G55-I55+L55,"NYITOTT")</x:f>
        <x:v>NYITOTT</x:v>
      </x:c>
      <x:c r="O55" s="9" t="n">
        <x:f>C55*D55/1000000</x:f>
        <x:v>1.60071</x:v>
      </x:c>
      <x:c r="P55" s="6" t="str">
        <x:v>NYITOTT</x:v>
      </x:c>
      <x:c r="Q55" s="6" t="str">
        <x:v>NEM</x:v>
      </x:c>
      <x:c r="R55" s="2" t="n">
        <x:f>COUNTIF(Furatok!B6:B831,A55)</x:f>
        <x:v>24</x:v>
      </x:c>
      <x:c r="S55" s="2" t="str">
        <x:v>R15:KI12-TV03P-02</x:v>
      </x:c>
    </x:row>
    <x:row r="56" ht="34" customHeight="1">
      <x:c r="A56" s="2" t="str">
        <x:v>KI12-TV03P-03</x:v>
      </x:c>
      <x:c r="B56" s="2" t="str">
        <x:v>Dekor hordozópanel / példány 3</x:v>
      </x:c>
      <x:c r="C56" s="7" t="n">
        <x:v>2330</x:v>
      </x:c>
      <x:c r="D56" s="7" t="n">
        <x:v>687</x:v>
      </x:c>
      <x:c r="E56" s="7" t="n">
        <x:v>18</x:v>
      </x:c>
      <x:c r="F56" s="7" t="str">
        <x:v>M02</x:v>
      </x:c>
      <x:c r="G56" s="8"/>
      <x:c r="H56" s="8"/>
      <x:c r="I56" s="8"/>
      <x:c r="J56" s="8"/>
      <x:c r="K56" s="8"/>
      <x:c r="L56" s="8"/>
      <x:c r="M56" s="7" t="str">
        <x:f>IF(COUNT(H56,J56,K56)=3,C56-H56-J56+K56,"NYITOTT")</x:f>
        <x:v>NYITOTT</x:v>
      </x:c>
      <x:c r="N56" s="7" t="str">
        <x:f>IF(COUNT(G56,I56,L56)=3,D56-G56-I56+L56,"NYITOTT")</x:f>
        <x:v>NYITOTT</x:v>
      </x:c>
      <x:c r="O56" s="9" t="n">
        <x:f>C56*D56/1000000</x:f>
        <x:v>1.60071</x:v>
      </x:c>
      <x:c r="P56" s="6" t="str">
        <x:v>NYITOTT</x:v>
      </x:c>
      <x:c r="Q56" s="6" t="str">
        <x:v>NEM</x:v>
      </x:c>
      <x:c r="R56" s="2" t="n">
        <x:f>COUNTIF(Furatok!B6:B831,A56)</x:f>
        <x:v>24</x:v>
      </x:c>
      <x:c r="S56" s="2" t="str">
        <x:v>R15:KI12-TV03P-03</x:v>
      </x:c>
    </x:row>
    <x:row r="57" ht="34" customHeight="1">
      <x:c r="A57" s="2" t="str">
        <x:v>KI12-TV03P-04</x:v>
      </x:c>
      <x:c r="B57" s="2" t="str">
        <x:v>Dekor hordozópanel / példány 4</x:v>
      </x:c>
      <x:c r="C57" s="7" t="n">
        <x:v>2330</x:v>
      </x:c>
      <x:c r="D57" s="7" t="n">
        <x:v>687</x:v>
      </x:c>
      <x:c r="E57" s="7" t="n">
        <x:v>18</x:v>
      </x:c>
      <x:c r="F57" s="7" t="str">
        <x:v>M02</x:v>
      </x:c>
      <x:c r="G57" s="8"/>
      <x:c r="H57" s="8"/>
      <x:c r="I57" s="8"/>
      <x:c r="J57" s="8"/>
      <x:c r="K57" s="8"/>
      <x:c r="L57" s="8"/>
      <x:c r="M57" s="7" t="str">
        <x:f>IF(COUNT(H57,J57,K57)=3,C57-H57-J57+K57,"NYITOTT")</x:f>
        <x:v>NYITOTT</x:v>
      </x:c>
      <x:c r="N57" s="7" t="str">
        <x:f>IF(COUNT(G57,I57,L57)=3,D57-G57-I57+L57,"NYITOTT")</x:f>
        <x:v>NYITOTT</x:v>
      </x:c>
      <x:c r="O57" s="9" t="n">
        <x:f>C57*D57/1000000</x:f>
        <x:v>1.60071</x:v>
      </x:c>
      <x:c r="P57" s="6" t="str">
        <x:v>NYITOTT</x:v>
      </x:c>
      <x:c r="Q57" s="6" t="str">
        <x:v>NEM</x:v>
      </x:c>
      <x:c r="R57" s="2" t="n">
        <x:f>COUNTIF(Furatok!B6:B831,A57)</x:f>
        <x:v>24</x:v>
      </x:c>
      <x:c r="S57" s="2" t="str">
        <x:v>R15:KI12-TV03P-04</x:v>
      </x:c>
    </x:row>
    <x:row r="58" ht="34" customHeight="1">
      <x:c r="A58" s="2" t="str">
        <x:v>KI12-GAP-01</x:v>
      </x:c>
      <x:c r="B58" s="2" t="str">
        <x:v>Köztes sáv hátbetét / példány 1</x:v>
      </x:c>
      <x:c r="C58" s="7" t="n">
        <x:v>2330</x:v>
      </x:c>
      <x:c r="D58" s="7" t="n">
        <x:v>120</x:v>
      </x:c>
      <x:c r="E58" s="7" t="n">
        <x:v>18</x:v>
      </x:c>
      <x:c r="F58" s="7" t="str">
        <x:v>M01</x:v>
      </x:c>
      <x:c r="G58" s="8" t="n">
        <x:v>1</x:v>
      </x:c>
      <x:c r="H58" s="8" t="n">
        <x:v>1</x:v>
      </x:c>
      <x:c r="I58" s="8" t="n">
        <x:v>1</x:v>
      </x:c>
      <x:c r="J58" s="8" t="n">
        <x:v>1</x:v>
      </x:c>
      <x:c r="K58" s="8"/>
      <x:c r="L58" s="8"/>
      <x:c r="M58" s="7" t="str">
        <x:f>IF(COUNT(H58,J58,K58)=3,C58-H58-J58+K58,"NYITOTT")</x:f>
        <x:v>NYITOTT</x:v>
      </x:c>
      <x:c r="N58" s="7" t="str">
        <x:f>IF(COUNT(G58,I58,L58)=3,D58-G58-I58+L58,"NYITOTT")</x:f>
        <x:v>NYITOTT</x:v>
      </x:c>
      <x:c r="O58" s="9" t="n">
        <x:f>C58*D58/1000000</x:f>
        <x:v>0.2796</x:v>
      </x:c>
      <x:c r="P58" s="6" t="str">
        <x:v>NYITOTT</x:v>
      </x:c>
      <x:c r="Q58" s="6" t="str">
        <x:v>NEM</x:v>
      </x:c>
      <x:c r="R58" s="2" t="n">
        <x:f>COUNTIF(Furatok!B6:B831,A58)</x:f>
        <x:v>0</x:v>
      </x:c>
      <x:c r="S58" s="2" t="str">
        <x:v>R15:KI12-GAP-01</x:v>
      </x:c>
    </x:row>
    <x:row r="59" ht="34" customHeight="1">
      <x:c r="A59" s="2" t="str">
        <x:v>KI13-GAP-LOW-01</x:v>
      </x:c>
      <x:c r="B59" s="2" t="str">
        <x:v>Alsó visszahúzott grafit betét</x:v>
      </x:c>
      <x:c r="C59" s="7" t="n">
        <x:v>380</x:v>
      </x:c>
      <x:c r="D59" s="7" t="n">
        <x:v>117</x:v>
      </x:c>
      <x:c r="E59" s="7" t="n">
        <x:v>18</x:v>
      </x:c>
      <x:c r="F59" s="7" t="str">
        <x:v>M01</x:v>
      </x:c>
      <x:c r="G59" s="8" t="n">
        <x:v>1</x:v>
      </x:c>
      <x:c r="H59" s="8" t="n">
        <x:v>1</x:v>
      </x:c>
      <x:c r="I59" s="8" t="n">
        <x:v>1</x:v>
      </x:c>
      <x:c r="J59" s="8" t="n">
        <x:v>1</x:v>
      </x:c>
      <x:c r="K59" s="8"/>
      <x:c r="L59" s="8"/>
      <x:c r="M59" s="7" t="str">
        <x:f>IF(COUNT(H59,J59,K59)=3,C59-H59-J59+K59,"NYITOTT")</x:f>
        <x:v>NYITOTT</x:v>
      </x:c>
      <x:c r="N59" s="7" t="str">
        <x:f>IF(COUNT(G59,I59,L59)=3,D59-G59-I59+L59,"NYITOTT")</x:f>
        <x:v>NYITOTT</x:v>
      </x:c>
      <x:c r="O59" s="9" t="n">
        <x:f>C59*D59/1000000</x:f>
        <x:v>0.04446</x:v>
      </x:c>
      <x:c r="P59" s="6" t="str">
        <x:v>NYITOTT</x:v>
      </x:c>
      <x:c r="Q59" s="6" t="str">
        <x:v>NEM</x:v>
      </x:c>
      <x:c r="R59" s="2" t="n">
        <x:f>COUNTIF(Furatok!B6:B831,A59)</x:f>
        <x:v>4</x:v>
      </x:c>
      <x:c r="S59" s="2" t="str">
        <x:v>R15:KI13-GAP-LOW-01</x:v>
      </x:c>
    </x:row>
    <x:row r="60" ht="34" customHeight="1">
      <x:c r="A60" s="2" t="str">
        <x:v>KI14-BAT-01</x:v>
      </x:c>
      <x:c r="B60" s="2" t="str">
        <x:v>Hátlaprögzítő bükk léc</x:v>
      </x:c>
      <x:c r="C60" s="7" t="n">
        <x:v>2142</x:v>
      </x:c>
      <x:c r="D60" s="7" t="n">
        <x:v>18</x:v>
      </x:c>
      <x:c r="E60" s="7" t="n">
        <x:v>18</x:v>
      </x:c>
      <x:c r="F60" s="7" t="str">
        <x:v>BEECH18</x:v>
      </x:c>
      <x:c r="G60" s="8" t="n">
        <x:v>0</x:v>
      </x:c>
      <x:c r="H60" s="8" t="n">
        <x:v>0</x:v>
      </x:c>
      <x:c r="I60" s="8" t="n">
        <x:v>0</x:v>
      </x:c>
      <x:c r="J60" s="8" t="n">
        <x:v>0</x:v>
      </x:c>
      <x:c r="K60" s="8"/>
      <x:c r="L60" s="8"/>
      <x:c r="M60" s="7" t="str">
        <x:f>IF(COUNT(H60,J60,K60)=3,C60-H60-J60+K60,"NYITOTT")</x:f>
        <x:v>NYITOTT</x:v>
      </x:c>
      <x:c r="N60" s="7" t="str">
        <x:f>IF(COUNT(G60,I60,L60)=3,D60-G60-I60+L60,"NYITOTT")</x:f>
        <x:v>NYITOTT</x:v>
      </x:c>
      <x:c r="O60" s="9" t="n">
        <x:f>C60*D60/1000000</x:f>
        <x:v>0.038556</x:v>
      </x:c>
      <x:c r="P60" s="6" t="str">
        <x:v>NYITOTT</x:v>
      </x:c>
      <x:c r="Q60" s="6" t="str">
        <x:v>NEM</x:v>
      </x:c>
      <x:c r="R60" s="2" t="n">
        <x:f>COUNTIF(Furatok!B6:B831,A60)</x:f>
        <x:v>14</x:v>
      </x:c>
      <x:c r="S60" s="2" t="str">
        <x:v>R15:KI14-BAT-01</x:v>
      </x:c>
    </x:row>
    <x:row r="61" ht="34" customHeight="1">
      <x:c r="A61" s="2" t="str">
        <x:v>KI14-BAT-02</x:v>
      </x:c>
      <x:c r="B61" s="2" t="str">
        <x:v>Hátlaprögzítő bükk léc</x:v>
      </x:c>
      <x:c r="C61" s="7" t="n">
        <x:v>2142</x:v>
      </x:c>
      <x:c r="D61" s="7" t="n">
        <x:v>18</x:v>
      </x:c>
      <x:c r="E61" s="7" t="n">
        <x:v>18</x:v>
      </x:c>
      <x:c r="F61" s="7" t="str">
        <x:v>BEECH18</x:v>
      </x:c>
      <x:c r="G61" s="8" t="n">
        <x:v>0</x:v>
      </x:c>
      <x:c r="H61" s="8" t="n">
        <x:v>0</x:v>
      </x:c>
      <x:c r="I61" s="8" t="n">
        <x:v>0</x:v>
      </x:c>
      <x:c r="J61" s="8" t="n">
        <x:v>0</x:v>
      </x:c>
      <x:c r="K61" s="8"/>
      <x:c r="L61" s="8"/>
      <x:c r="M61" s="7" t="str">
        <x:f>IF(COUNT(H61,J61,K61)=3,C61-H61-J61+K61,"NYITOTT")</x:f>
        <x:v>NYITOTT</x:v>
      </x:c>
      <x:c r="N61" s="7" t="str">
        <x:f>IF(COUNT(G61,I61,L61)=3,D61-G61-I61+L61,"NYITOTT")</x:f>
        <x:v>NYITOTT</x:v>
      </x:c>
      <x:c r="O61" s="9" t="n">
        <x:f>C61*D61/1000000</x:f>
        <x:v>0.038556</x:v>
      </x:c>
      <x:c r="P61" s="6" t="str">
        <x:v>NYITOTT</x:v>
      </x:c>
      <x:c r="Q61" s="6" t="str">
        <x:v>NEM</x:v>
      </x:c>
      <x:c r="R61" s="2" t="n">
        <x:f>COUNTIF(Furatok!B6:B831,A61)</x:f>
        <x:v>14</x:v>
      </x:c>
      <x:c r="S61" s="2" t="str">
        <x:v>R15:KI14-BAT-02</x:v>
      </x:c>
    </x:row>
    <x:row r="62" ht="34" customHeight="1">
      <x:c r="A62" s="2" t="str">
        <x:v>KI14-BAT-03</x:v>
      </x:c>
      <x:c r="B62" s="2" t="str">
        <x:v>Hátlaprögzítő bükk léc</x:v>
      </x:c>
      <x:c r="C62" s="7" t="n">
        <x:v>212</x:v>
      </x:c>
      <x:c r="D62" s="7" t="n">
        <x:v>18</x:v>
      </x:c>
      <x:c r="E62" s="7" t="n">
        <x:v>18</x:v>
      </x:c>
      <x:c r="F62" s="7" t="str">
        <x:v>BEECH18</x:v>
      </x:c>
      <x:c r="G62" s="8" t="n">
        <x:v>0</x:v>
      </x:c>
      <x:c r="H62" s="8" t="n">
        <x:v>0</x:v>
      </x:c>
      <x:c r="I62" s="8" t="n">
        <x:v>0</x:v>
      </x:c>
      <x:c r="J62" s="8" t="n">
        <x:v>0</x:v>
      </x:c>
      <x:c r="K62" s="8"/>
      <x:c r="L62" s="8"/>
      <x:c r="M62" s="7" t="str">
        <x:f>IF(COUNT(H62,J62,K62)=3,C62-H62-J62+K62,"NYITOTT")</x:f>
        <x:v>NYITOTT</x:v>
      </x:c>
      <x:c r="N62" s="7" t="str">
        <x:f>IF(COUNT(G62,I62,L62)=3,D62-G62-I62+L62,"NYITOTT")</x:f>
        <x:v>NYITOTT</x:v>
      </x:c>
      <x:c r="O62" s="9" t="n">
        <x:f>C62*D62/1000000</x:f>
        <x:v>0.003816</x:v>
      </x:c>
      <x:c r="P62" s="6" t="str">
        <x:v>NYITOTT</x:v>
      </x:c>
      <x:c r="Q62" s="6" t="str">
        <x:v>NEM</x:v>
      </x:c>
      <x:c r="R62" s="2" t="n">
        <x:f>COUNTIF(Furatok!B6:B831,A62)</x:f>
        <x:v>6</x:v>
      </x:c>
      <x:c r="S62" s="2" t="str">
        <x:v>R15:KI14-BAT-03</x:v>
      </x:c>
    </x:row>
    <x:row r="63" ht="34" customHeight="1">
      <x:c r="A63" s="2" t="str">
        <x:v>KI14-BAT-04</x:v>
      </x:c>
      <x:c r="B63" s="2" t="str">
        <x:v>Hátlaprögzítő bükk léc</x:v>
      </x:c>
      <x:c r="C63" s="7" t="n">
        <x:v>212</x:v>
      </x:c>
      <x:c r="D63" s="7" t="n">
        <x:v>18</x:v>
      </x:c>
      <x:c r="E63" s="7" t="n">
        <x:v>18</x:v>
      </x:c>
      <x:c r="F63" s="7" t="str">
        <x:v>BEECH18</x:v>
      </x:c>
      <x:c r="G63" s="8" t="n">
        <x:v>0</x:v>
      </x:c>
      <x:c r="H63" s="8" t="n">
        <x:v>0</x:v>
      </x:c>
      <x:c r="I63" s="8" t="n">
        <x:v>0</x:v>
      </x:c>
      <x:c r="J63" s="8" t="n">
        <x:v>0</x:v>
      </x:c>
      <x:c r="K63" s="8"/>
      <x:c r="L63" s="8"/>
      <x:c r="M63" s="7" t="str">
        <x:f>IF(COUNT(H63,J63,K63)=3,C63-H63-J63+K63,"NYITOTT")</x:f>
        <x:v>NYITOTT</x:v>
      </x:c>
      <x:c r="N63" s="7" t="str">
        <x:f>IF(COUNT(G63,I63,L63)=3,D63-G63-I63+L63,"NYITOTT")</x:f>
        <x:v>NYITOTT</x:v>
      </x:c>
      <x:c r="O63" s="9" t="n">
        <x:f>C63*D63/1000000</x:f>
        <x:v>0.003816</x:v>
      </x:c>
      <x:c r="P63" s="6" t="str">
        <x:v>NYITOTT</x:v>
      </x:c>
      <x:c r="Q63" s="6" t="str">
        <x:v>NEM</x:v>
      </x:c>
      <x:c r="R63" s="2" t="n">
        <x:f>COUNTIF(Furatok!B6:B831,A63)</x:f>
        <x:v>6</x:v>
      </x:c>
      <x:c r="S63" s="2" t="str">
        <x:v>R15:KI14-BAT-04</x:v>
      </x:c>
    </x:row>
    <x:row r="64" ht="34" customHeight="1">
      <x:c r="A64" s="2" t="str">
        <x:v>KI14-BAT-05</x:v>
      </x:c>
      <x:c r="B64" s="2" t="str">
        <x:v>Hátlaprögzítő bükk léc</x:v>
      </x:c>
      <x:c r="C64" s="7" t="n">
        <x:v>212</x:v>
      </x:c>
      <x:c r="D64" s="7" t="n">
        <x:v>18</x:v>
      </x:c>
      <x:c r="E64" s="7" t="n">
        <x:v>18</x:v>
      </x:c>
      <x:c r="F64" s="7" t="str">
        <x:v>BEECH18</x:v>
      </x:c>
      <x:c r="G64" s="8" t="n">
        <x:v>0</x:v>
      </x:c>
      <x:c r="H64" s="8" t="n">
        <x:v>0</x:v>
      </x:c>
      <x:c r="I64" s="8" t="n">
        <x:v>0</x:v>
      </x:c>
      <x:c r="J64" s="8" t="n">
        <x:v>0</x:v>
      </x:c>
      <x:c r="K64" s="8"/>
      <x:c r="L64" s="8"/>
      <x:c r="M64" s="7" t="str">
        <x:f>IF(COUNT(H64,J64,K64)=3,C64-H64-J64+K64,"NYITOTT")</x:f>
        <x:v>NYITOTT</x:v>
      </x:c>
      <x:c r="N64" s="7" t="str">
        <x:f>IF(COUNT(G64,I64,L64)=3,D64-G64-I64+L64,"NYITOTT")</x:f>
        <x:v>NYITOTT</x:v>
      </x:c>
      <x:c r="O64" s="9" t="n">
        <x:f>C64*D64/1000000</x:f>
        <x:v>0.003816</x:v>
      </x:c>
      <x:c r="P64" s="6" t="str">
        <x:v>NYITOTT</x:v>
      </x:c>
      <x:c r="Q64" s="6" t="str">
        <x:v>NEM</x:v>
      </x:c>
      <x:c r="R64" s="2" t="n">
        <x:f>COUNTIF(Furatok!B6:B831,A64)</x:f>
        <x:v>6</x:v>
      </x:c>
      <x:c r="S64" s="2" t="str">
        <x:v>R15:KI14-BAT-05</x:v>
      </x:c>
    </x:row>
    <x:row r="65" ht="34" customHeight="1">
      <x:c r="A65" s="2" t="str">
        <x:v>KI14-BAT-06</x:v>
      </x:c>
      <x:c r="B65" s="2" t="str">
        <x:v>Hátlaprögzítő bükk léc</x:v>
      </x:c>
      <x:c r="C65" s="7" t="n">
        <x:v>212</x:v>
      </x:c>
      <x:c r="D65" s="7" t="n">
        <x:v>18</x:v>
      </x:c>
      <x:c r="E65" s="7" t="n">
        <x:v>18</x:v>
      </x:c>
      <x:c r="F65" s="7" t="str">
        <x:v>BEECH18</x:v>
      </x:c>
      <x:c r="G65" s="8" t="n">
        <x:v>0</x:v>
      </x:c>
      <x:c r="H65" s="8" t="n">
        <x:v>0</x:v>
      </x:c>
      <x:c r="I65" s="8" t="n">
        <x:v>0</x:v>
      </x:c>
      <x:c r="J65" s="8" t="n">
        <x:v>0</x:v>
      </x:c>
      <x:c r="K65" s="8"/>
      <x:c r="L65" s="8"/>
      <x:c r="M65" s="7" t="str">
        <x:f>IF(COUNT(H65,J65,K65)=3,C65-H65-J65+K65,"NYITOTT")</x:f>
        <x:v>NYITOTT</x:v>
      </x:c>
      <x:c r="N65" s="7" t="str">
        <x:f>IF(COUNT(G65,I65,L65)=3,D65-G65-I65+L65,"NYITOTT")</x:f>
        <x:v>NYITOTT</x:v>
      </x:c>
      <x:c r="O65" s="9" t="n">
        <x:f>C65*D65/1000000</x:f>
        <x:v>0.003816</x:v>
      </x:c>
      <x:c r="P65" s="6" t="str">
        <x:v>NYITOTT</x:v>
      </x:c>
      <x:c r="Q65" s="6" t="str">
        <x:v>NEM</x:v>
      </x:c>
      <x:c r="R65" s="2" t="n">
        <x:f>COUNTIF(Furatok!B6:B831,A65)</x:f>
        <x:v>6</x:v>
      </x:c>
      <x:c r="S65" s="2" t="str">
        <x:v>R15:KI14-BAT-06</x:v>
      </x:c>
    </x:row>
    <x:row r="66" ht="34" customHeight="1">
      <x:c r="A66" s="2" t="str">
        <x:v>KI14-BAT-07</x:v>
      </x:c>
      <x:c r="B66" s="2" t="str">
        <x:v>Hátlaprögzítő bükk léc</x:v>
      </x:c>
      <x:c r="C66" s="7" t="n">
        <x:v>212</x:v>
      </x:c>
      <x:c r="D66" s="7" t="n">
        <x:v>18</x:v>
      </x:c>
      <x:c r="E66" s="7" t="n">
        <x:v>18</x:v>
      </x:c>
      <x:c r="F66" s="7" t="str">
        <x:v>BEECH18</x:v>
      </x:c>
      <x:c r="G66" s="8" t="n">
        <x:v>0</x:v>
      </x:c>
      <x:c r="H66" s="8" t="n">
        <x:v>0</x:v>
      </x:c>
      <x:c r="I66" s="8" t="n">
        <x:v>0</x:v>
      </x:c>
      <x:c r="J66" s="8" t="n">
        <x:v>0</x:v>
      </x:c>
      <x:c r="K66" s="8"/>
      <x:c r="L66" s="8"/>
      <x:c r="M66" s="7" t="str">
        <x:f>IF(COUNT(H66,J66,K66)=3,C66-H66-J66+K66,"NYITOTT")</x:f>
        <x:v>NYITOTT</x:v>
      </x:c>
      <x:c r="N66" s="7" t="str">
        <x:f>IF(COUNT(G66,I66,L66)=3,D66-G66-I66+L66,"NYITOTT")</x:f>
        <x:v>NYITOTT</x:v>
      </x:c>
      <x:c r="O66" s="9" t="n">
        <x:f>C66*D66/1000000</x:f>
        <x:v>0.003816</x:v>
      </x:c>
      <x:c r="P66" s="6" t="str">
        <x:v>NYITOTT</x:v>
      </x:c>
      <x:c r="Q66" s="6" t="str">
        <x:v>NEM</x:v>
      </x:c>
      <x:c r="R66" s="2" t="n">
        <x:f>COUNTIF(Furatok!B6:B831,A66)</x:f>
        <x:v>6</x:v>
      </x:c>
      <x:c r="S66" s="2" t="str">
        <x:v>R15:KI14-BAT-07</x:v>
      </x:c>
    </x:row>
    <x:row r="67" ht="34" customHeight="1">
      <x:c r="A67" s="2" t="str">
        <x:v>KI14-BAT-08</x:v>
      </x:c>
      <x:c r="B67" s="2" t="str">
        <x:v>Hátlaprögzítő bükk léc</x:v>
      </x:c>
      <x:c r="C67" s="7" t="n">
        <x:v>212</x:v>
      </x:c>
      <x:c r="D67" s="7" t="n">
        <x:v>18</x:v>
      </x:c>
      <x:c r="E67" s="7" t="n">
        <x:v>18</x:v>
      </x:c>
      <x:c r="F67" s="7" t="str">
        <x:v>BEECH18</x:v>
      </x:c>
      <x:c r="G67" s="8" t="n">
        <x:v>0</x:v>
      </x:c>
      <x:c r="H67" s="8" t="n">
        <x:v>0</x:v>
      </x:c>
      <x:c r="I67" s="8" t="n">
        <x:v>0</x:v>
      </x:c>
      <x:c r="J67" s="8" t="n">
        <x:v>0</x:v>
      </x:c>
      <x:c r="K67" s="8"/>
      <x:c r="L67" s="8"/>
      <x:c r="M67" s="7" t="str">
        <x:f>IF(COUNT(H67,J67,K67)=3,C67-H67-J67+K67,"NYITOTT")</x:f>
        <x:v>NYITOTT</x:v>
      </x:c>
      <x:c r="N67" s="7" t="str">
        <x:f>IF(COUNT(G67,I67,L67)=3,D67-G67-I67+L67,"NYITOTT")</x:f>
        <x:v>NYITOTT</x:v>
      </x:c>
      <x:c r="O67" s="9" t="n">
        <x:f>C67*D67/1000000</x:f>
        <x:v>0.003816</x:v>
      </x:c>
      <x:c r="P67" s="6" t="str">
        <x:v>NYITOTT</x:v>
      </x:c>
      <x:c r="Q67" s="6" t="str">
        <x:v>NEM</x:v>
      </x:c>
      <x:c r="R67" s="2" t="n">
        <x:f>COUNTIF(Furatok!B6:B831,A67)</x:f>
        <x:v>6</x:v>
      </x:c>
      <x:c r="S67" s="2" t="str">
        <x:v>R15:KI14-BAT-08</x:v>
      </x:c>
    </x:row>
    <x:row r="68" ht="34" customHeight="1">
      <x:c r="A68" s="2" t="str">
        <x:v>KI14-BAT-09</x:v>
      </x:c>
      <x:c r="B68" s="2" t="str">
        <x:v>Hátlaprögzítő bükk léc</x:v>
      </x:c>
      <x:c r="C68" s="7" t="n">
        <x:v>212</x:v>
      </x:c>
      <x:c r="D68" s="7" t="n">
        <x:v>18</x:v>
      </x:c>
      <x:c r="E68" s="7" t="n">
        <x:v>18</x:v>
      </x:c>
      <x:c r="F68" s="7" t="str">
        <x:v>BEECH18</x:v>
      </x:c>
      <x:c r="G68" s="8" t="n">
        <x:v>0</x:v>
      </x:c>
      <x:c r="H68" s="8" t="n">
        <x:v>0</x:v>
      </x:c>
      <x:c r="I68" s="8" t="n">
        <x:v>0</x:v>
      </x:c>
      <x:c r="J68" s="8" t="n">
        <x:v>0</x:v>
      </x:c>
      <x:c r="K68" s="8"/>
      <x:c r="L68" s="8"/>
      <x:c r="M68" s="7" t="str">
        <x:f>IF(COUNT(H68,J68,K68)=3,C68-H68-J68+K68,"NYITOTT")</x:f>
        <x:v>NYITOTT</x:v>
      </x:c>
      <x:c r="N68" s="7" t="str">
        <x:f>IF(COUNT(G68,I68,L68)=3,D68-G68-I68+L68,"NYITOTT")</x:f>
        <x:v>NYITOTT</x:v>
      </x:c>
      <x:c r="O68" s="9" t="n">
        <x:f>C68*D68/1000000</x:f>
        <x:v>0.003816</x:v>
      </x:c>
      <x:c r="P68" s="6" t="str">
        <x:v>NYITOTT</x:v>
      </x:c>
      <x:c r="Q68" s="6" t="str">
        <x:v>NEM</x:v>
      </x:c>
      <x:c r="R68" s="2" t="n">
        <x:f>COUNTIF(Furatok!B6:B831,A68)</x:f>
        <x:v>6</x:v>
      </x:c>
      <x:c r="S68" s="2" t="str">
        <x:v>R15:KI14-BAT-09</x:v>
      </x:c>
    </x:row>
    <x:row r="69" ht="34" customHeight="1">
      <x:c r="A69" s="2" t="str">
        <x:v>KI14-BAT-10</x:v>
      </x:c>
      <x:c r="B69" s="2" t="str">
        <x:v>Hátlaprögzítő bükk léc</x:v>
      </x:c>
      <x:c r="C69" s="7" t="n">
        <x:v>212</x:v>
      </x:c>
      <x:c r="D69" s="7" t="n">
        <x:v>18</x:v>
      </x:c>
      <x:c r="E69" s="7" t="n">
        <x:v>18</x:v>
      </x:c>
      <x:c r="F69" s="7" t="str">
        <x:v>BEECH18</x:v>
      </x:c>
      <x:c r="G69" s="8" t="n">
        <x:v>0</x:v>
      </x:c>
      <x:c r="H69" s="8" t="n">
        <x:v>0</x:v>
      </x:c>
      <x:c r="I69" s="8" t="n">
        <x:v>0</x:v>
      </x:c>
      <x:c r="J69" s="8" t="n">
        <x:v>0</x:v>
      </x:c>
      <x:c r="K69" s="8"/>
      <x:c r="L69" s="8"/>
      <x:c r="M69" s="7" t="str">
        <x:f>IF(COUNT(H69,J69,K69)=3,C69-H69-J69+K69,"NYITOTT")</x:f>
        <x:v>NYITOTT</x:v>
      </x:c>
      <x:c r="N69" s="7" t="str">
        <x:f>IF(COUNT(G69,I69,L69)=3,D69-G69-I69+L69,"NYITOTT")</x:f>
        <x:v>NYITOTT</x:v>
      </x:c>
      <x:c r="O69" s="9" t="n">
        <x:f>C69*D69/1000000</x:f>
        <x:v>0.003816</x:v>
      </x:c>
      <x:c r="P69" s="6" t="str">
        <x:v>NYITOTT</x:v>
      </x:c>
      <x:c r="Q69" s="6" t="str">
        <x:v>NEM</x:v>
      </x:c>
      <x:c r="R69" s="2" t="n">
        <x:f>COUNTIF(Furatok!B6:B831,A69)</x:f>
        <x:v>6</x:v>
      </x:c>
      <x:c r="S69" s="2" t="str">
        <x:v>R15:KI14-BAT-10</x:v>
      </x:c>
    </x:row>
    <x:row r="70" ht="34" customHeight="1">
      <x:c r="A70" s="2" t="str">
        <x:v>KI14-BAT-11</x:v>
      </x:c>
      <x:c r="B70" s="2" t="str">
        <x:v>Hátlaprögzítő bükk léc</x:v>
      </x:c>
      <x:c r="C70" s="7" t="n">
        <x:v>212</x:v>
      </x:c>
      <x:c r="D70" s="7" t="n">
        <x:v>18</x:v>
      </x:c>
      <x:c r="E70" s="7" t="n">
        <x:v>18</x:v>
      </x:c>
      <x:c r="F70" s="7" t="str">
        <x:v>BEECH18</x:v>
      </x:c>
      <x:c r="G70" s="8" t="n">
        <x:v>0</x:v>
      </x:c>
      <x:c r="H70" s="8" t="n">
        <x:v>0</x:v>
      </x:c>
      <x:c r="I70" s="8" t="n">
        <x:v>0</x:v>
      </x:c>
      <x:c r="J70" s="8" t="n">
        <x:v>0</x:v>
      </x:c>
      <x:c r="K70" s="8"/>
      <x:c r="L70" s="8"/>
      <x:c r="M70" s="7" t="str">
        <x:f>IF(COUNT(H70,J70,K70)=3,C70-H70-J70+K70,"NYITOTT")</x:f>
        <x:v>NYITOTT</x:v>
      </x:c>
      <x:c r="N70" s="7" t="str">
        <x:f>IF(COUNT(G70,I70,L70)=3,D70-G70-I70+L70,"NYITOTT")</x:f>
        <x:v>NYITOTT</x:v>
      </x:c>
      <x:c r="O70" s="9" t="n">
        <x:f>C70*D70/1000000</x:f>
        <x:v>0.003816</x:v>
      </x:c>
      <x:c r="P70" s="6" t="str">
        <x:v>NYITOTT</x:v>
      </x:c>
      <x:c r="Q70" s="6" t="str">
        <x:v>NEM</x:v>
      </x:c>
      <x:c r="R70" s="2" t="n">
        <x:f>COUNTIF(Furatok!B6:B831,A70)</x:f>
        <x:v>6</x:v>
      </x:c>
      <x:c r="S70" s="2" t="str">
        <x:v>R15:KI14-BAT-11</x:v>
      </x:c>
    </x:row>
    <x:row r="71" ht="34" customHeight="1">
      <x:c r="A71" s="2" t="str">
        <x:v>KI14-BAT-12</x:v>
      </x:c>
      <x:c r="B71" s="2" t="str">
        <x:v>Hátlaprögzítő bükk léc</x:v>
      </x:c>
      <x:c r="C71" s="7" t="n">
        <x:v>212</x:v>
      </x:c>
      <x:c r="D71" s="7" t="n">
        <x:v>18</x:v>
      </x:c>
      <x:c r="E71" s="7" t="n">
        <x:v>18</x:v>
      </x:c>
      <x:c r="F71" s="7" t="str">
        <x:v>BEECH18</x:v>
      </x:c>
      <x:c r="G71" s="8" t="n">
        <x:v>0</x:v>
      </x:c>
      <x:c r="H71" s="8" t="n">
        <x:v>0</x:v>
      </x:c>
      <x:c r="I71" s="8" t="n">
        <x:v>0</x:v>
      </x:c>
      <x:c r="J71" s="8" t="n">
        <x:v>0</x:v>
      </x:c>
      <x:c r="K71" s="8"/>
      <x:c r="L71" s="8"/>
      <x:c r="M71" s="7" t="str">
        <x:f>IF(COUNT(H71,J71,K71)=3,C71-H71-J71+K71,"NYITOTT")</x:f>
        <x:v>NYITOTT</x:v>
      </x:c>
      <x:c r="N71" s="7" t="str">
        <x:f>IF(COUNT(G71,I71,L71)=3,D71-G71-I71+L71,"NYITOTT")</x:f>
        <x:v>NYITOTT</x:v>
      </x:c>
      <x:c r="O71" s="9" t="n">
        <x:f>C71*D71/1000000</x:f>
        <x:v>0.003816</x:v>
      </x:c>
      <x:c r="P71" s="6" t="str">
        <x:v>NYITOTT</x:v>
      </x:c>
      <x:c r="Q71" s="6" t="str">
        <x:v>NEM</x:v>
      </x:c>
      <x:c r="R71" s="2" t="n">
        <x:f>COUNTIF(Furatok!B6:B831,A71)</x:f>
        <x:v>6</x:v>
      </x:c>
      <x:c r="S71" s="2" t="str">
        <x:v>R15:KI14-BAT-12</x:v>
      </x:c>
    </x:row>
    <x:row r="72" ht="34" customHeight="1">
      <x:c r="A72" s="2" t="str">
        <x:v>KI14-GAPBAT-01</x:v>
      </x:c>
      <x:c r="B72" s="2" t="str">
        <x:v>Alsó betét rejtett rögzítőléce</x:v>
      </x:c>
      <x:c r="C72" s="7" t="n">
        <x:v>320</x:v>
      </x:c>
      <x:c r="D72" s="7" t="n">
        <x:v>18</x:v>
      </x:c>
      <x:c r="E72" s="7" t="n">
        <x:v>18</x:v>
      </x:c>
      <x:c r="F72" s="7" t="str">
        <x:v>BEECH18</x:v>
      </x:c>
      <x:c r="G72" s="8" t="n">
        <x:v>0</x:v>
      </x:c>
      <x:c r="H72" s="8" t="n">
        <x:v>0</x:v>
      </x:c>
      <x:c r="I72" s="8" t="n">
        <x:v>0</x:v>
      </x:c>
      <x:c r="J72" s="8" t="n">
        <x:v>0</x:v>
      </x:c>
      <x:c r="K72" s="8"/>
      <x:c r="L72" s="8"/>
      <x:c r="M72" s="7" t="str">
        <x:f>IF(COUNT(H72,J72,K72)=3,C72-H72-J72+K72,"NYITOTT")</x:f>
        <x:v>NYITOTT</x:v>
      </x:c>
      <x:c r="N72" s="7" t="str">
        <x:f>IF(COUNT(G72,I72,L72)=3,D72-G72-I72+L72,"NYITOTT")</x:f>
        <x:v>NYITOTT</x:v>
      </x:c>
      <x:c r="O72" s="9" t="n">
        <x:f>C72*D72/1000000</x:f>
        <x:v>0.00576</x:v>
      </x:c>
      <x:c r="P72" s="6" t="str">
        <x:v>NYITOTT</x:v>
      </x:c>
      <x:c r="Q72" s="6" t="str">
        <x:v>NEM</x:v>
      </x:c>
      <x:c r="R72" s="2" t="n">
        <x:f>COUNTIF(Furatok!B6:B831,A72)</x:f>
        <x:v>4</x:v>
      </x:c>
      <x:c r="S72" s="2" t="str">
        <x:v>R15:KI14-GAPBAT-01</x:v>
      </x:c>
    </x:row>
    <x:row r="73" ht="34" customHeight="1">
      <x:c r="A73" s="2" t="str">
        <x:v>KI14-GAPBAT-02</x:v>
      </x:c>
      <x:c r="B73" s="2" t="str">
        <x:v>Alsó betét rejtett rögzítőléce</x:v>
      </x:c>
      <x:c r="C73" s="7" t="n">
        <x:v>320</x:v>
      </x:c>
      <x:c r="D73" s="7" t="n">
        <x:v>18</x:v>
      </x:c>
      <x:c r="E73" s="7" t="n">
        <x:v>18</x:v>
      </x:c>
      <x:c r="F73" s="7" t="str">
        <x:v>BEECH18</x:v>
      </x:c>
      <x:c r="G73" s="8" t="n">
        <x:v>0</x:v>
      </x:c>
      <x:c r="H73" s="8" t="n">
        <x:v>0</x:v>
      </x:c>
      <x:c r="I73" s="8" t="n">
        <x:v>0</x:v>
      </x:c>
      <x:c r="J73" s="8" t="n">
        <x:v>0</x:v>
      </x:c>
      <x:c r="K73" s="8"/>
      <x:c r="L73" s="8"/>
      <x:c r="M73" s="7" t="str">
        <x:f>IF(COUNT(H73,J73,K73)=3,C73-H73-J73+K73,"NYITOTT")</x:f>
        <x:v>NYITOTT</x:v>
      </x:c>
      <x:c r="N73" s="7" t="str">
        <x:f>IF(COUNT(G73,I73,L73)=3,D73-G73-I73+L73,"NYITOTT")</x:f>
        <x:v>NYITOTT</x:v>
      </x:c>
      <x:c r="O73" s="9" t="n">
        <x:f>C73*D73/1000000</x:f>
        <x:v>0.00576</x:v>
      </x:c>
      <x:c r="P73" s="6" t="str">
        <x:v>NYITOTT</x:v>
      </x:c>
      <x:c r="Q73" s="6" t="str">
        <x:v>NEM</x:v>
      </x:c>
      <x:c r="R73" s="2" t="n">
        <x:f>COUNTIF(Furatok!B6:B831,A73)</x:f>
        <x:v>4</x:v>
      </x:c>
      <x:c r="S73" s="2" t="str">
        <x:v>R15:KI14-GAPBAT-02</x:v>
      </x:c>
    </x:row>
    <x:row r="74" ht="34" customHeight="1">
      <x:c r="A74" s="2" t="str">
        <x:v>KI14-RAIL-01</x:v>
      </x:c>
      <x:c r="B74" s="2" t="str">
        <x:v>Hátsó merevítő keresztléc</x:v>
      </x:c>
      <x:c r="C74" s="7" t="n">
        <x:v>684</x:v>
      </x:c>
      <x:c r="D74" s="7" t="n">
        <x:v>100</x:v>
      </x:c>
      <x:c r="E74" s="7" t="n">
        <x:v>18</x:v>
      </x:c>
      <x:c r="F74" s="7" t="str">
        <x:v>PLY18</x:v>
      </x:c>
      <x:c r="G74" s="8" t="n">
        <x:v>0</x:v>
      </x:c>
      <x:c r="H74" s="8" t="n">
        <x:v>0</x:v>
      </x:c>
      <x:c r="I74" s="8" t="n">
        <x:v>0</x:v>
      </x:c>
      <x:c r="J74" s="8" t="n">
        <x:v>0</x:v>
      </x:c>
      <x:c r="K74" s="8"/>
      <x:c r="L74" s="8"/>
      <x:c r="M74" s="7" t="str">
        <x:f>IF(COUNT(H74,J74,K74)=3,C74-H74-J74+K74,"NYITOTT")</x:f>
        <x:v>NYITOTT</x:v>
      </x:c>
      <x:c r="N74" s="7" t="str">
        <x:f>IF(COUNT(G74,I74,L74)=3,D74-G74-I74+L74,"NYITOTT")</x:f>
        <x:v>NYITOTT</x:v>
      </x:c>
      <x:c r="O74" s="9" t="n">
        <x:f>C74*D74/1000000</x:f>
        <x:v>0.0684</x:v>
      </x:c>
      <x:c r="P74" s="6" t="str">
        <x:v>NYITOTT</x:v>
      </x:c>
      <x:c r="Q74" s="6" t="str">
        <x:v>NEM</x:v>
      </x:c>
      <x:c r="R74" s="2" t="n">
        <x:f>COUNTIF(Furatok!B6:B831,A74)</x:f>
        <x:v>6</x:v>
      </x:c>
      <x:c r="S74" s="2" t="str">
        <x:v>R15:KI14-RAIL-01</x:v>
      </x:c>
    </x:row>
    <x:row r="75" ht="34" customHeight="1">
      <x:c r="A75" s="2" t="str">
        <x:v>KI14-RAIL-02</x:v>
      </x:c>
      <x:c r="B75" s="2" t="str">
        <x:v>Hátsó merevítő keresztléc</x:v>
      </x:c>
      <x:c r="C75" s="7" t="n">
        <x:v>654</x:v>
      </x:c>
      <x:c r="D75" s="7" t="n">
        <x:v>100</x:v>
      </x:c>
      <x:c r="E75" s="7" t="n">
        <x:v>18</x:v>
      </x:c>
      <x:c r="F75" s="7" t="str">
        <x:v>PLY18</x:v>
      </x:c>
      <x:c r="G75" s="8" t="n">
        <x:v>0</x:v>
      </x:c>
      <x:c r="H75" s="8" t="n">
        <x:v>0</x:v>
      </x:c>
      <x:c r="I75" s="8" t="n">
        <x:v>0</x:v>
      </x:c>
      <x:c r="J75" s="8" t="n">
        <x:v>0</x:v>
      </x:c>
      <x:c r="K75" s="8"/>
      <x:c r="L75" s="8"/>
      <x:c r="M75" s="7" t="str">
        <x:f>IF(COUNT(H75,J75,K75)=3,C75-H75-J75+K75,"NYITOTT")</x:f>
        <x:v>NYITOTT</x:v>
      </x:c>
      <x:c r="N75" s="7" t="str">
        <x:f>IF(COUNT(G75,I75,L75)=3,D75-G75-I75+L75,"NYITOTT")</x:f>
        <x:v>NYITOTT</x:v>
      </x:c>
      <x:c r="O75" s="9" t="n">
        <x:f>C75*D75/1000000</x:f>
        <x:v>0.0654</x:v>
      </x:c>
      <x:c r="P75" s="6" t="str">
        <x:v>NYITOTT</x:v>
      </x:c>
      <x:c r="Q75" s="6" t="str">
        <x:v>NEM</x:v>
      </x:c>
      <x:c r="R75" s="2" t="n">
        <x:f>COUNTIF(Furatok!B6:B831,A75)</x:f>
        <x:v>6</x:v>
      </x:c>
      <x:c r="S75" s="2" t="str">
        <x:v>R15:KI14-RAIL-02</x:v>
      </x:c>
    </x:row>
    <x:row r="76" ht="34" customHeight="1">
      <x:c r="A76" s="2" t="str">
        <x:v>KI14-RAIL-03</x:v>
      </x:c>
      <x:c r="B76" s="2" t="str">
        <x:v>Hátsó merevítő keresztléc</x:v>
      </x:c>
      <x:c r="C76" s="7" t="n">
        <x:v>654</x:v>
      </x:c>
      <x:c r="D76" s="7" t="n">
        <x:v>100</x:v>
      </x:c>
      <x:c r="E76" s="7" t="n">
        <x:v>18</x:v>
      </x:c>
      <x:c r="F76" s="7" t="str">
        <x:v>PLY18</x:v>
      </x:c>
      <x:c r="G76" s="8" t="n">
        <x:v>0</x:v>
      </x:c>
      <x:c r="H76" s="8" t="n">
        <x:v>0</x:v>
      </x:c>
      <x:c r="I76" s="8" t="n">
        <x:v>0</x:v>
      </x:c>
      <x:c r="J76" s="8" t="n">
        <x:v>0</x:v>
      </x:c>
      <x:c r="K76" s="8"/>
      <x:c r="L76" s="8"/>
      <x:c r="M76" s="7" t="str">
        <x:f>IF(COUNT(H76,J76,K76)=3,C76-H76-J76+K76,"NYITOTT")</x:f>
        <x:v>NYITOTT</x:v>
      </x:c>
      <x:c r="N76" s="7" t="str">
        <x:f>IF(COUNT(G76,I76,L76)=3,D76-G76-I76+L76,"NYITOTT")</x:f>
        <x:v>NYITOTT</x:v>
      </x:c>
      <x:c r="O76" s="9" t="n">
        <x:f>C76*D76/1000000</x:f>
        <x:v>0.0654</x:v>
      </x:c>
      <x:c r="P76" s="6" t="str">
        <x:v>NYITOTT</x:v>
      </x:c>
      <x:c r="Q76" s="6" t="str">
        <x:v>NEM</x:v>
      </x:c>
      <x:c r="R76" s="2" t="n">
        <x:f>COUNTIF(Furatok!B6:B831,A76)</x:f>
        <x:v>6</x:v>
      </x:c>
      <x:c r="S76" s="2" t="str">
        <x:v>R15:KI14-RAIL-03</x:v>
      </x:c>
    </x:row>
    <x:row r="77" ht="34" customHeight="1">
      <x:c r="A77" s="2" t="str">
        <x:v>KI14-RAIL-04</x:v>
      </x:c>
      <x:c r="B77" s="2" t="str">
        <x:v>Hátsó merevítő keresztléc</x:v>
      </x:c>
      <x:c r="C77" s="7" t="n">
        <x:v>654</x:v>
      </x:c>
      <x:c r="D77" s="7" t="n">
        <x:v>100</x:v>
      </x:c>
      <x:c r="E77" s="7" t="n">
        <x:v>18</x:v>
      </x:c>
      <x:c r="F77" s="7" t="str">
        <x:v>PLY18</x:v>
      </x:c>
      <x:c r="G77" s="8" t="n">
        <x:v>0</x:v>
      </x:c>
      <x:c r="H77" s="8" t="n">
        <x:v>0</x:v>
      </x:c>
      <x:c r="I77" s="8" t="n">
        <x:v>0</x:v>
      </x:c>
      <x:c r="J77" s="8" t="n">
        <x:v>0</x:v>
      </x:c>
      <x:c r="K77" s="8"/>
      <x:c r="L77" s="8"/>
      <x:c r="M77" s="7" t="str">
        <x:f>IF(COUNT(H77,J77,K77)=3,C77-H77-J77+K77,"NYITOTT")</x:f>
        <x:v>NYITOTT</x:v>
      </x:c>
      <x:c r="N77" s="7" t="str">
        <x:f>IF(COUNT(G77,I77,L77)=3,D77-G77-I77+L77,"NYITOTT")</x:f>
        <x:v>NYITOTT</x:v>
      </x:c>
      <x:c r="O77" s="9" t="n">
        <x:f>C77*D77/1000000</x:f>
        <x:v>0.0654</x:v>
      </x:c>
      <x:c r="P77" s="6" t="str">
        <x:v>NYITOTT</x:v>
      </x:c>
      <x:c r="Q77" s="6" t="str">
        <x:v>NEM</x:v>
      </x:c>
      <x:c r="R77" s="2" t="n">
        <x:f>COUNTIF(Furatok!B6:B831,A77)</x:f>
        <x:v>6</x:v>
      </x:c>
      <x:c r="S77" s="2" t="str">
        <x:v>R15:KI14-RAIL-04</x:v>
      </x:c>
    </x:row>
    <x:row r="78" ht="34" customHeight="1">
      <x:c r="A78" s="2" t="str">
        <x:v>KI14-RAIL-05</x:v>
      </x:c>
      <x:c r="B78" s="2" t="str">
        <x:v>Hátsó merevítő keresztléc</x:v>
      </x:c>
      <x:c r="C78" s="7" t="n">
        <x:v>654</x:v>
      </x:c>
      <x:c r="D78" s="7" t="n">
        <x:v>100</x:v>
      </x:c>
      <x:c r="E78" s="7" t="n">
        <x:v>18</x:v>
      </x:c>
      <x:c r="F78" s="7" t="str">
        <x:v>PLY18</x:v>
      </x:c>
      <x:c r="G78" s="8" t="n">
        <x:v>0</x:v>
      </x:c>
      <x:c r="H78" s="8" t="n">
        <x:v>0</x:v>
      </x:c>
      <x:c r="I78" s="8" t="n">
        <x:v>0</x:v>
      </x:c>
      <x:c r="J78" s="8" t="n">
        <x:v>0</x:v>
      </x:c>
      <x:c r="K78" s="8"/>
      <x:c r="L78" s="8"/>
      <x:c r="M78" s="7" t="str">
        <x:f>IF(COUNT(H78,J78,K78)=3,C78-H78-J78+K78,"NYITOTT")</x:f>
        <x:v>NYITOTT</x:v>
      </x:c>
      <x:c r="N78" s="7" t="str">
        <x:f>IF(COUNT(G78,I78,L78)=3,D78-G78-I78+L78,"NYITOTT")</x:f>
        <x:v>NYITOTT</x:v>
      </x:c>
      <x:c r="O78" s="9" t="n">
        <x:f>C78*D78/1000000</x:f>
        <x:v>0.0654</x:v>
      </x:c>
      <x:c r="P78" s="6" t="str">
        <x:v>NYITOTT</x:v>
      </x:c>
      <x:c r="Q78" s="6" t="str">
        <x:v>NEM</x:v>
      </x:c>
      <x:c r="R78" s="2" t="n">
        <x:f>COUNTIF(Furatok!B6:B831,A78)</x:f>
        <x:v>6</x:v>
      </x:c>
      <x:c r="S78" s="2" t="str">
        <x:v>R15:KI14-RAIL-05</x:v>
      </x:c>
    </x:row>
    <x:row r="79" ht="34" customHeight="1">
      <x:c r="A79" s="2" t="str">
        <x:v>KI14-RAIL-06</x:v>
      </x:c>
      <x:c r="B79" s="2" t="str">
        <x:v>Hátsó merevítő keresztléc</x:v>
      </x:c>
      <x:c r="C79" s="7" t="n">
        <x:v>333</x:v>
      </x:c>
      <x:c r="D79" s="7" t="n">
        <x:v>100</x:v>
      </x:c>
      <x:c r="E79" s="7" t="n">
        <x:v>18</x:v>
      </x:c>
      <x:c r="F79" s="7" t="str">
        <x:v>PLY18</x:v>
      </x:c>
      <x:c r="G79" s="8" t="n">
        <x:v>0</x:v>
      </x:c>
      <x:c r="H79" s="8" t="n">
        <x:v>0</x:v>
      </x:c>
      <x:c r="I79" s="8" t="n">
        <x:v>0</x:v>
      </x:c>
      <x:c r="J79" s="8" t="n">
        <x:v>0</x:v>
      </x:c>
      <x:c r="K79" s="8"/>
      <x:c r="L79" s="8"/>
      <x:c r="M79" s="7" t="str">
        <x:f>IF(COUNT(H79,J79,K79)=3,C79-H79-J79+K79,"NYITOTT")</x:f>
        <x:v>NYITOTT</x:v>
      </x:c>
      <x:c r="N79" s="7" t="str">
        <x:f>IF(COUNT(G79,I79,L79)=3,D79-G79-I79+L79,"NYITOTT")</x:f>
        <x:v>NYITOTT</x:v>
      </x:c>
      <x:c r="O79" s="9" t="n">
        <x:f>C79*D79/1000000</x:f>
        <x:v>0.0333</x:v>
      </x:c>
      <x:c r="P79" s="6" t="str">
        <x:v>NYITOTT</x:v>
      </x:c>
      <x:c r="Q79" s="6" t="str">
        <x:v>NEM</x:v>
      </x:c>
      <x:c r="R79" s="2" t="n">
        <x:f>COUNTIF(Furatok!B6:B831,A79)</x:f>
        <x:v>6</x:v>
      </x:c>
      <x:c r="S79" s="2" t="str">
        <x:v>R15:KI14-RAIL-06</x:v>
      </x:c>
    </x:row>
    <x:row r="80" ht="34" customHeight="1">
      <x:c r="A80" s="2" t="str">
        <x:v>KI14-RAIL-07</x:v>
      </x:c>
      <x:c r="B80" s="2" t="str">
        <x:v>Hátsó merevítő keresztléc</x:v>
      </x:c>
      <x:c r="C80" s="7" t="n">
        <x:v>333</x:v>
      </x:c>
      <x:c r="D80" s="7" t="n">
        <x:v>100</x:v>
      </x:c>
      <x:c r="E80" s="7" t="n">
        <x:v>18</x:v>
      </x:c>
      <x:c r="F80" s="7" t="str">
        <x:v>PLY18</x:v>
      </x:c>
      <x:c r="G80" s="8" t="n">
        <x:v>0</x:v>
      </x:c>
      <x:c r="H80" s="8" t="n">
        <x:v>0</x:v>
      </x:c>
      <x:c r="I80" s="8" t="n">
        <x:v>0</x:v>
      </x:c>
      <x:c r="J80" s="8" t="n">
        <x:v>0</x:v>
      </x:c>
      <x:c r="K80" s="8"/>
      <x:c r="L80" s="8"/>
      <x:c r="M80" s="7" t="str">
        <x:f>IF(COUNT(H80,J80,K80)=3,C80-H80-J80+K80,"NYITOTT")</x:f>
        <x:v>NYITOTT</x:v>
      </x:c>
      <x:c r="N80" s="7" t="str">
        <x:f>IF(COUNT(G80,I80,L80)=3,D80-G80-I80+L80,"NYITOTT")</x:f>
        <x:v>NYITOTT</x:v>
      </x:c>
      <x:c r="O80" s="9" t="n">
        <x:f>C80*D80/1000000</x:f>
        <x:v>0.0333</x:v>
      </x:c>
      <x:c r="P80" s="6" t="str">
        <x:v>NYITOTT</x:v>
      </x:c>
      <x:c r="Q80" s="6" t="str">
        <x:v>NEM</x:v>
      </x:c>
      <x:c r="R80" s="2" t="n">
        <x:f>COUNTIF(Furatok!B6:B831,A80)</x:f>
        <x:v>6</x:v>
      </x:c>
      <x:c r="S80" s="2" t="str">
        <x:v>R15:KI14-RAIL-07</x:v>
      </x:c>
    </x:row>
  </x:sheetData>
  <x:pageMargins left="0.7" right="0.7" top="0.75" bottom="0.75" header="0.3" footer="0.3"/>
  <x:tableParts count="1">
    <x:tablePart xmlns:r="http://schemas.openxmlformats.org/officeDocument/2006/relationships" r:id="R78d2f79714b0451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3" hidden="0" customWidth="1"/>
    <x:col min="3" max="3" width="3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70" hidden="0" customWidth="1"/>
  </x:cols>
  <x:sheetData>
    <x:row r="1">
      <x:c r="A1" s="5" t="str">
        <x:v>R15 / 826 furat / a 12 nyitott sarokkivágás külön fűrészes művelet</x:v>
      </x:c>
    </x:row>
    <x:row r="5" ht="40" customHeight="1">
      <x:c r="A5" s="4" t="str">
        <x:v>Furat</x:v>
      </x:c>
      <x:c r="B5" s="4" t="str">
        <x:v>Darab</x:v>
      </x:c>
      <x:c r="C5" s="4" t="str">
        <x:v>Funkció</x:v>
      </x:c>
      <x:c r="D5" s="4" t="str">
        <x:v>U</x:v>
      </x:c>
      <x:c r="E5" s="4" t="str">
        <x:v>V</x:v>
      </x:c>
      <x:c r="F5" s="4" t="str">
        <x:v>W</x:v>
      </x:c>
      <x:c r="G5" s="4" t="str">
        <x:v>Irány U</x:v>
      </x:c>
      <x:c r="H5" s="4" t="str">
        <x:v>Irány V</x:v>
      </x:c>
      <x:c r="I5" s="4" t="str">
        <x:v>Irány W</x:v>
      </x:c>
      <x:c r="J5" s="4" t="str">
        <x:v>Ø mm</x:v>
      </x:c>
      <x:c r="K5" s="4" t="str">
        <x:v>Mélység</x:v>
      </x:c>
      <x:c r="L5" s="4" t="str">
        <x:v>X</x:v>
      </x:c>
      <x:c r="M5" s="4" t="str">
        <x:v>Y</x:v>
      </x:c>
      <x:c r="N5" s="4" t="str">
        <x:v>Z</x:v>
      </x:c>
      <x:c r="O5" s="4" t="str">
        <x:v>Forrás</x:v>
      </x:c>
    </x:row>
    <x:row r="6" ht="34" customHeight="1">
      <x:c r="A6" s="2" t="str">
        <x:v>H0001</x:v>
      </x:c>
      <x:c r="B6" s="2" t="str">
        <x:v>KI12-TV01S-01</x:v>
      </x:c>
      <x:c r="C6" s="2" t="str">
        <x:v>CSAP J01</x:v>
      </x:c>
      <x:c r="D6" s="2" t="n">
        <x:v>9</x:v>
      </x:c>
      <x:c r="E6" s="2" t="n">
        <x:v>50</x:v>
      </x:c>
      <x:c r="F6" s="2" t="n">
        <x:v>-18</x:v>
      </x:c>
      <x:c r="G6" s="2" t="n">
        <x:v>0</x:v>
      </x:c>
      <x:c r="H6" s="2" t="n">
        <x:v>0</x:v>
      </x:c>
      <x:c r="I6" s="2" t="n">
        <x:v>1</x:v>
      </x:c>
      <x:c r="J6" s="2" t="n">
        <x:v>8</x:v>
      </x:c>
      <x:c r="K6" s="2" t="n">
        <x:v>12</x:v>
      </x:c>
      <x:c r="L6" s="2" t="n">
        <x:v>18</x:v>
      </x:c>
      <x:c r="M6" s="2" t="n">
        <x:v>50</x:v>
      </x:c>
      <x:c r="N6" s="2" t="n">
        <x:v>559</x:v>
      </x:c>
      <x:c r="O6" s="2" t="str">
        <x:v>R12 J01-J26 / 8x30, 12+22</x:v>
      </x:c>
    </x:row>
    <x:row r="7" ht="34" customHeight="1">
      <x:c r="A7" s="2" t="str">
        <x:v>H0002</x:v>
      </x:c>
      <x:c r="B7" s="2" t="str">
        <x:v>KI12-TV01T-01</x:v>
      </x:c>
      <x:c r="C7" s="2" t="str">
        <x:v>CSAP J01</x:v>
      </x:c>
      <x:c r="D7" s="2" t="n">
        <x:v>0</x:v>
      </x:c>
      <x:c r="E7" s="2" t="n">
        <x:v>50</x:v>
      </x:c>
      <x:c r="F7" s="2" t="n">
        <x:v>-9</x:v>
      </x:c>
      <x:c r="G7" s="2" t="n">
        <x:v>1</x:v>
      </x:c>
      <x:c r="H7" s="2" t="n">
        <x:v>0</x:v>
      </x:c>
      <x:c r="I7" s="2" t="n">
        <x:v>0</x:v>
      </x:c>
      <x:c r="J7" s="2" t="n">
        <x:v>8</x:v>
      </x:c>
      <x:c r="K7" s="2" t="n">
        <x:v>22</x:v>
      </x:c>
      <x:c r="L7" s="2" t="n">
        <x:v>18</x:v>
      </x:c>
      <x:c r="M7" s="2" t="n">
        <x:v>50</x:v>
      </x:c>
      <x:c r="N7" s="2" t="n">
        <x:v>559</x:v>
      </x:c>
      <x:c r="O7" s="2" t="str">
        <x:v>R12 J01-J26 / 8x30, 12+22</x:v>
      </x:c>
    </x:row>
    <x:row r="8" ht="34" customHeight="1">
      <x:c r="A8" s="2" t="str">
        <x:v>H0003</x:v>
      </x:c>
      <x:c r="B8" s="2" t="str">
        <x:v>KI12-TV01S-01</x:v>
      </x:c>
      <x:c r="C8" s="2" t="str">
        <x:v>CSAP J01</x:v>
      </x:c>
      <x:c r="D8" s="2" t="n">
        <x:v>9</x:v>
      </x:c>
      <x:c r="E8" s="2" t="n">
        <x:v>191</x:v>
      </x:c>
      <x:c r="F8" s="2" t="n">
        <x:v>-18</x:v>
      </x:c>
      <x:c r="G8" s="2" t="n">
        <x:v>0</x:v>
      </x:c>
      <x:c r="H8" s="2" t="n">
        <x:v>0</x:v>
      </x:c>
      <x:c r="I8" s="2" t="n">
        <x:v>1</x:v>
      </x:c>
      <x:c r="J8" s="2" t="n">
        <x:v>8</x:v>
      </x:c>
      <x:c r="K8" s="2" t="n">
        <x:v>12</x:v>
      </x:c>
      <x:c r="L8" s="2" t="n">
        <x:v>18</x:v>
      </x:c>
      <x:c r="M8" s="2" t="n">
        <x:v>191</x:v>
      </x:c>
      <x:c r="N8" s="2" t="n">
        <x:v>559</x:v>
      </x:c>
      <x:c r="O8" s="2" t="str">
        <x:v>R12 J01-J26 / 8x30, 12+22</x:v>
      </x:c>
    </x:row>
    <x:row r="9" ht="34" customHeight="1">
      <x:c r="A9" s="2" t="str">
        <x:v>H0004</x:v>
      </x:c>
      <x:c r="B9" s="2" t="str">
        <x:v>KI12-TV01T-01</x:v>
      </x:c>
      <x:c r="C9" s="2" t="str">
        <x:v>CSAP J01</x:v>
      </x:c>
      <x:c r="D9" s="2" t="n">
        <x:v>0</x:v>
      </x:c>
      <x:c r="E9" s="2" t="n">
        <x:v>191</x:v>
      </x:c>
      <x:c r="F9" s="2" t="n">
        <x:v>-9</x:v>
      </x:c>
      <x:c r="G9" s="2" t="n">
        <x:v>1</x:v>
      </x:c>
      <x:c r="H9" s="2" t="n">
        <x:v>0</x:v>
      </x:c>
      <x:c r="I9" s="2" t="n">
        <x:v>0</x:v>
      </x:c>
      <x:c r="J9" s="2" t="n">
        <x:v>8</x:v>
      </x:c>
      <x:c r="K9" s="2" t="n">
        <x:v>22</x:v>
      </x:c>
      <x:c r="L9" s="2" t="n">
        <x:v>18</x:v>
      </x:c>
      <x:c r="M9" s="2" t="n">
        <x:v>191</x:v>
      </x:c>
      <x:c r="N9" s="2" t="n">
        <x:v>559</x:v>
      </x:c>
      <x:c r="O9" s="2" t="str">
        <x:v>R12 J01-J26 / 8x30, 12+22</x:v>
      </x:c>
    </x:row>
    <x:row r="10" ht="34" customHeight="1">
      <x:c r="A10" s="2" t="str">
        <x:v>H0005</x:v>
      </x:c>
      <x:c r="B10" s="2" t="str">
        <x:v>KI12-TV01S-01</x:v>
      </x:c>
      <x:c r="C10" s="2" t="str">
        <x:v>CSAP J01</x:v>
      </x:c>
      <x:c r="D10" s="2" t="n">
        <x:v>9</x:v>
      </x:c>
      <x:c r="E10" s="2" t="n">
        <x:v>332</x:v>
      </x:c>
      <x:c r="F10" s="2" t="n">
        <x:v>-18</x:v>
      </x:c>
      <x:c r="G10" s="2" t="n">
        <x:v>0</x:v>
      </x:c>
      <x:c r="H10" s="2" t="n">
        <x:v>0</x:v>
      </x:c>
      <x:c r="I10" s="2" t="n">
        <x:v>1</x:v>
      </x:c>
      <x:c r="J10" s="2" t="n">
        <x:v>8</x:v>
      </x:c>
      <x:c r="K10" s="2" t="n">
        <x:v>12</x:v>
      </x:c>
      <x:c r="L10" s="2" t="n">
        <x:v>18</x:v>
      </x:c>
      <x:c r="M10" s="2" t="n">
        <x:v>332</x:v>
      </x:c>
      <x:c r="N10" s="2" t="n">
        <x:v>559</x:v>
      </x:c>
      <x:c r="O10" s="2" t="str">
        <x:v>R12 J01-J26 / 8x30, 12+22</x:v>
      </x:c>
    </x:row>
    <x:row r="11" ht="34" customHeight="1">
      <x:c r="A11" s="2" t="str">
        <x:v>H0006</x:v>
      </x:c>
      <x:c r="B11" s="2" t="str">
        <x:v>KI12-TV01T-01</x:v>
      </x:c>
      <x:c r="C11" s="2" t="str">
        <x:v>CSAP J01</x:v>
      </x:c>
      <x:c r="D11" s="2" t="n">
        <x:v>0</x:v>
      </x:c>
      <x:c r="E11" s="2" t="n">
        <x:v>332</x:v>
      </x:c>
      <x:c r="F11" s="2" t="n">
        <x:v>-9</x:v>
      </x:c>
      <x:c r="G11" s="2" t="n">
        <x:v>1</x:v>
      </x:c>
      <x:c r="H11" s="2" t="n">
        <x:v>0</x:v>
      </x:c>
      <x:c r="I11" s="2" t="n">
        <x:v>0</x:v>
      </x:c>
      <x:c r="J11" s="2" t="n">
        <x:v>8</x:v>
      </x:c>
      <x:c r="K11" s="2" t="n">
        <x:v>22</x:v>
      </x:c>
      <x:c r="L11" s="2" t="n">
        <x:v>18</x:v>
      </x:c>
      <x:c r="M11" s="2" t="n">
        <x:v>332</x:v>
      </x:c>
      <x:c r="N11" s="2" t="n">
        <x:v>559</x:v>
      </x:c>
      <x:c r="O11" s="2" t="str">
        <x:v>R12 J01-J26 / 8x30, 12+22</x:v>
      </x:c>
    </x:row>
    <x:row r="12" ht="34" customHeight="1">
      <x:c r="A12" s="2" t="str">
        <x:v>H0007</x:v>
      </x:c>
      <x:c r="B12" s="2" t="str">
        <x:v>KI12-TV01S-01</x:v>
      </x:c>
      <x:c r="C12" s="2" t="str">
        <x:v>CSAP J02</x:v>
      </x:c>
      <x:c r="D12" s="2" t="n">
        <x:v>2321</x:v>
      </x:c>
      <x:c r="E12" s="2" t="n">
        <x:v>50</x:v>
      </x:c>
      <x:c r="F12" s="2" t="n">
        <x:v>-18</x:v>
      </x:c>
      <x:c r="G12" s="2" t="n">
        <x:v>0</x:v>
      </x:c>
      <x:c r="H12" s="2" t="n">
        <x:v>0</x:v>
      </x:c>
      <x:c r="I12" s="2" t="n">
        <x:v>1</x:v>
      </x:c>
      <x:c r="J12" s="2" t="n">
        <x:v>8</x:v>
      </x:c>
      <x:c r="K12" s="2" t="n">
        <x:v>12</x:v>
      </x:c>
      <x:c r="L12" s="2" t="n">
        <x:v>18</x:v>
      </x:c>
      <x:c r="M12" s="2" t="n">
        <x:v>50</x:v>
      </x:c>
      <x:c r="N12" s="2" t="n">
        <x:v>2871</x:v>
      </x:c>
      <x:c r="O12" s="2" t="str">
        <x:v>R12 J01-J26 / 8x30, 12+22</x:v>
      </x:c>
    </x:row>
    <x:row r="13" ht="34" customHeight="1">
      <x:c r="A13" s="2" t="str">
        <x:v>H0008</x:v>
      </x:c>
      <x:c r="B13" s="2" t="str">
        <x:v>KI12-TV01T-02</x:v>
      </x:c>
      <x:c r="C13" s="2" t="str">
        <x:v>CSAP J02</x:v>
      </x:c>
      <x:c r="D13" s="2" t="n">
        <x:v>0</x:v>
      </x:c>
      <x:c r="E13" s="2" t="n">
        <x:v>50</x:v>
      </x:c>
      <x:c r="F13" s="2" t="n">
        <x:v>-9</x:v>
      </x:c>
      <x:c r="G13" s="2" t="n">
        <x:v>1</x:v>
      </x:c>
      <x:c r="H13" s="2" t="n">
        <x:v>0</x:v>
      </x:c>
      <x:c r="I13" s="2" t="n">
        <x:v>0</x:v>
      </x:c>
      <x:c r="J13" s="2" t="n">
        <x:v>8</x:v>
      </x:c>
      <x:c r="K13" s="2" t="n">
        <x:v>22</x:v>
      </x:c>
      <x:c r="L13" s="2" t="n">
        <x:v>18</x:v>
      </x:c>
      <x:c r="M13" s="2" t="n">
        <x:v>50</x:v>
      </x:c>
      <x:c r="N13" s="2" t="n">
        <x:v>2871</x:v>
      </x:c>
      <x:c r="O13" s="2" t="str">
        <x:v>R12 J01-J26 / 8x30, 12+22</x:v>
      </x:c>
    </x:row>
    <x:row r="14" ht="34" customHeight="1">
      <x:c r="A14" s="2" t="str">
        <x:v>H0009</x:v>
      </x:c>
      <x:c r="B14" s="2" t="str">
        <x:v>KI12-TV01S-01</x:v>
      </x:c>
      <x:c r="C14" s="2" t="str">
        <x:v>CSAP J02</x:v>
      </x:c>
      <x:c r="D14" s="2" t="n">
        <x:v>2321</x:v>
      </x:c>
      <x:c r="E14" s="2" t="n">
        <x:v>191</x:v>
      </x:c>
      <x:c r="F14" s="2" t="n">
        <x:v>-18</x:v>
      </x:c>
      <x:c r="G14" s="2" t="n">
        <x:v>0</x:v>
      </x:c>
      <x:c r="H14" s="2" t="n">
        <x:v>0</x:v>
      </x:c>
      <x:c r="I14" s="2" t="n">
        <x:v>1</x:v>
      </x:c>
      <x:c r="J14" s="2" t="n">
        <x:v>8</x:v>
      </x:c>
      <x:c r="K14" s="2" t="n">
        <x:v>12</x:v>
      </x:c>
      <x:c r="L14" s="2" t="n">
        <x:v>18</x:v>
      </x:c>
      <x:c r="M14" s="2" t="n">
        <x:v>191</x:v>
      </x:c>
      <x:c r="N14" s="2" t="n">
        <x:v>2871</x:v>
      </x:c>
      <x:c r="O14" s="2" t="str">
        <x:v>R12 J01-J26 / 8x30, 12+22</x:v>
      </x:c>
    </x:row>
    <x:row r="15" ht="34" customHeight="1">
      <x:c r="A15" s="2" t="str">
        <x:v>H0010</x:v>
      </x:c>
      <x:c r="B15" s="2" t="str">
        <x:v>KI12-TV01T-02</x:v>
      </x:c>
      <x:c r="C15" s="2" t="str">
        <x:v>CSAP J02</x:v>
      </x:c>
      <x:c r="D15" s="2" t="n">
        <x:v>0</x:v>
      </x:c>
      <x:c r="E15" s="2" t="n">
        <x:v>191</x:v>
      </x:c>
      <x:c r="F15" s="2" t="n">
        <x:v>-9</x:v>
      </x:c>
      <x:c r="G15" s="2" t="n">
        <x:v>1</x:v>
      </x:c>
      <x:c r="H15" s="2" t="n">
        <x:v>0</x:v>
      </x:c>
      <x:c r="I15" s="2" t="n">
        <x:v>0</x:v>
      </x:c>
      <x:c r="J15" s="2" t="n">
        <x:v>8</x:v>
      </x:c>
      <x:c r="K15" s="2" t="n">
        <x:v>22</x:v>
      </x:c>
      <x:c r="L15" s="2" t="n">
        <x:v>18</x:v>
      </x:c>
      <x:c r="M15" s="2" t="n">
        <x:v>191</x:v>
      </x:c>
      <x:c r="N15" s="2" t="n">
        <x:v>2871</x:v>
      </x:c>
      <x:c r="O15" s="2" t="str">
        <x:v>R12 J01-J26 / 8x30, 12+22</x:v>
      </x:c>
    </x:row>
    <x:row r="16" ht="34" customHeight="1">
      <x:c r="A16" s="2" t="str">
        <x:v>H0011</x:v>
      </x:c>
      <x:c r="B16" s="2" t="str">
        <x:v>KI12-TV01S-01</x:v>
      </x:c>
      <x:c r="C16" s="2" t="str">
        <x:v>CSAP J02</x:v>
      </x:c>
      <x:c r="D16" s="2" t="n">
        <x:v>2321</x:v>
      </x:c>
      <x:c r="E16" s="2" t="n">
        <x:v>332</x:v>
      </x:c>
      <x:c r="F16" s="2" t="n">
        <x:v>-18</x:v>
      </x:c>
      <x:c r="G16" s="2" t="n">
        <x:v>0</x:v>
      </x:c>
      <x:c r="H16" s="2" t="n">
        <x:v>0</x:v>
      </x:c>
      <x:c r="I16" s="2" t="n">
        <x:v>1</x:v>
      </x:c>
      <x:c r="J16" s="2" t="n">
        <x:v>8</x:v>
      </x:c>
      <x:c r="K16" s="2" t="n">
        <x:v>12</x:v>
      </x:c>
      <x:c r="L16" s="2" t="n">
        <x:v>18</x:v>
      </x:c>
      <x:c r="M16" s="2" t="n">
        <x:v>332</x:v>
      </x:c>
      <x:c r="N16" s="2" t="n">
        <x:v>2871</x:v>
      </x:c>
      <x:c r="O16" s="2" t="str">
        <x:v>R12 J01-J26 / 8x30, 12+22</x:v>
      </x:c>
    </x:row>
    <x:row r="17" ht="34" customHeight="1">
      <x:c r="A17" s="2" t="str">
        <x:v>H0012</x:v>
      </x:c>
      <x:c r="B17" s="2" t="str">
        <x:v>KI12-TV01T-02</x:v>
      </x:c>
      <x:c r="C17" s="2" t="str">
        <x:v>CSAP J02</x:v>
      </x:c>
      <x:c r="D17" s="2" t="n">
        <x:v>0</x:v>
      </x:c>
      <x:c r="E17" s="2" t="n">
        <x:v>332</x:v>
      </x:c>
      <x:c r="F17" s="2" t="n">
        <x:v>-9</x:v>
      </x:c>
      <x:c r="G17" s="2" t="n">
        <x:v>1</x:v>
      </x:c>
      <x:c r="H17" s="2" t="n">
        <x:v>0</x:v>
      </x:c>
      <x:c r="I17" s="2" t="n">
        <x:v>0</x:v>
      </x:c>
      <x:c r="J17" s="2" t="n">
        <x:v>8</x:v>
      </x:c>
      <x:c r="K17" s="2" t="n">
        <x:v>22</x:v>
      </x:c>
      <x:c r="L17" s="2" t="n">
        <x:v>18</x:v>
      </x:c>
      <x:c r="M17" s="2" t="n">
        <x:v>332</x:v>
      </x:c>
      <x:c r="N17" s="2" t="n">
        <x:v>2871</x:v>
      </x:c>
      <x:c r="O17" s="2" t="str">
        <x:v>R12 J01-J26 / 8x30, 12+22</x:v>
      </x:c>
    </x:row>
    <x:row r="18" ht="34" customHeight="1">
      <x:c r="A18" s="2" t="str">
        <x:v>H0013</x:v>
      </x:c>
      <x:c r="B18" s="2" t="str">
        <x:v>KI12-TV01S-02</x:v>
      </x:c>
      <x:c r="C18" s="2" t="str">
        <x:v>CSAP J03</x:v>
      </x:c>
      <x:c r="D18" s="2" t="n">
        <x:v>9</x:v>
      </x:c>
      <x:c r="E18" s="2" t="n">
        <x:v>50</x:v>
      </x:c>
      <x:c r="F18" s="2" t="n">
        <x:v>0</x:v>
      </x:c>
      <x:c r="G18" s="2" t="n">
        <x:v>0</x:v>
      </x:c>
      <x:c r="H18" s="2" t="n">
        <x:v>0</x:v>
      </x:c>
      <x:c r="I18" s="2" t="n">
        <x:v>-1</x:v>
      </x:c>
      <x:c r="J18" s="2" t="n">
        <x:v>8</x:v>
      </x:c>
      <x:c r="K18" s="2" t="n">
        <x:v>12</x:v>
      </x:c>
      <x:c r="L18" s="2" t="n">
        <x:v>702</x:v>
      </x:c>
      <x:c r="M18" s="2" t="n">
        <x:v>50</x:v>
      </x:c>
      <x:c r="N18" s="2" t="n">
        <x:v>559</x:v>
      </x:c>
      <x:c r="O18" s="2" t="str">
        <x:v>R12 J01-J26 / 8x30, 12+22</x:v>
      </x:c>
    </x:row>
    <x:row r="19" ht="34" customHeight="1">
      <x:c r="A19" s="2" t="str">
        <x:v>H0014</x:v>
      </x:c>
      <x:c r="B19" s="2" t="str">
        <x:v>KI12-TV01T-01</x:v>
      </x:c>
      <x:c r="C19" s="2" t="str">
        <x:v>CSAP J03</x:v>
      </x:c>
      <x:c r="D19" s="2" t="n">
        <x:v>684</x:v>
      </x:c>
      <x:c r="E19" s="2" t="n">
        <x:v>50</x:v>
      </x:c>
      <x:c r="F19" s="2" t="n">
        <x:v>-9</x:v>
      </x:c>
      <x:c r="G19" s="2" t="n">
        <x:v>-1</x:v>
      </x:c>
      <x:c r="H19" s="2" t="n">
        <x:v>0</x:v>
      </x:c>
      <x:c r="I19" s="2" t="n">
        <x:v>0</x:v>
      </x:c>
      <x:c r="J19" s="2" t="n">
        <x:v>8</x:v>
      </x:c>
      <x:c r="K19" s="2" t="n">
        <x:v>22</x:v>
      </x:c>
      <x:c r="L19" s="2" t="n">
        <x:v>702</x:v>
      </x:c>
      <x:c r="M19" s="2" t="n">
        <x:v>50</x:v>
      </x:c>
      <x:c r="N19" s="2" t="n">
        <x:v>559</x:v>
      </x:c>
      <x:c r="O19" s="2" t="str">
        <x:v>R12 J01-J26 / 8x30, 12+22</x:v>
      </x:c>
    </x:row>
    <x:row r="20" ht="34" customHeight="1">
      <x:c r="A20" s="2" t="str">
        <x:v>H0015</x:v>
      </x:c>
      <x:c r="B20" s="2" t="str">
        <x:v>KI12-TV01S-02</x:v>
      </x:c>
      <x:c r="C20" s="2" t="str">
        <x:v>CSAP J03</x:v>
      </x:c>
      <x:c r="D20" s="2" t="n">
        <x:v>9</x:v>
      </x:c>
      <x:c r="E20" s="2" t="n">
        <x:v>191</x:v>
      </x:c>
      <x:c r="F20" s="2" t="n">
        <x:v>0</x:v>
      </x:c>
      <x:c r="G20" s="2" t="n">
        <x:v>0</x:v>
      </x:c>
      <x:c r="H20" s="2" t="n">
        <x:v>0</x:v>
      </x:c>
      <x:c r="I20" s="2" t="n">
        <x:v>-1</x:v>
      </x:c>
      <x:c r="J20" s="2" t="n">
        <x:v>8</x:v>
      </x:c>
      <x:c r="K20" s="2" t="n">
        <x:v>12</x:v>
      </x:c>
      <x:c r="L20" s="2" t="n">
        <x:v>702</x:v>
      </x:c>
      <x:c r="M20" s="2" t="n">
        <x:v>191</x:v>
      </x:c>
      <x:c r="N20" s="2" t="n">
        <x:v>559</x:v>
      </x:c>
      <x:c r="O20" s="2" t="str">
        <x:v>R12 J01-J26 / 8x30, 12+22</x:v>
      </x:c>
    </x:row>
    <x:row r="21" ht="34" customHeight="1">
      <x:c r="A21" s="2" t="str">
        <x:v>H0016</x:v>
      </x:c>
      <x:c r="B21" s="2" t="str">
        <x:v>KI12-TV01T-01</x:v>
      </x:c>
      <x:c r="C21" s="2" t="str">
        <x:v>CSAP J03</x:v>
      </x:c>
      <x:c r="D21" s="2" t="n">
        <x:v>684</x:v>
      </x:c>
      <x:c r="E21" s="2" t="n">
        <x:v>191</x:v>
      </x:c>
      <x:c r="F21" s="2" t="n">
        <x:v>-9</x:v>
      </x:c>
      <x:c r="G21" s="2" t="n">
        <x:v>-1</x:v>
      </x:c>
      <x:c r="H21" s="2" t="n">
        <x:v>0</x:v>
      </x:c>
      <x:c r="I21" s="2" t="n">
        <x:v>0</x:v>
      </x:c>
      <x:c r="J21" s="2" t="n">
        <x:v>8</x:v>
      </x:c>
      <x:c r="K21" s="2" t="n">
        <x:v>22</x:v>
      </x:c>
      <x:c r="L21" s="2" t="n">
        <x:v>702</x:v>
      </x:c>
      <x:c r="M21" s="2" t="n">
        <x:v>191</x:v>
      </x:c>
      <x:c r="N21" s="2" t="n">
        <x:v>559</x:v>
      </x:c>
      <x:c r="O21" s="2" t="str">
        <x:v>R12 J01-J26 / 8x30, 12+22</x:v>
      </x:c>
    </x:row>
    <x:row r="22" ht="34" customHeight="1">
      <x:c r="A22" s="2" t="str">
        <x:v>H0017</x:v>
      </x:c>
      <x:c r="B22" s="2" t="str">
        <x:v>KI12-TV01S-02</x:v>
      </x:c>
      <x:c r="C22" s="2" t="str">
        <x:v>CSAP J03</x:v>
      </x:c>
      <x:c r="D22" s="2" t="n">
        <x:v>9</x:v>
      </x:c>
      <x:c r="E22" s="2" t="n">
        <x:v>332</x:v>
      </x:c>
      <x:c r="F22" s="2" t="n">
        <x:v>0</x:v>
      </x:c>
      <x:c r="G22" s="2" t="n">
        <x:v>0</x:v>
      </x:c>
      <x:c r="H22" s="2" t="n">
        <x:v>0</x:v>
      </x:c>
      <x:c r="I22" s="2" t="n">
        <x:v>-1</x:v>
      </x:c>
      <x:c r="J22" s="2" t="n">
        <x:v>8</x:v>
      </x:c>
      <x:c r="K22" s="2" t="n">
        <x:v>12</x:v>
      </x:c>
      <x:c r="L22" s="2" t="n">
        <x:v>702</x:v>
      </x:c>
      <x:c r="M22" s="2" t="n">
        <x:v>332</x:v>
      </x:c>
      <x:c r="N22" s="2" t="n">
        <x:v>559</x:v>
      </x:c>
      <x:c r="O22" s="2" t="str">
        <x:v>R12 J01-J26 / 8x30, 12+22</x:v>
      </x:c>
    </x:row>
    <x:row r="23" ht="34" customHeight="1">
      <x:c r="A23" s="2" t="str">
        <x:v>H0018</x:v>
      </x:c>
      <x:c r="B23" s="2" t="str">
        <x:v>KI12-TV01T-01</x:v>
      </x:c>
      <x:c r="C23" s="2" t="str">
        <x:v>CSAP J03</x:v>
      </x:c>
      <x:c r="D23" s="2" t="n">
        <x:v>684</x:v>
      </x:c>
      <x:c r="E23" s="2" t="n">
        <x:v>332</x:v>
      </x:c>
      <x:c r="F23" s="2" t="n">
        <x:v>-9</x:v>
      </x:c>
      <x:c r="G23" s="2" t="n">
        <x:v>-1</x:v>
      </x:c>
      <x:c r="H23" s="2" t="n">
        <x:v>0</x:v>
      </x:c>
      <x:c r="I23" s="2" t="n">
        <x:v>0</x:v>
      </x:c>
      <x:c r="J23" s="2" t="n">
        <x:v>8</x:v>
      </x:c>
      <x:c r="K23" s="2" t="n">
        <x:v>22</x:v>
      </x:c>
      <x:c r="L23" s="2" t="n">
        <x:v>702</x:v>
      </x:c>
      <x:c r="M23" s="2" t="n">
        <x:v>332</x:v>
      </x:c>
      <x:c r="N23" s="2" t="n">
        <x:v>559</x:v>
      </x:c>
      <x:c r="O23" s="2" t="str">
        <x:v>R12 J01-J26 / 8x30, 12+22</x:v>
      </x:c>
    </x:row>
    <x:row r="24" ht="34" customHeight="1">
      <x:c r="A24" s="2" t="str">
        <x:v>H0019</x:v>
      </x:c>
      <x:c r="B24" s="2" t="str">
        <x:v>KI12-TV01S-02</x:v>
      </x:c>
      <x:c r="C24" s="2" t="str">
        <x:v>CSAP J04</x:v>
      </x:c>
      <x:c r="D24" s="2" t="n">
        <x:v>2321</x:v>
      </x:c>
      <x:c r="E24" s="2" t="n">
        <x:v>50</x:v>
      </x:c>
      <x:c r="F24" s="2" t="n">
        <x:v>0</x:v>
      </x:c>
      <x:c r="G24" s="2" t="n">
        <x:v>0</x:v>
      </x:c>
      <x:c r="H24" s="2" t="n">
        <x:v>0</x:v>
      </x:c>
      <x:c r="I24" s="2" t="n">
        <x:v>-1</x:v>
      </x:c>
      <x:c r="J24" s="2" t="n">
        <x:v>8</x:v>
      </x:c>
      <x:c r="K24" s="2" t="n">
        <x:v>12</x:v>
      </x:c>
      <x:c r="L24" s="2" t="n">
        <x:v>702</x:v>
      </x:c>
      <x:c r="M24" s="2" t="n">
        <x:v>50</x:v>
      </x:c>
      <x:c r="N24" s="2" t="n">
        <x:v>2871</x:v>
      </x:c>
      <x:c r="O24" s="2" t="str">
        <x:v>R12 J01-J26 / 8x30, 12+22</x:v>
      </x:c>
    </x:row>
    <x:row r="25" ht="34" customHeight="1">
      <x:c r="A25" s="2" t="str">
        <x:v>H0020</x:v>
      </x:c>
      <x:c r="B25" s="2" t="str">
        <x:v>KI12-TV01T-02</x:v>
      </x:c>
      <x:c r="C25" s="2" t="str">
        <x:v>CSAP J04</x:v>
      </x:c>
      <x:c r="D25" s="2" t="n">
        <x:v>684</x:v>
      </x:c>
      <x:c r="E25" s="2" t="n">
        <x:v>50</x:v>
      </x:c>
      <x:c r="F25" s="2" t="n">
        <x:v>-9</x:v>
      </x:c>
      <x:c r="G25" s="2" t="n">
        <x:v>-1</x:v>
      </x:c>
      <x:c r="H25" s="2" t="n">
        <x:v>0</x:v>
      </x:c>
      <x:c r="I25" s="2" t="n">
        <x:v>0</x:v>
      </x:c>
      <x:c r="J25" s="2" t="n">
        <x:v>8</x:v>
      </x:c>
      <x:c r="K25" s="2" t="n">
        <x:v>22</x:v>
      </x:c>
      <x:c r="L25" s="2" t="n">
        <x:v>702</x:v>
      </x:c>
      <x:c r="M25" s="2" t="n">
        <x:v>50</x:v>
      </x:c>
      <x:c r="N25" s="2" t="n">
        <x:v>2871</x:v>
      </x:c>
      <x:c r="O25" s="2" t="str">
        <x:v>R12 J01-J26 / 8x30, 12+22</x:v>
      </x:c>
    </x:row>
    <x:row r="26" ht="34" customHeight="1">
      <x:c r="A26" s="2" t="str">
        <x:v>H0021</x:v>
      </x:c>
      <x:c r="B26" s="2" t="str">
        <x:v>KI12-TV01S-02</x:v>
      </x:c>
      <x:c r="C26" s="2" t="str">
        <x:v>CSAP J04</x:v>
      </x:c>
      <x:c r="D26" s="2" t="n">
        <x:v>2321</x:v>
      </x:c>
      <x:c r="E26" s="2" t="n">
        <x:v>191</x:v>
      </x:c>
      <x:c r="F26" s="2" t="n">
        <x:v>0</x:v>
      </x:c>
      <x:c r="G26" s="2" t="n">
        <x:v>0</x:v>
      </x:c>
      <x:c r="H26" s="2" t="n">
        <x:v>0</x:v>
      </x:c>
      <x:c r="I26" s="2" t="n">
        <x:v>-1</x:v>
      </x:c>
      <x:c r="J26" s="2" t="n">
        <x:v>8</x:v>
      </x:c>
      <x:c r="K26" s="2" t="n">
        <x:v>12</x:v>
      </x:c>
      <x:c r="L26" s="2" t="n">
        <x:v>702</x:v>
      </x:c>
      <x:c r="M26" s="2" t="n">
        <x:v>191</x:v>
      </x:c>
      <x:c r="N26" s="2" t="n">
        <x:v>2871</x:v>
      </x:c>
      <x:c r="O26" s="2" t="str">
        <x:v>R12 J01-J26 / 8x30, 12+22</x:v>
      </x:c>
    </x:row>
    <x:row r="27" ht="34" customHeight="1">
      <x:c r="A27" s="2" t="str">
        <x:v>H0022</x:v>
      </x:c>
      <x:c r="B27" s="2" t="str">
        <x:v>KI12-TV01T-02</x:v>
      </x:c>
      <x:c r="C27" s="2" t="str">
        <x:v>CSAP J04</x:v>
      </x:c>
      <x:c r="D27" s="2" t="n">
        <x:v>684</x:v>
      </x:c>
      <x:c r="E27" s="2" t="n">
        <x:v>191</x:v>
      </x:c>
      <x:c r="F27" s="2" t="n">
        <x:v>-9</x:v>
      </x:c>
      <x:c r="G27" s="2" t="n">
        <x:v>-1</x:v>
      </x:c>
      <x:c r="H27" s="2" t="n">
        <x:v>0</x:v>
      </x:c>
      <x:c r="I27" s="2" t="n">
        <x:v>0</x:v>
      </x:c>
      <x:c r="J27" s="2" t="n">
        <x:v>8</x:v>
      </x:c>
      <x:c r="K27" s="2" t="n">
        <x:v>22</x:v>
      </x:c>
      <x:c r="L27" s="2" t="n">
        <x:v>702</x:v>
      </x:c>
      <x:c r="M27" s="2" t="n">
        <x:v>191</x:v>
      </x:c>
      <x:c r="N27" s="2" t="n">
        <x:v>2871</x:v>
      </x:c>
      <x:c r="O27" s="2" t="str">
        <x:v>R12 J01-J26 / 8x30, 12+22</x:v>
      </x:c>
    </x:row>
    <x:row r="28" ht="34" customHeight="1">
      <x:c r="A28" s="2" t="str">
        <x:v>H0023</x:v>
      </x:c>
      <x:c r="B28" s="2" t="str">
        <x:v>KI12-TV01S-02</x:v>
      </x:c>
      <x:c r="C28" s="2" t="str">
        <x:v>CSAP J04</x:v>
      </x:c>
      <x:c r="D28" s="2" t="n">
        <x:v>2321</x:v>
      </x:c>
      <x:c r="E28" s="2" t="n">
        <x:v>332</x:v>
      </x:c>
      <x:c r="F28" s="2" t="n">
        <x:v>0</x:v>
      </x:c>
      <x:c r="G28" s="2" t="n">
        <x:v>0</x:v>
      </x:c>
      <x:c r="H28" s="2" t="n">
        <x:v>0</x:v>
      </x:c>
      <x:c r="I28" s="2" t="n">
        <x:v>-1</x:v>
      </x:c>
      <x:c r="J28" s="2" t="n">
        <x:v>8</x:v>
      </x:c>
      <x:c r="K28" s="2" t="n">
        <x:v>12</x:v>
      </x:c>
      <x:c r="L28" s="2" t="n">
        <x:v>702</x:v>
      </x:c>
      <x:c r="M28" s="2" t="n">
        <x:v>332</x:v>
      </x:c>
      <x:c r="N28" s="2" t="n">
        <x:v>2871</x:v>
      </x:c>
      <x:c r="O28" s="2" t="str">
        <x:v>R12 J01-J26 / 8x30, 12+22</x:v>
      </x:c>
    </x:row>
    <x:row r="29" ht="34" customHeight="1">
      <x:c r="A29" s="2" t="str">
        <x:v>H0024</x:v>
      </x:c>
      <x:c r="B29" s="2" t="str">
        <x:v>KI12-TV01T-02</x:v>
      </x:c>
      <x:c r="C29" s="2" t="str">
        <x:v>CSAP J04</x:v>
      </x:c>
      <x:c r="D29" s="2" t="n">
        <x:v>684</x:v>
      </x:c>
      <x:c r="E29" s="2" t="n">
        <x:v>332</x:v>
      </x:c>
      <x:c r="F29" s="2" t="n">
        <x:v>-9</x:v>
      </x:c>
      <x:c r="G29" s="2" t="n">
        <x:v>-1</x:v>
      </x:c>
      <x:c r="H29" s="2" t="n">
        <x:v>0</x:v>
      </x:c>
      <x:c r="I29" s="2" t="n">
        <x:v>0</x:v>
      </x:c>
      <x:c r="J29" s="2" t="n">
        <x:v>8</x:v>
      </x:c>
      <x:c r="K29" s="2" t="n">
        <x:v>22</x:v>
      </x:c>
      <x:c r="L29" s="2" t="n">
        <x:v>702</x:v>
      </x:c>
      <x:c r="M29" s="2" t="n">
        <x:v>332</x:v>
      </x:c>
      <x:c r="N29" s="2" t="n">
        <x:v>2871</x:v>
      </x:c>
      <x:c r="O29" s="2" t="str">
        <x:v>R12 J01-J26 / 8x30, 12+22</x:v>
      </x:c>
    </x:row>
    <x:row r="30" ht="34" customHeight="1">
      <x:c r="A30" s="2" t="str">
        <x:v>H0025</x:v>
      </x:c>
      <x:c r="B30" s="2" t="str">
        <x:v>KI12-TV01T-01</x:v>
      </x:c>
      <x:c r="C30" s="2" t="str">
        <x:v>CSAP J05</x:v>
      </x:c>
      <x:c r="D30" s="2" t="n">
        <x:v>342</x:v>
      </x:c>
      <x:c r="E30" s="2" t="n">
        <x:v>50</x:v>
      </x:c>
      <x:c r="F30" s="2" t="n">
        <x:v>0</x:v>
      </x:c>
      <x:c r="G30" s="2" t="n">
        <x:v>0</x:v>
      </x:c>
      <x:c r="H30" s="2" t="n">
        <x:v>0</x:v>
      </x:c>
      <x:c r="I30" s="2" t="n">
        <x:v>-1</x:v>
      </x:c>
      <x:c r="J30" s="2" t="n">
        <x:v>8</x:v>
      </x:c>
      <x:c r="K30" s="2" t="n">
        <x:v>12</x:v>
      </x:c>
      <x:c r="L30" s="2" t="n">
        <x:v>360</x:v>
      </x:c>
      <x:c r="M30" s="2" t="n">
        <x:v>50</x:v>
      </x:c>
      <x:c r="N30" s="2" t="n">
        <x:v>568</x:v>
      </x:c>
      <x:c r="O30" s="2" t="str">
        <x:v>R12 J01-J26 / 8x30, 12+22</x:v>
      </x:c>
    </x:row>
    <x:row r="31" ht="34" customHeight="1">
      <x:c r="A31" s="2" t="str">
        <x:v>H0026</x:v>
      </x:c>
      <x:c r="B31" s="2" t="str">
        <x:v>KI12-TV01C-01</x:v>
      </x:c>
      <x:c r="C31" s="2" t="str">
        <x:v>CSAP J05</x:v>
      </x:c>
      <x:c r="D31" s="2" t="n">
        <x:v>0</x:v>
      </x:c>
      <x:c r="E31" s="2" t="n">
        <x:v>50</x:v>
      </x:c>
      <x:c r="F31" s="2" t="n">
        <x:v>-9</x:v>
      </x:c>
      <x:c r="G31" s="2" t="n">
        <x:v>1</x:v>
      </x:c>
      <x:c r="H31" s="2" t="n">
        <x:v>0</x:v>
      </x:c>
      <x:c r="I31" s="2" t="n">
        <x:v>0</x:v>
      </x:c>
      <x:c r="J31" s="2" t="n">
        <x:v>8</x:v>
      </x:c>
      <x:c r="K31" s="2" t="n">
        <x:v>22</x:v>
      </x:c>
      <x:c r="L31" s="2" t="n">
        <x:v>360</x:v>
      </x:c>
      <x:c r="M31" s="2" t="n">
        <x:v>50</x:v>
      </x:c>
      <x:c r="N31" s="2" t="n">
        <x:v>568</x:v>
      </x:c>
      <x:c r="O31" s="2" t="str">
        <x:v>R12 J01-J26 / 8x30, 12+22</x:v>
      </x:c>
    </x:row>
    <x:row r="32" ht="34" customHeight="1">
      <x:c r="A32" s="2" t="str">
        <x:v>H0027</x:v>
      </x:c>
      <x:c r="B32" s="2" t="str">
        <x:v>KI12-TV01T-01</x:v>
      </x:c>
      <x:c r="C32" s="2" t="str">
        <x:v>CSAP J05</x:v>
      </x:c>
      <x:c r="D32" s="2" t="n">
        <x:v>342</x:v>
      </x:c>
      <x:c r="E32" s="2" t="n">
        <x:v>191</x:v>
      </x:c>
      <x:c r="F32" s="2" t="n">
        <x:v>0</x:v>
      </x:c>
      <x:c r="G32" s="2" t="n">
        <x:v>0</x:v>
      </x:c>
      <x:c r="H32" s="2" t="n">
        <x:v>0</x:v>
      </x:c>
      <x:c r="I32" s="2" t="n">
        <x:v>-1</x:v>
      </x:c>
      <x:c r="J32" s="2" t="n">
        <x:v>8</x:v>
      </x:c>
      <x:c r="K32" s="2" t="n">
        <x:v>12</x:v>
      </x:c>
      <x:c r="L32" s="2" t="n">
        <x:v>360</x:v>
      </x:c>
      <x:c r="M32" s="2" t="n">
        <x:v>191</x:v>
      </x:c>
      <x:c r="N32" s="2" t="n">
        <x:v>568</x:v>
      </x:c>
      <x:c r="O32" s="2" t="str">
        <x:v>R12 J01-J26 / 8x30, 12+22</x:v>
      </x:c>
    </x:row>
    <x:row r="33" ht="34" customHeight="1">
      <x:c r="A33" s="2" t="str">
        <x:v>H0028</x:v>
      </x:c>
      <x:c r="B33" s="2" t="str">
        <x:v>KI12-TV01C-01</x:v>
      </x:c>
      <x:c r="C33" s="2" t="str">
        <x:v>CSAP J05</x:v>
      </x:c>
      <x:c r="D33" s="2" t="n">
        <x:v>0</x:v>
      </x:c>
      <x:c r="E33" s="2" t="n">
        <x:v>191</x:v>
      </x:c>
      <x:c r="F33" s="2" t="n">
        <x:v>-9</x:v>
      </x:c>
      <x:c r="G33" s="2" t="n">
        <x:v>1</x:v>
      </x:c>
      <x:c r="H33" s="2" t="n">
        <x:v>0</x:v>
      </x:c>
      <x:c r="I33" s="2" t="n">
        <x:v>0</x:v>
      </x:c>
      <x:c r="J33" s="2" t="n">
        <x:v>8</x:v>
      </x:c>
      <x:c r="K33" s="2" t="n">
        <x:v>22</x:v>
      </x:c>
      <x:c r="L33" s="2" t="n">
        <x:v>360</x:v>
      </x:c>
      <x:c r="M33" s="2" t="n">
        <x:v>191</x:v>
      </x:c>
      <x:c r="N33" s="2" t="n">
        <x:v>568</x:v>
      </x:c>
      <x:c r="O33" s="2" t="str">
        <x:v>R12 J01-J26 / 8x30, 12+22</x:v>
      </x:c>
    </x:row>
    <x:row r="34" ht="34" customHeight="1">
      <x:c r="A34" s="2" t="str">
        <x:v>H0029</x:v>
      </x:c>
      <x:c r="B34" s="2" t="str">
        <x:v>KI12-TV01T-01</x:v>
      </x:c>
      <x:c r="C34" s="2" t="str">
        <x:v>CSAP J05</x:v>
      </x:c>
      <x:c r="D34" s="2" t="n">
        <x:v>342</x:v>
      </x:c>
      <x:c r="E34" s="2" t="n">
        <x:v>332</x:v>
      </x:c>
      <x:c r="F34" s="2" t="n">
        <x:v>0</x:v>
      </x:c>
      <x:c r="G34" s="2" t="n">
        <x:v>0</x:v>
      </x:c>
      <x:c r="H34" s="2" t="n">
        <x:v>0</x:v>
      </x:c>
      <x:c r="I34" s="2" t="n">
        <x:v>-1</x:v>
      </x:c>
      <x:c r="J34" s="2" t="n">
        <x:v>8</x:v>
      </x:c>
      <x:c r="K34" s="2" t="n">
        <x:v>12</x:v>
      </x:c>
      <x:c r="L34" s="2" t="n">
        <x:v>360</x:v>
      </x:c>
      <x:c r="M34" s="2" t="n">
        <x:v>332</x:v>
      </x:c>
      <x:c r="N34" s="2" t="n">
        <x:v>568</x:v>
      </x:c>
      <x:c r="O34" s="2" t="str">
        <x:v>R12 J01-J26 / 8x30, 12+22</x:v>
      </x:c>
    </x:row>
    <x:row r="35" ht="34" customHeight="1">
      <x:c r="A35" s="2" t="str">
        <x:v>H0030</x:v>
      </x:c>
      <x:c r="B35" s="2" t="str">
        <x:v>KI12-TV01C-01</x:v>
      </x:c>
      <x:c r="C35" s="2" t="str">
        <x:v>CSAP J05</x:v>
      </x:c>
      <x:c r="D35" s="2" t="n">
        <x:v>0</x:v>
      </x:c>
      <x:c r="E35" s="2" t="n">
        <x:v>332</x:v>
      </x:c>
      <x:c r="F35" s="2" t="n">
        <x:v>-9</x:v>
      </x:c>
      <x:c r="G35" s="2" t="n">
        <x:v>1</x:v>
      </x:c>
      <x:c r="H35" s="2" t="n">
        <x:v>0</x:v>
      </x:c>
      <x:c r="I35" s="2" t="n">
        <x:v>0</x:v>
      </x:c>
      <x:c r="J35" s="2" t="n">
        <x:v>8</x:v>
      </x:c>
      <x:c r="K35" s="2" t="n">
        <x:v>22</x:v>
      </x:c>
      <x:c r="L35" s="2" t="n">
        <x:v>360</x:v>
      </x:c>
      <x:c r="M35" s="2" t="n">
        <x:v>332</x:v>
      </x:c>
      <x:c r="N35" s="2" t="n">
        <x:v>568</x:v>
      </x:c>
      <x:c r="O35" s="2" t="str">
        <x:v>R12 J01-J26 / 8x30, 12+22</x:v>
      </x:c>
    </x:row>
    <x:row r="36" ht="34" customHeight="1">
      <x:c r="A36" s="2" t="str">
        <x:v>H0031</x:v>
      </x:c>
      <x:c r="B36" s="2" t="str">
        <x:v>KI12-TV01T-02</x:v>
      </x:c>
      <x:c r="C36" s="2" t="str">
        <x:v>CSAP J06</x:v>
      </x:c>
      <x:c r="D36" s="2" t="n">
        <x:v>342</x:v>
      </x:c>
      <x:c r="E36" s="2" t="n">
        <x:v>50</x:v>
      </x:c>
      <x:c r="F36" s="2" t="n">
        <x:v>-18</x:v>
      </x:c>
      <x:c r="G36" s="2" t="n">
        <x:v>0</x:v>
      </x:c>
      <x:c r="H36" s="2" t="n">
        <x:v>0</x:v>
      </x:c>
      <x:c r="I36" s="2" t="n">
        <x:v>1</x:v>
      </x:c>
      <x:c r="J36" s="2" t="n">
        <x:v>8</x:v>
      </x:c>
      <x:c r="K36" s="2" t="n">
        <x:v>12</x:v>
      </x:c>
      <x:c r="L36" s="2" t="n">
        <x:v>360</x:v>
      </x:c>
      <x:c r="M36" s="2" t="n">
        <x:v>50</x:v>
      </x:c>
      <x:c r="N36" s="2" t="n">
        <x:v>2862</x:v>
      </x:c>
      <x:c r="O36" s="2" t="str">
        <x:v>R12 J01-J26 / 8x30, 12+22</x:v>
      </x:c>
    </x:row>
    <x:row r="37" ht="34" customHeight="1">
      <x:c r="A37" s="2" t="str">
        <x:v>H0032</x:v>
      </x:c>
      <x:c r="B37" s="2" t="str">
        <x:v>KI12-TV01C-01</x:v>
      </x:c>
      <x:c r="C37" s="2" t="str">
        <x:v>CSAP J06</x:v>
      </x:c>
      <x:c r="D37" s="2" t="n">
        <x:v>2294</x:v>
      </x:c>
      <x:c r="E37" s="2" t="n">
        <x:v>50</x:v>
      </x:c>
      <x:c r="F37" s="2" t="n">
        <x:v>-9</x:v>
      </x:c>
      <x:c r="G37" s="2" t="n">
        <x:v>-1</x:v>
      </x:c>
      <x:c r="H37" s="2" t="n">
        <x:v>0</x:v>
      </x:c>
      <x:c r="I37" s="2" t="n">
        <x:v>0</x:v>
      </x:c>
      <x:c r="J37" s="2" t="n">
        <x:v>8</x:v>
      </x:c>
      <x:c r="K37" s="2" t="n">
        <x:v>22</x:v>
      </x:c>
      <x:c r="L37" s="2" t="n">
        <x:v>360</x:v>
      </x:c>
      <x:c r="M37" s="2" t="n">
        <x:v>50</x:v>
      </x:c>
      <x:c r="N37" s="2" t="n">
        <x:v>2862</x:v>
      </x:c>
      <x:c r="O37" s="2" t="str">
        <x:v>R12 J01-J26 / 8x30, 12+22</x:v>
      </x:c>
    </x:row>
    <x:row r="38" ht="34" customHeight="1">
      <x:c r="A38" s="2" t="str">
        <x:v>H0033</x:v>
      </x:c>
      <x:c r="B38" s="2" t="str">
        <x:v>KI12-TV01T-02</x:v>
      </x:c>
      <x:c r="C38" s="2" t="str">
        <x:v>CSAP J06</x:v>
      </x:c>
      <x:c r="D38" s="2" t="n">
        <x:v>342</x:v>
      </x:c>
      <x:c r="E38" s="2" t="n">
        <x:v>191</x:v>
      </x:c>
      <x:c r="F38" s="2" t="n">
        <x:v>-18</x:v>
      </x:c>
      <x:c r="G38" s="2" t="n">
        <x:v>0</x:v>
      </x:c>
      <x:c r="H38" s="2" t="n">
        <x:v>0</x:v>
      </x:c>
      <x:c r="I38" s="2" t="n">
        <x:v>1</x:v>
      </x:c>
      <x:c r="J38" s="2" t="n">
        <x:v>8</x:v>
      </x:c>
      <x:c r="K38" s="2" t="n">
        <x:v>12</x:v>
      </x:c>
      <x:c r="L38" s="2" t="n">
        <x:v>360</x:v>
      </x:c>
      <x:c r="M38" s="2" t="n">
        <x:v>191</x:v>
      </x:c>
      <x:c r="N38" s="2" t="n">
        <x:v>2862</x:v>
      </x:c>
      <x:c r="O38" s="2" t="str">
        <x:v>R12 J01-J26 / 8x30, 12+22</x:v>
      </x:c>
    </x:row>
    <x:row r="39" ht="34" customHeight="1">
      <x:c r="A39" s="2" t="str">
        <x:v>H0034</x:v>
      </x:c>
      <x:c r="B39" s="2" t="str">
        <x:v>KI12-TV01C-01</x:v>
      </x:c>
      <x:c r="C39" s="2" t="str">
        <x:v>CSAP J06</x:v>
      </x:c>
      <x:c r="D39" s="2" t="n">
        <x:v>2294</x:v>
      </x:c>
      <x:c r="E39" s="2" t="n">
        <x:v>191</x:v>
      </x:c>
      <x:c r="F39" s="2" t="n">
        <x:v>-9</x:v>
      </x:c>
      <x:c r="G39" s="2" t="n">
        <x:v>-1</x:v>
      </x:c>
      <x:c r="H39" s="2" t="n">
        <x:v>0</x:v>
      </x:c>
      <x:c r="I39" s="2" t="n">
        <x:v>0</x:v>
      </x:c>
      <x:c r="J39" s="2" t="n">
        <x:v>8</x:v>
      </x:c>
      <x:c r="K39" s="2" t="n">
        <x:v>22</x:v>
      </x:c>
      <x:c r="L39" s="2" t="n">
        <x:v>360</x:v>
      </x:c>
      <x:c r="M39" s="2" t="n">
        <x:v>191</x:v>
      </x:c>
      <x:c r="N39" s="2" t="n">
        <x:v>2862</x:v>
      </x:c>
      <x:c r="O39" s="2" t="str">
        <x:v>R12 J01-J26 / 8x30, 12+22</x:v>
      </x:c>
    </x:row>
    <x:row r="40" ht="34" customHeight="1">
      <x:c r="A40" s="2" t="str">
        <x:v>H0035</x:v>
      </x:c>
      <x:c r="B40" s="2" t="str">
        <x:v>KI12-TV01T-02</x:v>
      </x:c>
      <x:c r="C40" s="2" t="str">
        <x:v>CSAP J06</x:v>
      </x:c>
      <x:c r="D40" s="2" t="n">
        <x:v>342</x:v>
      </x:c>
      <x:c r="E40" s="2" t="n">
        <x:v>332</x:v>
      </x:c>
      <x:c r="F40" s="2" t="n">
        <x:v>-18</x:v>
      </x:c>
      <x:c r="G40" s="2" t="n">
        <x:v>0</x:v>
      </x:c>
      <x:c r="H40" s="2" t="n">
        <x:v>0</x:v>
      </x:c>
      <x:c r="I40" s="2" t="n">
        <x:v>1</x:v>
      </x:c>
      <x:c r="J40" s="2" t="n">
        <x:v>8</x:v>
      </x:c>
      <x:c r="K40" s="2" t="n">
        <x:v>12</x:v>
      </x:c>
      <x:c r="L40" s="2" t="n">
        <x:v>360</x:v>
      </x:c>
      <x:c r="M40" s="2" t="n">
        <x:v>332</x:v>
      </x:c>
      <x:c r="N40" s="2" t="n">
        <x:v>2862</x:v>
      </x:c>
      <x:c r="O40" s="2" t="str">
        <x:v>R12 J01-J26 / 8x30, 12+22</x:v>
      </x:c>
    </x:row>
    <x:row r="41" ht="34" customHeight="1">
      <x:c r="A41" s="2" t="str">
        <x:v>H0036</x:v>
      </x:c>
      <x:c r="B41" s="2" t="str">
        <x:v>KI12-TV01C-01</x:v>
      </x:c>
      <x:c r="C41" s="2" t="str">
        <x:v>CSAP J06</x:v>
      </x:c>
      <x:c r="D41" s="2" t="n">
        <x:v>2294</x:v>
      </x:c>
      <x:c r="E41" s="2" t="n">
        <x:v>332</x:v>
      </x:c>
      <x:c r="F41" s="2" t="n">
        <x:v>-9</x:v>
      </x:c>
      <x:c r="G41" s="2" t="n">
        <x:v>-1</x:v>
      </x:c>
      <x:c r="H41" s="2" t="n">
        <x:v>0</x:v>
      </x:c>
      <x:c r="I41" s="2" t="n">
        <x:v>0</x:v>
      </x:c>
      <x:c r="J41" s="2" t="n">
        <x:v>8</x:v>
      </x:c>
      <x:c r="K41" s="2" t="n">
        <x:v>22</x:v>
      </x:c>
      <x:c r="L41" s="2" t="n">
        <x:v>360</x:v>
      </x:c>
      <x:c r="M41" s="2" t="n">
        <x:v>332</x:v>
      </x:c>
      <x:c r="N41" s="2" t="n">
        <x:v>2862</x:v>
      </x:c>
      <x:c r="O41" s="2" t="str">
        <x:v>R12 J01-J26 / 8x30, 12+22</x:v>
      </x:c>
    </x:row>
    <x:row r="42" ht="34" customHeight="1">
      <x:c r="A42" s="2" t="str">
        <x:v>H0037</x:v>
      </x:c>
      <x:c r="B42" s="2" t="str">
        <x:v>KI12-TV02S-01</x:v>
      </x:c>
      <x:c r="C42" s="2" t="str">
        <x:v>CSAP J07</x:v>
      </x:c>
      <x:c r="D42" s="2" t="n">
        <x:v>9</x:v>
      </x:c>
      <x:c r="E42" s="2" t="n">
        <x:v>50</x:v>
      </x:c>
      <x:c r="F42" s="2" t="n">
        <x:v>-18</x:v>
      </x:c>
      <x:c r="G42" s="2" t="n">
        <x:v>0</x:v>
      </x:c>
      <x:c r="H42" s="2" t="n">
        <x:v>0</x:v>
      </x:c>
      <x:c r="I42" s="2" t="n">
        <x:v>1</x:v>
      </x:c>
      <x:c r="J42" s="2" t="n">
        <x:v>8</x:v>
      </x:c>
      <x:c r="K42" s="2" t="n">
        <x:v>12</x:v>
      </x:c>
      <x:c r="L42" s="2" t="n">
        <x:v>18</x:v>
      </x:c>
      <x:c r="M42" s="2" t="n">
        <x:v>50</x:v>
      </x:c>
      <x:c r="N42" s="2" t="n">
        <x:v>159</x:v>
      </x:c>
      <x:c r="O42" s="2" t="str">
        <x:v>R12 J01-J26 / 8x30, 12+22</x:v>
      </x:c>
    </x:row>
    <x:row r="43" ht="34" customHeight="1">
      <x:c r="A43" s="2" t="str">
        <x:v>H0038</x:v>
      </x:c>
      <x:c r="B43" s="2" t="str">
        <x:v>KI12-TV02T1-01</x:v>
      </x:c>
      <x:c r="C43" s="2" t="str">
        <x:v>CSAP J07</x:v>
      </x:c>
      <x:c r="D43" s="2" t="n">
        <x:v>0</x:v>
      </x:c>
      <x:c r="E43" s="2" t="n">
        <x:v>50</x:v>
      </x:c>
      <x:c r="F43" s="2" t="n">
        <x:v>-9</x:v>
      </x:c>
      <x:c r="G43" s="2" t="n">
        <x:v>1</x:v>
      </x:c>
      <x:c r="H43" s="2" t="n">
        <x:v>0</x:v>
      </x:c>
      <x:c r="I43" s="2" t="n">
        <x:v>0</x:v>
      </x:c>
      <x:c r="J43" s="2" t="n">
        <x:v>8</x:v>
      </x:c>
      <x:c r="K43" s="2" t="n">
        <x:v>22</x:v>
      </x:c>
      <x:c r="L43" s="2" t="n">
        <x:v>18</x:v>
      </x:c>
      <x:c r="M43" s="2" t="n">
        <x:v>50</x:v>
      </x:c>
      <x:c r="N43" s="2" t="n">
        <x:v>159</x:v>
      </x:c>
      <x:c r="O43" s="2" t="str">
        <x:v>R12 J01-J26 / 8x30, 12+22</x:v>
      </x:c>
    </x:row>
    <x:row r="44" ht="34" customHeight="1">
      <x:c r="A44" s="2" t="str">
        <x:v>H0039</x:v>
      </x:c>
      <x:c r="B44" s="2" t="str">
        <x:v>KI12-TV02S-01</x:v>
      </x:c>
      <x:c r="C44" s="2" t="str">
        <x:v>CSAP J07</x:v>
      </x:c>
      <x:c r="D44" s="2" t="n">
        <x:v>9</x:v>
      </x:c>
      <x:c r="E44" s="2" t="n">
        <x:v>191</x:v>
      </x:c>
      <x:c r="F44" s="2" t="n">
        <x:v>-18</x:v>
      </x:c>
      <x:c r="G44" s="2" t="n">
        <x:v>0</x:v>
      </x:c>
      <x:c r="H44" s="2" t="n">
        <x:v>0</x:v>
      </x:c>
      <x:c r="I44" s="2" t="n">
        <x:v>1</x:v>
      </x:c>
      <x:c r="J44" s="2" t="n">
        <x:v>8</x:v>
      </x:c>
      <x:c r="K44" s="2" t="n">
        <x:v>12</x:v>
      </x:c>
      <x:c r="L44" s="2" t="n">
        <x:v>18</x:v>
      </x:c>
      <x:c r="M44" s="2" t="n">
        <x:v>191</x:v>
      </x:c>
      <x:c r="N44" s="2" t="n">
        <x:v>159</x:v>
      </x:c>
      <x:c r="O44" s="2" t="str">
        <x:v>R12 J01-J26 / 8x30, 12+22</x:v>
      </x:c>
    </x:row>
    <x:row r="45" ht="34" customHeight="1">
      <x:c r="A45" s="2" t="str">
        <x:v>H0040</x:v>
      </x:c>
      <x:c r="B45" s="2" t="str">
        <x:v>KI12-TV02T1-01</x:v>
      </x:c>
      <x:c r="C45" s="2" t="str">
        <x:v>CSAP J07</x:v>
      </x:c>
      <x:c r="D45" s="2" t="n">
        <x:v>0</x:v>
      </x:c>
      <x:c r="E45" s="2" t="n">
        <x:v>191</x:v>
      </x:c>
      <x:c r="F45" s="2" t="n">
        <x:v>-9</x:v>
      </x:c>
      <x:c r="G45" s="2" t="n">
        <x:v>1</x:v>
      </x:c>
      <x:c r="H45" s="2" t="n">
        <x:v>0</x:v>
      </x:c>
      <x:c r="I45" s="2" t="n">
        <x:v>0</x:v>
      </x:c>
      <x:c r="J45" s="2" t="n">
        <x:v>8</x:v>
      </x:c>
      <x:c r="K45" s="2" t="n">
        <x:v>22</x:v>
      </x:c>
      <x:c r="L45" s="2" t="n">
        <x:v>18</x:v>
      </x:c>
      <x:c r="M45" s="2" t="n">
        <x:v>191</x:v>
      </x:c>
      <x:c r="N45" s="2" t="n">
        <x:v>159</x:v>
      </x:c>
      <x:c r="O45" s="2" t="str">
        <x:v>R12 J01-J26 / 8x30, 12+22</x:v>
      </x:c>
    </x:row>
    <x:row r="46" ht="34" customHeight="1">
      <x:c r="A46" s="2" t="str">
        <x:v>H0041</x:v>
      </x:c>
      <x:c r="B46" s="2" t="str">
        <x:v>KI12-TV02S-01</x:v>
      </x:c>
      <x:c r="C46" s="2" t="str">
        <x:v>CSAP J07</x:v>
      </x:c>
      <x:c r="D46" s="2" t="n">
        <x:v>9</x:v>
      </x:c>
      <x:c r="E46" s="2" t="n">
        <x:v>332</x:v>
      </x:c>
      <x:c r="F46" s="2" t="n">
        <x:v>-18</x:v>
      </x:c>
      <x:c r="G46" s="2" t="n">
        <x:v>0</x:v>
      </x:c>
      <x:c r="H46" s="2" t="n">
        <x:v>0</x:v>
      </x:c>
      <x:c r="I46" s="2" t="n">
        <x:v>1</x:v>
      </x:c>
      <x:c r="J46" s="2" t="n">
        <x:v>8</x:v>
      </x:c>
      <x:c r="K46" s="2" t="n">
        <x:v>12</x:v>
      </x:c>
      <x:c r="L46" s="2" t="n">
        <x:v>18</x:v>
      </x:c>
      <x:c r="M46" s="2" t="n">
        <x:v>332</x:v>
      </x:c>
      <x:c r="N46" s="2" t="n">
        <x:v>159</x:v>
      </x:c>
      <x:c r="O46" s="2" t="str">
        <x:v>R12 J01-J26 / 8x30, 12+22</x:v>
      </x:c>
    </x:row>
    <x:row r="47" ht="34" customHeight="1">
      <x:c r="A47" s="2" t="str">
        <x:v>H0042</x:v>
      </x:c>
      <x:c r="B47" s="2" t="str">
        <x:v>KI12-TV02T1-01</x:v>
      </x:c>
      <x:c r="C47" s="2" t="str">
        <x:v>CSAP J07</x:v>
      </x:c>
      <x:c r="D47" s="2" t="n">
        <x:v>0</x:v>
      </x:c>
      <x:c r="E47" s="2" t="n">
        <x:v>332</x:v>
      </x:c>
      <x:c r="F47" s="2" t="n">
        <x:v>-9</x:v>
      </x:c>
      <x:c r="G47" s="2" t="n">
        <x:v>1</x:v>
      </x:c>
      <x:c r="H47" s="2" t="n">
        <x:v>0</x:v>
      </x:c>
      <x:c r="I47" s="2" t="n">
        <x:v>0</x:v>
      </x:c>
      <x:c r="J47" s="2" t="n">
        <x:v>8</x:v>
      </x:c>
      <x:c r="K47" s="2" t="n">
        <x:v>22</x:v>
      </x:c>
      <x:c r="L47" s="2" t="n">
        <x:v>18</x:v>
      </x:c>
      <x:c r="M47" s="2" t="n">
        <x:v>332</x:v>
      </x:c>
      <x:c r="N47" s="2" t="n">
        <x:v>159</x:v>
      </x:c>
      <x:c r="O47" s="2" t="str">
        <x:v>R12 J01-J26 / 8x30, 12+22</x:v>
      </x:c>
    </x:row>
    <x:row r="48" ht="34" customHeight="1">
      <x:c r="A48" s="2" t="str">
        <x:v>H0043</x:v>
      </x:c>
      <x:c r="B48" s="2" t="str">
        <x:v>KI12-TV02CAP-01</x:v>
      </x:c>
      <x:c r="C48" s="2" t="str">
        <x:v>CSAP J08</x:v>
      </x:c>
      <x:c r="D48" s="2" t="n">
        <x:v>9</x:v>
      </x:c>
      <x:c r="E48" s="2" t="n">
        <x:v>50</x:v>
      </x:c>
      <x:c r="F48" s="2" t="n">
        <x:v>-18</x:v>
      </x:c>
      <x:c r="G48" s="2" t="n">
        <x:v>0</x:v>
      </x:c>
      <x:c r="H48" s="2" t="n">
        <x:v>0</x:v>
      </x:c>
      <x:c r="I48" s="2" t="n">
        <x:v>1</x:v>
      </x:c>
      <x:c r="J48" s="2" t="n">
        <x:v>8</x:v>
      </x:c>
      <x:c r="K48" s="2" t="n">
        <x:v>12</x:v>
      </x:c>
      <x:c r="L48" s="2" t="n">
        <x:v>9</x:v>
      </x:c>
      <x:c r="M48" s="2" t="n">
        <x:v>50</x:v>
      </x:c>
      <x:c r="N48" s="2" t="n">
        <x:v>532</x:v>
      </x:c>
      <x:c r="O48" s="2" t="str">
        <x:v>R12 J01-J26 / 8x30, 12+22</x:v>
      </x:c>
    </x:row>
    <x:row r="49" ht="34" customHeight="1">
      <x:c r="A49" s="2" t="str">
        <x:v>H0044</x:v>
      </x:c>
      <x:c r="B49" s="2" t="str">
        <x:v>KI12-TV02S-01</x:v>
      </x:c>
      <x:c r="C49" s="2" t="str">
        <x:v>CSAP J08</x:v>
      </x:c>
      <x:c r="D49" s="2" t="n">
        <x:v>382</x:v>
      </x:c>
      <x:c r="E49" s="2" t="n">
        <x:v>50</x:v>
      </x:c>
      <x:c r="F49" s="2" t="n">
        <x:v>-9</x:v>
      </x:c>
      <x:c r="G49" s="2" t="n">
        <x:v>-1</x:v>
      </x:c>
      <x:c r="H49" s="2" t="n">
        <x:v>0</x:v>
      </x:c>
      <x:c r="I49" s="2" t="n">
        <x:v>0</x:v>
      </x:c>
      <x:c r="J49" s="2" t="n">
        <x:v>8</x:v>
      </x:c>
      <x:c r="K49" s="2" t="n">
        <x:v>22</x:v>
      </x:c>
      <x:c r="L49" s="2" t="n">
        <x:v>9</x:v>
      </x:c>
      <x:c r="M49" s="2" t="n">
        <x:v>50</x:v>
      </x:c>
      <x:c r="N49" s="2" t="n">
        <x:v>532</x:v>
      </x:c>
      <x:c r="O49" s="2" t="str">
        <x:v>R12 J01-J26 / 8x30, 12+22</x:v>
      </x:c>
    </x:row>
    <x:row r="50" ht="34" customHeight="1">
      <x:c r="A50" s="2" t="str">
        <x:v>H0045</x:v>
      </x:c>
      <x:c r="B50" s="2" t="str">
        <x:v>KI12-TV02CAP-01</x:v>
      </x:c>
      <x:c r="C50" s="2" t="str">
        <x:v>CSAP J08</x:v>
      </x:c>
      <x:c r="D50" s="2" t="n">
        <x:v>9</x:v>
      </x:c>
      <x:c r="E50" s="2" t="n">
        <x:v>191</x:v>
      </x:c>
      <x:c r="F50" s="2" t="n">
        <x:v>-18</x:v>
      </x:c>
      <x:c r="G50" s="2" t="n">
        <x:v>0</x:v>
      </x:c>
      <x:c r="H50" s="2" t="n">
        <x:v>0</x:v>
      </x:c>
      <x:c r="I50" s="2" t="n">
        <x:v>1</x:v>
      </x:c>
      <x:c r="J50" s="2" t="n">
        <x:v>8</x:v>
      </x:c>
      <x:c r="K50" s="2" t="n">
        <x:v>12</x:v>
      </x:c>
      <x:c r="L50" s="2" t="n">
        <x:v>9</x:v>
      </x:c>
      <x:c r="M50" s="2" t="n">
        <x:v>191</x:v>
      </x:c>
      <x:c r="N50" s="2" t="n">
        <x:v>532</x:v>
      </x:c>
      <x:c r="O50" s="2" t="str">
        <x:v>R12 J01-J26 / 8x30, 12+22</x:v>
      </x:c>
    </x:row>
    <x:row r="51" ht="34" customHeight="1">
      <x:c r="A51" s="2" t="str">
        <x:v>H0046</x:v>
      </x:c>
      <x:c r="B51" s="2" t="str">
        <x:v>KI12-TV02S-01</x:v>
      </x:c>
      <x:c r="C51" s="2" t="str">
        <x:v>CSAP J08</x:v>
      </x:c>
      <x:c r="D51" s="2" t="n">
        <x:v>382</x:v>
      </x:c>
      <x:c r="E51" s="2" t="n">
        <x:v>191</x:v>
      </x:c>
      <x:c r="F51" s="2" t="n">
        <x:v>-9</x:v>
      </x:c>
      <x:c r="G51" s="2" t="n">
        <x:v>-1</x:v>
      </x:c>
      <x:c r="H51" s="2" t="n">
        <x:v>0</x:v>
      </x:c>
      <x:c r="I51" s="2" t="n">
        <x:v>0</x:v>
      </x:c>
      <x:c r="J51" s="2" t="n">
        <x:v>8</x:v>
      </x:c>
      <x:c r="K51" s="2" t="n">
        <x:v>22</x:v>
      </x:c>
      <x:c r="L51" s="2" t="n">
        <x:v>9</x:v>
      </x:c>
      <x:c r="M51" s="2" t="n">
        <x:v>191</x:v>
      </x:c>
      <x:c r="N51" s="2" t="n">
        <x:v>532</x:v>
      </x:c>
      <x:c r="O51" s="2" t="str">
        <x:v>R12 J01-J26 / 8x30, 12+22</x:v>
      </x:c>
    </x:row>
    <x:row r="52" ht="34" customHeight="1">
      <x:c r="A52" s="2" t="str">
        <x:v>H0047</x:v>
      </x:c>
      <x:c r="B52" s="2" t="str">
        <x:v>KI12-TV02CAP-01</x:v>
      </x:c>
      <x:c r="C52" s="2" t="str">
        <x:v>CSAP J08</x:v>
      </x:c>
      <x:c r="D52" s="2" t="n">
        <x:v>9</x:v>
      </x:c>
      <x:c r="E52" s="2" t="n">
        <x:v>332</x:v>
      </x:c>
      <x:c r="F52" s="2" t="n">
        <x:v>-18</x:v>
      </x:c>
      <x:c r="G52" s="2" t="n">
        <x:v>0</x:v>
      </x:c>
      <x:c r="H52" s="2" t="n">
        <x:v>0</x:v>
      </x:c>
      <x:c r="I52" s="2" t="n">
        <x:v>1</x:v>
      </x:c>
      <x:c r="J52" s="2" t="n">
        <x:v>8</x:v>
      </x:c>
      <x:c r="K52" s="2" t="n">
        <x:v>12</x:v>
      </x:c>
      <x:c r="L52" s="2" t="n">
        <x:v>9</x:v>
      </x:c>
      <x:c r="M52" s="2" t="n">
        <x:v>332</x:v>
      </x:c>
      <x:c r="N52" s="2" t="n">
        <x:v>532</x:v>
      </x:c>
      <x:c r="O52" s="2" t="str">
        <x:v>R12 J01-J26 / 8x30, 12+22</x:v>
      </x:c>
    </x:row>
    <x:row r="53" ht="34" customHeight="1">
      <x:c r="A53" s="2" t="str">
        <x:v>H0048</x:v>
      </x:c>
      <x:c r="B53" s="2" t="str">
        <x:v>KI12-TV02S-01</x:v>
      </x:c>
      <x:c r="C53" s="2" t="str">
        <x:v>CSAP J08</x:v>
      </x:c>
      <x:c r="D53" s="2" t="n">
        <x:v>382</x:v>
      </x:c>
      <x:c r="E53" s="2" t="n">
        <x:v>332</x:v>
      </x:c>
      <x:c r="F53" s="2" t="n">
        <x:v>-9</x:v>
      </x:c>
      <x:c r="G53" s="2" t="n">
        <x:v>-1</x:v>
      </x:c>
      <x:c r="H53" s="2" t="n">
        <x:v>0</x:v>
      </x:c>
      <x:c r="I53" s="2" t="n">
        <x:v>0</x:v>
      </x:c>
      <x:c r="J53" s="2" t="n">
        <x:v>8</x:v>
      </x:c>
      <x:c r="K53" s="2" t="n">
        <x:v>22</x:v>
      </x:c>
      <x:c r="L53" s="2" t="n">
        <x:v>9</x:v>
      </x:c>
      <x:c r="M53" s="2" t="n">
        <x:v>332</x:v>
      </x:c>
      <x:c r="N53" s="2" t="n">
        <x:v>532</x:v>
      </x:c>
      <x:c r="O53" s="2" t="str">
        <x:v>R12 J01-J26 / 8x30, 12+22</x:v>
      </x:c>
    </x:row>
    <x:row r="54" ht="34" customHeight="1">
      <x:c r="A54" s="2" t="str">
        <x:v>H0049</x:v>
      </x:c>
      <x:c r="B54" s="2" t="str">
        <x:v>KI12-TV02S-02</x:v>
      </x:c>
      <x:c r="C54" s="2" t="str">
        <x:v>CSAP J09</x:v>
      </x:c>
      <x:c r="D54" s="2" t="n">
        <x:v>9</x:v>
      </x:c>
      <x:c r="E54" s="2" t="n">
        <x:v>50</x:v>
      </x:c>
      <x:c r="F54" s="2" t="n">
        <x:v>0</x:v>
      </x:c>
      <x:c r="G54" s="2" t="n">
        <x:v>0</x:v>
      </x:c>
      <x:c r="H54" s="2" t="n">
        <x:v>0</x:v>
      </x:c>
      <x:c r="I54" s="2" t="n">
        <x:v>-1</x:v>
      </x:c>
      <x:c r="J54" s="2" t="n">
        <x:v>8</x:v>
      </x:c>
      <x:c r="K54" s="2" t="n">
        <x:v>12</x:v>
      </x:c>
      <x:c r="L54" s="2" t="n">
        <x:v>702</x:v>
      </x:c>
      <x:c r="M54" s="2" t="n">
        <x:v>50</x:v>
      </x:c>
      <x:c r="N54" s="2" t="n">
        <x:v>159</x:v>
      </x:c>
      <x:c r="O54" s="2" t="str">
        <x:v>R12 J01-J26 / 8x30, 12+22</x:v>
      </x:c>
    </x:row>
    <x:row r="55" ht="34" customHeight="1">
      <x:c r="A55" s="2" t="str">
        <x:v>H0050</x:v>
      </x:c>
      <x:c r="B55" s="2" t="str">
        <x:v>KI12-TV02T1-01</x:v>
      </x:c>
      <x:c r="C55" s="2" t="str">
        <x:v>CSAP J09</x:v>
      </x:c>
      <x:c r="D55" s="2" t="n">
        <x:v>684</x:v>
      </x:c>
      <x:c r="E55" s="2" t="n">
        <x:v>50</x:v>
      </x:c>
      <x:c r="F55" s="2" t="n">
        <x:v>-9</x:v>
      </x:c>
      <x:c r="G55" s="2" t="n">
        <x:v>-1</x:v>
      </x:c>
      <x:c r="H55" s="2" t="n">
        <x:v>0</x:v>
      </x:c>
      <x:c r="I55" s="2" t="n">
        <x:v>0</x:v>
      </x:c>
      <x:c r="J55" s="2" t="n">
        <x:v>8</x:v>
      </x:c>
      <x:c r="K55" s="2" t="n">
        <x:v>22</x:v>
      </x:c>
      <x:c r="L55" s="2" t="n">
        <x:v>702</x:v>
      </x:c>
      <x:c r="M55" s="2" t="n">
        <x:v>50</x:v>
      </x:c>
      <x:c r="N55" s="2" t="n">
        <x:v>159</x:v>
      </x:c>
      <x:c r="O55" s="2" t="str">
        <x:v>R12 J01-J26 / 8x30, 12+22</x:v>
      </x:c>
    </x:row>
    <x:row r="56" ht="34" customHeight="1">
      <x:c r="A56" s="2" t="str">
        <x:v>H0051</x:v>
      </x:c>
      <x:c r="B56" s="2" t="str">
        <x:v>KI12-TV02S-02</x:v>
      </x:c>
      <x:c r="C56" s="2" t="str">
        <x:v>CSAP J09</x:v>
      </x:c>
      <x:c r="D56" s="2" t="n">
        <x:v>9</x:v>
      </x:c>
      <x:c r="E56" s="2" t="n">
        <x:v>191</x:v>
      </x:c>
      <x:c r="F56" s="2" t="n">
        <x:v>0</x:v>
      </x:c>
      <x:c r="G56" s="2" t="n">
        <x:v>0</x:v>
      </x:c>
      <x:c r="H56" s="2" t="n">
        <x:v>0</x:v>
      </x:c>
      <x:c r="I56" s="2" t="n">
        <x:v>-1</x:v>
      </x:c>
      <x:c r="J56" s="2" t="n">
        <x:v>8</x:v>
      </x:c>
      <x:c r="K56" s="2" t="n">
        <x:v>12</x:v>
      </x:c>
      <x:c r="L56" s="2" t="n">
        <x:v>702</x:v>
      </x:c>
      <x:c r="M56" s="2" t="n">
        <x:v>191</x:v>
      </x:c>
      <x:c r="N56" s="2" t="n">
        <x:v>159</x:v>
      </x:c>
      <x:c r="O56" s="2" t="str">
        <x:v>R12 J01-J26 / 8x30, 12+22</x:v>
      </x:c>
    </x:row>
    <x:row r="57" ht="34" customHeight="1">
      <x:c r="A57" s="2" t="str">
        <x:v>H0052</x:v>
      </x:c>
      <x:c r="B57" s="2" t="str">
        <x:v>KI12-TV02T1-01</x:v>
      </x:c>
      <x:c r="C57" s="2" t="str">
        <x:v>CSAP J09</x:v>
      </x:c>
      <x:c r="D57" s="2" t="n">
        <x:v>684</x:v>
      </x:c>
      <x:c r="E57" s="2" t="n">
        <x:v>191</x:v>
      </x:c>
      <x:c r="F57" s="2" t="n">
        <x:v>-9</x:v>
      </x:c>
      <x:c r="G57" s="2" t="n">
        <x:v>-1</x:v>
      </x:c>
      <x:c r="H57" s="2" t="n">
        <x:v>0</x:v>
      </x:c>
      <x:c r="I57" s="2" t="n">
        <x:v>0</x:v>
      </x:c>
      <x:c r="J57" s="2" t="n">
        <x:v>8</x:v>
      </x:c>
      <x:c r="K57" s="2" t="n">
        <x:v>22</x:v>
      </x:c>
      <x:c r="L57" s="2" t="n">
        <x:v>702</x:v>
      </x:c>
      <x:c r="M57" s="2" t="n">
        <x:v>191</x:v>
      </x:c>
      <x:c r="N57" s="2" t="n">
        <x:v>159</x:v>
      </x:c>
      <x:c r="O57" s="2" t="str">
        <x:v>R12 J01-J26 / 8x30, 12+22</x:v>
      </x:c>
    </x:row>
    <x:row r="58" ht="34" customHeight="1">
      <x:c r="A58" s="2" t="str">
        <x:v>H0053</x:v>
      </x:c>
      <x:c r="B58" s="2" t="str">
        <x:v>KI12-TV02S-02</x:v>
      </x:c>
      <x:c r="C58" s="2" t="str">
        <x:v>CSAP J09</x:v>
      </x:c>
      <x:c r="D58" s="2" t="n">
        <x:v>9</x:v>
      </x:c>
      <x:c r="E58" s="2" t="n">
        <x:v>332</x:v>
      </x:c>
      <x:c r="F58" s="2" t="n">
        <x:v>0</x:v>
      </x:c>
      <x:c r="G58" s="2" t="n">
        <x:v>0</x:v>
      </x:c>
      <x:c r="H58" s="2" t="n">
        <x:v>0</x:v>
      </x:c>
      <x:c r="I58" s="2" t="n">
        <x:v>-1</x:v>
      </x:c>
      <x:c r="J58" s="2" t="n">
        <x:v>8</x:v>
      </x:c>
      <x:c r="K58" s="2" t="n">
        <x:v>12</x:v>
      </x:c>
      <x:c r="L58" s="2" t="n">
        <x:v>702</x:v>
      </x:c>
      <x:c r="M58" s="2" t="n">
        <x:v>332</x:v>
      </x:c>
      <x:c r="N58" s="2" t="n">
        <x:v>159</x:v>
      </x:c>
      <x:c r="O58" s="2" t="str">
        <x:v>R12 J01-J26 / 8x30, 12+22</x:v>
      </x:c>
    </x:row>
    <x:row r="59" ht="34" customHeight="1">
      <x:c r="A59" s="2" t="str">
        <x:v>H0054</x:v>
      </x:c>
      <x:c r="B59" s="2" t="str">
        <x:v>KI12-TV02T1-01</x:v>
      </x:c>
      <x:c r="C59" s="2" t="str">
        <x:v>CSAP J09</x:v>
      </x:c>
      <x:c r="D59" s="2" t="n">
        <x:v>684</x:v>
      </x:c>
      <x:c r="E59" s="2" t="n">
        <x:v>332</x:v>
      </x:c>
      <x:c r="F59" s="2" t="n">
        <x:v>-9</x:v>
      </x:c>
      <x:c r="G59" s="2" t="n">
        <x:v>-1</x:v>
      </x:c>
      <x:c r="H59" s="2" t="n">
        <x:v>0</x:v>
      </x:c>
      <x:c r="I59" s="2" t="n">
        <x:v>0</x:v>
      </x:c>
      <x:c r="J59" s="2" t="n">
        <x:v>8</x:v>
      </x:c>
      <x:c r="K59" s="2" t="n">
        <x:v>22</x:v>
      </x:c>
      <x:c r="L59" s="2" t="n">
        <x:v>702</x:v>
      </x:c>
      <x:c r="M59" s="2" t="n">
        <x:v>332</x:v>
      </x:c>
      <x:c r="N59" s="2" t="n">
        <x:v>159</x:v>
      </x:c>
      <x:c r="O59" s="2" t="str">
        <x:v>R12 J01-J26 / 8x30, 12+22</x:v>
      </x:c>
    </x:row>
    <x:row r="60" ht="34" customHeight="1">
      <x:c r="A60" s="2" t="str">
        <x:v>H0055</x:v>
      </x:c>
      <x:c r="B60" s="2" t="str">
        <x:v>KI12-TV02CAP-01</x:v>
      </x:c>
      <x:c r="C60" s="2" t="str">
        <x:v>CSAP J10</x:v>
      </x:c>
      <x:c r="D60" s="2" t="n">
        <x:v>711</x:v>
      </x:c>
      <x:c r="E60" s="2" t="n">
        <x:v>50</x:v>
      </x:c>
      <x:c r="F60" s="2" t="n">
        <x:v>-18</x:v>
      </x:c>
      <x:c r="G60" s="2" t="n">
        <x:v>0</x:v>
      </x:c>
      <x:c r="H60" s="2" t="n">
        <x:v>0</x:v>
      </x:c>
      <x:c r="I60" s="2" t="n">
        <x:v>1</x:v>
      </x:c>
      <x:c r="J60" s="2" t="n">
        <x:v>8</x:v>
      </x:c>
      <x:c r="K60" s="2" t="n">
        <x:v>12</x:v>
      </x:c>
      <x:c r="L60" s="2" t="n">
        <x:v>711</x:v>
      </x:c>
      <x:c r="M60" s="2" t="n">
        <x:v>50</x:v>
      </x:c>
      <x:c r="N60" s="2" t="n">
        <x:v>532</x:v>
      </x:c>
      <x:c r="O60" s="2" t="str">
        <x:v>R12 J01-J26 / 8x30, 12+22</x:v>
      </x:c>
    </x:row>
    <x:row r="61" ht="34" customHeight="1">
      <x:c r="A61" s="2" t="str">
        <x:v>H0056</x:v>
      </x:c>
      <x:c r="B61" s="2" t="str">
        <x:v>KI12-TV02S-02</x:v>
      </x:c>
      <x:c r="C61" s="2" t="str">
        <x:v>CSAP J10</x:v>
      </x:c>
      <x:c r="D61" s="2" t="n">
        <x:v>382</x:v>
      </x:c>
      <x:c r="E61" s="2" t="n">
        <x:v>50</x:v>
      </x:c>
      <x:c r="F61" s="2" t="n">
        <x:v>-9</x:v>
      </x:c>
      <x:c r="G61" s="2" t="n">
        <x:v>-1</x:v>
      </x:c>
      <x:c r="H61" s="2" t="n">
        <x:v>0</x:v>
      </x:c>
      <x:c r="I61" s="2" t="n">
        <x:v>0</x:v>
      </x:c>
      <x:c r="J61" s="2" t="n">
        <x:v>8</x:v>
      </x:c>
      <x:c r="K61" s="2" t="n">
        <x:v>22</x:v>
      </x:c>
      <x:c r="L61" s="2" t="n">
        <x:v>711</x:v>
      </x:c>
      <x:c r="M61" s="2" t="n">
        <x:v>50</x:v>
      </x:c>
      <x:c r="N61" s="2" t="n">
        <x:v>532</x:v>
      </x:c>
      <x:c r="O61" s="2" t="str">
        <x:v>R12 J01-J26 / 8x30, 12+22</x:v>
      </x:c>
    </x:row>
    <x:row r="62" ht="34" customHeight="1">
      <x:c r="A62" s="2" t="str">
        <x:v>H0057</x:v>
      </x:c>
      <x:c r="B62" s="2" t="str">
        <x:v>KI12-TV02CAP-01</x:v>
      </x:c>
      <x:c r="C62" s="2" t="str">
        <x:v>CSAP J10</x:v>
      </x:c>
      <x:c r="D62" s="2" t="n">
        <x:v>711</x:v>
      </x:c>
      <x:c r="E62" s="2" t="n">
        <x:v>191</x:v>
      </x:c>
      <x:c r="F62" s="2" t="n">
        <x:v>-18</x:v>
      </x:c>
      <x:c r="G62" s="2" t="n">
        <x:v>0</x:v>
      </x:c>
      <x:c r="H62" s="2" t="n">
        <x:v>0</x:v>
      </x:c>
      <x:c r="I62" s="2" t="n">
        <x:v>1</x:v>
      </x:c>
      <x:c r="J62" s="2" t="n">
        <x:v>8</x:v>
      </x:c>
      <x:c r="K62" s="2" t="n">
        <x:v>12</x:v>
      </x:c>
      <x:c r="L62" s="2" t="n">
        <x:v>711</x:v>
      </x:c>
      <x:c r="M62" s="2" t="n">
        <x:v>191</x:v>
      </x:c>
      <x:c r="N62" s="2" t="n">
        <x:v>532</x:v>
      </x:c>
      <x:c r="O62" s="2" t="str">
        <x:v>R12 J01-J26 / 8x30, 12+22</x:v>
      </x:c>
    </x:row>
    <x:row r="63" ht="34" customHeight="1">
      <x:c r="A63" s="2" t="str">
        <x:v>H0058</x:v>
      </x:c>
      <x:c r="B63" s="2" t="str">
        <x:v>KI12-TV02S-02</x:v>
      </x:c>
      <x:c r="C63" s="2" t="str">
        <x:v>CSAP J10</x:v>
      </x:c>
      <x:c r="D63" s="2" t="n">
        <x:v>382</x:v>
      </x:c>
      <x:c r="E63" s="2" t="n">
        <x:v>191</x:v>
      </x:c>
      <x:c r="F63" s="2" t="n">
        <x:v>-9</x:v>
      </x:c>
      <x:c r="G63" s="2" t="n">
        <x:v>-1</x:v>
      </x:c>
      <x:c r="H63" s="2" t="n">
        <x:v>0</x:v>
      </x:c>
      <x:c r="I63" s="2" t="n">
        <x:v>0</x:v>
      </x:c>
      <x:c r="J63" s="2" t="n">
        <x:v>8</x:v>
      </x:c>
      <x:c r="K63" s="2" t="n">
        <x:v>22</x:v>
      </x:c>
      <x:c r="L63" s="2" t="n">
        <x:v>711</x:v>
      </x:c>
      <x:c r="M63" s="2" t="n">
        <x:v>191</x:v>
      </x:c>
      <x:c r="N63" s="2" t="n">
        <x:v>532</x:v>
      </x:c>
      <x:c r="O63" s="2" t="str">
        <x:v>R12 J01-J26 / 8x30, 12+22</x:v>
      </x:c>
    </x:row>
    <x:row r="64" ht="34" customHeight="1">
      <x:c r="A64" s="2" t="str">
        <x:v>H0059</x:v>
      </x:c>
      <x:c r="B64" s="2" t="str">
        <x:v>KI12-TV02CAP-01</x:v>
      </x:c>
      <x:c r="C64" s="2" t="str">
        <x:v>CSAP J10</x:v>
      </x:c>
      <x:c r="D64" s="2" t="n">
        <x:v>711</x:v>
      </x:c>
      <x:c r="E64" s="2" t="n">
        <x:v>332</x:v>
      </x:c>
      <x:c r="F64" s="2" t="n">
        <x:v>-18</x:v>
      </x:c>
      <x:c r="G64" s="2" t="n">
        <x:v>0</x:v>
      </x:c>
      <x:c r="H64" s="2" t="n">
        <x:v>0</x:v>
      </x:c>
      <x:c r="I64" s="2" t="n">
        <x:v>1</x:v>
      </x:c>
      <x:c r="J64" s="2" t="n">
        <x:v>8</x:v>
      </x:c>
      <x:c r="K64" s="2" t="n">
        <x:v>12</x:v>
      </x:c>
      <x:c r="L64" s="2" t="n">
        <x:v>711</x:v>
      </x:c>
      <x:c r="M64" s="2" t="n">
        <x:v>332</x:v>
      </x:c>
      <x:c r="N64" s="2" t="n">
        <x:v>532</x:v>
      </x:c>
      <x:c r="O64" s="2" t="str">
        <x:v>R12 J01-J26 / 8x30, 12+22</x:v>
      </x:c>
    </x:row>
    <x:row r="65" ht="34" customHeight="1">
      <x:c r="A65" s="2" t="str">
        <x:v>H0060</x:v>
      </x:c>
      <x:c r="B65" s="2" t="str">
        <x:v>KI12-TV02S-02</x:v>
      </x:c>
      <x:c r="C65" s="2" t="str">
        <x:v>CSAP J10</x:v>
      </x:c>
      <x:c r="D65" s="2" t="n">
        <x:v>382</x:v>
      </x:c>
      <x:c r="E65" s="2" t="n">
        <x:v>332</x:v>
      </x:c>
      <x:c r="F65" s="2" t="n">
        <x:v>-9</x:v>
      </x:c>
      <x:c r="G65" s="2" t="n">
        <x:v>-1</x:v>
      </x:c>
      <x:c r="H65" s="2" t="n">
        <x:v>0</x:v>
      </x:c>
      <x:c r="I65" s="2" t="n">
        <x:v>0</x:v>
      </x:c>
      <x:c r="J65" s="2" t="n">
        <x:v>8</x:v>
      </x:c>
      <x:c r="K65" s="2" t="n">
        <x:v>22</x:v>
      </x:c>
      <x:c r="L65" s="2" t="n">
        <x:v>711</x:v>
      </x:c>
      <x:c r="M65" s="2" t="n">
        <x:v>332</x:v>
      </x:c>
      <x:c r="N65" s="2" t="n">
        <x:v>532</x:v>
      </x:c>
      <x:c r="O65" s="2" t="str">
        <x:v>R12 J01-J26 / 8x30, 12+22</x:v>
      </x:c>
    </x:row>
    <x:row r="66" ht="34" customHeight="1">
      <x:c r="A66" s="2" t="str">
        <x:v>H0061</x:v>
      </x:c>
      <x:c r="B66" s="2" t="str">
        <x:v>KI12-TV02S-03</x:v>
      </x:c>
      <x:c r="C66" s="2" t="str">
        <x:v>CSAP J11</x:v>
      </x:c>
      <x:c r="D66" s="2" t="n">
        <x:v>9</x:v>
      </x:c>
      <x:c r="E66" s="2" t="n">
        <x:v>50</x:v>
      </x:c>
      <x:c r="F66" s="2" t="n">
        <x:v>-18</x:v>
      </x:c>
      <x:c r="G66" s="2" t="n">
        <x:v>0</x:v>
      </x:c>
      <x:c r="H66" s="2" t="n">
        <x:v>0</x:v>
      </x:c>
      <x:c r="I66" s="2" t="n">
        <x:v>1</x:v>
      </x:c>
      <x:c r="J66" s="2" t="n">
        <x:v>8</x:v>
      </x:c>
      <x:c r="K66" s="2" t="n">
        <x:v>12</x:v>
      </x:c>
      <x:c r="L66" s="2" t="n">
        <x:v>858</x:v>
      </x:c>
      <x:c r="M66" s="2" t="n">
        <x:v>50</x:v>
      </x:c>
      <x:c r="N66" s="2" t="n">
        <x:v>159</x:v>
      </x:c>
      <x:c r="O66" s="2" t="str">
        <x:v>R12 J01-J26 / 8x30, 12+22</x:v>
      </x:c>
    </x:row>
    <x:row r="67" ht="34" customHeight="1">
      <x:c r="A67" s="2" t="str">
        <x:v>H0062</x:v>
      </x:c>
      <x:c r="B67" s="2" t="str">
        <x:v>KI12-TV02T2-01</x:v>
      </x:c>
      <x:c r="C67" s="2" t="str">
        <x:v>CSAP J11</x:v>
      </x:c>
      <x:c r="D67" s="2" t="n">
        <x:v>0</x:v>
      </x:c>
      <x:c r="E67" s="2" t="n">
        <x:v>50</x:v>
      </x:c>
      <x:c r="F67" s="2" t="n">
        <x:v>-9</x:v>
      </x:c>
      <x:c r="G67" s="2" t="n">
        <x:v>1</x:v>
      </x:c>
      <x:c r="H67" s="2" t="n">
        <x:v>0</x:v>
      </x:c>
      <x:c r="I67" s="2" t="n">
        <x:v>0</x:v>
      </x:c>
      <x:c r="J67" s="2" t="n">
        <x:v>8</x:v>
      </x:c>
      <x:c r="K67" s="2" t="n">
        <x:v>22</x:v>
      </x:c>
      <x:c r="L67" s="2" t="n">
        <x:v>858</x:v>
      </x:c>
      <x:c r="M67" s="2" t="n">
        <x:v>50</x:v>
      </x:c>
      <x:c r="N67" s="2" t="n">
        <x:v>159</x:v>
      </x:c>
      <x:c r="O67" s="2" t="str">
        <x:v>R12 J01-J26 / 8x30, 12+22</x:v>
      </x:c>
    </x:row>
    <x:row r="68" ht="34" customHeight="1">
      <x:c r="A68" s="2" t="str">
        <x:v>H0063</x:v>
      </x:c>
      <x:c r="B68" s="2" t="str">
        <x:v>KI12-TV02S-03</x:v>
      </x:c>
      <x:c r="C68" s="2" t="str">
        <x:v>CSAP J11</x:v>
      </x:c>
      <x:c r="D68" s="2" t="n">
        <x:v>9</x:v>
      </x:c>
      <x:c r="E68" s="2" t="n">
        <x:v>191</x:v>
      </x:c>
      <x:c r="F68" s="2" t="n">
        <x:v>-18</x:v>
      </x:c>
      <x:c r="G68" s="2" t="n">
        <x:v>0</x:v>
      </x:c>
      <x:c r="H68" s="2" t="n">
        <x:v>0</x:v>
      </x:c>
      <x:c r="I68" s="2" t="n">
        <x:v>1</x:v>
      </x:c>
      <x:c r="J68" s="2" t="n">
        <x:v>8</x:v>
      </x:c>
      <x:c r="K68" s="2" t="n">
        <x:v>12</x:v>
      </x:c>
      <x:c r="L68" s="2" t="n">
        <x:v>858</x:v>
      </x:c>
      <x:c r="M68" s="2" t="n">
        <x:v>191</x:v>
      </x:c>
      <x:c r="N68" s="2" t="n">
        <x:v>159</x:v>
      </x:c>
      <x:c r="O68" s="2" t="str">
        <x:v>R12 J01-J26 / 8x30, 12+22</x:v>
      </x:c>
    </x:row>
    <x:row r="69" ht="34" customHeight="1">
      <x:c r="A69" s="2" t="str">
        <x:v>H0064</x:v>
      </x:c>
      <x:c r="B69" s="2" t="str">
        <x:v>KI12-TV02T2-01</x:v>
      </x:c>
      <x:c r="C69" s="2" t="str">
        <x:v>CSAP J11</x:v>
      </x:c>
      <x:c r="D69" s="2" t="n">
        <x:v>0</x:v>
      </x:c>
      <x:c r="E69" s="2" t="n">
        <x:v>191</x:v>
      </x:c>
      <x:c r="F69" s="2" t="n">
        <x:v>-9</x:v>
      </x:c>
      <x:c r="G69" s="2" t="n">
        <x:v>1</x:v>
      </x:c>
      <x:c r="H69" s="2" t="n">
        <x:v>0</x:v>
      </x:c>
      <x:c r="I69" s="2" t="n">
        <x:v>0</x:v>
      </x:c>
      <x:c r="J69" s="2" t="n">
        <x:v>8</x:v>
      </x:c>
      <x:c r="K69" s="2" t="n">
        <x:v>22</x:v>
      </x:c>
      <x:c r="L69" s="2" t="n">
        <x:v>858</x:v>
      </x:c>
      <x:c r="M69" s="2" t="n">
        <x:v>191</x:v>
      </x:c>
      <x:c r="N69" s="2" t="n">
        <x:v>159</x:v>
      </x:c>
      <x:c r="O69" s="2" t="str">
        <x:v>R12 J01-J26 / 8x30, 12+22</x:v>
      </x:c>
    </x:row>
    <x:row r="70" ht="34" customHeight="1">
      <x:c r="A70" s="2" t="str">
        <x:v>H0065</x:v>
      </x:c>
      <x:c r="B70" s="2" t="str">
        <x:v>KI12-TV02S-03</x:v>
      </x:c>
      <x:c r="C70" s="2" t="str">
        <x:v>CSAP J11</x:v>
      </x:c>
      <x:c r="D70" s="2" t="n">
        <x:v>9</x:v>
      </x:c>
      <x:c r="E70" s="2" t="n">
        <x:v>332</x:v>
      </x:c>
      <x:c r="F70" s="2" t="n">
        <x:v>-18</x:v>
      </x:c>
      <x:c r="G70" s="2" t="n">
        <x:v>0</x:v>
      </x:c>
      <x:c r="H70" s="2" t="n">
        <x:v>0</x:v>
      </x:c>
      <x:c r="I70" s="2" t="n">
        <x:v>1</x:v>
      </x:c>
      <x:c r="J70" s="2" t="n">
        <x:v>8</x:v>
      </x:c>
      <x:c r="K70" s="2" t="n">
        <x:v>12</x:v>
      </x:c>
      <x:c r="L70" s="2" t="n">
        <x:v>858</x:v>
      </x:c>
      <x:c r="M70" s="2" t="n">
        <x:v>332</x:v>
      </x:c>
      <x:c r="N70" s="2" t="n">
        <x:v>159</x:v>
      </x:c>
      <x:c r="O70" s="2" t="str">
        <x:v>R12 J01-J26 / 8x30, 12+22</x:v>
      </x:c>
    </x:row>
    <x:row r="71" ht="34" customHeight="1">
      <x:c r="A71" s="2" t="str">
        <x:v>H0066</x:v>
      </x:c>
      <x:c r="B71" s="2" t="str">
        <x:v>KI12-TV02T2-01</x:v>
      </x:c>
      <x:c r="C71" s="2" t="str">
        <x:v>CSAP J11</x:v>
      </x:c>
      <x:c r="D71" s="2" t="n">
        <x:v>0</x:v>
      </x:c>
      <x:c r="E71" s="2" t="n">
        <x:v>332</x:v>
      </x:c>
      <x:c r="F71" s="2" t="n">
        <x:v>-9</x:v>
      </x:c>
      <x:c r="G71" s="2" t="n">
        <x:v>1</x:v>
      </x:c>
      <x:c r="H71" s="2" t="n">
        <x:v>0</x:v>
      </x:c>
      <x:c r="I71" s="2" t="n">
        <x:v>0</x:v>
      </x:c>
      <x:c r="J71" s="2" t="n">
        <x:v>8</x:v>
      </x:c>
      <x:c r="K71" s="2" t="n">
        <x:v>22</x:v>
      </x:c>
      <x:c r="L71" s="2" t="n">
        <x:v>858</x:v>
      </x:c>
      <x:c r="M71" s="2" t="n">
        <x:v>332</x:v>
      </x:c>
      <x:c r="N71" s="2" t="n">
        <x:v>159</x:v>
      </x:c>
      <x:c r="O71" s="2" t="str">
        <x:v>R12 J01-J26 / 8x30, 12+22</x:v>
      </x:c>
    </x:row>
    <x:row r="72" ht="34" customHeight="1">
      <x:c r="A72" s="2" t="str">
        <x:v>H0067</x:v>
      </x:c>
      <x:c r="B72" s="2" t="str">
        <x:v>KI12-TV02CAP-01</x:v>
      </x:c>
      <x:c r="C72" s="2" t="str">
        <x:v>CSAP J12</x:v>
      </x:c>
      <x:c r="D72" s="2" t="n">
        <x:v>849</x:v>
      </x:c>
      <x:c r="E72" s="2" t="n">
        <x:v>50</x:v>
      </x:c>
      <x:c r="F72" s="2" t="n">
        <x:v>-18</x:v>
      </x:c>
      <x:c r="G72" s="2" t="n">
        <x:v>0</x:v>
      </x:c>
      <x:c r="H72" s="2" t="n">
        <x:v>0</x:v>
      </x:c>
      <x:c r="I72" s="2" t="n">
        <x:v>1</x:v>
      </x:c>
      <x:c r="J72" s="2" t="n">
        <x:v>8</x:v>
      </x:c>
      <x:c r="K72" s="2" t="n">
        <x:v>12</x:v>
      </x:c>
      <x:c r="L72" s="2" t="n">
        <x:v>849</x:v>
      </x:c>
      <x:c r="M72" s="2" t="n">
        <x:v>50</x:v>
      </x:c>
      <x:c r="N72" s="2" t="n">
        <x:v>532</x:v>
      </x:c>
      <x:c r="O72" s="2" t="str">
        <x:v>R12 J01-J26 / 8x30, 12+22</x:v>
      </x:c>
    </x:row>
    <x:row r="73" ht="34" customHeight="1">
      <x:c r="A73" s="2" t="str">
        <x:v>H0068</x:v>
      </x:c>
      <x:c r="B73" s="2" t="str">
        <x:v>KI12-TV02S-03</x:v>
      </x:c>
      <x:c r="C73" s="2" t="str">
        <x:v>CSAP J12</x:v>
      </x:c>
      <x:c r="D73" s="2" t="n">
        <x:v>382</x:v>
      </x:c>
      <x:c r="E73" s="2" t="n">
        <x:v>50</x:v>
      </x:c>
      <x:c r="F73" s="2" t="n">
        <x:v>-9</x:v>
      </x:c>
      <x:c r="G73" s="2" t="n">
        <x:v>-1</x:v>
      </x:c>
      <x:c r="H73" s="2" t="n">
        <x:v>0</x:v>
      </x:c>
      <x:c r="I73" s="2" t="n">
        <x:v>0</x:v>
      </x:c>
      <x:c r="J73" s="2" t="n">
        <x:v>8</x:v>
      </x:c>
      <x:c r="K73" s="2" t="n">
        <x:v>22</x:v>
      </x:c>
      <x:c r="L73" s="2" t="n">
        <x:v>849</x:v>
      </x:c>
      <x:c r="M73" s="2" t="n">
        <x:v>50</x:v>
      </x:c>
      <x:c r="N73" s="2" t="n">
        <x:v>532</x:v>
      </x:c>
      <x:c r="O73" s="2" t="str">
        <x:v>R12 J01-J26 / 8x30, 12+22</x:v>
      </x:c>
    </x:row>
    <x:row r="74" ht="34" customHeight="1">
      <x:c r="A74" s="2" t="str">
        <x:v>H0069</x:v>
      </x:c>
      <x:c r="B74" s="2" t="str">
        <x:v>KI12-TV02CAP-01</x:v>
      </x:c>
      <x:c r="C74" s="2" t="str">
        <x:v>CSAP J12</x:v>
      </x:c>
      <x:c r="D74" s="2" t="n">
        <x:v>849</x:v>
      </x:c>
      <x:c r="E74" s="2" t="n">
        <x:v>191</x:v>
      </x:c>
      <x:c r="F74" s="2" t="n">
        <x:v>-18</x:v>
      </x:c>
      <x:c r="G74" s="2" t="n">
        <x:v>0</x:v>
      </x:c>
      <x:c r="H74" s="2" t="n">
        <x:v>0</x:v>
      </x:c>
      <x:c r="I74" s="2" t="n">
        <x:v>1</x:v>
      </x:c>
      <x:c r="J74" s="2" t="n">
        <x:v>8</x:v>
      </x:c>
      <x:c r="K74" s="2" t="n">
        <x:v>12</x:v>
      </x:c>
      <x:c r="L74" s="2" t="n">
        <x:v>849</x:v>
      </x:c>
      <x:c r="M74" s="2" t="n">
        <x:v>191</x:v>
      </x:c>
      <x:c r="N74" s="2" t="n">
        <x:v>532</x:v>
      </x:c>
      <x:c r="O74" s="2" t="str">
        <x:v>R12 J01-J26 / 8x30, 12+22</x:v>
      </x:c>
    </x:row>
    <x:row r="75" ht="34" customHeight="1">
      <x:c r="A75" s="2" t="str">
        <x:v>H0070</x:v>
      </x:c>
      <x:c r="B75" s="2" t="str">
        <x:v>KI12-TV02S-03</x:v>
      </x:c>
      <x:c r="C75" s="2" t="str">
        <x:v>CSAP J12</x:v>
      </x:c>
      <x:c r="D75" s="2" t="n">
        <x:v>382</x:v>
      </x:c>
      <x:c r="E75" s="2" t="n">
        <x:v>191</x:v>
      </x:c>
      <x:c r="F75" s="2" t="n">
        <x:v>-9</x:v>
      </x:c>
      <x:c r="G75" s="2" t="n">
        <x:v>-1</x:v>
      </x:c>
      <x:c r="H75" s="2" t="n">
        <x:v>0</x:v>
      </x:c>
      <x:c r="I75" s="2" t="n">
        <x:v>0</x:v>
      </x:c>
      <x:c r="J75" s="2" t="n">
        <x:v>8</x:v>
      </x:c>
      <x:c r="K75" s="2" t="n">
        <x:v>22</x:v>
      </x:c>
      <x:c r="L75" s="2" t="n">
        <x:v>849</x:v>
      </x:c>
      <x:c r="M75" s="2" t="n">
        <x:v>191</x:v>
      </x:c>
      <x:c r="N75" s="2" t="n">
        <x:v>532</x:v>
      </x:c>
      <x:c r="O75" s="2" t="str">
        <x:v>R12 J01-J26 / 8x30, 12+22</x:v>
      </x:c>
    </x:row>
    <x:row r="76" ht="34" customHeight="1">
      <x:c r="A76" s="2" t="str">
        <x:v>H0071</x:v>
      </x:c>
      <x:c r="B76" s="2" t="str">
        <x:v>KI12-TV02CAP-01</x:v>
      </x:c>
      <x:c r="C76" s="2" t="str">
        <x:v>CSAP J12</x:v>
      </x:c>
      <x:c r="D76" s="2" t="n">
        <x:v>849</x:v>
      </x:c>
      <x:c r="E76" s="2" t="n">
        <x:v>332</x:v>
      </x:c>
      <x:c r="F76" s="2" t="n">
        <x:v>-18</x:v>
      </x:c>
      <x:c r="G76" s="2" t="n">
        <x:v>0</x:v>
      </x:c>
      <x:c r="H76" s="2" t="n">
        <x:v>0</x:v>
      </x:c>
      <x:c r="I76" s="2" t="n">
        <x:v>1</x:v>
      </x:c>
      <x:c r="J76" s="2" t="n">
        <x:v>8</x:v>
      </x:c>
      <x:c r="K76" s="2" t="n">
        <x:v>12</x:v>
      </x:c>
      <x:c r="L76" s="2" t="n">
        <x:v>849</x:v>
      </x:c>
      <x:c r="M76" s="2" t="n">
        <x:v>332</x:v>
      </x:c>
      <x:c r="N76" s="2" t="n">
        <x:v>532</x:v>
      </x:c>
      <x:c r="O76" s="2" t="str">
        <x:v>R12 J01-J26 / 8x30, 12+22</x:v>
      </x:c>
    </x:row>
    <x:row r="77" ht="34" customHeight="1">
      <x:c r="A77" s="2" t="str">
        <x:v>H0072</x:v>
      </x:c>
      <x:c r="B77" s="2" t="str">
        <x:v>KI12-TV02S-03</x:v>
      </x:c>
      <x:c r="C77" s="2" t="str">
        <x:v>CSAP J12</x:v>
      </x:c>
      <x:c r="D77" s="2" t="n">
        <x:v>382</x:v>
      </x:c>
      <x:c r="E77" s="2" t="n">
        <x:v>332</x:v>
      </x:c>
      <x:c r="F77" s="2" t="n">
        <x:v>-9</x:v>
      </x:c>
      <x:c r="G77" s="2" t="n">
        <x:v>-1</x:v>
      </x:c>
      <x:c r="H77" s="2" t="n">
        <x:v>0</x:v>
      </x:c>
      <x:c r="I77" s="2" t="n">
        <x:v>0</x:v>
      </x:c>
      <x:c r="J77" s="2" t="n">
        <x:v>8</x:v>
      </x:c>
      <x:c r="K77" s="2" t="n">
        <x:v>22</x:v>
      </x:c>
      <x:c r="L77" s="2" t="n">
        <x:v>849</x:v>
      </x:c>
      <x:c r="M77" s="2" t="n">
        <x:v>332</x:v>
      </x:c>
      <x:c r="N77" s="2" t="n">
        <x:v>532</x:v>
      </x:c>
      <x:c r="O77" s="2" t="str">
        <x:v>R12 J01-J26 / 8x30, 12+22</x:v>
      </x:c>
    </x:row>
    <x:row r="78" ht="34" customHeight="1">
      <x:c r="A78" s="2" t="str">
        <x:v>H0073</x:v>
      </x:c>
      <x:c r="B78" s="2" t="str">
        <x:v>KI12-TV02S-04</x:v>
      </x:c>
      <x:c r="C78" s="2" t="str">
        <x:v>CSAP J13</x:v>
      </x:c>
      <x:c r="D78" s="2" t="n">
        <x:v>9</x:v>
      </x:c>
      <x:c r="E78" s="2" t="n">
        <x:v>50</x:v>
      </x:c>
      <x:c r="F78" s="2" t="n">
        <x:v>0</x:v>
      </x:c>
      <x:c r="G78" s="2" t="n">
        <x:v>0</x:v>
      </x:c>
      <x:c r="H78" s="2" t="n">
        <x:v>0</x:v>
      </x:c>
      <x:c r="I78" s="2" t="n">
        <x:v>-1</x:v>
      </x:c>
      <x:c r="J78" s="2" t="n">
        <x:v>8</x:v>
      </x:c>
      <x:c r="K78" s="2" t="n">
        <x:v>12</x:v>
      </x:c>
      <x:c r="L78" s="2" t="n">
        <x:v>1512</x:v>
      </x:c>
      <x:c r="M78" s="2" t="n">
        <x:v>50</x:v>
      </x:c>
      <x:c r="N78" s="2" t="n">
        <x:v>159</x:v>
      </x:c>
      <x:c r="O78" s="2" t="str">
        <x:v>R12 J01-J26 / 8x30, 12+22</x:v>
      </x:c>
    </x:row>
    <x:row r="79" ht="34" customHeight="1">
      <x:c r="A79" s="2" t="str">
        <x:v>H0074</x:v>
      </x:c>
      <x:c r="B79" s="2" t="str">
        <x:v>KI12-TV02T2-01</x:v>
      </x:c>
      <x:c r="C79" s="2" t="str">
        <x:v>CSAP J13</x:v>
      </x:c>
      <x:c r="D79" s="2" t="n">
        <x:v>654</x:v>
      </x:c>
      <x:c r="E79" s="2" t="n">
        <x:v>50</x:v>
      </x:c>
      <x:c r="F79" s="2" t="n">
        <x:v>-9</x:v>
      </x:c>
      <x:c r="G79" s="2" t="n">
        <x:v>-1</x:v>
      </x:c>
      <x:c r="H79" s="2" t="n">
        <x:v>0</x:v>
      </x:c>
      <x:c r="I79" s="2" t="n">
        <x:v>0</x:v>
      </x:c>
      <x:c r="J79" s="2" t="n">
        <x:v>8</x:v>
      </x:c>
      <x:c r="K79" s="2" t="n">
        <x:v>22</x:v>
      </x:c>
      <x:c r="L79" s="2" t="n">
        <x:v>1512</x:v>
      </x:c>
      <x:c r="M79" s="2" t="n">
        <x:v>50</x:v>
      </x:c>
      <x:c r="N79" s="2" t="n">
        <x:v>159</x:v>
      </x:c>
      <x:c r="O79" s="2" t="str">
        <x:v>R12 J01-J26 / 8x30, 12+22</x:v>
      </x:c>
    </x:row>
    <x:row r="80" ht="34" customHeight="1">
      <x:c r="A80" s="2" t="str">
        <x:v>H0075</x:v>
      </x:c>
      <x:c r="B80" s="2" t="str">
        <x:v>KI12-TV02S-04</x:v>
      </x:c>
      <x:c r="C80" s="2" t="str">
        <x:v>CSAP J13</x:v>
      </x:c>
      <x:c r="D80" s="2" t="n">
        <x:v>9</x:v>
      </x:c>
      <x:c r="E80" s="2" t="n">
        <x:v>191</x:v>
      </x:c>
      <x:c r="F80" s="2" t="n">
        <x:v>0</x:v>
      </x:c>
      <x:c r="G80" s="2" t="n">
        <x:v>0</x:v>
      </x:c>
      <x:c r="H80" s="2" t="n">
        <x:v>0</x:v>
      </x:c>
      <x:c r="I80" s="2" t="n">
        <x:v>-1</x:v>
      </x:c>
      <x:c r="J80" s="2" t="n">
        <x:v>8</x:v>
      </x:c>
      <x:c r="K80" s="2" t="n">
        <x:v>12</x:v>
      </x:c>
      <x:c r="L80" s="2" t="n">
        <x:v>1512</x:v>
      </x:c>
      <x:c r="M80" s="2" t="n">
        <x:v>191</x:v>
      </x:c>
      <x:c r="N80" s="2" t="n">
        <x:v>159</x:v>
      </x:c>
      <x:c r="O80" s="2" t="str">
        <x:v>R12 J01-J26 / 8x30, 12+22</x:v>
      </x:c>
    </x:row>
    <x:row r="81" ht="34" customHeight="1">
      <x:c r="A81" s="2" t="str">
        <x:v>H0076</x:v>
      </x:c>
      <x:c r="B81" s="2" t="str">
        <x:v>KI12-TV02T2-01</x:v>
      </x:c>
      <x:c r="C81" s="2" t="str">
        <x:v>CSAP J13</x:v>
      </x:c>
      <x:c r="D81" s="2" t="n">
        <x:v>654</x:v>
      </x:c>
      <x:c r="E81" s="2" t="n">
        <x:v>191</x:v>
      </x:c>
      <x:c r="F81" s="2" t="n">
        <x:v>-9</x:v>
      </x:c>
      <x:c r="G81" s="2" t="n">
        <x:v>-1</x:v>
      </x:c>
      <x:c r="H81" s="2" t="n">
        <x:v>0</x:v>
      </x:c>
      <x:c r="I81" s="2" t="n">
        <x:v>0</x:v>
      </x:c>
      <x:c r="J81" s="2" t="n">
        <x:v>8</x:v>
      </x:c>
      <x:c r="K81" s="2" t="n">
        <x:v>22</x:v>
      </x:c>
      <x:c r="L81" s="2" t="n">
        <x:v>1512</x:v>
      </x:c>
      <x:c r="M81" s="2" t="n">
        <x:v>191</x:v>
      </x:c>
      <x:c r="N81" s="2" t="n">
        <x:v>159</x:v>
      </x:c>
      <x:c r="O81" s="2" t="str">
        <x:v>R12 J01-J26 / 8x30, 12+22</x:v>
      </x:c>
    </x:row>
    <x:row r="82" ht="34" customHeight="1">
      <x:c r="A82" s="2" t="str">
        <x:v>H0077</x:v>
      </x:c>
      <x:c r="B82" s="2" t="str">
        <x:v>KI12-TV02S-04</x:v>
      </x:c>
      <x:c r="C82" s="2" t="str">
        <x:v>CSAP J13</x:v>
      </x:c>
      <x:c r="D82" s="2" t="n">
        <x:v>9</x:v>
      </x:c>
      <x:c r="E82" s="2" t="n">
        <x:v>332</x:v>
      </x:c>
      <x:c r="F82" s="2" t="n">
        <x:v>0</x:v>
      </x:c>
      <x:c r="G82" s="2" t="n">
        <x:v>0</x:v>
      </x:c>
      <x:c r="H82" s="2" t="n">
        <x:v>0</x:v>
      </x:c>
      <x:c r="I82" s="2" t="n">
        <x:v>-1</x:v>
      </x:c>
      <x:c r="J82" s="2" t="n">
        <x:v>8</x:v>
      </x:c>
      <x:c r="K82" s="2" t="n">
        <x:v>12</x:v>
      </x:c>
      <x:c r="L82" s="2" t="n">
        <x:v>1512</x:v>
      </x:c>
      <x:c r="M82" s="2" t="n">
        <x:v>332</x:v>
      </x:c>
      <x:c r="N82" s="2" t="n">
        <x:v>159</x:v>
      </x:c>
      <x:c r="O82" s="2" t="str">
        <x:v>R12 J01-J26 / 8x30, 12+22</x:v>
      </x:c>
    </x:row>
    <x:row r="83" ht="34" customHeight="1">
      <x:c r="A83" s="2" t="str">
        <x:v>H0078</x:v>
      </x:c>
      <x:c r="B83" s="2" t="str">
        <x:v>KI12-TV02T2-01</x:v>
      </x:c>
      <x:c r="C83" s="2" t="str">
        <x:v>CSAP J13</x:v>
      </x:c>
      <x:c r="D83" s="2" t="n">
        <x:v>654</x:v>
      </x:c>
      <x:c r="E83" s="2" t="n">
        <x:v>332</x:v>
      </x:c>
      <x:c r="F83" s="2" t="n">
        <x:v>-9</x:v>
      </x:c>
      <x:c r="G83" s="2" t="n">
        <x:v>-1</x:v>
      </x:c>
      <x:c r="H83" s="2" t="n">
        <x:v>0</x:v>
      </x:c>
      <x:c r="I83" s="2" t="n">
        <x:v>0</x:v>
      </x:c>
      <x:c r="J83" s="2" t="n">
        <x:v>8</x:v>
      </x:c>
      <x:c r="K83" s="2" t="n">
        <x:v>22</x:v>
      </x:c>
      <x:c r="L83" s="2" t="n">
        <x:v>1512</x:v>
      </x:c>
      <x:c r="M83" s="2" t="n">
        <x:v>332</x:v>
      </x:c>
      <x:c r="N83" s="2" t="n">
        <x:v>159</x:v>
      </x:c>
      <x:c r="O83" s="2" t="str">
        <x:v>R12 J01-J26 / 8x30, 12+22</x:v>
      </x:c>
    </x:row>
    <x:row r="84" ht="34" customHeight="1">
      <x:c r="A84" s="2" t="str">
        <x:v>H0079</x:v>
      </x:c>
      <x:c r="B84" s="2" t="str">
        <x:v>KI12-TV02CAP-01</x:v>
      </x:c>
      <x:c r="C84" s="2" t="str">
        <x:v>CSAP J14</x:v>
      </x:c>
      <x:c r="D84" s="2" t="n">
        <x:v>1521</x:v>
      </x:c>
      <x:c r="E84" s="2" t="n">
        <x:v>50</x:v>
      </x:c>
      <x:c r="F84" s="2" t="n">
        <x:v>-18</x:v>
      </x:c>
      <x:c r="G84" s="2" t="n">
        <x:v>0</x:v>
      </x:c>
      <x:c r="H84" s="2" t="n">
        <x:v>0</x:v>
      </x:c>
      <x:c r="I84" s="2" t="n">
        <x:v>1</x:v>
      </x:c>
      <x:c r="J84" s="2" t="n">
        <x:v>8</x:v>
      </x:c>
      <x:c r="K84" s="2" t="n">
        <x:v>12</x:v>
      </x:c>
      <x:c r="L84" s="2" t="n">
        <x:v>1521</x:v>
      </x:c>
      <x:c r="M84" s="2" t="n">
        <x:v>50</x:v>
      </x:c>
      <x:c r="N84" s="2" t="n">
        <x:v>532</x:v>
      </x:c>
      <x:c r="O84" s="2" t="str">
        <x:v>R12 J01-J26 / 8x30, 12+22</x:v>
      </x:c>
    </x:row>
    <x:row r="85" ht="34" customHeight="1">
      <x:c r="A85" s="2" t="str">
        <x:v>H0080</x:v>
      </x:c>
      <x:c r="B85" s="2" t="str">
        <x:v>KI12-TV02S-04</x:v>
      </x:c>
      <x:c r="C85" s="2" t="str">
        <x:v>CSAP J14</x:v>
      </x:c>
      <x:c r="D85" s="2" t="n">
        <x:v>382</x:v>
      </x:c>
      <x:c r="E85" s="2" t="n">
        <x:v>50</x:v>
      </x:c>
      <x:c r="F85" s="2" t="n">
        <x:v>-9</x:v>
      </x:c>
      <x:c r="G85" s="2" t="n">
        <x:v>-1</x:v>
      </x:c>
      <x:c r="H85" s="2" t="n">
        <x:v>0</x:v>
      </x:c>
      <x:c r="I85" s="2" t="n">
        <x:v>0</x:v>
      </x:c>
      <x:c r="J85" s="2" t="n">
        <x:v>8</x:v>
      </x:c>
      <x:c r="K85" s="2" t="n">
        <x:v>22</x:v>
      </x:c>
      <x:c r="L85" s="2" t="n">
        <x:v>1521</x:v>
      </x:c>
      <x:c r="M85" s="2" t="n">
        <x:v>50</x:v>
      </x:c>
      <x:c r="N85" s="2" t="n">
        <x:v>532</x:v>
      </x:c>
      <x:c r="O85" s="2" t="str">
        <x:v>R12 J01-J26 / 8x30, 12+22</x:v>
      </x:c>
    </x:row>
    <x:row r="86" ht="34" customHeight="1">
      <x:c r="A86" s="2" t="str">
        <x:v>H0081</x:v>
      </x:c>
      <x:c r="B86" s="2" t="str">
        <x:v>KI12-TV02CAP-01</x:v>
      </x:c>
      <x:c r="C86" s="2" t="str">
        <x:v>CSAP J14</x:v>
      </x:c>
      <x:c r="D86" s="2" t="n">
        <x:v>1521</x:v>
      </x:c>
      <x:c r="E86" s="2" t="n">
        <x:v>191</x:v>
      </x:c>
      <x:c r="F86" s="2" t="n">
        <x:v>-18</x:v>
      </x:c>
      <x:c r="G86" s="2" t="n">
        <x:v>0</x:v>
      </x:c>
      <x:c r="H86" s="2" t="n">
        <x:v>0</x:v>
      </x:c>
      <x:c r="I86" s="2" t="n">
        <x:v>1</x:v>
      </x:c>
      <x:c r="J86" s="2" t="n">
        <x:v>8</x:v>
      </x:c>
      <x:c r="K86" s="2" t="n">
        <x:v>12</x:v>
      </x:c>
      <x:c r="L86" s="2" t="n">
        <x:v>1521</x:v>
      </x:c>
      <x:c r="M86" s="2" t="n">
        <x:v>191</x:v>
      </x:c>
      <x:c r="N86" s="2" t="n">
        <x:v>532</x:v>
      </x:c>
      <x:c r="O86" s="2" t="str">
        <x:v>R12 J01-J26 / 8x30, 12+22</x:v>
      </x:c>
    </x:row>
    <x:row r="87" ht="34" customHeight="1">
      <x:c r="A87" s="2" t="str">
        <x:v>H0082</x:v>
      </x:c>
      <x:c r="B87" s="2" t="str">
        <x:v>KI12-TV02S-04</x:v>
      </x:c>
      <x:c r="C87" s="2" t="str">
        <x:v>CSAP J14</x:v>
      </x:c>
      <x:c r="D87" s="2" t="n">
        <x:v>382</x:v>
      </x:c>
      <x:c r="E87" s="2" t="n">
        <x:v>191</x:v>
      </x:c>
      <x:c r="F87" s="2" t="n">
        <x:v>-9</x:v>
      </x:c>
      <x:c r="G87" s="2" t="n">
        <x:v>-1</x:v>
      </x:c>
      <x:c r="H87" s="2" t="n">
        <x:v>0</x:v>
      </x:c>
      <x:c r="I87" s="2" t="n">
        <x:v>0</x:v>
      </x:c>
      <x:c r="J87" s="2" t="n">
        <x:v>8</x:v>
      </x:c>
      <x:c r="K87" s="2" t="n">
        <x:v>22</x:v>
      </x:c>
      <x:c r="L87" s="2" t="n">
        <x:v>1521</x:v>
      </x:c>
      <x:c r="M87" s="2" t="n">
        <x:v>191</x:v>
      </x:c>
      <x:c r="N87" s="2" t="n">
        <x:v>532</x:v>
      </x:c>
      <x:c r="O87" s="2" t="str">
        <x:v>R12 J01-J26 / 8x30, 12+22</x:v>
      </x:c>
    </x:row>
    <x:row r="88" ht="34" customHeight="1">
      <x:c r="A88" s="2" t="str">
        <x:v>H0083</x:v>
      </x:c>
      <x:c r="B88" s="2" t="str">
        <x:v>KI12-TV02CAP-01</x:v>
      </x:c>
      <x:c r="C88" s="2" t="str">
        <x:v>CSAP J14</x:v>
      </x:c>
      <x:c r="D88" s="2" t="n">
        <x:v>1521</x:v>
      </x:c>
      <x:c r="E88" s="2" t="n">
        <x:v>332</x:v>
      </x:c>
      <x:c r="F88" s="2" t="n">
        <x:v>-18</x:v>
      </x:c>
      <x:c r="G88" s="2" t="n">
        <x:v>0</x:v>
      </x:c>
      <x:c r="H88" s="2" t="n">
        <x:v>0</x:v>
      </x:c>
      <x:c r="I88" s="2" t="n">
        <x:v>1</x:v>
      </x:c>
      <x:c r="J88" s="2" t="n">
        <x:v>8</x:v>
      </x:c>
      <x:c r="K88" s="2" t="n">
        <x:v>12</x:v>
      </x:c>
      <x:c r="L88" s="2" t="n">
        <x:v>1521</x:v>
      </x:c>
      <x:c r="M88" s="2" t="n">
        <x:v>332</x:v>
      </x:c>
      <x:c r="N88" s="2" t="n">
        <x:v>532</x:v>
      </x:c>
      <x:c r="O88" s="2" t="str">
        <x:v>R12 J01-J26 / 8x30, 12+22</x:v>
      </x:c>
    </x:row>
    <x:row r="89" ht="34" customHeight="1">
      <x:c r="A89" s="2" t="str">
        <x:v>H0084</x:v>
      </x:c>
      <x:c r="B89" s="2" t="str">
        <x:v>KI12-TV02S-04</x:v>
      </x:c>
      <x:c r="C89" s="2" t="str">
        <x:v>CSAP J14</x:v>
      </x:c>
      <x:c r="D89" s="2" t="n">
        <x:v>382</x:v>
      </x:c>
      <x:c r="E89" s="2" t="n">
        <x:v>332</x:v>
      </x:c>
      <x:c r="F89" s="2" t="n">
        <x:v>-9</x:v>
      </x:c>
      <x:c r="G89" s="2" t="n">
        <x:v>-1</x:v>
      </x:c>
      <x:c r="H89" s="2" t="n">
        <x:v>0</x:v>
      </x:c>
      <x:c r="I89" s="2" t="n">
        <x:v>0</x:v>
      </x:c>
      <x:c r="J89" s="2" t="n">
        <x:v>8</x:v>
      </x:c>
      <x:c r="K89" s="2" t="n">
        <x:v>22</x:v>
      </x:c>
      <x:c r="L89" s="2" t="n">
        <x:v>1521</x:v>
      </x:c>
      <x:c r="M89" s="2" t="n">
        <x:v>332</x:v>
      </x:c>
      <x:c r="N89" s="2" t="n">
        <x:v>532</x:v>
      </x:c>
      <x:c r="O89" s="2" t="str">
        <x:v>R12 J01-J26 / 8x30, 12+22</x:v>
      </x:c>
    </x:row>
    <x:row r="90" ht="34" customHeight="1">
      <x:c r="A90" s="2" t="str">
        <x:v>H0085</x:v>
      </x:c>
      <x:c r="B90" s="2" t="str">
        <x:v>KI12-TV02S-05</x:v>
      </x:c>
      <x:c r="C90" s="2" t="str">
        <x:v>CSAP J15</x:v>
      </x:c>
      <x:c r="D90" s="2" t="n">
        <x:v>9</x:v>
      </x:c>
      <x:c r="E90" s="2" t="n">
        <x:v>50</x:v>
      </x:c>
      <x:c r="F90" s="2" t="n">
        <x:v>-18</x:v>
      </x:c>
      <x:c r="G90" s="2" t="n">
        <x:v>0</x:v>
      </x:c>
      <x:c r="H90" s="2" t="n">
        <x:v>0</x:v>
      </x:c>
      <x:c r="I90" s="2" t="n">
        <x:v>1</x:v>
      </x:c>
      <x:c r="J90" s="2" t="n">
        <x:v>8</x:v>
      </x:c>
      <x:c r="K90" s="2" t="n">
        <x:v>12</x:v>
      </x:c>
      <x:c r="L90" s="2" t="n">
        <x:v>1548</x:v>
      </x:c>
      <x:c r="M90" s="2" t="n">
        <x:v>50</x:v>
      </x:c>
      <x:c r="N90" s="2" t="n">
        <x:v>159</x:v>
      </x:c>
      <x:c r="O90" s="2" t="str">
        <x:v>R12 J01-J26 / 8x30, 12+22</x:v>
      </x:c>
    </x:row>
    <x:row r="91" ht="34" customHeight="1">
      <x:c r="A91" s="2" t="str">
        <x:v>H0086</x:v>
      </x:c>
      <x:c r="B91" s="2" t="str">
        <x:v>KI12-TV02T2-02</x:v>
      </x:c>
      <x:c r="C91" s="2" t="str">
        <x:v>CSAP J15</x:v>
      </x:c>
      <x:c r="D91" s="2" t="n">
        <x:v>0</x:v>
      </x:c>
      <x:c r="E91" s="2" t="n">
        <x:v>50</x:v>
      </x:c>
      <x:c r="F91" s="2" t="n">
        <x:v>-9</x:v>
      </x:c>
      <x:c r="G91" s="2" t="n">
        <x:v>1</x:v>
      </x:c>
      <x:c r="H91" s="2" t="n">
        <x:v>0</x:v>
      </x:c>
      <x:c r="I91" s="2" t="n">
        <x:v>0</x:v>
      </x:c>
      <x:c r="J91" s="2" t="n">
        <x:v>8</x:v>
      </x:c>
      <x:c r="K91" s="2" t="n">
        <x:v>22</x:v>
      </x:c>
      <x:c r="L91" s="2" t="n">
        <x:v>1548</x:v>
      </x:c>
      <x:c r="M91" s="2" t="n">
        <x:v>50</x:v>
      </x:c>
      <x:c r="N91" s="2" t="n">
        <x:v>159</x:v>
      </x:c>
      <x:c r="O91" s="2" t="str">
        <x:v>R12 J01-J26 / 8x30, 12+22</x:v>
      </x:c>
    </x:row>
    <x:row r="92" ht="34" customHeight="1">
      <x:c r="A92" s="2" t="str">
        <x:v>H0087</x:v>
      </x:c>
      <x:c r="B92" s="2" t="str">
        <x:v>KI12-TV02S-05</x:v>
      </x:c>
      <x:c r="C92" s="2" t="str">
        <x:v>CSAP J15</x:v>
      </x:c>
      <x:c r="D92" s="2" t="n">
        <x:v>9</x:v>
      </x:c>
      <x:c r="E92" s="2" t="n">
        <x:v>191</x:v>
      </x:c>
      <x:c r="F92" s="2" t="n">
        <x:v>-18</x:v>
      </x:c>
      <x:c r="G92" s="2" t="n">
        <x:v>0</x:v>
      </x:c>
      <x:c r="H92" s="2" t="n">
        <x:v>0</x:v>
      </x:c>
      <x:c r="I92" s="2" t="n">
        <x:v>1</x:v>
      </x:c>
      <x:c r="J92" s="2" t="n">
        <x:v>8</x:v>
      </x:c>
      <x:c r="K92" s="2" t="n">
        <x:v>12</x:v>
      </x:c>
      <x:c r="L92" s="2" t="n">
        <x:v>1548</x:v>
      </x:c>
      <x:c r="M92" s="2" t="n">
        <x:v>191</x:v>
      </x:c>
      <x:c r="N92" s="2" t="n">
        <x:v>159</x:v>
      </x:c>
      <x:c r="O92" s="2" t="str">
        <x:v>R12 J01-J26 / 8x30, 12+22</x:v>
      </x:c>
    </x:row>
    <x:row r="93" ht="34" customHeight="1">
      <x:c r="A93" s="2" t="str">
        <x:v>H0088</x:v>
      </x:c>
      <x:c r="B93" s="2" t="str">
        <x:v>KI12-TV02T2-02</x:v>
      </x:c>
      <x:c r="C93" s="2" t="str">
        <x:v>CSAP J15</x:v>
      </x:c>
      <x:c r="D93" s="2" t="n">
        <x:v>0</x:v>
      </x:c>
      <x:c r="E93" s="2" t="n">
        <x:v>191</x:v>
      </x:c>
      <x:c r="F93" s="2" t="n">
        <x:v>-9</x:v>
      </x:c>
      <x:c r="G93" s="2" t="n">
        <x:v>1</x:v>
      </x:c>
      <x:c r="H93" s="2" t="n">
        <x:v>0</x:v>
      </x:c>
      <x:c r="I93" s="2" t="n">
        <x:v>0</x:v>
      </x:c>
      <x:c r="J93" s="2" t="n">
        <x:v>8</x:v>
      </x:c>
      <x:c r="K93" s="2" t="n">
        <x:v>22</x:v>
      </x:c>
      <x:c r="L93" s="2" t="n">
        <x:v>1548</x:v>
      </x:c>
      <x:c r="M93" s="2" t="n">
        <x:v>191</x:v>
      </x:c>
      <x:c r="N93" s="2" t="n">
        <x:v>159</x:v>
      </x:c>
      <x:c r="O93" s="2" t="str">
        <x:v>R12 J01-J26 / 8x30, 12+22</x:v>
      </x:c>
    </x:row>
    <x:row r="94" ht="34" customHeight="1">
      <x:c r="A94" s="2" t="str">
        <x:v>H0089</x:v>
      </x:c>
      <x:c r="B94" s="2" t="str">
        <x:v>KI12-TV02S-05</x:v>
      </x:c>
      <x:c r="C94" s="2" t="str">
        <x:v>CSAP J15</x:v>
      </x:c>
      <x:c r="D94" s="2" t="n">
        <x:v>9</x:v>
      </x:c>
      <x:c r="E94" s="2" t="n">
        <x:v>332</x:v>
      </x:c>
      <x:c r="F94" s="2" t="n">
        <x:v>-18</x:v>
      </x:c>
      <x:c r="G94" s="2" t="n">
        <x:v>0</x:v>
      </x:c>
      <x:c r="H94" s="2" t="n">
        <x:v>0</x:v>
      </x:c>
      <x:c r="I94" s="2" t="n">
        <x:v>1</x:v>
      </x:c>
      <x:c r="J94" s="2" t="n">
        <x:v>8</x:v>
      </x:c>
      <x:c r="K94" s="2" t="n">
        <x:v>12</x:v>
      </x:c>
      <x:c r="L94" s="2" t="n">
        <x:v>1548</x:v>
      </x:c>
      <x:c r="M94" s="2" t="n">
        <x:v>332</x:v>
      </x:c>
      <x:c r="N94" s="2" t="n">
        <x:v>159</x:v>
      </x:c>
      <x:c r="O94" s="2" t="str">
        <x:v>R12 J01-J26 / 8x30, 12+22</x:v>
      </x:c>
    </x:row>
    <x:row r="95" ht="34" customHeight="1">
      <x:c r="A95" s="2" t="str">
        <x:v>H0090</x:v>
      </x:c>
      <x:c r="B95" s="2" t="str">
        <x:v>KI12-TV02T2-02</x:v>
      </x:c>
      <x:c r="C95" s="2" t="str">
        <x:v>CSAP J15</x:v>
      </x:c>
      <x:c r="D95" s="2" t="n">
        <x:v>0</x:v>
      </x:c>
      <x:c r="E95" s="2" t="n">
        <x:v>332</x:v>
      </x:c>
      <x:c r="F95" s="2" t="n">
        <x:v>-9</x:v>
      </x:c>
      <x:c r="G95" s="2" t="n">
        <x:v>1</x:v>
      </x:c>
      <x:c r="H95" s="2" t="n">
        <x:v>0</x:v>
      </x:c>
      <x:c r="I95" s="2" t="n">
        <x:v>0</x:v>
      </x:c>
      <x:c r="J95" s="2" t="n">
        <x:v>8</x:v>
      </x:c>
      <x:c r="K95" s="2" t="n">
        <x:v>22</x:v>
      </x:c>
      <x:c r="L95" s="2" t="n">
        <x:v>1548</x:v>
      </x:c>
      <x:c r="M95" s="2" t="n">
        <x:v>332</x:v>
      </x:c>
      <x:c r="N95" s="2" t="n">
        <x:v>159</x:v>
      </x:c>
      <x:c r="O95" s="2" t="str">
        <x:v>R12 J01-J26 / 8x30, 12+22</x:v>
      </x:c>
    </x:row>
    <x:row r="96" ht="34" customHeight="1">
      <x:c r="A96" s="2" t="str">
        <x:v>H0091</x:v>
      </x:c>
      <x:c r="B96" s="2" t="str">
        <x:v>KI12-TV02CAP-01</x:v>
      </x:c>
      <x:c r="C96" s="2" t="str">
        <x:v>CSAP J16</x:v>
      </x:c>
      <x:c r="D96" s="2" t="n">
        <x:v>1539</x:v>
      </x:c>
      <x:c r="E96" s="2" t="n">
        <x:v>50</x:v>
      </x:c>
      <x:c r="F96" s="2" t="n">
        <x:v>-18</x:v>
      </x:c>
      <x:c r="G96" s="2" t="n">
        <x:v>0</x:v>
      </x:c>
      <x:c r="H96" s="2" t="n">
        <x:v>0</x:v>
      </x:c>
      <x:c r="I96" s="2" t="n">
        <x:v>1</x:v>
      </x:c>
      <x:c r="J96" s="2" t="n">
        <x:v>8</x:v>
      </x:c>
      <x:c r="K96" s="2" t="n">
        <x:v>12</x:v>
      </x:c>
      <x:c r="L96" s="2" t="n">
        <x:v>1539</x:v>
      </x:c>
      <x:c r="M96" s="2" t="n">
        <x:v>50</x:v>
      </x:c>
      <x:c r="N96" s="2" t="n">
        <x:v>532</x:v>
      </x:c>
      <x:c r="O96" s="2" t="str">
        <x:v>R12 J01-J26 / 8x30, 12+22</x:v>
      </x:c>
    </x:row>
    <x:row r="97" ht="34" customHeight="1">
      <x:c r="A97" s="2" t="str">
        <x:v>H0092</x:v>
      </x:c>
      <x:c r="B97" s="2" t="str">
        <x:v>KI12-TV02S-05</x:v>
      </x:c>
      <x:c r="C97" s="2" t="str">
        <x:v>CSAP J16</x:v>
      </x:c>
      <x:c r="D97" s="2" t="n">
        <x:v>382</x:v>
      </x:c>
      <x:c r="E97" s="2" t="n">
        <x:v>50</x:v>
      </x:c>
      <x:c r="F97" s="2" t="n">
        <x:v>-9</x:v>
      </x:c>
      <x:c r="G97" s="2" t="n">
        <x:v>-1</x:v>
      </x:c>
      <x:c r="H97" s="2" t="n">
        <x:v>0</x:v>
      </x:c>
      <x:c r="I97" s="2" t="n">
        <x:v>0</x:v>
      </x:c>
      <x:c r="J97" s="2" t="n">
        <x:v>8</x:v>
      </x:c>
      <x:c r="K97" s="2" t="n">
        <x:v>22</x:v>
      </x:c>
      <x:c r="L97" s="2" t="n">
        <x:v>1539</x:v>
      </x:c>
      <x:c r="M97" s="2" t="n">
        <x:v>50</x:v>
      </x:c>
      <x:c r="N97" s="2" t="n">
        <x:v>532</x:v>
      </x:c>
      <x:c r="O97" s="2" t="str">
        <x:v>R12 J01-J26 / 8x30, 12+22</x:v>
      </x:c>
    </x:row>
    <x:row r="98" ht="34" customHeight="1">
      <x:c r="A98" s="2" t="str">
        <x:v>H0093</x:v>
      </x:c>
      <x:c r="B98" s="2" t="str">
        <x:v>KI12-TV02CAP-01</x:v>
      </x:c>
      <x:c r="C98" s="2" t="str">
        <x:v>CSAP J16</x:v>
      </x:c>
      <x:c r="D98" s="2" t="n">
        <x:v>1539</x:v>
      </x:c>
      <x:c r="E98" s="2" t="n">
        <x:v>191</x:v>
      </x:c>
      <x:c r="F98" s="2" t="n">
        <x:v>-18</x:v>
      </x:c>
      <x:c r="G98" s="2" t="n">
        <x:v>0</x:v>
      </x:c>
      <x:c r="H98" s="2" t="n">
        <x:v>0</x:v>
      </x:c>
      <x:c r="I98" s="2" t="n">
        <x:v>1</x:v>
      </x:c>
      <x:c r="J98" s="2" t="n">
        <x:v>8</x:v>
      </x:c>
      <x:c r="K98" s="2" t="n">
        <x:v>12</x:v>
      </x:c>
      <x:c r="L98" s="2" t="n">
        <x:v>1539</x:v>
      </x:c>
      <x:c r="M98" s="2" t="n">
        <x:v>191</x:v>
      </x:c>
      <x:c r="N98" s="2" t="n">
        <x:v>532</x:v>
      </x:c>
      <x:c r="O98" s="2" t="str">
        <x:v>R12 J01-J26 / 8x30, 12+22</x:v>
      </x:c>
    </x:row>
    <x:row r="99" ht="34" customHeight="1">
      <x:c r="A99" s="2" t="str">
        <x:v>H0094</x:v>
      </x:c>
      <x:c r="B99" s="2" t="str">
        <x:v>KI12-TV02S-05</x:v>
      </x:c>
      <x:c r="C99" s="2" t="str">
        <x:v>CSAP J16</x:v>
      </x:c>
      <x:c r="D99" s="2" t="n">
        <x:v>382</x:v>
      </x:c>
      <x:c r="E99" s="2" t="n">
        <x:v>191</x:v>
      </x:c>
      <x:c r="F99" s="2" t="n">
        <x:v>-9</x:v>
      </x:c>
      <x:c r="G99" s="2" t="n">
        <x:v>-1</x:v>
      </x:c>
      <x:c r="H99" s="2" t="n">
        <x:v>0</x:v>
      </x:c>
      <x:c r="I99" s="2" t="n">
        <x:v>0</x:v>
      </x:c>
      <x:c r="J99" s="2" t="n">
        <x:v>8</x:v>
      </x:c>
      <x:c r="K99" s="2" t="n">
        <x:v>22</x:v>
      </x:c>
      <x:c r="L99" s="2" t="n">
        <x:v>1539</x:v>
      </x:c>
      <x:c r="M99" s="2" t="n">
        <x:v>191</x:v>
      </x:c>
      <x:c r="N99" s="2" t="n">
        <x:v>532</x:v>
      </x:c>
      <x:c r="O99" s="2" t="str">
        <x:v>R12 J01-J26 / 8x30, 12+22</x:v>
      </x:c>
    </x:row>
    <x:row r="100" ht="34" customHeight="1">
      <x:c r="A100" s="2" t="str">
        <x:v>H0095</x:v>
      </x:c>
      <x:c r="B100" s="2" t="str">
        <x:v>KI12-TV02CAP-01</x:v>
      </x:c>
      <x:c r="C100" s="2" t="str">
        <x:v>CSAP J16</x:v>
      </x:c>
      <x:c r="D100" s="2" t="n">
        <x:v>1539</x:v>
      </x:c>
      <x:c r="E100" s="2" t="n">
        <x:v>332</x:v>
      </x:c>
      <x:c r="F100" s="2" t="n">
        <x:v>-18</x:v>
      </x:c>
      <x:c r="G100" s="2" t="n">
        <x:v>0</x:v>
      </x:c>
      <x:c r="H100" s="2" t="n">
        <x:v>0</x:v>
      </x:c>
      <x:c r="I100" s="2" t="n">
        <x:v>1</x:v>
      </x:c>
      <x:c r="J100" s="2" t="n">
        <x:v>8</x:v>
      </x:c>
      <x:c r="K100" s="2" t="n">
        <x:v>12</x:v>
      </x:c>
      <x:c r="L100" s="2" t="n">
        <x:v>1539</x:v>
      </x:c>
      <x:c r="M100" s="2" t="n">
        <x:v>332</x:v>
      </x:c>
      <x:c r="N100" s="2" t="n">
        <x:v>532</x:v>
      </x:c>
      <x:c r="O100" s="2" t="str">
        <x:v>R12 J01-J26 / 8x30, 12+22</x:v>
      </x:c>
    </x:row>
    <x:row r="101" ht="34" customHeight="1">
      <x:c r="A101" s="2" t="str">
        <x:v>H0096</x:v>
      </x:c>
      <x:c r="B101" s="2" t="str">
        <x:v>KI12-TV02S-05</x:v>
      </x:c>
      <x:c r="C101" s="2" t="str">
        <x:v>CSAP J16</x:v>
      </x:c>
      <x:c r="D101" s="2" t="n">
        <x:v>382</x:v>
      </x:c>
      <x:c r="E101" s="2" t="n">
        <x:v>332</x:v>
      </x:c>
      <x:c r="F101" s="2" t="n">
        <x:v>-9</x:v>
      </x:c>
      <x:c r="G101" s="2" t="n">
        <x:v>-1</x:v>
      </x:c>
      <x:c r="H101" s="2" t="n">
        <x:v>0</x:v>
      </x:c>
      <x:c r="I101" s="2" t="n">
        <x:v>0</x:v>
      </x:c>
      <x:c r="J101" s="2" t="n">
        <x:v>8</x:v>
      </x:c>
      <x:c r="K101" s="2" t="n">
        <x:v>22</x:v>
      </x:c>
      <x:c r="L101" s="2" t="n">
        <x:v>1539</x:v>
      </x:c>
      <x:c r="M101" s="2" t="n">
        <x:v>332</x:v>
      </x:c>
      <x:c r="N101" s="2" t="n">
        <x:v>532</x:v>
      </x:c>
      <x:c r="O101" s="2" t="str">
        <x:v>R12 J01-J26 / 8x30, 12+22</x:v>
      </x:c>
    </x:row>
    <x:row r="102" ht="34" customHeight="1">
      <x:c r="A102" s="2" t="str">
        <x:v>H0097</x:v>
      </x:c>
      <x:c r="B102" s="2" t="str">
        <x:v>KI12-TV02S-06</x:v>
      </x:c>
      <x:c r="C102" s="2" t="str">
        <x:v>CSAP J17</x:v>
      </x:c>
      <x:c r="D102" s="2" t="n">
        <x:v>9</x:v>
      </x:c>
      <x:c r="E102" s="2" t="n">
        <x:v>50</x:v>
      </x:c>
      <x:c r="F102" s="2" t="n">
        <x:v>0</x:v>
      </x:c>
      <x:c r="G102" s="2" t="n">
        <x:v>0</x:v>
      </x:c>
      <x:c r="H102" s="2" t="n">
        <x:v>0</x:v>
      </x:c>
      <x:c r="I102" s="2" t="n">
        <x:v>-1</x:v>
      </x:c>
      <x:c r="J102" s="2" t="n">
        <x:v>8</x:v>
      </x:c>
      <x:c r="K102" s="2" t="n">
        <x:v>12</x:v>
      </x:c>
      <x:c r="L102" s="2" t="n">
        <x:v>2202</x:v>
      </x:c>
      <x:c r="M102" s="2" t="n">
        <x:v>50</x:v>
      </x:c>
      <x:c r="N102" s="2" t="n">
        <x:v>159</x:v>
      </x:c>
      <x:c r="O102" s="2" t="str">
        <x:v>R12 J01-J26 / 8x30, 12+22</x:v>
      </x:c>
    </x:row>
    <x:row r="103" ht="34" customHeight="1">
      <x:c r="A103" s="2" t="str">
        <x:v>H0098</x:v>
      </x:c>
      <x:c r="B103" s="2" t="str">
        <x:v>KI12-TV02T2-02</x:v>
      </x:c>
      <x:c r="C103" s="2" t="str">
        <x:v>CSAP J17</x:v>
      </x:c>
      <x:c r="D103" s="2" t="n">
        <x:v>654</x:v>
      </x:c>
      <x:c r="E103" s="2" t="n">
        <x:v>50</x:v>
      </x:c>
      <x:c r="F103" s="2" t="n">
        <x:v>-9</x:v>
      </x:c>
      <x:c r="G103" s="2" t="n">
        <x:v>-1</x:v>
      </x:c>
      <x:c r="H103" s="2" t="n">
        <x:v>0</x:v>
      </x:c>
      <x:c r="I103" s="2" t="n">
        <x:v>0</x:v>
      </x:c>
      <x:c r="J103" s="2" t="n">
        <x:v>8</x:v>
      </x:c>
      <x:c r="K103" s="2" t="n">
        <x:v>22</x:v>
      </x:c>
      <x:c r="L103" s="2" t="n">
        <x:v>2202</x:v>
      </x:c>
      <x:c r="M103" s="2" t="n">
        <x:v>50</x:v>
      </x:c>
      <x:c r="N103" s="2" t="n">
        <x:v>159</x:v>
      </x:c>
      <x:c r="O103" s="2" t="str">
        <x:v>R12 J01-J26 / 8x30, 12+22</x:v>
      </x:c>
    </x:row>
    <x:row r="104" ht="34" customHeight="1">
      <x:c r="A104" s="2" t="str">
        <x:v>H0099</x:v>
      </x:c>
      <x:c r="B104" s="2" t="str">
        <x:v>KI12-TV02S-06</x:v>
      </x:c>
      <x:c r="C104" s="2" t="str">
        <x:v>CSAP J17</x:v>
      </x:c>
      <x:c r="D104" s="2" t="n">
        <x:v>9</x:v>
      </x:c>
      <x:c r="E104" s="2" t="n">
        <x:v>191</x:v>
      </x:c>
      <x:c r="F104" s="2" t="n">
        <x:v>0</x:v>
      </x:c>
      <x:c r="G104" s="2" t="n">
        <x:v>0</x:v>
      </x:c>
      <x:c r="H104" s="2" t="n">
        <x:v>0</x:v>
      </x:c>
      <x:c r="I104" s="2" t="n">
        <x:v>-1</x:v>
      </x:c>
      <x:c r="J104" s="2" t="n">
        <x:v>8</x:v>
      </x:c>
      <x:c r="K104" s="2" t="n">
        <x:v>12</x:v>
      </x:c>
      <x:c r="L104" s="2" t="n">
        <x:v>2202</x:v>
      </x:c>
      <x:c r="M104" s="2" t="n">
        <x:v>191</x:v>
      </x:c>
      <x:c r="N104" s="2" t="n">
        <x:v>159</x:v>
      </x:c>
      <x:c r="O104" s="2" t="str">
        <x:v>R12 J01-J26 / 8x30, 12+22</x:v>
      </x:c>
    </x:row>
    <x:row r="105" ht="34" customHeight="1">
      <x:c r="A105" s="2" t="str">
        <x:v>H0100</x:v>
      </x:c>
      <x:c r="B105" s="2" t="str">
        <x:v>KI12-TV02T2-02</x:v>
      </x:c>
      <x:c r="C105" s="2" t="str">
        <x:v>CSAP J17</x:v>
      </x:c>
      <x:c r="D105" s="2" t="n">
        <x:v>654</x:v>
      </x:c>
      <x:c r="E105" s="2" t="n">
        <x:v>191</x:v>
      </x:c>
      <x:c r="F105" s="2" t="n">
        <x:v>-9</x:v>
      </x:c>
      <x:c r="G105" s="2" t="n">
        <x:v>-1</x:v>
      </x:c>
      <x:c r="H105" s="2" t="n">
        <x:v>0</x:v>
      </x:c>
      <x:c r="I105" s="2" t="n">
        <x:v>0</x:v>
      </x:c>
      <x:c r="J105" s="2" t="n">
        <x:v>8</x:v>
      </x:c>
      <x:c r="K105" s="2" t="n">
        <x:v>22</x:v>
      </x:c>
      <x:c r="L105" s="2" t="n">
        <x:v>2202</x:v>
      </x:c>
      <x:c r="M105" s="2" t="n">
        <x:v>191</x:v>
      </x:c>
      <x:c r="N105" s="2" t="n">
        <x:v>159</x:v>
      </x:c>
      <x:c r="O105" s="2" t="str">
        <x:v>R12 J01-J26 / 8x30, 12+22</x:v>
      </x:c>
    </x:row>
    <x:row r="106" ht="34" customHeight="1">
      <x:c r="A106" s="2" t="str">
        <x:v>H0101</x:v>
      </x:c>
      <x:c r="B106" s="2" t="str">
        <x:v>KI12-TV02S-06</x:v>
      </x:c>
      <x:c r="C106" s="2" t="str">
        <x:v>CSAP J17</x:v>
      </x:c>
      <x:c r="D106" s="2" t="n">
        <x:v>9</x:v>
      </x:c>
      <x:c r="E106" s="2" t="n">
        <x:v>332</x:v>
      </x:c>
      <x:c r="F106" s="2" t="n">
        <x:v>0</x:v>
      </x:c>
      <x:c r="G106" s="2" t="n">
        <x:v>0</x:v>
      </x:c>
      <x:c r="H106" s="2" t="n">
        <x:v>0</x:v>
      </x:c>
      <x:c r="I106" s="2" t="n">
        <x:v>-1</x:v>
      </x:c>
      <x:c r="J106" s="2" t="n">
        <x:v>8</x:v>
      </x:c>
      <x:c r="K106" s="2" t="n">
        <x:v>12</x:v>
      </x:c>
      <x:c r="L106" s="2" t="n">
        <x:v>2202</x:v>
      </x:c>
      <x:c r="M106" s="2" t="n">
        <x:v>332</x:v>
      </x:c>
      <x:c r="N106" s="2" t="n">
        <x:v>159</x:v>
      </x:c>
      <x:c r="O106" s="2" t="str">
        <x:v>R12 J01-J26 / 8x30, 12+22</x:v>
      </x:c>
    </x:row>
    <x:row r="107" ht="34" customHeight="1">
      <x:c r="A107" s="2" t="str">
        <x:v>H0102</x:v>
      </x:c>
      <x:c r="B107" s="2" t="str">
        <x:v>KI12-TV02T2-02</x:v>
      </x:c>
      <x:c r="C107" s="2" t="str">
        <x:v>CSAP J17</x:v>
      </x:c>
      <x:c r="D107" s="2" t="n">
        <x:v>654</x:v>
      </x:c>
      <x:c r="E107" s="2" t="n">
        <x:v>332</x:v>
      </x:c>
      <x:c r="F107" s="2" t="n">
        <x:v>-9</x:v>
      </x:c>
      <x:c r="G107" s="2" t="n">
        <x:v>-1</x:v>
      </x:c>
      <x:c r="H107" s="2" t="n">
        <x:v>0</x:v>
      </x:c>
      <x:c r="I107" s="2" t="n">
        <x:v>0</x:v>
      </x:c>
      <x:c r="J107" s="2" t="n">
        <x:v>8</x:v>
      </x:c>
      <x:c r="K107" s="2" t="n">
        <x:v>22</x:v>
      </x:c>
      <x:c r="L107" s="2" t="n">
        <x:v>2202</x:v>
      </x:c>
      <x:c r="M107" s="2" t="n">
        <x:v>332</x:v>
      </x:c>
      <x:c r="N107" s="2" t="n">
        <x:v>159</x:v>
      </x:c>
      <x:c r="O107" s="2" t="str">
        <x:v>R12 J01-J26 / 8x30, 12+22</x:v>
      </x:c>
    </x:row>
    <x:row r="108" ht="34" customHeight="1">
      <x:c r="A108" s="2" t="str">
        <x:v>H0103</x:v>
      </x:c>
      <x:c r="B108" s="2" t="str">
        <x:v>KI12-TV02CAP-01</x:v>
      </x:c>
      <x:c r="C108" s="2" t="str">
        <x:v>CSAP J18</x:v>
      </x:c>
      <x:c r="D108" s="2" t="n">
        <x:v>2211</x:v>
      </x:c>
      <x:c r="E108" s="2" t="n">
        <x:v>50</x:v>
      </x:c>
      <x:c r="F108" s="2" t="n">
        <x:v>-18</x:v>
      </x:c>
      <x:c r="G108" s="2" t="n">
        <x:v>0</x:v>
      </x:c>
      <x:c r="H108" s="2" t="n">
        <x:v>0</x:v>
      </x:c>
      <x:c r="I108" s="2" t="n">
        <x:v>1</x:v>
      </x:c>
      <x:c r="J108" s="2" t="n">
        <x:v>8</x:v>
      </x:c>
      <x:c r="K108" s="2" t="n">
        <x:v>12</x:v>
      </x:c>
      <x:c r="L108" s="2" t="n">
        <x:v>2211</x:v>
      </x:c>
      <x:c r="M108" s="2" t="n">
        <x:v>50</x:v>
      </x:c>
      <x:c r="N108" s="2" t="n">
        <x:v>532</x:v>
      </x:c>
      <x:c r="O108" s="2" t="str">
        <x:v>R12 J01-J26 / 8x30, 12+22</x:v>
      </x:c>
    </x:row>
    <x:row r="109" ht="34" customHeight="1">
      <x:c r="A109" s="2" t="str">
        <x:v>H0104</x:v>
      </x:c>
      <x:c r="B109" s="2" t="str">
        <x:v>KI12-TV02S-06</x:v>
      </x:c>
      <x:c r="C109" s="2" t="str">
        <x:v>CSAP J18</x:v>
      </x:c>
      <x:c r="D109" s="2" t="n">
        <x:v>382</x:v>
      </x:c>
      <x:c r="E109" s="2" t="n">
        <x:v>50</x:v>
      </x:c>
      <x:c r="F109" s="2" t="n">
        <x:v>-9</x:v>
      </x:c>
      <x:c r="G109" s="2" t="n">
        <x:v>-1</x:v>
      </x:c>
      <x:c r="H109" s="2" t="n">
        <x:v>0</x:v>
      </x:c>
      <x:c r="I109" s="2" t="n">
        <x:v>0</x:v>
      </x:c>
      <x:c r="J109" s="2" t="n">
        <x:v>8</x:v>
      </x:c>
      <x:c r="K109" s="2" t="n">
        <x:v>22</x:v>
      </x:c>
      <x:c r="L109" s="2" t="n">
        <x:v>2211</x:v>
      </x:c>
      <x:c r="M109" s="2" t="n">
        <x:v>50</x:v>
      </x:c>
      <x:c r="N109" s="2" t="n">
        <x:v>532</x:v>
      </x:c>
      <x:c r="O109" s="2" t="str">
        <x:v>R12 J01-J26 / 8x30, 12+22</x:v>
      </x:c>
    </x:row>
    <x:row r="110" ht="34" customHeight="1">
      <x:c r="A110" s="2" t="str">
        <x:v>H0105</x:v>
      </x:c>
      <x:c r="B110" s="2" t="str">
        <x:v>KI12-TV02CAP-01</x:v>
      </x:c>
      <x:c r="C110" s="2" t="str">
        <x:v>CSAP J18</x:v>
      </x:c>
      <x:c r="D110" s="2" t="n">
        <x:v>2211</x:v>
      </x:c>
      <x:c r="E110" s="2" t="n">
        <x:v>191</x:v>
      </x:c>
      <x:c r="F110" s="2" t="n">
        <x:v>-18</x:v>
      </x:c>
      <x:c r="G110" s="2" t="n">
        <x:v>0</x:v>
      </x:c>
      <x:c r="H110" s="2" t="n">
        <x:v>0</x:v>
      </x:c>
      <x:c r="I110" s="2" t="n">
        <x:v>1</x:v>
      </x:c>
      <x:c r="J110" s="2" t="n">
        <x:v>8</x:v>
      </x:c>
      <x:c r="K110" s="2" t="n">
        <x:v>12</x:v>
      </x:c>
      <x:c r="L110" s="2" t="n">
        <x:v>2211</x:v>
      </x:c>
      <x:c r="M110" s="2" t="n">
        <x:v>191</x:v>
      </x:c>
      <x:c r="N110" s="2" t="n">
        <x:v>532</x:v>
      </x:c>
      <x:c r="O110" s="2" t="str">
        <x:v>R12 J01-J26 / 8x30, 12+22</x:v>
      </x:c>
    </x:row>
    <x:row r="111" ht="34" customHeight="1">
      <x:c r="A111" s="2" t="str">
        <x:v>H0106</x:v>
      </x:c>
      <x:c r="B111" s="2" t="str">
        <x:v>KI12-TV02S-06</x:v>
      </x:c>
      <x:c r="C111" s="2" t="str">
        <x:v>CSAP J18</x:v>
      </x:c>
      <x:c r="D111" s="2" t="n">
        <x:v>382</x:v>
      </x:c>
      <x:c r="E111" s="2" t="n">
        <x:v>191</x:v>
      </x:c>
      <x:c r="F111" s="2" t="n">
        <x:v>-9</x:v>
      </x:c>
      <x:c r="G111" s="2" t="n">
        <x:v>-1</x:v>
      </x:c>
      <x:c r="H111" s="2" t="n">
        <x:v>0</x:v>
      </x:c>
      <x:c r="I111" s="2" t="n">
        <x:v>0</x:v>
      </x:c>
      <x:c r="J111" s="2" t="n">
        <x:v>8</x:v>
      </x:c>
      <x:c r="K111" s="2" t="n">
        <x:v>22</x:v>
      </x:c>
      <x:c r="L111" s="2" t="n">
        <x:v>2211</x:v>
      </x:c>
      <x:c r="M111" s="2" t="n">
        <x:v>191</x:v>
      </x:c>
      <x:c r="N111" s="2" t="n">
        <x:v>532</x:v>
      </x:c>
      <x:c r="O111" s="2" t="str">
        <x:v>R12 J01-J26 / 8x30, 12+22</x:v>
      </x:c>
    </x:row>
    <x:row r="112" ht="34" customHeight="1">
      <x:c r="A112" s="2" t="str">
        <x:v>H0107</x:v>
      </x:c>
      <x:c r="B112" s="2" t="str">
        <x:v>KI12-TV02CAP-01</x:v>
      </x:c>
      <x:c r="C112" s="2" t="str">
        <x:v>CSAP J18</x:v>
      </x:c>
      <x:c r="D112" s="2" t="n">
        <x:v>2211</x:v>
      </x:c>
      <x:c r="E112" s="2" t="n">
        <x:v>332</x:v>
      </x:c>
      <x:c r="F112" s="2" t="n">
        <x:v>-18</x:v>
      </x:c>
      <x:c r="G112" s="2" t="n">
        <x:v>0</x:v>
      </x:c>
      <x:c r="H112" s="2" t="n">
        <x:v>0</x:v>
      </x:c>
      <x:c r="I112" s="2" t="n">
        <x:v>1</x:v>
      </x:c>
      <x:c r="J112" s="2" t="n">
        <x:v>8</x:v>
      </x:c>
      <x:c r="K112" s="2" t="n">
        <x:v>12</x:v>
      </x:c>
      <x:c r="L112" s="2" t="n">
        <x:v>2211</x:v>
      </x:c>
      <x:c r="M112" s="2" t="n">
        <x:v>332</x:v>
      </x:c>
      <x:c r="N112" s="2" t="n">
        <x:v>532</x:v>
      </x:c>
      <x:c r="O112" s="2" t="str">
        <x:v>R12 J01-J26 / 8x30, 12+22</x:v>
      </x:c>
    </x:row>
    <x:row r="113" ht="34" customHeight="1">
      <x:c r="A113" s="2" t="str">
        <x:v>H0108</x:v>
      </x:c>
      <x:c r="B113" s="2" t="str">
        <x:v>KI12-TV02S-06</x:v>
      </x:c>
      <x:c r="C113" s="2" t="str">
        <x:v>CSAP J18</x:v>
      </x:c>
      <x:c r="D113" s="2" t="n">
        <x:v>382</x:v>
      </x:c>
      <x:c r="E113" s="2" t="n">
        <x:v>332</x:v>
      </x:c>
      <x:c r="F113" s="2" t="n">
        <x:v>-9</x:v>
      </x:c>
      <x:c r="G113" s="2" t="n">
        <x:v>-1</x:v>
      </x:c>
      <x:c r="H113" s="2" t="n">
        <x:v>0</x:v>
      </x:c>
      <x:c r="I113" s="2" t="n">
        <x:v>0</x:v>
      </x:c>
      <x:c r="J113" s="2" t="n">
        <x:v>8</x:v>
      </x:c>
      <x:c r="K113" s="2" t="n">
        <x:v>22</x:v>
      </x:c>
      <x:c r="L113" s="2" t="n">
        <x:v>2211</x:v>
      </x:c>
      <x:c r="M113" s="2" t="n">
        <x:v>332</x:v>
      </x:c>
      <x:c r="N113" s="2" t="n">
        <x:v>532</x:v>
      </x:c>
      <x:c r="O113" s="2" t="str">
        <x:v>R12 J01-J26 / 8x30, 12+22</x:v>
      </x:c>
    </x:row>
    <x:row r="114" ht="34" customHeight="1">
      <x:c r="A114" s="2" t="str">
        <x:v>H0109</x:v>
      </x:c>
      <x:c r="B114" s="2" t="str">
        <x:v>KI12-TV02S-07</x:v>
      </x:c>
      <x:c r="C114" s="2" t="str">
        <x:v>CSAP J19</x:v>
      </x:c>
      <x:c r="D114" s="2" t="n">
        <x:v>9</x:v>
      </x:c>
      <x:c r="E114" s="2" t="n">
        <x:v>50</x:v>
      </x:c>
      <x:c r="F114" s="2" t="n">
        <x:v>-18</x:v>
      </x:c>
      <x:c r="G114" s="2" t="n">
        <x:v>0</x:v>
      </x:c>
      <x:c r="H114" s="2" t="n">
        <x:v>0</x:v>
      </x:c>
      <x:c r="I114" s="2" t="n">
        <x:v>1</x:v>
      </x:c>
      <x:c r="J114" s="2" t="n">
        <x:v>8</x:v>
      </x:c>
      <x:c r="K114" s="2" t="n">
        <x:v>12</x:v>
      </x:c>
      <x:c r="L114" s="2" t="n">
        <x:v>2238</x:v>
      </x:c>
      <x:c r="M114" s="2" t="n">
        <x:v>50</x:v>
      </x:c>
      <x:c r="N114" s="2" t="n">
        <x:v>159</x:v>
      </x:c>
      <x:c r="O114" s="2" t="str">
        <x:v>R12 J01-J26 / 8x30, 12+22</x:v>
      </x:c>
    </x:row>
    <x:row r="115" ht="34" customHeight="1">
      <x:c r="A115" s="2" t="str">
        <x:v>H0110</x:v>
      </x:c>
      <x:c r="B115" s="2" t="str">
        <x:v>KI12-TV02T2-03</x:v>
      </x:c>
      <x:c r="C115" s="2" t="str">
        <x:v>CSAP J19</x:v>
      </x:c>
      <x:c r="D115" s="2" t="n">
        <x:v>0</x:v>
      </x:c>
      <x:c r="E115" s="2" t="n">
        <x:v>50</x:v>
      </x:c>
      <x:c r="F115" s="2" t="n">
        <x:v>-9</x:v>
      </x:c>
      <x:c r="G115" s="2" t="n">
        <x:v>1</x:v>
      </x:c>
      <x:c r="H115" s="2" t="n">
        <x:v>0</x:v>
      </x:c>
      <x:c r="I115" s="2" t="n">
        <x:v>0</x:v>
      </x:c>
      <x:c r="J115" s="2" t="n">
        <x:v>8</x:v>
      </x:c>
      <x:c r="K115" s="2" t="n">
        <x:v>22</x:v>
      </x:c>
      <x:c r="L115" s="2" t="n">
        <x:v>2238</x:v>
      </x:c>
      <x:c r="M115" s="2" t="n">
        <x:v>50</x:v>
      </x:c>
      <x:c r="N115" s="2" t="n">
        <x:v>159</x:v>
      </x:c>
      <x:c r="O115" s="2" t="str">
        <x:v>R12 J01-J26 / 8x30, 12+22</x:v>
      </x:c>
    </x:row>
    <x:row r="116" ht="34" customHeight="1">
      <x:c r="A116" s="2" t="str">
        <x:v>H0111</x:v>
      </x:c>
      <x:c r="B116" s="2" t="str">
        <x:v>KI12-TV02S-07</x:v>
      </x:c>
      <x:c r="C116" s="2" t="str">
        <x:v>CSAP J19</x:v>
      </x:c>
      <x:c r="D116" s="2" t="n">
        <x:v>9</x:v>
      </x:c>
      <x:c r="E116" s="2" t="n">
        <x:v>191</x:v>
      </x:c>
      <x:c r="F116" s="2" t="n">
        <x:v>-18</x:v>
      </x:c>
      <x:c r="G116" s="2" t="n">
        <x:v>0</x:v>
      </x:c>
      <x:c r="H116" s="2" t="n">
        <x:v>0</x:v>
      </x:c>
      <x:c r="I116" s="2" t="n">
        <x:v>1</x:v>
      </x:c>
      <x:c r="J116" s="2" t="n">
        <x:v>8</x:v>
      </x:c>
      <x:c r="K116" s="2" t="n">
        <x:v>12</x:v>
      </x:c>
      <x:c r="L116" s="2" t="n">
        <x:v>2238</x:v>
      </x:c>
      <x:c r="M116" s="2" t="n">
        <x:v>191</x:v>
      </x:c>
      <x:c r="N116" s="2" t="n">
        <x:v>159</x:v>
      </x:c>
      <x:c r="O116" s="2" t="str">
        <x:v>R12 J01-J26 / 8x30, 12+22</x:v>
      </x:c>
    </x:row>
    <x:row r="117" ht="34" customHeight="1">
      <x:c r="A117" s="2" t="str">
        <x:v>H0112</x:v>
      </x:c>
      <x:c r="B117" s="2" t="str">
        <x:v>KI12-TV02T2-03</x:v>
      </x:c>
      <x:c r="C117" s="2" t="str">
        <x:v>CSAP J19</x:v>
      </x:c>
      <x:c r="D117" s="2" t="n">
        <x:v>0</x:v>
      </x:c>
      <x:c r="E117" s="2" t="n">
        <x:v>191</x:v>
      </x:c>
      <x:c r="F117" s="2" t="n">
        <x:v>-9</x:v>
      </x:c>
      <x:c r="G117" s="2" t="n">
        <x:v>1</x:v>
      </x:c>
      <x:c r="H117" s="2" t="n">
        <x:v>0</x:v>
      </x:c>
      <x:c r="I117" s="2" t="n">
        <x:v>0</x:v>
      </x:c>
      <x:c r="J117" s="2" t="n">
        <x:v>8</x:v>
      </x:c>
      <x:c r="K117" s="2" t="n">
        <x:v>22</x:v>
      </x:c>
      <x:c r="L117" s="2" t="n">
        <x:v>2238</x:v>
      </x:c>
      <x:c r="M117" s="2" t="n">
        <x:v>191</x:v>
      </x:c>
      <x:c r="N117" s="2" t="n">
        <x:v>159</x:v>
      </x:c>
      <x:c r="O117" s="2" t="str">
        <x:v>R12 J01-J26 / 8x30, 12+22</x:v>
      </x:c>
    </x:row>
    <x:row r="118" ht="34" customHeight="1">
      <x:c r="A118" s="2" t="str">
        <x:v>H0113</x:v>
      </x:c>
      <x:c r="B118" s="2" t="str">
        <x:v>KI12-TV02S-07</x:v>
      </x:c>
      <x:c r="C118" s="2" t="str">
        <x:v>CSAP J19</x:v>
      </x:c>
      <x:c r="D118" s="2" t="n">
        <x:v>9</x:v>
      </x:c>
      <x:c r="E118" s="2" t="n">
        <x:v>332</x:v>
      </x:c>
      <x:c r="F118" s="2" t="n">
        <x:v>-18</x:v>
      </x:c>
      <x:c r="G118" s="2" t="n">
        <x:v>0</x:v>
      </x:c>
      <x:c r="H118" s="2" t="n">
        <x:v>0</x:v>
      </x:c>
      <x:c r="I118" s="2" t="n">
        <x:v>1</x:v>
      </x:c>
      <x:c r="J118" s="2" t="n">
        <x:v>8</x:v>
      </x:c>
      <x:c r="K118" s="2" t="n">
        <x:v>12</x:v>
      </x:c>
      <x:c r="L118" s="2" t="n">
        <x:v>2238</x:v>
      </x:c>
      <x:c r="M118" s="2" t="n">
        <x:v>332</x:v>
      </x:c>
      <x:c r="N118" s="2" t="n">
        <x:v>159</x:v>
      </x:c>
      <x:c r="O118" s="2" t="str">
        <x:v>R12 J01-J26 / 8x30, 12+22</x:v>
      </x:c>
    </x:row>
    <x:row r="119" ht="34" customHeight="1">
      <x:c r="A119" s="2" t="str">
        <x:v>H0114</x:v>
      </x:c>
      <x:c r="B119" s="2" t="str">
        <x:v>KI12-TV02T2-03</x:v>
      </x:c>
      <x:c r="C119" s="2" t="str">
        <x:v>CSAP J19</x:v>
      </x:c>
      <x:c r="D119" s="2" t="n">
        <x:v>0</x:v>
      </x:c>
      <x:c r="E119" s="2" t="n">
        <x:v>332</x:v>
      </x:c>
      <x:c r="F119" s="2" t="n">
        <x:v>-9</x:v>
      </x:c>
      <x:c r="G119" s="2" t="n">
        <x:v>1</x:v>
      </x:c>
      <x:c r="H119" s="2" t="n">
        <x:v>0</x:v>
      </x:c>
      <x:c r="I119" s="2" t="n">
        <x:v>0</x:v>
      </x:c>
      <x:c r="J119" s="2" t="n">
        <x:v>8</x:v>
      </x:c>
      <x:c r="K119" s="2" t="n">
        <x:v>22</x:v>
      </x:c>
      <x:c r="L119" s="2" t="n">
        <x:v>2238</x:v>
      </x:c>
      <x:c r="M119" s="2" t="n">
        <x:v>332</x:v>
      </x:c>
      <x:c r="N119" s="2" t="n">
        <x:v>159</x:v>
      </x:c>
      <x:c r="O119" s="2" t="str">
        <x:v>R12 J01-J26 / 8x30, 12+22</x:v>
      </x:c>
    </x:row>
    <x:row r="120" ht="34" customHeight="1">
      <x:c r="A120" s="2" t="str">
        <x:v>H0115</x:v>
      </x:c>
      <x:c r="B120" s="2" t="str">
        <x:v>KI12-TV02CAP-01</x:v>
      </x:c>
      <x:c r="C120" s="2" t="str">
        <x:v>CSAP J20</x:v>
      </x:c>
      <x:c r="D120" s="2" t="n">
        <x:v>2229</x:v>
      </x:c>
      <x:c r="E120" s="2" t="n">
        <x:v>50</x:v>
      </x:c>
      <x:c r="F120" s="2" t="n">
        <x:v>-18</x:v>
      </x:c>
      <x:c r="G120" s="2" t="n">
        <x:v>0</x:v>
      </x:c>
      <x:c r="H120" s="2" t="n">
        <x:v>0</x:v>
      </x:c>
      <x:c r="I120" s="2" t="n">
        <x:v>1</x:v>
      </x:c>
      <x:c r="J120" s="2" t="n">
        <x:v>8</x:v>
      </x:c>
      <x:c r="K120" s="2" t="n">
        <x:v>12</x:v>
      </x:c>
      <x:c r="L120" s="2" t="n">
        <x:v>2229</x:v>
      </x:c>
      <x:c r="M120" s="2" t="n">
        <x:v>50</x:v>
      </x:c>
      <x:c r="N120" s="2" t="n">
        <x:v>532</x:v>
      </x:c>
      <x:c r="O120" s="2" t="str">
        <x:v>R12 J01-J26 / 8x30, 12+22</x:v>
      </x:c>
    </x:row>
    <x:row r="121" ht="34" customHeight="1">
      <x:c r="A121" s="2" t="str">
        <x:v>H0116</x:v>
      </x:c>
      <x:c r="B121" s="2" t="str">
        <x:v>KI12-TV02S-07</x:v>
      </x:c>
      <x:c r="C121" s="2" t="str">
        <x:v>CSAP J20</x:v>
      </x:c>
      <x:c r="D121" s="2" t="n">
        <x:v>382</x:v>
      </x:c>
      <x:c r="E121" s="2" t="n">
        <x:v>50</x:v>
      </x:c>
      <x:c r="F121" s="2" t="n">
        <x:v>-9</x:v>
      </x:c>
      <x:c r="G121" s="2" t="n">
        <x:v>-1</x:v>
      </x:c>
      <x:c r="H121" s="2" t="n">
        <x:v>0</x:v>
      </x:c>
      <x:c r="I121" s="2" t="n">
        <x:v>0</x:v>
      </x:c>
      <x:c r="J121" s="2" t="n">
        <x:v>8</x:v>
      </x:c>
      <x:c r="K121" s="2" t="n">
        <x:v>22</x:v>
      </x:c>
      <x:c r="L121" s="2" t="n">
        <x:v>2229</x:v>
      </x:c>
      <x:c r="M121" s="2" t="n">
        <x:v>50</x:v>
      </x:c>
      <x:c r="N121" s="2" t="n">
        <x:v>532</x:v>
      </x:c>
      <x:c r="O121" s="2" t="str">
        <x:v>R12 J01-J26 / 8x30, 12+22</x:v>
      </x:c>
    </x:row>
    <x:row r="122" ht="34" customHeight="1">
      <x:c r="A122" s="2" t="str">
        <x:v>H0117</x:v>
      </x:c>
      <x:c r="B122" s="2" t="str">
        <x:v>KI12-TV02CAP-01</x:v>
      </x:c>
      <x:c r="C122" s="2" t="str">
        <x:v>CSAP J20</x:v>
      </x:c>
      <x:c r="D122" s="2" t="n">
        <x:v>2229</x:v>
      </x:c>
      <x:c r="E122" s="2" t="n">
        <x:v>191</x:v>
      </x:c>
      <x:c r="F122" s="2" t="n">
        <x:v>-18</x:v>
      </x:c>
      <x:c r="G122" s="2" t="n">
        <x:v>0</x:v>
      </x:c>
      <x:c r="H122" s="2" t="n">
        <x:v>0</x:v>
      </x:c>
      <x:c r="I122" s="2" t="n">
        <x:v>1</x:v>
      </x:c>
      <x:c r="J122" s="2" t="n">
        <x:v>8</x:v>
      </x:c>
      <x:c r="K122" s="2" t="n">
        <x:v>12</x:v>
      </x:c>
      <x:c r="L122" s="2" t="n">
        <x:v>2229</x:v>
      </x:c>
      <x:c r="M122" s="2" t="n">
        <x:v>191</x:v>
      </x:c>
      <x:c r="N122" s="2" t="n">
        <x:v>532</x:v>
      </x:c>
      <x:c r="O122" s="2" t="str">
        <x:v>R12 J01-J26 / 8x30, 12+22</x:v>
      </x:c>
    </x:row>
    <x:row r="123" ht="34" customHeight="1">
      <x:c r="A123" s="2" t="str">
        <x:v>H0118</x:v>
      </x:c>
      <x:c r="B123" s="2" t="str">
        <x:v>KI12-TV02S-07</x:v>
      </x:c>
      <x:c r="C123" s="2" t="str">
        <x:v>CSAP J20</x:v>
      </x:c>
      <x:c r="D123" s="2" t="n">
        <x:v>382</x:v>
      </x:c>
      <x:c r="E123" s="2" t="n">
        <x:v>191</x:v>
      </x:c>
      <x:c r="F123" s="2" t="n">
        <x:v>-9</x:v>
      </x:c>
      <x:c r="G123" s="2" t="n">
        <x:v>-1</x:v>
      </x:c>
      <x:c r="H123" s="2" t="n">
        <x:v>0</x:v>
      </x:c>
      <x:c r="I123" s="2" t="n">
        <x:v>0</x:v>
      </x:c>
      <x:c r="J123" s="2" t="n">
        <x:v>8</x:v>
      </x:c>
      <x:c r="K123" s="2" t="n">
        <x:v>22</x:v>
      </x:c>
      <x:c r="L123" s="2" t="n">
        <x:v>2229</x:v>
      </x:c>
      <x:c r="M123" s="2" t="n">
        <x:v>191</x:v>
      </x:c>
      <x:c r="N123" s="2" t="n">
        <x:v>532</x:v>
      </x:c>
      <x:c r="O123" s="2" t="str">
        <x:v>R12 J01-J26 / 8x30, 12+22</x:v>
      </x:c>
    </x:row>
    <x:row r="124" ht="34" customHeight="1">
      <x:c r="A124" s="2" t="str">
        <x:v>H0119</x:v>
      </x:c>
      <x:c r="B124" s="2" t="str">
        <x:v>KI12-TV02CAP-01</x:v>
      </x:c>
      <x:c r="C124" s="2" t="str">
        <x:v>CSAP J20</x:v>
      </x:c>
      <x:c r="D124" s="2" t="n">
        <x:v>2229</x:v>
      </x:c>
      <x:c r="E124" s="2" t="n">
        <x:v>332</x:v>
      </x:c>
      <x:c r="F124" s="2" t="n">
        <x:v>-18</x:v>
      </x:c>
      <x:c r="G124" s="2" t="n">
        <x:v>0</x:v>
      </x:c>
      <x:c r="H124" s="2" t="n">
        <x:v>0</x:v>
      </x:c>
      <x:c r="I124" s="2" t="n">
        <x:v>1</x:v>
      </x:c>
      <x:c r="J124" s="2" t="n">
        <x:v>8</x:v>
      </x:c>
      <x:c r="K124" s="2" t="n">
        <x:v>12</x:v>
      </x:c>
      <x:c r="L124" s="2" t="n">
        <x:v>2229</x:v>
      </x:c>
      <x:c r="M124" s="2" t="n">
        <x:v>332</x:v>
      </x:c>
      <x:c r="N124" s="2" t="n">
        <x:v>532</x:v>
      </x:c>
      <x:c r="O124" s="2" t="str">
        <x:v>R12 J01-J26 / 8x30, 12+22</x:v>
      </x:c>
    </x:row>
    <x:row r="125" ht="34" customHeight="1">
      <x:c r="A125" s="2" t="str">
        <x:v>H0120</x:v>
      </x:c>
      <x:c r="B125" s="2" t="str">
        <x:v>KI12-TV02S-07</x:v>
      </x:c>
      <x:c r="C125" s="2" t="str">
        <x:v>CSAP J20</x:v>
      </x:c>
      <x:c r="D125" s="2" t="n">
        <x:v>382</x:v>
      </x:c>
      <x:c r="E125" s="2" t="n">
        <x:v>332</x:v>
      </x:c>
      <x:c r="F125" s="2" t="n">
        <x:v>-9</x:v>
      </x:c>
      <x:c r="G125" s="2" t="n">
        <x:v>-1</x:v>
      </x:c>
      <x:c r="H125" s="2" t="n">
        <x:v>0</x:v>
      </x:c>
      <x:c r="I125" s="2" t="n">
        <x:v>0</x:v>
      </x:c>
      <x:c r="J125" s="2" t="n">
        <x:v>8</x:v>
      </x:c>
      <x:c r="K125" s="2" t="n">
        <x:v>22</x:v>
      </x:c>
      <x:c r="L125" s="2" t="n">
        <x:v>2229</x:v>
      </x:c>
      <x:c r="M125" s="2" t="n">
        <x:v>332</x:v>
      </x:c>
      <x:c r="N125" s="2" t="n">
        <x:v>532</x:v>
      </x:c>
      <x:c r="O125" s="2" t="str">
        <x:v>R12 J01-J26 / 8x30, 12+22</x:v>
      </x:c>
    </x:row>
    <x:row r="126" ht="34" customHeight="1">
      <x:c r="A126" s="2" t="str">
        <x:v>H0121</x:v>
      </x:c>
      <x:c r="B126" s="2" t="str">
        <x:v>KI12-TV02S-08</x:v>
      </x:c>
      <x:c r="C126" s="2" t="str">
        <x:v>CSAP J21</x:v>
      </x:c>
      <x:c r="D126" s="2" t="n">
        <x:v>9</x:v>
      </x:c>
      <x:c r="E126" s="2" t="n">
        <x:v>50</x:v>
      </x:c>
      <x:c r="F126" s="2" t="n">
        <x:v>0</x:v>
      </x:c>
      <x:c r="G126" s="2" t="n">
        <x:v>0</x:v>
      </x:c>
      <x:c r="H126" s="2" t="n">
        <x:v>0</x:v>
      </x:c>
      <x:c r="I126" s="2" t="n">
        <x:v>-1</x:v>
      </x:c>
      <x:c r="J126" s="2" t="n">
        <x:v>8</x:v>
      </x:c>
      <x:c r="K126" s="2" t="n">
        <x:v>12</x:v>
      </x:c>
      <x:c r="L126" s="2" t="n">
        <x:v>2892</x:v>
      </x:c>
      <x:c r="M126" s="2" t="n">
        <x:v>50</x:v>
      </x:c>
      <x:c r="N126" s="2" t="n">
        <x:v>159</x:v>
      </x:c>
      <x:c r="O126" s="2" t="str">
        <x:v>R12 J01-J26 / 8x30, 12+22</x:v>
      </x:c>
    </x:row>
    <x:row r="127" ht="34" customHeight="1">
      <x:c r="A127" s="2" t="str">
        <x:v>H0122</x:v>
      </x:c>
      <x:c r="B127" s="2" t="str">
        <x:v>KI12-TV02T2-03</x:v>
      </x:c>
      <x:c r="C127" s="2" t="str">
        <x:v>CSAP J21</x:v>
      </x:c>
      <x:c r="D127" s="2" t="n">
        <x:v>654</x:v>
      </x:c>
      <x:c r="E127" s="2" t="n">
        <x:v>50</x:v>
      </x:c>
      <x:c r="F127" s="2" t="n">
        <x:v>-9</x:v>
      </x:c>
      <x:c r="G127" s="2" t="n">
        <x:v>-1</x:v>
      </x:c>
      <x:c r="H127" s="2" t="n">
        <x:v>0</x:v>
      </x:c>
      <x:c r="I127" s="2" t="n">
        <x:v>0</x:v>
      </x:c>
      <x:c r="J127" s="2" t="n">
        <x:v>8</x:v>
      </x:c>
      <x:c r="K127" s="2" t="n">
        <x:v>22</x:v>
      </x:c>
      <x:c r="L127" s="2" t="n">
        <x:v>2892</x:v>
      </x:c>
      <x:c r="M127" s="2" t="n">
        <x:v>50</x:v>
      </x:c>
      <x:c r="N127" s="2" t="n">
        <x:v>159</x:v>
      </x:c>
      <x:c r="O127" s="2" t="str">
        <x:v>R12 J01-J26 / 8x30, 12+22</x:v>
      </x:c>
    </x:row>
    <x:row r="128" ht="34" customHeight="1">
      <x:c r="A128" s="2" t="str">
        <x:v>H0123</x:v>
      </x:c>
      <x:c r="B128" s="2" t="str">
        <x:v>KI12-TV02S-08</x:v>
      </x:c>
      <x:c r="C128" s="2" t="str">
        <x:v>CSAP J21</x:v>
      </x:c>
      <x:c r="D128" s="2" t="n">
        <x:v>9</x:v>
      </x:c>
      <x:c r="E128" s="2" t="n">
        <x:v>191</x:v>
      </x:c>
      <x:c r="F128" s="2" t="n">
        <x:v>0</x:v>
      </x:c>
      <x:c r="G128" s="2" t="n">
        <x:v>0</x:v>
      </x:c>
      <x:c r="H128" s="2" t="n">
        <x:v>0</x:v>
      </x:c>
      <x:c r="I128" s="2" t="n">
        <x:v>-1</x:v>
      </x:c>
      <x:c r="J128" s="2" t="n">
        <x:v>8</x:v>
      </x:c>
      <x:c r="K128" s="2" t="n">
        <x:v>12</x:v>
      </x:c>
      <x:c r="L128" s="2" t="n">
        <x:v>2892</x:v>
      </x:c>
      <x:c r="M128" s="2" t="n">
        <x:v>191</x:v>
      </x:c>
      <x:c r="N128" s="2" t="n">
        <x:v>159</x:v>
      </x:c>
      <x:c r="O128" s="2" t="str">
        <x:v>R12 J01-J26 / 8x30, 12+22</x:v>
      </x:c>
    </x:row>
    <x:row r="129" ht="34" customHeight="1">
      <x:c r="A129" s="2" t="str">
        <x:v>H0124</x:v>
      </x:c>
      <x:c r="B129" s="2" t="str">
        <x:v>KI12-TV02T2-03</x:v>
      </x:c>
      <x:c r="C129" s="2" t="str">
        <x:v>CSAP J21</x:v>
      </x:c>
      <x:c r="D129" s="2" t="n">
        <x:v>654</x:v>
      </x:c>
      <x:c r="E129" s="2" t="n">
        <x:v>191</x:v>
      </x:c>
      <x:c r="F129" s="2" t="n">
        <x:v>-9</x:v>
      </x:c>
      <x:c r="G129" s="2" t="n">
        <x:v>-1</x:v>
      </x:c>
      <x:c r="H129" s="2" t="n">
        <x:v>0</x:v>
      </x:c>
      <x:c r="I129" s="2" t="n">
        <x:v>0</x:v>
      </x:c>
      <x:c r="J129" s="2" t="n">
        <x:v>8</x:v>
      </x:c>
      <x:c r="K129" s="2" t="n">
        <x:v>22</x:v>
      </x:c>
      <x:c r="L129" s="2" t="n">
        <x:v>2892</x:v>
      </x:c>
      <x:c r="M129" s="2" t="n">
        <x:v>191</x:v>
      </x:c>
      <x:c r="N129" s="2" t="n">
        <x:v>159</x:v>
      </x:c>
      <x:c r="O129" s="2" t="str">
        <x:v>R12 J01-J26 / 8x30, 12+22</x:v>
      </x:c>
    </x:row>
    <x:row r="130" ht="34" customHeight="1">
      <x:c r="A130" s="2" t="str">
        <x:v>H0125</x:v>
      </x:c>
      <x:c r="B130" s="2" t="str">
        <x:v>KI12-TV02S-08</x:v>
      </x:c>
      <x:c r="C130" s="2" t="str">
        <x:v>CSAP J21</x:v>
      </x:c>
      <x:c r="D130" s="2" t="n">
        <x:v>9</x:v>
      </x:c>
      <x:c r="E130" s="2" t="n">
        <x:v>332</x:v>
      </x:c>
      <x:c r="F130" s="2" t="n">
        <x:v>0</x:v>
      </x:c>
      <x:c r="G130" s="2" t="n">
        <x:v>0</x:v>
      </x:c>
      <x:c r="H130" s="2" t="n">
        <x:v>0</x:v>
      </x:c>
      <x:c r="I130" s="2" t="n">
        <x:v>-1</x:v>
      </x:c>
      <x:c r="J130" s="2" t="n">
        <x:v>8</x:v>
      </x:c>
      <x:c r="K130" s="2" t="n">
        <x:v>12</x:v>
      </x:c>
      <x:c r="L130" s="2" t="n">
        <x:v>2892</x:v>
      </x:c>
      <x:c r="M130" s="2" t="n">
        <x:v>332</x:v>
      </x:c>
      <x:c r="N130" s="2" t="n">
        <x:v>159</x:v>
      </x:c>
      <x:c r="O130" s="2" t="str">
        <x:v>R12 J01-J26 / 8x30, 12+22</x:v>
      </x:c>
    </x:row>
    <x:row r="131" ht="34" customHeight="1">
      <x:c r="A131" s="2" t="str">
        <x:v>H0126</x:v>
      </x:c>
      <x:c r="B131" s="2" t="str">
        <x:v>KI12-TV02T2-03</x:v>
      </x:c>
      <x:c r="C131" s="2" t="str">
        <x:v>CSAP J21</x:v>
      </x:c>
      <x:c r="D131" s="2" t="n">
        <x:v>654</x:v>
      </x:c>
      <x:c r="E131" s="2" t="n">
        <x:v>332</x:v>
      </x:c>
      <x:c r="F131" s="2" t="n">
        <x:v>-9</x:v>
      </x:c>
      <x:c r="G131" s="2" t="n">
        <x:v>-1</x:v>
      </x:c>
      <x:c r="H131" s="2" t="n">
        <x:v>0</x:v>
      </x:c>
      <x:c r="I131" s="2" t="n">
        <x:v>0</x:v>
      </x:c>
      <x:c r="J131" s="2" t="n">
        <x:v>8</x:v>
      </x:c>
      <x:c r="K131" s="2" t="n">
        <x:v>22</x:v>
      </x:c>
      <x:c r="L131" s="2" t="n">
        <x:v>2892</x:v>
      </x:c>
      <x:c r="M131" s="2" t="n">
        <x:v>332</x:v>
      </x:c>
      <x:c r="N131" s="2" t="n">
        <x:v>159</x:v>
      </x:c>
      <x:c r="O131" s="2" t="str">
        <x:v>R12 J01-J26 / 8x30, 12+22</x:v>
      </x:c>
    </x:row>
    <x:row r="132" ht="34" customHeight="1">
      <x:c r="A132" s="2" t="str">
        <x:v>H0127</x:v>
      </x:c>
      <x:c r="B132" s="2" t="str">
        <x:v>KI12-TV02CAP-01</x:v>
      </x:c>
      <x:c r="C132" s="2" t="str">
        <x:v>CSAP J22</x:v>
      </x:c>
      <x:c r="D132" s="2" t="n">
        <x:v>2901</x:v>
      </x:c>
      <x:c r="E132" s="2" t="n">
        <x:v>50</x:v>
      </x:c>
      <x:c r="F132" s="2" t="n">
        <x:v>-18</x:v>
      </x:c>
      <x:c r="G132" s="2" t="n">
        <x:v>0</x:v>
      </x:c>
      <x:c r="H132" s="2" t="n">
        <x:v>0</x:v>
      </x:c>
      <x:c r="I132" s="2" t="n">
        <x:v>1</x:v>
      </x:c>
      <x:c r="J132" s="2" t="n">
        <x:v>8</x:v>
      </x:c>
      <x:c r="K132" s="2" t="n">
        <x:v>12</x:v>
      </x:c>
      <x:c r="L132" s="2" t="n">
        <x:v>2901</x:v>
      </x:c>
      <x:c r="M132" s="2" t="n">
        <x:v>50</x:v>
      </x:c>
      <x:c r="N132" s="2" t="n">
        <x:v>532</x:v>
      </x:c>
      <x:c r="O132" s="2" t="str">
        <x:v>R12 J01-J26 / 8x30, 12+22</x:v>
      </x:c>
    </x:row>
    <x:row r="133" ht="34" customHeight="1">
      <x:c r="A133" s="2" t="str">
        <x:v>H0128</x:v>
      </x:c>
      <x:c r="B133" s="2" t="str">
        <x:v>KI12-TV02S-08</x:v>
      </x:c>
      <x:c r="C133" s="2" t="str">
        <x:v>CSAP J22</x:v>
      </x:c>
      <x:c r="D133" s="2" t="n">
        <x:v>382</x:v>
      </x:c>
      <x:c r="E133" s="2" t="n">
        <x:v>50</x:v>
      </x:c>
      <x:c r="F133" s="2" t="n">
        <x:v>-9</x:v>
      </x:c>
      <x:c r="G133" s="2" t="n">
        <x:v>-1</x:v>
      </x:c>
      <x:c r="H133" s="2" t="n">
        <x:v>0</x:v>
      </x:c>
      <x:c r="I133" s="2" t="n">
        <x:v>0</x:v>
      </x:c>
      <x:c r="J133" s="2" t="n">
        <x:v>8</x:v>
      </x:c>
      <x:c r="K133" s="2" t="n">
        <x:v>22</x:v>
      </x:c>
      <x:c r="L133" s="2" t="n">
        <x:v>2901</x:v>
      </x:c>
      <x:c r="M133" s="2" t="n">
        <x:v>50</x:v>
      </x:c>
      <x:c r="N133" s="2" t="n">
        <x:v>532</x:v>
      </x:c>
      <x:c r="O133" s="2" t="str">
        <x:v>R12 J01-J26 / 8x30, 12+22</x:v>
      </x:c>
    </x:row>
    <x:row r="134" ht="34" customHeight="1">
      <x:c r="A134" s="2" t="str">
        <x:v>H0129</x:v>
      </x:c>
      <x:c r="B134" s="2" t="str">
        <x:v>KI12-TV02CAP-01</x:v>
      </x:c>
      <x:c r="C134" s="2" t="str">
        <x:v>CSAP J22</x:v>
      </x:c>
      <x:c r="D134" s="2" t="n">
        <x:v>2901</x:v>
      </x:c>
      <x:c r="E134" s="2" t="n">
        <x:v>191</x:v>
      </x:c>
      <x:c r="F134" s="2" t="n">
        <x:v>-18</x:v>
      </x:c>
      <x:c r="G134" s="2" t="n">
        <x:v>0</x:v>
      </x:c>
      <x:c r="H134" s="2" t="n">
        <x:v>0</x:v>
      </x:c>
      <x:c r="I134" s="2" t="n">
        <x:v>1</x:v>
      </x:c>
      <x:c r="J134" s="2" t="n">
        <x:v>8</x:v>
      </x:c>
      <x:c r="K134" s="2" t="n">
        <x:v>12</x:v>
      </x:c>
      <x:c r="L134" s="2" t="n">
        <x:v>2901</x:v>
      </x:c>
      <x:c r="M134" s="2" t="n">
        <x:v>191</x:v>
      </x:c>
      <x:c r="N134" s="2" t="n">
        <x:v>532</x:v>
      </x:c>
      <x:c r="O134" s="2" t="str">
        <x:v>R12 J01-J26 / 8x30, 12+22</x:v>
      </x:c>
    </x:row>
    <x:row r="135" ht="34" customHeight="1">
      <x:c r="A135" s="2" t="str">
        <x:v>H0130</x:v>
      </x:c>
      <x:c r="B135" s="2" t="str">
        <x:v>KI12-TV02S-08</x:v>
      </x:c>
      <x:c r="C135" s="2" t="str">
        <x:v>CSAP J22</x:v>
      </x:c>
      <x:c r="D135" s="2" t="n">
        <x:v>382</x:v>
      </x:c>
      <x:c r="E135" s="2" t="n">
        <x:v>191</x:v>
      </x:c>
      <x:c r="F135" s="2" t="n">
        <x:v>-9</x:v>
      </x:c>
      <x:c r="G135" s="2" t="n">
        <x:v>-1</x:v>
      </x:c>
      <x:c r="H135" s="2" t="n">
        <x:v>0</x:v>
      </x:c>
      <x:c r="I135" s="2" t="n">
        <x:v>0</x:v>
      </x:c>
      <x:c r="J135" s="2" t="n">
        <x:v>8</x:v>
      </x:c>
      <x:c r="K135" s="2" t="n">
        <x:v>22</x:v>
      </x:c>
      <x:c r="L135" s="2" t="n">
        <x:v>2901</x:v>
      </x:c>
      <x:c r="M135" s="2" t="n">
        <x:v>191</x:v>
      </x:c>
      <x:c r="N135" s="2" t="n">
        <x:v>532</x:v>
      </x:c>
      <x:c r="O135" s="2" t="str">
        <x:v>R12 J01-J26 / 8x30, 12+22</x:v>
      </x:c>
    </x:row>
    <x:row r="136" ht="34" customHeight="1">
      <x:c r="A136" s="2" t="str">
        <x:v>H0131</x:v>
      </x:c>
      <x:c r="B136" s="2" t="str">
        <x:v>KI12-TV02CAP-01</x:v>
      </x:c>
      <x:c r="C136" s="2" t="str">
        <x:v>CSAP J22</x:v>
      </x:c>
      <x:c r="D136" s="2" t="n">
        <x:v>2901</x:v>
      </x:c>
      <x:c r="E136" s="2" t="n">
        <x:v>332</x:v>
      </x:c>
      <x:c r="F136" s="2" t="n">
        <x:v>-18</x:v>
      </x:c>
      <x:c r="G136" s="2" t="n">
        <x:v>0</x:v>
      </x:c>
      <x:c r="H136" s="2" t="n">
        <x:v>0</x:v>
      </x:c>
      <x:c r="I136" s="2" t="n">
        <x:v>1</x:v>
      </x:c>
      <x:c r="J136" s="2" t="n">
        <x:v>8</x:v>
      </x:c>
      <x:c r="K136" s="2" t="n">
        <x:v>12</x:v>
      </x:c>
      <x:c r="L136" s="2" t="n">
        <x:v>2901</x:v>
      </x:c>
      <x:c r="M136" s="2" t="n">
        <x:v>332</x:v>
      </x:c>
      <x:c r="N136" s="2" t="n">
        <x:v>532</x:v>
      </x:c>
      <x:c r="O136" s="2" t="str">
        <x:v>R12 J01-J26 / 8x30, 12+22</x:v>
      </x:c>
    </x:row>
    <x:row r="137" ht="34" customHeight="1">
      <x:c r="A137" s="2" t="str">
        <x:v>H0132</x:v>
      </x:c>
      <x:c r="B137" s="2" t="str">
        <x:v>KI12-TV02S-08</x:v>
      </x:c>
      <x:c r="C137" s="2" t="str">
        <x:v>CSAP J22</x:v>
      </x:c>
      <x:c r="D137" s="2" t="n">
        <x:v>382</x:v>
      </x:c>
      <x:c r="E137" s="2" t="n">
        <x:v>332</x:v>
      </x:c>
      <x:c r="F137" s="2" t="n">
        <x:v>-9</x:v>
      </x:c>
      <x:c r="G137" s="2" t="n">
        <x:v>-1</x:v>
      </x:c>
      <x:c r="H137" s="2" t="n">
        <x:v>0</x:v>
      </x:c>
      <x:c r="I137" s="2" t="n">
        <x:v>0</x:v>
      </x:c>
      <x:c r="J137" s="2" t="n">
        <x:v>8</x:v>
      </x:c>
      <x:c r="K137" s="2" t="n">
        <x:v>22</x:v>
      </x:c>
      <x:c r="L137" s="2" t="n">
        <x:v>2901</x:v>
      </x:c>
      <x:c r="M137" s="2" t="n">
        <x:v>332</x:v>
      </x:c>
      <x:c r="N137" s="2" t="n">
        <x:v>532</x:v>
      </x:c>
      <x:c r="O137" s="2" t="str">
        <x:v>R12 J01-J26 / 8x30, 12+22</x:v>
      </x:c>
    </x:row>
    <x:row r="138" ht="34" customHeight="1">
      <x:c r="A138" s="2" t="str">
        <x:v>H0133</x:v>
      </x:c>
      <x:c r="B138" s="2" t="str">
        <x:v>KI12-TV02S-09</x:v>
      </x:c>
      <x:c r="C138" s="2" t="str">
        <x:v>CSAP J23</x:v>
      </x:c>
      <x:c r="D138" s="2" t="n">
        <x:v>9</x:v>
      </x:c>
      <x:c r="E138" s="2" t="n">
        <x:v>50</x:v>
      </x:c>
      <x:c r="F138" s="2" t="n">
        <x:v>-18</x:v>
      </x:c>
      <x:c r="G138" s="2" t="n">
        <x:v>0</x:v>
      </x:c>
      <x:c r="H138" s="2" t="n">
        <x:v>0</x:v>
      </x:c>
      <x:c r="I138" s="2" t="n">
        <x:v>1</x:v>
      </x:c>
      <x:c r="J138" s="2" t="n">
        <x:v>8</x:v>
      </x:c>
      <x:c r="K138" s="2" t="n">
        <x:v>12</x:v>
      </x:c>
      <x:c r="L138" s="2" t="n">
        <x:v>2928</x:v>
      </x:c>
      <x:c r="M138" s="2" t="n">
        <x:v>50</x:v>
      </x:c>
      <x:c r="N138" s="2" t="n">
        <x:v>159</x:v>
      </x:c>
      <x:c r="O138" s="2" t="str">
        <x:v>R12 J01-J26 / 8x30, 12+22</x:v>
      </x:c>
    </x:row>
    <x:row r="139" ht="34" customHeight="1">
      <x:c r="A139" s="2" t="str">
        <x:v>H0134</x:v>
      </x:c>
      <x:c r="B139" s="2" t="str">
        <x:v>KI12-TV02T2-04</x:v>
      </x:c>
      <x:c r="C139" s="2" t="str">
        <x:v>CSAP J23</x:v>
      </x:c>
      <x:c r="D139" s="2" t="n">
        <x:v>0</x:v>
      </x:c>
      <x:c r="E139" s="2" t="n">
        <x:v>50</x:v>
      </x:c>
      <x:c r="F139" s="2" t="n">
        <x:v>-9</x:v>
      </x:c>
      <x:c r="G139" s="2" t="n">
        <x:v>1</x:v>
      </x:c>
      <x:c r="H139" s="2" t="n">
        <x:v>0</x:v>
      </x:c>
      <x:c r="I139" s="2" t="n">
        <x:v>0</x:v>
      </x:c>
      <x:c r="J139" s="2" t="n">
        <x:v>8</x:v>
      </x:c>
      <x:c r="K139" s="2" t="n">
        <x:v>22</x:v>
      </x:c>
      <x:c r="L139" s="2" t="n">
        <x:v>2928</x:v>
      </x:c>
      <x:c r="M139" s="2" t="n">
        <x:v>50</x:v>
      </x:c>
      <x:c r="N139" s="2" t="n">
        <x:v>159</x:v>
      </x:c>
      <x:c r="O139" s="2" t="str">
        <x:v>R12 J01-J26 / 8x30, 12+22</x:v>
      </x:c>
    </x:row>
    <x:row r="140" ht="34" customHeight="1">
      <x:c r="A140" s="2" t="str">
        <x:v>H0135</x:v>
      </x:c>
      <x:c r="B140" s="2" t="str">
        <x:v>KI12-TV02S-09</x:v>
      </x:c>
      <x:c r="C140" s="2" t="str">
        <x:v>CSAP J23</x:v>
      </x:c>
      <x:c r="D140" s="2" t="n">
        <x:v>9</x:v>
      </x:c>
      <x:c r="E140" s="2" t="n">
        <x:v>191</x:v>
      </x:c>
      <x:c r="F140" s="2" t="n">
        <x:v>-18</x:v>
      </x:c>
      <x:c r="G140" s="2" t="n">
        <x:v>0</x:v>
      </x:c>
      <x:c r="H140" s="2" t="n">
        <x:v>0</x:v>
      </x:c>
      <x:c r="I140" s="2" t="n">
        <x:v>1</x:v>
      </x:c>
      <x:c r="J140" s="2" t="n">
        <x:v>8</x:v>
      </x:c>
      <x:c r="K140" s="2" t="n">
        <x:v>12</x:v>
      </x:c>
      <x:c r="L140" s="2" t="n">
        <x:v>2928</x:v>
      </x:c>
      <x:c r="M140" s="2" t="n">
        <x:v>191</x:v>
      </x:c>
      <x:c r="N140" s="2" t="n">
        <x:v>159</x:v>
      </x:c>
      <x:c r="O140" s="2" t="str">
        <x:v>R12 J01-J26 / 8x30, 12+22</x:v>
      </x:c>
    </x:row>
    <x:row r="141" ht="34" customHeight="1">
      <x:c r="A141" s="2" t="str">
        <x:v>H0136</x:v>
      </x:c>
      <x:c r="B141" s="2" t="str">
        <x:v>KI12-TV02T2-04</x:v>
      </x:c>
      <x:c r="C141" s="2" t="str">
        <x:v>CSAP J23</x:v>
      </x:c>
      <x:c r="D141" s="2" t="n">
        <x:v>0</x:v>
      </x:c>
      <x:c r="E141" s="2" t="n">
        <x:v>191</x:v>
      </x:c>
      <x:c r="F141" s="2" t="n">
        <x:v>-9</x:v>
      </x:c>
      <x:c r="G141" s="2" t="n">
        <x:v>1</x:v>
      </x:c>
      <x:c r="H141" s="2" t="n">
        <x:v>0</x:v>
      </x:c>
      <x:c r="I141" s="2" t="n">
        <x:v>0</x:v>
      </x:c>
      <x:c r="J141" s="2" t="n">
        <x:v>8</x:v>
      </x:c>
      <x:c r="K141" s="2" t="n">
        <x:v>22</x:v>
      </x:c>
      <x:c r="L141" s="2" t="n">
        <x:v>2928</x:v>
      </x:c>
      <x:c r="M141" s="2" t="n">
        <x:v>191</x:v>
      </x:c>
      <x:c r="N141" s="2" t="n">
        <x:v>159</x:v>
      </x:c>
      <x:c r="O141" s="2" t="str">
        <x:v>R12 J01-J26 / 8x30, 12+22</x:v>
      </x:c>
    </x:row>
    <x:row r="142" ht="34" customHeight="1">
      <x:c r="A142" s="2" t="str">
        <x:v>H0137</x:v>
      </x:c>
      <x:c r="B142" s="2" t="str">
        <x:v>KI12-TV02S-09</x:v>
      </x:c>
      <x:c r="C142" s="2" t="str">
        <x:v>CSAP J23</x:v>
      </x:c>
      <x:c r="D142" s="2" t="n">
        <x:v>9</x:v>
      </x:c>
      <x:c r="E142" s="2" t="n">
        <x:v>332</x:v>
      </x:c>
      <x:c r="F142" s="2" t="n">
        <x:v>-18</x:v>
      </x:c>
      <x:c r="G142" s="2" t="n">
        <x:v>0</x:v>
      </x:c>
      <x:c r="H142" s="2" t="n">
        <x:v>0</x:v>
      </x:c>
      <x:c r="I142" s="2" t="n">
        <x:v>1</x:v>
      </x:c>
      <x:c r="J142" s="2" t="n">
        <x:v>8</x:v>
      </x:c>
      <x:c r="K142" s="2" t="n">
        <x:v>12</x:v>
      </x:c>
      <x:c r="L142" s="2" t="n">
        <x:v>2928</x:v>
      </x:c>
      <x:c r="M142" s="2" t="n">
        <x:v>332</x:v>
      </x:c>
      <x:c r="N142" s="2" t="n">
        <x:v>159</x:v>
      </x:c>
      <x:c r="O142" s="2" t="str">
        <x:v>R12 J01-J26 / 8x30, 12+22</x:v>
      </x:c>
    </x:row>
    <x:row r="143" ht="34" customHeight="1">
      <x:c r="A143" s="2" t="str">
        <x:v>H0138</x:v>
      </x:c>
      <x:c r="B143" s="2" t="str">
        <x:v>KI12-TV02T2-04</x:v>
      </x:c>
      <x:c r="C143" s="2" t="str">
        <x:v>CSAP J23</x:v>
      </x:c>
      <x:c r="D143" s="2" t="n">
        <x:v>0</x:v>
      </x:c>
      <x:c r="E143" s="2" t="n">
        <x:v>332</x:v>
      </x:c>
      <x:c r="F143" s="2" t="n">
        <x:v>-9</x:v>
      </x:c>
      <x:c r="G143" s="2" t="n">
        <x:v>1</x:v>
      </x:c>
      <x:c r="H143" s="2" t="n">
        <x:v>0</x:v>
      </x:c>
      <x:c r="I143" s="2" t="n">
        <x:v>0</x:v>
      </x:c>
      <x:c r="J143" s="2" t="n">
        <x:v>8</x:v>
      </x:c>
      <x:c r="K143" s="2" t="n">
        <x:v>22</x:v>
      </x:c>
      <x:c r="L143" s="2" t="n">
        <x:v>2928</x:v>
      </x:c>
      <x:c r="M143" s="2" t="n">
        <x:v>332</x:v>
      </x:c>
      <x:c r="N143" s="2" t="n">
        <x:v>159</x:v>
      </x:c>
      <x:c r="O143" s="2" t="str">
        <x:v>R12 J01-J26 / 8x30, 12+22</x:v>
      </x:c>
    </x:row>
    <x:row r="144" ht="34" customHeight="1">
      <x:c r="A144" s="2" t="str">
        <x:v>H0139</x:v>
      </x:c>
      <x:c r="B144" s="2" t="str">
        <x:v>KI12-TV02CAP-01</x:v>
      </x:c>
      <x:c r="C144" s="2" t="str">
        <x:v>CSAP J24</x:v>
      </x:c>
      <x:c r="D144" s="2" t="n">
        <x:v>2919</x:v>
      </x:c>
      <x:c r="E144" s="2" t="n">
        <x:v>50</x:v>
      </x:c>
      <x:c r="F144" s="2" t="n">
        <x:v>-18</x:v>
      </x:c>
      <x:c r="G144" s="2" t="n">
        <x:v>0</x:v>
      </x:c>
      <x:c r="H144" s="2" t="n">
        <x:v>0</x:v>
      </x:c>
      <x:c r="I144" s="2" t="n">
        <x:v>1</x:v>
      </x:c>
      <x:c r="J144" s="2" t="n">
        <x:v>8</x:v>
      </x:c>
      <x:c r="K144" s="2" t="n">
        <x:v>12</x:v>
      </x:c>
      <x:c r="L144" s="2" t="n">
        <x:v>2919</x:v>
      </x:c>
      <x:c r="M144" s="2" t="n">
        <x:v>50</x:v>
      </x:c>
      <x:c r="N144" s="2" t="n">
        <x:v>532</x:v>
      </x:c>
      <x:c r="O144" s="2" t="str">
        <x:v>R12 J01-J26 / 8x30, 12+22</x:v>
      </x:c>
    </x:row>
    <x:row r="145" ht="34" customHeight="1">
      <x:c r="A145" s="2" t="str">
        <x:v>H0140</x:v>
      </x:c>
      <x:c r="B145" s="2" t="str">
        <x:v>KI12-TV02S-09</x:v>
      </x:c>
      <x:c r="C145" s="2" t="str">
        <x:v>CSAP J24</x:v>
      </x:c>
      <x:c r="D145" s="2" t="n">
        <x:v>382</x:v>
      </x:c>
      <x:c r="E145" s="2" t="n">
        <x:v>50</x:v>
      </x:c>
      <x:c r="F145" s="2" t="n">
        <x:v>-9</x:v>
      </x:c>
      <x:c r="G145" s="2" t="n">
        <x:v>-1</x:v>
      </x:c>
      <x:c r="H145" s="2" t="n">
        <x:v>0</x:v>
      </x:c>
      <x:c r="I145" s="2" t="n">
        <x:v>0</x:v>
      </x:c>
      <x:c r="J145" s="2" t="n">
        <x:v>8</x:v>
      </x:c>
      <x:c r="K145" s="2" t="n">
        <x:v>22</x:v>
      </x:c>
      <x:c r="L145" s="2" t="n">
        <x:v>2919</x:v>
      </x:c>
      <x:c r="M145" s="2" t="n">
        <x:v>50</x:v>
      </x:c>
      <x:c r="N145" s="2" t="n">
        <x:v>532</x:v>
      </x:c>
      <x:c r="O145" s="2" t="str">
        <x:v>R12 J01-J26 / 8x30, 12+22</x:v>
      </x:c>
    </x:row>
    <x:row r="146" ht="34" customHeight="1">
      <x:c r="A146" s="2" t="str">
        <x:v>H0141</x:v>
      </x:c>
      <x:c r="B146" s="2" t="str">
        <x:v>KI12-TV02CAP-01</x:v>
      </x:c>
      <x:c r="C146" s="2" t="str">
        <x:v>CSAP J24</x:v>
      </x:c>
      <x:c r="D146" s="2" t="n">
        <x:v>2919</x:v>
      </x:c>
      <x:c r="E146" s="2" t="n">
        <x:v>191</x:v>
      </x:c>
      <x:c r="F146" s="2" t="n">
        <x:v>-18</x:v>
      </x:c>
      <x:c r="G146" s="2" t="n">
        <x:v>0</x:v>
      </x:c>
      <x:c r="H146" s="2" t="n">
        <x:v>0</x:v>
      </x:c>
      <x:c r="I146" s="2" t="n">
        <x:v>1</x:v>
      </x:c>
      <x:c r="J146" s="2" t="n">
        <x:v>8</x:v>
      </x:c>
      <x:c r="K146" s="2" t="n">
        <x:v>12</x:v>
      </x:c>
      <x:c r="L146" s="2" t="n">
        <x:v>2919</x:v>
      </x:c>
      <x:c r="M146" s="2" t="n">
        <x:v>191</x:v>
      </x:c>
      <x:c r="N146" s="2" t="n">
        <x:v>532</x:v>
      </x:c>
      <x:c r="O146" s="2" t="str">
        <x:v>R12 J01-J26 / 8x30, 12+22</x:v>
      </x:c>
    </x:row>
    <x:row r="147" ht="34" customHeight="1">
      <x:c r="A147" s="2" t="str">
        <x:v>H0142</x:v>
      </x:c>
      <x:c r="B147" s="2" t="str">
        <x:v>KI12-TV02S-09</x:v>
      </x:c>
      <x:c r="C147" s="2" t="str">
        <x:v>CSAP J24</x:v>
      </x:c>
      <x:c r="D147" s="2" t="n">
        <x:v>382</x:v>
      </x:c>
      <x:c r="E147" s="2" t="n">
        <x:v>191</x:v>
      </x:c>
      <x:c r="F147" s="2" t="n">
        <x:v>-9</x:v>
      </x:c>
      <x:c r="G147" s="2" t="n">
        <x:v>-1</x:v>
      </x:c>
      <x:c r="H147" s="2" t="n">
        <x:v>0</x:v>
      </x:c>
      <x:c r="I147" s="2" t="n">
        <x:v>0</x:v>
      </x:c>
      <x:c r="J147" s="2" t="n">
        <x:v>8</x:v>
      </x:c>
      <x:c r="K147" s="2" t="n">
        <x:v>22</x:v>
      </x:c>
      <x:c r="L147" s="2" t="n">
        <x:v>2919</x:v>
      </x:c>
      <x:c r="M147" s="2" t="n">
        <x:v>191</x:v>
      </x:c>
      <x:c r="N147" s="2" t="n">
        <x:v>532</x:v>
      </x:c>
      <x:c r="O147" s="2" t="str">
        <x:v>R12 J01-J26 / 8x30, 12+22</x:v>
      </x:c>
    </x:row>
    <x:row r="148" ht="34" customHeight="1">
      <x:c r="A148" s="2" t="str">
        <x:v>H0143</x:v>
      </x:c>
      <x:c r="B148" s="2" t="str">
        <x:v>KI12-TV02CAP-01</x:v>
      </x:c>
      <x:c r="C148" s="2" t="str">
        <x:v>CSAP J24</x:v>
      </x:c>
      <x:c r="D148" s="2" t="n">
        <x:v>2919</x:v>
      </x:c>
      <x:c r="E148" s="2" t="n">
        <x:v>332</x:v>
      </x:c>
      <x:c r="F148" s="2" t="n">
        <x:v>-18</x:v>
      </x:c>
      <x:c r="G148" s="2" t="n">
        <x:v>0</x:v>
      </x:c>
      <x:c r="H148" s="2" t="n">
        <x:v>0</x:v>
      </x:c>
      <x:c r="I148" s="2" t="n">
        <x:v>1</x:v>
      </x:c>
      <x:c r="J148" s="2" t="n">
        <x:v>8</x:v>
      </x:c>
      <x:c r="K148" s="2" t="n">
        <x:v>12</x:v>
      </x:c>
      <x:c r="L148" s="2" t="n">
        <x:v>2919</x:v>
      </x:c>
      <x:c r="M148" s="2" t="n">
        <x:v>332</x:v>
      </x:c>
      <x:c r="N148" s="2" t="n">
        <x:v>532</x:v>
      </x:c>
      <x:c r="O148" s="2" t="str">
        <x:v>R12 J01-J26 / 8x30, 12+22</x:v>
      </x:c>
    </x:row>
    <x:row r="149" ht="34" customHeight="1">
      <x:c r="A149" s="2" t="str">
        <x:v>H0144</x:v>
      </x:c>
      <x:c r="B149" s="2" t="str">
        <x:v>KI12-TV02S-09</x:v>
      </x:c>
      <x:c r="C149" s="2" t="str">
        <x:v>CSAP J24</x:v>
      </x:c>
      <x:c r="D149" s="2" t="n">
        <x:v>382</x:v>
      </x:c>
      <x:c r="E149" s="2" t="n">
        <x:v>332</x:v>
      </x:c>
      <x:c r="F149" s="2" t="n">
        <x:v>-9</x:v>
      </x:c>
      <x:c r="G149" s="2" t="n">
        <x:v>-1</x:v>
      </x:c>
      <x:c r="H149" s="2" t="n">
        <x:v>0</x:v>
      </x:c>
      <x:c r="I149" s="2" t="n">
        <x:v>0</x:v>
      </x:c>
      <x:c r="J149" s="2" t="n">
        <x:v>8</x:v>
      </x:c>
      <x:c r="K149" s="2" t="n">
        <x:v>22</x:v>
      </x:c>
      <x:c r="L149" s="2" t="n">
        <x:v>2919</x:v>
      </x:c>
      <x:c r="M149" s="2" t="n">
        <x:v>332</x:v>
      </x:c>
      <x:c r="N149" s="2" t="n">
        <x:v>532</x:v>
      </x:c>
      <x:c r="O149" s="2" t="str">
        <x:v>R12 J01-J26 / 8x30, 12+22</x:v>
      </x:c>
    </x:row>
    <x:row r="150" ht="34" customHeight="1">
      <x:c r="A150" s="2" t="str">
        <x:v>H0145</x:v>
      </x:c>
      <x:c r="B150" s="2" t="str">
        <x:v>KI12-TV02S-10</x:v>
      </x:c>
      <x:c r="C150" s="2" t="str">
        <x:v>CSAP J25</x:v>
      </x:c>
      <x:c r="D150" s="2" t="n">
        <x:v>9</x:v>
      </x:c>
      <x:c r="E150" s="2" t="n">
        <x:v>50</x:v>
      </x:c>
      <x:c r="F150" s="2" t="n">
        <x:v>0</x:v>
      </x:c>
      <x:c r="G150" s="2" t="n">
        <x:v>0</x:v>
      </x:c>
      <x:c r="H150" s="2" t="n">
        <x:v>0</x:v>
      </x:c>
      <x:c r="I150" s="2" t="n">
        <x:v>-1</x:v>
      </x:c>
      <x:c r="J150" s="2" t="n">
        <x:v>8</x:v>
      </x:c>
      <x:c r="K150" s="2" t="n">
        <x:v>12</x:v>
      </x:c>
      <x:c r="L150" s="2" t="n">
        <x:v>3582</x:v>
      </x:c>
      <x:c r="M150" s="2" t="n">
        <x:v>50</x:v>
      </x:c>
      <x:c r="N150" s="2" t="n">
        <x:v>159</x:v>
      </x:c>
      <x:c r="O150" s="2" t="str">
        <x:v>R12 J01-J26 / 8x30, 12+22</x:v>
      </x:c>
    </x:row>
    <x:row r="151" ht="34" customHeight="1">
      <x:c r="A151" s="2" t="str">
        <x:v>H0146</x:v>
      </x:c>
      <x:c r="B151" s="2" t="str">
        <x:v>KI12-TV02T2-04</x:v>
      </x:c>
      <x:c r="C151" s="2" t="str">
        <x:v>CSAP J25</x:v>
      </x:c>
      <x:c r="D151" s="2" t="n">
        <x:v>654</x:v>
      </x:c>
      <x:c r="E151" s="2" t="n">
        <x:v>50</x:v>
      </x:c>
      <x:c r="F151" s="2" t="n">
        <x:v>-9</x:v>
      </x:c>
      <x:c r="G151" s="2" t="n">
        <x:v>-1</x:v>
      </x:c>
      <x:c r="H151" s="2" t="n">
        <x:v>0</x:v>
      </x:c>
      <x:c r="I151" s="2" t="n">
        <x:v>0</x:v>
      </x:c>
      <x:c r="J151" s="2" t="n">
        <x:v>8</x:v>
      </x:c>
      <x:c r="K151" s="2" t="n">
        <x:v>22</x:v>
      </x:c>
      <x:c r="L151" s="2" t="n">
        <x:v>3582</x:v>
      </x:c>
      <x:c r="M151" s="2" t="n">
        <x:v>50</x:v>
      </x:c>
      <x:c r="N151" s="2" t="n">
        <x:v>159</x:v>
      </x:c>
      <x:c r="O151" s="2" t="str">
        <x:v>R12 J01-J26 / 8x30, 12+22</x:v>
      </x:c>
    </x:row>
    <x:row r="152" ht="34" customHeight="1">
      <x:c r="A152" s="2" t="str">
        <x:v>H0147</x:v>
      </x:c>
      <x:c r="B152" s="2" t="str">
        <x:v>KI12-TV02S-10</x:v>
      </x:c>
      <x:c r="C152" s="2" t="str">
        <x:v>CSAP J25</x:v>
      </x:c>
      <x:c r="D152" s="2" t="n">
        <x:v>9</x:v>
      </x:c>
      <x:c r="E152" s="2" t="n">
        <x:v>191</x:v>
      </x:c>
      <x:c r="F152" s="2" t="n">
        <x:v>0</x:v>
      </x:c>
      <x:c r="G152" s="2" t="n">
        <x:v>0</x:v>
      </x:c>
      <x:c r="H152" s="2" t="n">
        <x:v>0</x:v>
      </x:c>
      <x:c r="I152" s="2" t="n">
        <x:v>-1</x:v>
      </x:c>
      <x:c r="J152" s="2" t="n">
        <x:v>8</x:v>
      </x:c>
      <x:c r="K152" s="2" t="n">
        <x:v>12</x:v>
      </x:c>
      <x:c r="L152" s="2" t="n">
        <x:v>3582</x:v>
      </x:c>
      <x:c r="M152" s="2" t="n">
        <x:v>191</x:v>
      </x:c>
      <x:c r="N152" s="2" t="n">
        <x:v>159</x:v>
      </x:c>
      <x:c r="O152" s="2" t="str">
        <x:v>R12 J01-J26 / 8x30, 12+22</x:v>
      </x:c>
    </x:row>
    <x:row r="153" ht="34" customHeight="1">
      <x:c r="A153" s="2" t="str">
        <x:v>H0148</x:v>
      </x:c>
      <x:c r="B153" s="2" t="str">
        <x:v>KI12-TV02T2-04</x:v>
      </x:c>
      <x:c r="C153" s="2" t="str">
        <x:v>CSAP J25</x:v>
      </x:c>
      <x:c r="D153" s="2" t="n">
        <x:v>654</x:v>
      </x:c>
      <x:c r="E153" s="2" t="n">
        <x:v>191</x:v>
      </x:c>
      <x:c r="F153" s="2" t="n">
        <x:v>-9</x:v>
      </x:c>
      <x:c r="G153" s="2" t="n">
        <x:v>-1</x:v>
      </x:c>
      <x:c r="H153" s="2" t="n">
        <x:v>0</x:v>
      </x:c>
      <x:c r="I153" s="2" t="n">
        <x:v>0</x:v>
      </x:c>
      <x:c r="J153" s="2" t="n">
        <x:v>8</x:v>
      </x:c>
      <x:c r="K153" s="2" t="n">
        <x:v>22</x:v>
      </x:c>
      <x:c r="L153" s="2" t="n">
        <x:v>3582</x:v>
      </x:c>
      <x:c r="M153" s="2" t="n">
        <x:v>191</x:v>
      </x:c>
      <x:c r="N153" s="2" t="n">
        <x:v>159</x:v>
      </x:c>
      <x:c r="O153" s="2" t="str">
        <x:v>R12 J01-J26 / 8x30, 12+22</x:v>
      </x:c>
    </x:row>
    <x:row r="154" ht="34" customHeight="1">
      <x:c r="A154" s="2" t="str">
        <x:v>H0149</x:v>
      </x:c>
      <x:c r="B154" s="2" t="str">
        <x:v>KI12-TV02S-10</x:v>
      </x:c>
      <x:c r="C154" s="2" t="str">
        <x:v>CSAP J25</x:v>
      </x:c>
      <x:c r="D154" s="2" t="n">
        <x:v>9</x:v>
      </x:c>
      <x:c r="E154" s="2" t="n">
        <x:v>332</x:v>
      </x:c>
      <x:c r="F154" s="2" t="n">
        <x:v>0</x:v>
      </x:c>
      <x:c r="G154" s="2" t="n">
        <x:v>0</x:v>
      </x:c>
      <x:c r="H154" s="2" t="n">
        <x:v>0</x:v>
      </x:c>
      <x:c r="I154" s="2" t="n">
        <x:v>-1</x:v>
      </x:c>
      <x:c r="J154" s="2" t="n">
        <x:v>8</x:v>
      </x:c>
      <x:c r="K154" s="2" t="n">
        <x:v>12</x:v>
      </x:c>
      <x:c r="L154" s="2" t="n">
        <x:v>3582</x:v>
      </x:c>
      <x:c r="M154" s="2" t="n">
        <x:v>332</x:v>
      </x:c>
      <x:c r="N154" s="2" t="n">
        <x:v>159</x:v>
      </x:c>
      <x:c r="O154" s="2" t="str">
        <x:v>R12 J01-J26 / 8x30, 12+22</x:v>
      </x:c>
    </x:row>
    <x:row r="155" ht="34" customHeight="1">
      <x:c r="A155" s="2" t="str">
        <x:v>H0150</x:v>
      </x:c>
      <x:c r="B155" s="2" t="str">
        <x:v>KI12-TV02T2-04</x:v>
      </x:c>
      <x:c r="C155" s="2" t="str">
        <x:v>CSAP J25</x:v>
      </x:c>
      <x:c r="D155" s="2" t="n">
        <x:v>654</x:v>
      </x:c>
      <x:c r="E155" s="2" t="n">
        <x:v>332</x:v>
      </x:c>
      <x:c r="F155" s="2" t="n">
        <x:v>-9</x:v>
      </x:c>
      <x:c r="G155" s="2" t="n">
        <x:v>-1</x:v>
      </x:c>
      <x:c r="H155" s="2" t="n">
        <x:v>0</x:v>
      </x:c>
      <x:c r="I155" s="2" t="n">
        <x:v>0</x:v>
      </x:c>
      <x:c r="J155" s="2" t="n">
        <x:v>8</x:v>
      </x:c>
      <x:c r="K155" s="2" t="n">
        <x:v>22</x:v>
      </x:c>
      <x:c r="L155" s="2" t="n">
        <x:v>3582</x:v>
      </x:c>
      <x:c r="M155" s="2" t="n">
        <x:v>332</x:v>
      </x:c>
      <x:c r="N155" s="2" t="n">
        <x:v>159</x:v>
      </x:c>
      <x:c r="O155" s="2" t="str">
        <x:v>R12 J01-J26 / 8x30, 12+22</x:v>
      </x:c>
    </x:row>
    <x:row r="156" ht="34" customHeight="1">
      <x:c r="A156" s="2" t="str">
        <x:v>H0151</x:v>
      </x:c>
      <x:c r="B156" s="2" t="str">
        <x:v>KI12-TV02CAP-01</x:v>
      </x:c>
      <x:c r="C156" s="2" t="str">
        <x:v>CSAP J26</x:v>
      </x:c>
      <x:c r="D156" s="2" t="n">
        <x:v>3591</x:v>
      </x:c>
      <x:c r="E156" s="2" t="n">
        <x:v>50</x:v>
      </x:c>
      <x:c r="F156" s="2" t="n">
        <x:v>-18</x:v>
      </x:c>
      <x:c r="G156" s="2" t="n">
        <x:v>0</x:v>
      </x:c>
      <x:c r="H156" s="2" t="n">
        <x:v>0</x:v>
      </x:c>
      <x:c r="I156" s="2" t="n">
        <x:v>1</x:v>
      </x:c>
      <x:c r="J156" s="2" t="n">
        <x:v>8</x:v>
      </x:c>
      <x:c r="K156" s="2" t="n">
        <x:v>12</x:v>
      </x:c>
      <x:c r="L156" s="2" t="n">
        <x:v>3591</x:v>
      </x:c>
      <x:c r="M156" s="2" t="n">
        <x:v>50</x:v>
      </x:c>
      <x:c r="N156" s="2" t="n">
        <x:v>532</x:v>
      </x:c>
      <x:c r="O156" s="2" t="str">
        <x:v>R12 J01-J26 / 8x30, 12+22</x:v>
      </x:c>
    </x:row>
    <x:row r="157" ht="34" customHeight="1">
      <x:c r="A157" s="2" t="str">
        <x:v>H0152</x:v>
      </x:c>
      <x:c r="B157" s="2" t="str">
        <x:v>KI12-TV02S-10</x:v>
      </x:c>
      <x:c r="C157" s="2" t="str">
        <x:v>CSAP J26</x:v>
      </x:c>
      <x:c r="D157" s="2" t="n">
        <x:v>382</x:v>
      </x:c>
      <x:c r="E157" s="2" t="n">
        <x:v>50</x:v>
      </x:c>
      <x:c r="F157" s="2" t="n">
        <x:v>-9</x:v>
      </x:c>
      <x:c r="G157" s="2" t="n">
        <x:v>-1</x:v>
      </x:c>
      <x:c r="H157" s="2" t="n">
        <x:v>0</x:v>
      </x:c>
      <x:c r="I157" s="2" t="n">
        <x:v>0</x:v>
      </x:c>
      <x:c r="J157" s="2" t="n">
        <x:v>8</x:v>
      </x:c>
      <x:c r="K157" s="2" t="n">
        <x:v>22</x:v>
      </x:c>
      <x:c r="L157" s="2" t="n">
        <x:v>3591</x:v>
      </x:c>
      <x:c r="M157" s="2" t="n">
        <x:v>50</x:v>
      </x:c>
      <x:c r="N157" s="2" t="n">
        <x:v>532</x:v>
      </x:c>
      <x:c r="O157" s="2" t="str">
        <x:v>R12 J01-J26 / 8x30, 12+22</x:v>
      </x:c>
    </x:row>
    <x:row r="158" ht="34" customHeight="1">
      <x:c r="A158" s="2" t="str">
        <x:v>H0153</x:v>
      </x:c>
      <x:c r="B158" s="2" t="str">
        <x:v>KI12-TV02CAP-01</x:v>
      </x:c>
      <x:c r="C158" s="2" t="str">
        <x:v>CSAP J26</x:v>
      </x:c>
      <x:c r="D158" s="2" t="n">
        <x:v>3591</x:v>
      </x:c>
      <x:c r="E158" s="2" t="n">
        <x:v>191</x:v>
      </x:c>
      <x:c r="F158" s="2" t="n">
        <x:v>-18</x:v>
      </x:c>
      <x:c r="G158" s="2" t="n">
        <x:v>0</x:v>
      </x:c>
      <x:c r="H158" s="2" t="n">
        <x:v>0</x:v>
      </x:c>
      <x:c r="I158" s="2" t="n">
        <x:v>1</x:v>
      </x:c>
      <x:c r="J158" s="2" t="n">
        <x:v>8</x:v>
      </x:c>
      <x:c r="K158" s="2" t="n">
        <x:v>12</x:v>
      </x:c>
      <x:c r="L158" s="2" t="n">
        <x:v>3591</x:v>
      </x:c>
      <x:c r="M158" s="2" t="n">
        <x:v>191</x:v>
      </x:c>
      <x:c r="N158" s="2" t="n">
        <x:v>532</x:v>
      </x:c>
      <x:c r="O158" s="2" t="str">
        <x:v>R12 J01-J26 / 8x30, 12+22</x:v>
      </x:c>
    </x:row>
    <x:row r="159" ht="34" customHeight="1">
      <x:c r="A159" s="2" t="str">
        <x:v>H0154</x:v>
      </x:c>
      <x:c r="B159" s="2" t="str">
        <x:v>KI12-TV02S-10</x:v>
      </x:c>
      <x:c r="C159" s="2" t="str">
        <x:v>CSAP J26</x:v>
      </x:c>
      <x:c r="D159" s="2" t="n">
        <x:v>382</x:v>
      </x:c>
      <x:c r="E159" s="2" t="n">
        <x:v>191</x:v>
      </x:c>
      <x:c r="F159" s="2" t="n">
        <x:v>-9</x:v>
      </x:c>
      <x:c r="G159" s="2" t="n">
        <x:v>-1</x:v>
      </x:c>
      <x:c r="H159" s="2" t="n">
        <x:v>0</x:v>
      </x:c>
      <x:c r="I159" s="2" t="n">
        <x:v>0</x:v>
      </x:c>
      <x:c r="J159" s="2" t="n">
        <x:v>8</x:v>
      </x:c>
      <x:c r="K159" s="2" t="n">
        <x:v>22</x:v>
      </x:c>
      <x:c r="L159" s="2" t="n">
        <x:v>3591</x:v>
      </x:c>
      <x:c r="M159" s="2" t="n">
        <x:v>191</x:v>
      </x:c>
      <x:c r="N159" s="2" t="n">
        <x:v>532</x:v>
      </x:c>
      <x:c r="O159" s="2" t="str">
        <x:v>R12 J01-J26 / 8x30, 12+22</x:v>
      </x:c>
    </x:row>
    <x:row r="160" ht="34" customHeight="1">
      <x:c r="A160" s="2" t="str">
        <x:v>H0155</x:v>
      </x:c>
      <x:c r="B160" s="2" t="str">
        <x:v>KI12-TV02CAP-01</x:v>
      </x:c>
      <x:c r="C160" s="2" t="str">
        <x:v>CSAP J26</x:v>
      </x:c>
      <x:c r="D160" s="2" t="n">
        <x:v>3591</x:v>
      </x:c>
      <x:c r="E160" s="2" t="n">
        <x:v>332</x:v>
      </x:c>
      <x:c r="F160" s="2" t="n">
        <x:v>-18</x:v>
      </x:c>
      <x:c r="G160" s="2" t="n">
        <x:v>0</x:v>
      </x:c>
      <x:c r="H160" s="2" t="n">
        <x:v>0</x:v>
      </x:c>
      <x:c r="I160" s="2" t="n">
        <x:v>1</x:v>
      </x:c>
      <x:c r="J160" s="2" t="n">
        <x:v>8</x:v>
      </x:c>
      <x:c r="K160" s="2" t="n">
        <x:v>12</x:v>
      </x:c>
      <x:c r="L160" s="2" t="n">
        <x:v>3591</x:v>
      </x:c>
      <x:c r="M160" s="2" t="n">
        <x:v>332</x:v>
      </x:c>
      <x:c r="N160" s="2" t="n">
        <x:v>532</x:v>
      </x:c>
      <x:c r="O160" s="2" t="str">
        <x:v>R12 J01-J26 / 8x30, 12+22</x:v>
      </x:c>
    </x:row>
    <x:row r="161" ht="34" customHeight="1">
      <x:c r="A161" s="2" t="str">
        <x:v>H0156</x:v>
      </x:c>
      <x:c r="B161" s="2" t="str">
        <x:v>KI12-TV02S-10</x:v>
      </x:c>
      <x:c r="C161" s="2" t="str">
        <x:v>CSAP J26</x:v>
      </x:c>
      <x:c r="D161" s="2" t="n">
        <x:v>382</x:v>
      </x:c>
      <x:c r="E161" s="2" t="n">
        <x:v>332</x:v>
      </x:c>
      <x:c r="F161" s="2" t="n">
        <x:v>-9</x:v>
      </x:c>
      <x:c r="G161" s="2" t="n">
        <x:v>-1</x:v>
      </x:c>
      <x:c r="H161" s="2" t="n">
        <x:v>0</x:v>
      </x:c>
      <x:c r="I161" s="2" t="n">
        <x:v>0</x:v>
      </x:c>
      <x:c r="J161" s="2" t="n">
        <x:v>8</x:v>
      </x:c>
      <x:c r="K161" s="2" t="n">
        <x:v>22</x:v>
      </x:c>
      <x:c r="L161" s="2" t="n">
        <x:v>3591</x:v>
      </x:c>
      <x:c r="M161" s="2" t="n">
        <x:v>332</x:v>
      </x:c>
      <x:c r="N161" s="2" t="n">
        <x:v>532</x:v>
      </x:c>
      <x:c r="O161" s="2" t="str">
        <x:v>R12 J01-J26 / 8x30, 12+22</x:v>
      </x:c>
    </x:row>
    <x:row r="162" ht="34" customHeight="1">
      <x:c r="A162" s="2" t="str">
        <x:v>H0157</x:v>
      </x:c>
      <x:c r="B162" s="2" t="str">
        <x:v>KI12-TV01F-01</x:v>
      </x:c>
      <x:c r="C162" s="2" t="str">
        <x:v>PANT_CSÉSZE</x:v>
      </x:c>
      <x:c r="D162" s="2" t="n">
        <x:v>100</x:v>
      </x:c>
      <x:c r="E162" s="2" t="n">
        <x:v>23</x:v>
      </x:c>
      <x:c r="F162" s="2" t="n">
        <x:v>0</x:v>
      </x:c>
      <x:c r="G162" s="2" t="n">
        <x:v>0</x:v>
      </x:c>
      <x:c r="H162" s="2" t="n">
        <x:v>0</x:v>
      </x:c>
      <x:c r="I162" s="2" t="n">
        <x:v>-1</x:v>
      </x:c>
      <x:c r="J162" s="2" t="n">
        <x:v>35</x:v>
      </x:c>
      <x:c r="K162" s="2" t="n">
        <x:v>13</x:v>
      </x:c>
      <x:c r="L162" s="2" t="n">
        <x:v>24.5</x:v>
      </x:c>
      <x:c r="M162" s="2" t="n">
        <x:v>-3</x:v>
      </x:c>
      <x:c r="N162" s="2" t="n">
        <x:v>651.5</x:v>
      </x:c>
      <x:c r="O162" s="2" t="str">
        <x:v>Blum 70T3550.TL datasheet:35/13; TB5.5, MD0 -&gt; FA16.5</x:v>
      </x:c>
    </x:row>
    <x:row r="163" ht="34" customHeight="1">
      <x:c r="A163" s="2" t="str">
        <x:v>H0158</x:v>
      </x:c>
      <x:c r="B163" s="2" t="str">
        <x:v>KI12-TV01F-01</x:v>
      </x:c>
      <x:c r="C163" s="2" t="str">
        <x:v>PANT_CSAVAR_ELOFURAT</x:v>
      </x:c>
      <x:c r="D163" s="2" t="n">
        <x:v>77.5</x:v>
      </x:c>
      <x:c r="E163" s="2" t="n">
        <x:v>13.5</x:v>
      </x:c>
      <x:c r="F163" s="2" t="n">
        <x:v>0</x:v>
      </x:c>
      <x:c r="G163" s="2" t="n">
        <x:v>0</x:v>
      </x:c>
      <x:c r="H163" s="2" t="n">
        <x:v>0</x:v>
      </x:c>
      <x:c r="I163" s="2" t="n">
        <x:v>-1</x:v>
      </x:c>
      <x:c r="J163" s="2" t="n">
        <x:v>2.5</x:v>
      </x:c>
      <x:c r="K163" s="2" t="n">
        <x:v>10</x:v>
      </x:c>
      <x:c r="L163" s="2" t="n">
        <x:v>15</x:v>
      </x:c>
      <x:c r="M163" s="2" t="n">
        <x:v>-3</x:v>
      </x:c>
      <x:c r="N163" s="2" t="n">
        <x:v>629</x:v>
      </x:c>
      <x:c r="O163" s="2" t="str">
        <x:v>45/9.5 gyári kiosztás; Ø2.5x10 próbadarabon igazolandó 3.5x15 csavarhoz</x:v>
      </x:c>
    </x:row>
    <x:row r="164" ht="34" customHeight="1">
      <x:c r="A164" s="2" t="str">
        <x:v>H0159</x:v>
      </x:c>
      <x:c r="B164" s="2" t="str">
        <x:v>KI12-TV01F-01</x:v>
      </x:c>
      <x:c r="C164" s="2" t="str">
        <x:v>PANT_CSAVAR_ELOFURAT</x:v>
      </x:c>
      <x:c r="D164" s="2" t="n">
        <x:v>122.5</x:v>
      </x:c>
      <x:c r="E164" s="2" t="n">
        <x:v>13.5</x:v>
      </x:c>
      <x:c r="F164" s="2" t="n">
        <x:v>0</x:v>
      </x:c>
      <x:c r="G164" s="2" t="n">
        <x:v>0</x:v>
      </x:c>
      <x:c r="H164" s="2" t="n">
        <x:v>0</x:v>
      </x:c>
      <x:c r="I164" s="2" t="n">
        <x:v>-1</x:v>
      </x:c>
      <x:c r="J164" s="2" t="n">
        <x:v>2.5</x:v>
      </x:c>
      <x:c r="K164" s="2" t="n">
        <x:v>10</x:v>
      </x:c>
      <x:c r="L164" s="2" t="n">
        <x:v>15</x:v>
      </x:c>
      <x:c r="M164" s="2" t="n">
        <x:v>-3</x:v>
      </x:c>
      <x:c r="N164" s="2" t="n">
        <x:v>674</x:v>
      </x:c>
      <x:c r="O164" s="2" t="str">
        <x:v>45/9.5 gyári kiosztás; Ø2.5x10 próbadarabon igazolandó 3.5x15 csavarhoz</x:v>
      </x:c>
    </x:row>
    <x:row r="165" ht="34" customHeight="1">
      <x:c r="A165" s="2" t="str">
        <x:v>H0160</x:v>
      </x:c>
      <x:c r="B165" s="2" t="str">
        <x:v>KI12-TV01S-01</x:v>
      </x:c>
      <x:c r="C165" s="2" t="str">
        <x:v>TALP_CSAVAR_ELOFURAT</x:v>
      </x:c>
      <x:c r="D165" s="2" t="n">
        <x:v>85.5</x:v>
      </x:c>
      <x:c r="E165" s="2" t="n">
        <x:v>37</x:v>
      </x:c>
      <x:c r="F165" s="2" t="n">
        <x:v>-18</x:v>
      </x:c>
      <x:c r="G165" s="2" t="n">
        <x:v>0</x:v>
      </x:c>
      <x:c r="H165" s="2" t="n">
        <x:v>0</x:v>
      </x:c>
      <x:c r="I165" s="2" t="n">
        <x:v>1</x:v>
      </x:c>
      <x:c r="J165" s="2" t="n">
        <x:v>2.5</x:v>
      </x:c>
      <x:c r="K165" s="2" t="n">
        <x:v>10</x:v>
      </x:c>
      <x:c r="L165" s="2" t="n">
        <x:v>18</x:v>
      </x:c>
      <x:c r="M165" s="2" t="n">
        <x:v>37</x:v>
      </x:c>
      <x:c r="N165" s="2" t="n">
        <x:v>635.5</x:v>
      </x:c>
      <x:c r="O165" s="2" t="str">
        <x:v>Blum173H7100 37/32; Ø2.5x10 tervezői próbaérték</x:v>
      </x:c>
    </x:row>
    <x:row r="166" ht="34" customHeight="1">
      <x:c r="A166" s="2" t="str">
        <x:v>H0161</x:v>
      </x:c>
      <x:c r="B166" s="2" t="str">
        <x:v>KI12-TV01S-01</x:v>
      </x:c>
      <x:c r="C166" s="2" t="str">
        <x:v>TALP_CSAVAR_ELOFURAT</x:v>
      </x:c>
      <x:c r="D166" s="2" t="n">
        <x:v>117.5</x:v>
      </x:c>
      <x:c r="E166" s="2" t="n">
        <x:v>37</x:v>
      </x:c>
      <x:c r="F166" s="2" t="n">
        <x:v>-18</x:v>
      </x:c>
      <x:c r="G166" s="2" t="n">
        <x:v>0</x:v>
      </x:c>
      <x:c r="H166" s="2" t="n">
        <x:v>0</x:v>
      </x:c>
      <x:c r="I166" s="2" t="n">
        <x:v>1</x:v>
      </x:c>
      <x:c r="J166" s="2" t="n">
        <x:v>2.5</x:v>
      </x:c>
      <x:c r="K166" s="2" t="n">
        <x:v>10</x:v>
      </x:c>
      <x:c r="L166" s="2" t="n">
        <x:v>18</x:v>
      </x:c>
      <x:c r="M166" s="2" t="n">
        <x:v>37</x:v>
      </x:c>
      <x:c r="N166" s="2" t="n">
        <x:v>667.5</x:v>
      </x:c>
      <x:c r="O166" s="2" t="str">
        <x:v>Blum173H7100 37/32; Ø2.5x10 tervezői próbaérték</x:v>
      </x:c>
    </x:row>
    <x:row r="167" ht="34" customHeight="1">
      <x:c r="A167" s="2" t="str">
        <x:v>H0162</x:v>
      </x:c>
      <x:c r="B167" s="2" t="str">
        <x:v>KI12-TV01F-01</x:v>
      </x:c>
      <x:c r="C167" s="2" t="str">
        <x:v>PANT_CSÉSZE</x:v>
      </x:c>
      <x:c r="D167" s="2" t="n">
        <x:v>631.75</x:v>
      </x:c>
      <x:c r="E167" s="2" t="n">
        <x:v>23</x:v>
      </x:c>
      <x:c r="F167" s="2" t="n">
        <x:v>0</x:v>
      </x:c>
      <x:c r="G167" s="2" t="n">
        <x:v>0</x:v>
      </x:c>
      <x:c r="H167" s="2" t="n">
        <x:v>0</x:v>
      </x:c>
      <x:c r="I167" s="2" t="n">
        <x:v>-1</x:v>
      </x:c>
      <x:c r="J167" s="2" t="n">
        <x:v>35</x:v>
      </x:c>
      <x:c r="K167" s="2" t="n">
        <x:v>13</x:v>
      </x:c>
      <x:c r="L167" s="2" t="n">
        <x:v>24.5</x:v>
      </x:c>
      <x:c r="M167" s="2" t="n">
        <x:v>-3</x:v>
      </x:c>
      <x:c r="N167" s="2" t="n">
        <x:v>1183.25</x:v>
      </x:c>
      <x:c r="O167" s="2" t="str">
        <x:v>Blum 70T3550.TL datasheet:35/13; TB5.5, MD0 -&gt; FA16.5</x:v>
      </x:c>
    </x:row>
    <x:row r="168" ht="34" customHeight="1">
      <x:c r="A168" s="2" t="str">
        <x:v>H0163</x:v>
      </x:c>
      <x:c r="B168" s="2" t="str">
        <x:v>KI12-TV01F-01</x:v>
      </x:c>
      <x:c r="C168" s="2" t="str">
        <x:v>PANT_CSAVAR_ELOFURAT</x:v>
      </x:c>
      <x:c r="D168" s="2" t="n">
        <x:v>609.25</x:v>
      </x:c>
      <x:c r="E168" s="2" t="n">
        <x:v>13.5</x:v>
      </x:c>
      <x:c r="F168" s="2" t="n">
        <x:v>0</x:v>
      </x:c>
      <x:c r="G168" s="2" t="n">
        <x:v>0</x:v>
      </x:c>
      <x:c r="H168" s="2" t="n">
        <x:v>0</x:v>
      </x:c>
      <x:c r="I168" s="2" t="n">
        <x:v>-1</x:v>
      </x:c>
      <x:c r="J168" s="2" t="n">
        <x:v>2.5</x:v>
      </x:c>
      <x:c r="K168" s="2" t="n">
        <x:v>10</x:v>
      </x:c>
      <x:c r="L168" s="2" t="n">
        <x:v>15</x:v>
      </x:c>
      <x:c r="M168" s="2" t="n">
        <x:v>-3</x:v>
      </x:c>
      <x:c r="N168" s="2" t="n">
        <x:v>1160.75</x:v>
      </x:c>
      <x:c r="O168" s="2" t="str">
        <x:v>45/9.5 gyári kiosztás; Ø2.5x10 próbadarabon igazolandó 3.5x15 csavarhoz</x:v>
      </x:c>
    </x:row>
    <x:row r="169" ht="34" customHeight="1">
      <x:c r="A169" s="2" t="str">
        <x:v>H0164</x:v>
      </x:c>
      <x:c r="B169" s="2" t="str">
        <x:v>KI12-TV01F-01</x:v>
      </x:c>
      <x:c r="C169" s="2" t="str">
        <x:v>PANT_CSAVAR_ELOFURAT</x:v>
      </x:c>
      <x:c r="D169" s="2" t="n">
        <x:v>654.25</x:v>
      </x:c>
      <x:c r="E169" s="2" t="n">
        <x:v>13.5</x:v>
      </x:c>
      <x:c r="F169" s="2" t="n">
        <x:v>0</x:v>
      </x:c>
      <x:c r="G169" s="2" t="n">
        <x:v>0</x:v>
      </x:c>
      <x:c r="H169" s="2" t="n">
        <x:v>0</x:v>
      </x:c>
      <x:c r="I169" s="2" t="n">
        <x:v>-1</x:v>
      </x:c>
      <x:c r="J169" s="2" t="n">
        <x:v>2.5</x:v>
      </x:c>
      <x:c r="K169" s="2" t="n">
        <x:v>10</x:v>
      </x:c>
      <x:c r="L169" s="2" t="n">
        <x:v>15</x:v>
      </x:c>
      <x:c r="M169" s="2" t="n">
        <x:v>-3</x:v>
      </x:c>
      <x:c r="N169" s="2" t="n">
        <x:v>1205.75</x:v>
      </x:c>
      <x:c r="O169" s="2" t="str">
        <x:v>45/9.5 gyári kiosztás; Ø2.5x10 próbadarabon igazolandó 3.5x15 csavarhoz</x:v>
      </x:c>
    </x:row>
    <x:row r="170" ht="34" customHeight="1">
      <x:c r="A170" s="2" t="str">
        <x:v>H0165</x:v>
      </x:c>
      <x:c r="B170" s="2" t="str">
        <x:v>KI12-TV01S-01</x:v>
      </x:c>
      <x:c r="C170" s="2" t="str">
        <x:v>TALP_CSAVAR_ELOFURAT</x:v>
      </x:c>
      <x:c r="D170" s="2" t="n">
        <x:v>617.25</x:v>
      </x:c>
      <x:c r="E170" s="2" t="n">
        <x:v>37</x:v>
      </x:c>
      <x:c r="F170" s="2" t="n">
        <x:v>-18</x:v>
      </x:c>
      <x:c r="G170" s="2" t="n">
        <x:v>0</x:v>
      </x:c>
      <x:c r="H170" s="2" t="n">
        <x:v>0</x:v>
      </x:c>
      <x:c r="I170" s="2" t="n">
        <x:v>1</x:v>
      </x:c>
      <x:c r="J170" s="2" t="n">
        <x:v>2.5</x:v>
      </x:c>
      <x:c r="K170" s="2" t="n">
        <x:v>10</x:v>
      </x:c>
      <x:c r="L170" s="2" t="n">
        <x:v>18</x:v>
      </x:c>
      <x:c r="M170" s="2" t="n">
        <x:v>37</x:v>
      </x:c>
      <x:c r="N170" s="2" t="n">
        <x:v>1167.25</x:v>
      </x:c>
      <x:c r="O170" s="2" t="str">
        <x:v>Blum173H7100 37/32; Ø2.5x10 tervezői próbaérték</x:v>
      </x:c>
    </x:row>
    <x:row r="171" ht="34" customHeight="1">
      <x:c r="A171" s="2" t="str">
        <x:v>H0166</x:v>
      </x:c>
      <x:c r="B171" s="2" t="str">
        <x:v>KI12-TV01S-01</x:v>
      </x:c>
      <x:c r="C171" s="2" t="str">
        <x:v>TALP_CSAVAR_ELOFURAT</x:v>
      </x:c>
      <x:c r="D171" s="2" t="n">
        <x:v>649.25</x:v>
      </x:c>
      <x:c r="E171" s="2" t="n">
        <x:v>37</x:v>
      </x:c>
      <x:c r="F171" s="2" t="n">
        <x:v>-18</x:v>
      </x:c>
      <x:c r="G171" s="2" t="n">
        <x:v>0</x:v>
      </x:c>
      <x:c r="H171" s="2" t="n">
        <x:v>0</x:v>
      </x:c>
      <x:c r="I171" s="2" t="n">
        <x:v>1</x:v>
      </x:c>
      <x:c r="J171" s="2" t="n">
        <x:v>2.5</x:v>
      </x:c>
      <x:c r="K171" s="2" t="n">
        <x:v>10</x:v>
      </x:c>
      <x:c r="L171" s="2" t="n">
        <x:v>18</x:v>
      </x:c>
      <x:c r="M171" s="2" t="n">
        <x:v>37</x:v>
      </x:c>
      <x:c r="N171" s="2" t="n">
        <x:v>1199.25</x:v>
      </x:c>
      <x:c r="O171" s="2" t="str">
        <x:v>Blum173H7100 37/32; Ø2.5x10 tervezői próbaérték</x:v>
      </x:c>
    </x:row>
    <x:row r="172" ht="34" customHeight="1">
      <x:c r="A172" s="2" t="str">
        <x:v>H0167</x:v>
      </x:c>
      <x:c r="B172" s="2" t="str">
        <x:v>KI12-TV01F-01</x:v>
      </x:c>
      <x:c r="C172" s="2" t="str">
        <x:v>PANT_CSÉSZE</x:v>
      </x:c>
      <x:c r="D172" s="2" t="n">
        <x:v>1163.5</x:v>
      </x:c>
      <x:c r="E172" s="2" t="n">
        <x:v>23</x:v>
      </x:c>
      <x:c r="F172" s="2" t="n">
        <x:v>0</x:v>
      </x:c>
      <x:c r="G172" s="2" t="n">
        <x:v>0</x:v>
      </x:c>
      <x:c r="H172" s="2" t="n">
        <x:v>0</x:v>
      </x:c>
      <x:c r="I172" s="2" t="n">
        <x:v>-1</x:v>
      </x:c>
      <x:c r="J172" s="2" t="n">
        <x:v>35</x:v>
      </x:c>
      <x:c r="K172" s="2" t="n">
        <x:v>13</x:v>
      </x:c>
      <x:c r="L172" s="2" t="n">
        <x:v>24.5</x:v>
      </x:c>
      <x:c r="M172" s="2" t="n">
        <x:v>-3</x:v>
      </x:c>
      <x:c r="N172" s="2" t="n">
        <x:v>1715</x:v>
      </x:c>
      <x:c r="O172" s="2" t="str">
        <x:v>Blum 70T3550.TL datasheet:35/13; TB5.5, MD0 -&gt; FA16.5</x:v>
      </x:c>
    </x:row>
    <x:row r="173" ht="34" customHeight="1">
      <x:c r="A173" s="2" t="str">
        <x:v>H0168</x:v>
      </x:c>
      <x:c r="B173" s="2" t="str">
        <x:v>KI12-TV01F-01</x:v>
      </x:c>
      <x:c r="C173" s="2" t="str">
        <x:v>PANT_CSAVAR_ELOFURAT</x:v>
      </x:c>
      <x:c r="D173" s="2" t="n">
        <x:v>1141</x:v>
      </x:c>
      <x:c r="E173" s="2" t="n">
        <x:v>13.5</x:v>
      </x:c>
      <x:c r="F173" s="2" t="n">
        <x:v>0</x:v>
      </x:c>
      <x:c r="G173" s="2" t="n">
        <x:v>0</x:v>
      </x:c>
      <x:c r="H173" s="2" t="n">
        <x:v>0</x:v>
      </x:c>
      <x:c r="I173" s="2" t="n">
        <x:v>-1</x:v>
      </x:c>
      <x:c r="J173" s="2" t="n">
        <x:v>2.5</x:v>
      </x:c>
      <x:c r="K173" s="2" t="n">
        <x:v>10</x:v>
      </x:c>
      <x:c r="L173" s="2" t="n">
        <x:v>15</x:v>
      </x:c>
      <x:c r="M173" s="2" t="n">
        <x:v>-3</x:v>
      </x:c>
      <x:c r="N173" s="2" t="n">
        <x:v>1692.5</x:v>
      </x:c>
      <x:c r="O173" s="2" t="str">
        <x:v>45/9.5 gyári kiosztás; Ø2.5x10 próbadarabon igazolandó 3.5x15 csavarhoz</x:v>
      </x:c>
    </x:row>
    <x:row r="174" ht="34" customHeight="1">
      <x:c r="A174" s="2" t="str">
        <x:v>H0169</x:v>
      </x:c>
      <x:c r="B174" s="2" t="str">
        <x:v>KI12-TV01F-01</x:v>
      </x:c>
      <x:c r="C174" s="2" t="str">
        <x:v>PANT_CSAVAR_ELOFURAT</x:v>
      </x:c>
      <x:c r="D174" s="2" t="n">
        <x:v>1186</x:v>
      </x:c>
      <x:c r="E174" s="2" t="n">
        <x:v>13.5</x:v>
      </x:c>
      <x:c r="F174" s="2" t="n">
        <x:v>0</x:v>
      </x:c>
      <x:c r="G174" s="2" t="n">
        <x:v>0</x:v>
      </x:c>
      <x:c r="H174" s="2" t="n">
        <x:v>0</x:v>
      </x:c>
      <x:c r="I174" s="2" t="n">
        <x:v>-1</x:v>
      </x:c>
      <x:c r="J174" s="2" t="n">
        <x:v>2.5</x:v>
      </x:c>
      <x:c r="K174" s="2" t="n">
        <x:v>10</x:v>
      </x:c>
      <x:c r="L174" s="2" t="n">
        <x:v>15</x:v>
      </x:c>
      <x:c r="M174" s="2" t="n">
        <x:v>-3</x:v>
      </x:c>
      <x:c r="N174" s="2" t="n">
        <x:v>1737.5</x:v>
      </x:c>
      <x:c r="O174" s="2" t="str">
        <x:v>45/9.5 gyári kiosztás; Ø2.5x10 próbadarabon igazolandó 3.5x15 csavarhoz</x:v>
      </x:c>
    </x:row>
    <x:row r="175" ht="34" customHeight="1">
      <x:c r="A175" s="2" t="str">
        <x:v>H0170</x:v>
      </x:c>
      <x:c r="B175" s="2" t="str">
        <x:v>KI12-TV01S-01</x:v>
      </x:c>
      <x:c r="C175" s="2" t="str">
        <x:v>TALP_CSAVAR_ELOFURAT</x:v>
      </x:c>
      <x:c r="D175" s="2" t="n">
        <x:v>1149</x:v>
      </x:c>
      <x:c r="E175" s="2" t="n">
        <x:v>37</x:v>
      </x:c>
      <x:c r="F175" s="2" t="n">
        <x:v>-18</x:v>
      </x:c>
      <x:c r="G175" s="2" t="n">
        <x:v>0</x:v>
      </x:c>
      <x:c r="H175" s="2" t="n">
        <x:v>0</x:v>
      </x:c>
      <x:c r="I175" s="2" t="n">
        <x:v>1</x:v>
      </x:c>
      <x:c r="J175" s="2" t="n">
        <x:v>2.5</x:v>
      </x:c>
      <x:c r="K175" s="2" t="n">
        <x:v>10</x:v>
      </x:c>
      <x:c r="L175" s="2" t="n">
        <x:v>18</x:v>
      </x:c>
      <x:c r="M175" s="2" t="n">
        <x:v>37</x:v>
      </x:c>
      <x:c r="N175" s="2" t="n">
        <x:v>1699</x:v>
      </x:c>
      <x:c r="O175" s="2" t="str">
        <x:v>Blum173H7100 37/32; Ø2.5x10 tervezői próbaérték</x:v>
      </x:c>
    </x:row>
    <x:row r="176" ht="34" customHeight="1">
      <x:c r="A176" s="2" t="str">
        <x:v>H0171</x:v>
      </x:c>
      <x:c r="B176" s="2" t="str">
        <x:v>KI12-TV01S-01</x:v>
      </x:c>
      <x:c r="C176" s="2" t="str">
        <x:v>TALP_CSAVAR_ELOFURAT</x:v>
      </x:c>
      <x:c r="D176" s="2" t="n">
        <x:v>1181</x:v>
      </x:c>
      <x:c r="E176" s="2" t="n">
        <x:v>37</x:v>
      </x:c>
      <x:c r="F176" s="2" t="n">
        <x:v>-18</x:v>
      </x:c>
      <x:c r="G176" s="2" t="n">
        <x:v>0</x:v>
      </x:c>
      <x:c r="H176" s="2" t="n">
        <x:v>0</x:v>
      </x:c>
      <x:c r="I176" s="2" t="n">
        <x:v>1</x:v>
      </x:c>
      <x:c r="J176" s="2" t="n">
        <x:v>2.5</x:v>
      </x:c>
      <x:c r="K176" s="2" t="n">
        <x:v>10</x:v>
      </x:c>
      <x:c r="L176" s="2" t="n">
        <x:v>18</x:v>
      </x:c>
      <x:c r="M176" s="2" t="n">
        <x:v>37</x:v>
      </x:c>
      <x:c r="N176" s="2" t="n">
        <x:v>1731</x:v>
      </x:c>
      <x:c r="O176" s="2" t="str">
        <x:v>Blum173H7100 37/32; Ø2.5x10 tervezői próbaérték</x:v>
      </x:c>
    </x:row>
    <x:row r="177" ht="34" customHeight="1">
      <x:c r="A177" s="2" t="str">
        <x:v>H0172</x:v>
      </x:c>
      <x:c r="B177" s="2" t="str">
        <x:v>KI12-TV01F-01</x:v>
      </x:c>
      <x:c r="C177" s="2" t="str">
        <x:v>PANT_CSÉSZE</x:v>
      </x:c>
      <x:c r="D177" s="2" t="n">
        <x:v>1695.25</x:v>
      </x:c>
      <x:c r="E177" s="2" t="n">
        <x:v>23</x:v>
      </x:c>
      <x:c r="F177" s="2" t="n">
        <x:v>0</x:v>
      </x:c>
      <x:c r="G177" s="2" t="n">
        <x:v>0</x:v>
      </x:c>
      <x:c r="H177" s="2" t="n">
        <x:v>0</x:v>
      </x:c>
      <x:c r="I177" s="2" t="n">
        <x:v>-1</x:v>
      </x:c>
      <x:c r="J177" s="2" t="n">
        <x:v>35</x:v>
      </x:c>
      <x:c r="K177" s="2" t="n">
        <x:v>13</x:v>
      </x:c>
      <x:c r="L177" s="2" t="n">
        <x:v>24.5</x:v>
      </x:c>
      <x:c r="M177" s="2" t="n">
        <x:v>-3</x:v>
      </x:c>
      <x:c r="N177" s="2" t="n">
        <x:v>2246.75</x:v>
      </x:c>
      <x:c r="O177" s="2" t="str">
        <x:v>Blum 70T3550.TL datasheet:35/13; TB5.5, MD0 -&gt; FA16.5</x:v>
      </x:c>
    </x:row>
    <x:row r="178" ht="34" customHeight="1">
      <x:c r="A178" s="2" t="str">
        <x:v>H0173</x:v>
      </x:c>
      <x:c r="B178" s="2" t="str">
        <x:v>KI12-TV01F-01</x:v>
      </x:c>
      <x:c r="C178" s="2" t="str">
        <x:v>PANT_CSAVAR_ELOFURAT</x:v>
      </x:c>
      <x:c r="D178" s="2" t="n">
        <x:v>1672.75</x:v>
      </x:c>
      <x:c r="E178" s="2" t="n">
        <x:v>13.5</x:v>
      </x:c>
      <x:c r="F178" s="2" t="n">
        <x:v>0</x:v>
      </x:c>
      <x:c r="G178" s="2" t="n">
        <x:v>0</x:v>
      </x:c>
      <x:c r="H178" s="2" t="n">
        <x:v>0</x:v>
      </x:c>
      <x:c r="I178" s="2" t="n">
        <x:v>-1</x:v>
      </x:c>
      <x:c r="J178" s="2" t="n">
        <x:v>2.5</x:v>
      </x:c>
      <x:c r="K178" s="2" t="n">
        <x:v>10</x:v>
      </x:c>
      <x:c r="L178" s="2" t="n">
        <x:v>15</x:v>
      </x:c>
      <x:c r="M178" s="2" t="n">
        <x:v>-3</x:v>
      </x:c>
      <x:c r="N178" s="2" t="n">
        <x:v>2224.25</x:v>
      </x:c>
      <x:c r="O178" s="2" t="str">
        <x:v>45/9.5 gyári kiosztás; Ø2.5x10 próbadarabon igazolandó 3.5x15 csavarhoz</x:v>
      </x:c>
    </x:row>
    <x:row r="179" ht="34" customHeight="1">
      <x:c r="A179" s="2" t="str">
        <x:v>H0174</x:v>
      </x:c>
      <x:c r="B179" s="2" t="str">
        <x:v>KI12-TV01F-01</x:v>
      </x:c>
      <x:c r="C179" s="2" t="str">
        <x:v>PANT_CSAVAR_ELOFURAT</x:v>
      </x:c>
      <x:c r="D179" s="2" t="n">
        <x:v>1717.75</x:v>
      </x:c>
      <x:c r="E179" s="2" t="n">
        <x:v>13.5</x:v>
      </x:c>
      <x:c r="F179" s="2" t="n">
        <x:v>0</x:v>
      </x:c>
      <x:c r="G179" s="2" t="n">
        <x:v>0</x:v>
      </x:c>
      <x:c r="H179" s="2" t="n">
        <x:v>0</x:v>
      </x:c>
      <x:c r="I179" s="2" t="n">
        <x:v>-1</x:v>
      </x:c>
      <x:c r="J179" s="2" t="n">
        <x:v>2.5</x:v>
      </x:c>
      <x:c r="K179" s="2" t="n">
        <x:v>10</x:v>
      </x:c>
      <x:c r="L179" s="2" t="n">
        <x:v>15</x:v>
      </x:c>
      <x:c r="M179" s="2" t="n">
        <x:v>-3</x:v>
      </x:c>
      <x:c r="N179" s="2" t="n">
        <x:v>2269.25</x:v>
      </x:c>
      <x:c r="O179" s="2" t="str">
        <x:v>45/9.5 gyári kiosztás; Ø2.5x10 próbadarabon igazolandó 3.5x15 csavarhoz</x:v>
      </x:c>
    </x:row>
    <x:row r="180" ht="34" customHeight="1">
      <x:c r="A180" s="2" t="str">
        <x:v>H0175</x:v>
      </x:c>
      <x:c r="B180" s="2" t="str">
        <x:v>KI12-TV01S-01</x:v>
      </x:c>
      <x:c r="C180" s="2" t="str">
        <x:v>TALP_CSAVAR_ELOFURAT</x:v>
      </x:c>
      <x:c r="D180" s="2" t="n">
        <x:v>1680.75</x:v>
      </x:c>
      <x:c r="E180" s="2" t="n">
        <x:v>37</x:v>
      </x:c>
      <x:c r="F180" s="2" t="n">
        <x:v>-18</x:v>
      </x:c>
      <x:c r="G180" s="2" t="n">
        <x:v>0</x:v>
      </x:c>
      <x:c r="H180" s="2" t="n">
        <x:v>0</x:v>
      </x:c>
      <x:c r="I180" s="2" t="n">
        <x:v>1</x:v>
      </x:c>
      <x:c r="J180" s="2" t="n">
        <x:v>2.5</x:v>
      </x:c>
      <x:c r="K180" s="2" t="n">
        <x:v>10</x:v>
      </x:c>
      <x:c r="L180" s="2" t="n">
        <x:v>18</x:v>
      </x:c>
      <x:c r="M180" s="2" t="n">
        <x:v>37</x:v>
      </x:c>
      <x:c r="N180" s="2" t="n">
        <x:v>2230.75</x:v>
      </x:c>
      <x:c r="O180" s="2" t="str">
        <x:v>Blum173H7100 37/32; Ø2.5x10 tervezői próbaérték</x:v>
      </x:c>
    </x:row>
    <x:row r="181" ht="34" customHeight="1">
      <x:c r="A181" s="2" t="str">
        <x:v>H0176</x:v>
      </x:c>
      <x:c r="B181" s="2" t="str">
        <x:v>KI12-TV01S-01</x:v>
      </x:c>
      <x:c r="C181" s="2" t="str">
        <x:v>TALP_CSAVAR_ELOFURAT</x:v>
      </x:c>
      <x:c r="D181" s="2" t="n">
        <x:v>1712.75</x:v>
      </x:c>
      <x:c r="E181" s="2" t="n">
        <x:v>37</x:v>
      </x:c>
      <x:c r="F181" s="2" t="n">
        <x:v>-18</x:v>
      </x:c>
      <x:c r="G181" s="2" t="n">
        <x:v>0</x:v>
      </x:c>
      <x:c r="H181" s="2" t="n">
        <x:v>0</x:v>
      </x:c>
      <x:c r="I181" s="2" t="n">
        <x:v>1</x:v>
      </x:c>
      <x:c r="J181" s="2" t="n">
        <x:v>2.5</x:v>
      </x:c>
      <x:c r="K181" s="2" t="n">
        <x:v>10</x:v>
      </x:c>
      <x:c r="L181" s="2" t="n">
        <x:v>18</x:v>
      </x:c>
      <x:c r="M181" s="2" t="n">
        <x:v>37</x:v>
      </x:c>
      <x:c r="N181" s="2" t="n">
        <x:v>2262.75</x:v>
      </x:c>
      <x:c r="O181" s="2" t="str">
        <x:v>Blum173H7100 37/32; Ø2.5x10 tervezői próbaérték</x:v>
      </x:c>
    </x:row>
    <x:row r="182" ht="34" customHeight="1">
      <x:c r="A182" s="2" t="str">
        <x:v>H0177</x:v>
      </x:c>
      <x:c r="B182" s="2" t="str">
        <x:v>KI12-TV01F-01</x:v>
      </x:c>
      <x:c r="C182" s="2" t="str">
        <x:v>PANT_CSÉSZE</x:v>
      </x:c>
      <x:c r="D182" s="2" t="n">
        <x:v>2227</x:v>
      </x:c>
      <x:c r="E182" s="2" t="n">
        <x:v>23</x:v>
      </x:c>
      <x:c r="F182" s="2" t="n">
        <x:v>0</x:v>
      </x:c>
      <x:c r="G182" s="2" t="n">
        <x:v>0</x:v>
      </x:c>
      <x:c r="H182" s="2" t="n">
        <x:v>0</x:v>
      </x:c>
      <x:c r="I182" s="2" t="n">
        <x:v>-1</x:v>
      </x:c>
      <x:c r="J182" s="2" t="n">
        <x:v>35</x:v>
      </x:c>
      <x:c r="K182" s="2" t="n">
        <x:v>13</x:v>
      </x:c>
      <x:c r="L182" s="2" t="n">
        <x:v>24.5</x:v>
      </x:c>
      <x:c r="M182" s="2" t="n">
        <x:v>-3</x:v>
      </x:c>
      <x:c r="N182" s="2" t="n">
        <x:v>2778.5</x:v>
      </x:c>
      <x:c r="O182" s="2" t="str">
        <x:v>Blum 70T3550.TL datasheet:35/13; TB5.5, MD0 -&gt; FA16.5</x:v>
      </x:c>
    </x:row>
    <x:row r="183" ht="34" customHeight="1">
      <x:c r="A183" s="2" t="str">
        <x:v>H0178</x:v>
      </x:c>
      <x:c r="B183" s="2" t="str">
        <x:v>KI12-TV01F-01</x:v>
      </x:c>
      <x:c r="C183" s="2" t="str">
        <x:v>PANT_CSAVAR_ELOFURAT</x:v>
      </x:c>
      <x:c r="D183" s="2" t="n">
        <x:v>2204.5</x:v>
      </x:c>
      <x:c r="E183" s="2" t="n">
        <x:v>13.5</x:v>
      </x:c>
      <x:c r="F183" s="2" t="n">
        <x:v>0</x:v>
      </x:c>
      <x:c r="G183" s="2" t="n">
        <x:v>0</x:v>
      </x:c>
      <x:c r="H183" s="2" t="n">
        <x:v>0</x:v>
      </x:c>
      <x:c r="I183" s="2" t="n">
        <x:v>-1</x:v>
      </x:c>
      <x:c r="J183" s="2" t="n">
        <x:v>2.5</x:v>
      </x:c>
      <x:c r="K183" s="2" t="n">
        <x:v>10</x:v>
      </x:c>
      <x:c r="L183" s="2" t="n">
        <x:v>15</x:v>
      </x:c>
      <x:c r="M183" s="2" t="n">
        <x:v>-3</x:v>
      </x:c>
      <x:c r="N183" s="2" t="n">
        <x:v>2756</x:v>
      </x:c>
      <x:c r="O183" s="2" t="str">
        <x:v>45/9.5 gyári kiosztás; Ø2.5x10 próbadarabon igazolandó 3.5x15 csavarhoz</x:v>
      </x:c>
    </x:row>
    <x:row r="184" ht="34" customHeight="1">
      <x:c r="A184" s="2" t="str">
        <x:v>H0179</x:v>
      </x:c>
      <x:c r="B184" s="2" t="str">
        <x:v>KI12-TV01F-01</x:v>
      </x:c>
      <x:c r="C184" s="2" t="str">
        <x:v>PANT_CSAVAR_ELOFURAT</x:v>
      </x:c>
      <x:c r="D184" s="2" t="n">
        <x:v>2249.5</x:v>
      </x:c>
      <x:c r="E184" s="2" t="n">
        <x:v>13.5</x:v>
      </x:c>
      <x:c r="F184" s="2" t="n">
        <x:v>0</x:v>
      </x:c>
      <x:c r="G184" s="2" t="n">
        <x:v>0</x:v>
      </x:c>
      <x:c r="H184" s="2" t="n">
        <x:v>0</x:v>
      </x:c>
      <x:c r="I184" s="2" t="n">
        <x:v>-1</x:v>
      </x:c>
      <x:c r="J184" s="2" t="n">
        <x:v>2.5</x:v>
      </x:c>
      <x:c r="K184" s="2" t="n">
        <x:v>10</x:v>
      </x:c>
      <x:c r="L184" s="2" t="n">
        <x:v>15</x:v>
      </x:c>
      <x:c r="M184" s="2" t="n">
        <x:v>-3</x:v>
      </x:c>
      <x:c r="N184" s="2" t="n">
        <x:v>2801</x:v>
      </x:c>
      <x:c r="O184" s="2" t="str">
        <x:v>45/9.5 gyári kiosztás; Ø2.5x10 próbadarabon igazolandó 3.5x15 csavarhoz</x:v>
      </x:c>
    </x:row>
    <x:row r="185" ht="34" customHeight="1">
      <x:c r="A185" s="2" t="str">
        <x:v>H0180</x:v>
      </x:c>
      <x:c r="B185" s="2" t="str">
        <x:v>KI12-TV01S-01</x:v>
      </x:c>
      <x:c r="C185" s="2" t="str">
        <x:v>TALP_CSAVAR_ELOFURAT</x:v>
      </x:c>
      <x:c r="D185" s="2" t="n">
        <x:v>2212.5</x:v>
      </x:c>
      <x:c r="E185" s="2" t="n">
        <x:v>37</x:v>
      </x:c>
      <x:c r="F185" s="2" t="n">
        <x:v>-18</x:v>
      </x:c>
      <x:c r="G185" s="2" t="n">
        <x:v>0</x:v>
      </x:c>
      <x:c r="H185" s="2" t="n">
        <x:v>0</x:v>
      </x:c>
      <x:c r="I185" s="2" t="n">
        <x:v>1</x:v>
      </x:c>
      <x:c r="J185" s="2" t="n">
        <x:v>2.5</x:v>
      </x:c>
      <x:c r="K185" s="2" t="n">
        <x:v>10</x:v>
      </x:c>
      <x:c r="L185" s="2" t="n">
        <x:v>18</x:v>
      </x:c>
      <x:c r="M185" s="2" t="n">
        <x:v>37</x:v>
      </x:c>
      <x:c r="N185" s="2" t="n">
        <x:v>2762.5</x:v>
      </x:c>
      <x:c r="O185" s="2" t="str">
        <x:v>Blum173H7100 37/32; Ø2.5x10 tervezői próbaérték</x:v>
      </x:c>
    </x:row>
    <x:row r="186" ht="34" customHeight="1">
      <x:c r="A186" s="2" t="str">
        <x:v>H0181</x:v>
      </x:c>
      <x:c r="B186" s="2" t="str">
        <x:v>KI12-TV01S-01</x:v>
      </x:c>
      <x:c r="C186" s="2" t="str">
        <x:v>TALP_CSAVAR_ELOFURAT</x:v>
      </x:c>
      <x:c r="D186" s="2" t="n">
        <x:v>2244.5</x:v>
      </x:c>
      <x:c r="E186" s="2" t="n">
        <x:v>37</x:v>
      </x:c>
      <x:c r="F186" s="2" t="n">
        <x:v>-18</x:v>
      </x:c>
      <x:c r="G186" s="2" t="n">
        <x:v>0</x:v>
      </x:c>
      <x:c r="H186" s="2" t="n">
        <x:v>0</x:v>
      </x:c>
      <x:c r="I186" s="2" t="n">
        <x:v>1</x:v>
      </x:c>
      <x:c r="J186" s="2" t="n">
        <x:v>2.5</x:v>
      </x:c>
      <x:c r="K186" s="2" t="n">
        <x:v>10</x:v>
      </x:c>
      <x:c r="L186" s="2" t="n">
        <x:v>18</x:v>
      </x:c>
      <x:c r="M186" s="2" t="n">
        <x:v>37</x:v>
      </x:c>
      <x:c r="N186" s="2" t="n">
        <x:v>2794.5</x:v>
      </x:c>
      <x:c r="O186" s="2" t="str">
        <x:v>Blum173H7100 37/32; Ø2.5x10 tervezői próbaérték</x:v>
      </x:c>
    </x:row>
    <x:row r="187" ht="34" customHeight="1">
      <x:c r="A187" s="2" t="str">
        <x:v>H0182</x:v>
      </x:c>
      <x:c r="B187" s="2" t="str">
        <x:v>KI12-TV01F-02</x:v>
      </x:c>
      <x:c r="C187" s="2" t="str">
        <x:v>PANT_CSÉSZE</x:v>
      </x:c>
      <x:c r="D187" s="2" t="n">
        <x:v>100</x:v>
      </x:c>
      <x:c r="E187" s="2" t="n">
        <x:v>334</x:v>
      </x:c>
      <x:c r="F187" s="2" t="n">
        <x:v>0</x:v>
      </x:c>
      <x:c r="G187" s="2" t="n">
        <x:v>0</x:v>
      </x:c>
      <x:c r="H187" s="2" t="n">
        <x:v>0</x:v>
      </x:c>
      <x:c r="I187" s="2" t="n">
        <x:v>-1</x:v>
      </x:c>
      <x:c r="J187" s="2" t="n">
        <x:v>35</x:v>
      </x:c>
      <x:c r="K187" s="2" t="n">
        <x:v>13</x:v>
      </x:c>
      <x:c r="L187" s="2" t="n">
        <x:v>695.5</x:v>
      </x:c>
      <x:c r="M187" s="2" t="n">
        <x:v>-3</x:v>
      </x:c>
      <x:c r="N187" s="2" t="n">
        <x:v>651.5</x:v>
      </x:c>
      <x:c r="O187" s="2" t="str">
        <x:v>Blum 70T3550.TL datasheet:35/13; TB5.5, MD0 -&gt; FA16.5</x:v>
      </x:c>
    </x:row>
    <x:row r="188" ht="34" customHeight="1">
      <x:c r="A188" s="2" t="str">
        <x:v>H0183</x:v>
      </x:c>
      <x:c r="B188" s="2" t="str">
        <x:v>KI12-TV01F-02</x:v>
      </x:c>
      <x:c r="C188" s="2" t="str">
        <x:v>PANT_CSAVAR_ELOFURAT</x:v>
      </x:c>
      <x:c r="D188" s="2" t="n">
        <x:v>77.5</x:v>
      </x:c>
      <x:c r="E188" s="2" t="n">
        <x:v>343.5</x:v>
      </x:c>
      <x:c r="F188" s="2" t="n">
        <x:v>0</x:v>
      </x:c>
      <x:c r="G188" s="2" t="n">
        <x:v>0</x:v>
      </x:c>
      <x:c r="H188" s="2" t="n">
        <x:v>0</x:v>
      </x:c>
      <x:c r="I188" s="2" t="n">
        <x:v>-1</x:v>
      </x:c>
      <x:c r="J188" s="2" t="n">
        <x:v>2.5</x:v>
      </x:c>
      <x:c r="K188" s="2" t="n">
        <x:v>10</x:v>
      </x:c>
      <x:c r="L188" s="2" t="n">
        <x:v>705</x:v>
      </x:c>
      <x:c r="M188" s="2" t="n">
        <x:v>-3</x:v>
      </x:c>
      <x:c r="N188" s="2" t="n">
        <x:v>629</x:v>
      </x:c>
      <x:c r="O188" s="2" t="str">
        <x:v>45/9.5 gyári kiosztás; Ø2.5x10 próbadarabon igazolandó 3.5x15 csavarhoz</x:v>
      </x:c>
    </x:row>
    <x:row r="189" ht="34" customHeight="1">
      <x:c r="A189" s="2" t="str">
        <x:v>H0184</x:v>
      </x:c>
      <x:c r="B189" s="2" t="str">
        <x:v>KI12-TV01F-02</x:v>
      </x:c>
      <x:c r="C189" s="2" t="str">
        <x:v>PANT_CSAVAR_ELOFURAT</x:v>
      </x:c>
      <x:c r="D189" s="2" t="n">
        <x:v>122.5</x:v>
      </x:c>
      <x:c r="E189" s="2" t="n">
        <x:v>343.5</x:v>
      </x:c>
      <x:c r="F189" s="2" t="n">
        <x:v>0</x:v>
      </x:c>
      <x:c r="G189" s="2" t="n">
        <x:v>0</x:v>
      </x:c>
      <x:c r="H189" s="2" t="n">
        <x:v>0</x:v>
      </x:c>
      <x:c r="I189" s="2" t="n">
        <x:v>-1</x:v>
      </x:c>
      <x:c r="J189" s="2" t="n">
        <x:v>2.5</x:v>
      </x:c>
      <x:c r="K189" s="2" t="n">
        <x:v>10</x:v>
      </x:c>
      <x:c r="L189" s="2" t="n">
        <x:v>705</x:v>
      </x:c>
      <x:c r="M189" s="2" t="n">
        <x:v>-3</x:v>
      </x:c>
      <x:c r="N189" s="2" t="n">
        <x:v>674</x:v>
      </x:c>
      <x:c r="O189" s="2" t="str">
        <x:v>45/9.5 gyári kiosztás; Ø2.5x10 próbadarabon igazolandó 3.5x15 csavarhoz</x:v>
      </x:c>
    </x:row>
    <x:row r="190" ht="34" customHeight="1">
      <x:c r="A190" s="2" t="str">
        <x:v>H0185</x:v>
      </x:c>
      <x:c r="B190" s="2" t="str">
        <x:v>KI12-TV01S-02</x:v>
      </x:c>
      <x:c r="C190" s="2" t="str">
        <x:v>TALP_CSAVAR_ELOFURAT</x:v>
      </x:c>
      <x:c r="D190" s="2" t="n">
        <x:v>85.5</x:v>
      </x:c>
      <x:c r="E190" s="2" t="n">
        <x:v>37</x:v>
      </x:c>
      <x:c r="F190" s="2" t="n">
        <x:v>0</x:v>
      </x:c>
      <x:c r="G190" s="2" t="n">
        <x:v>0</x:v>
      </x:c>
      <x:c r="H190" s="2" t="n">
        <x:v>0</x:v>
      </x:c>
      <x:c r="I190" s="2" t="n">
        <x:v>-1</x:v>
      </x:c>
      <x:c r="J190" s="2" t="n">
        <x:v>2.5</x:v>
      </x:c>
      <x:c r="K190" s="2" t="n">
        <x:v>10</x:v>
      </x:c>
      <x:c r="L190" s="2" t="n">
        <x:v>702</x:v>
      </x:c>
      <x:c r="M190" s="2" t="n">
        <x:v>37</x:v>
      </x:c>
      <x:c r="N190" s="2" t="n">
        <x:v>635.5</x:v>
      </x:c>
      <x:c r="O190" s="2" t="str">
        <x:v>Blum173H7100 37/32; Ø2.5x10 tervezői próbaérték</x:v>
      </x:c>
    </x:row>
    <x:row r="191" ht="34" customHeight="1">
      <x:c r="A191" s="2" t="str">
        <x:v>H0186</x:v>
      </x:c>
      <x:c r="B191" s="2" t="str">
        <x:v>KI12-TV01S-02</x:v>
      </x:c>
      <x:c r="C191" s="2" t="str">
        <x:v>TALP_CSAVAR_ELOFURAT</x:v>
      </x:c>
      <x:c r="D191" s="2" t="n">
        <x:v>117.5</x:v>
      </x:c>
      <x:c r="E191" s="2" t="n">
        <x:v>37</x:v>
      </x:c>
      <x:c r="F191" s="2" t="n">
        <x:v>0</x:v>
      </x:c>
      <x:c r="G191" s="2" t="n">
        <x:v>0</x:v>
      </x:c>
      <x:c r="H191" s="2" t="n">
        <x:v>0</x:v>
      </x:c>
      <x:c r="I191" s="2" t="n">
        <x:v>-1</x:v>
      </x:c>
      <x:c r="J191" s="2" t="n">
        <x:v>2.5</x:v>
      </x:c>
      <x:c r="K191" s="2" t="n">
        <x:v>10</x:v>
      </x:c>
      <x:c r="L191" s="2" t="n">
        <x:v>702</x:v>
      </x:c>
      <x:c r="M191" s="2" t="n">
        <x:v>37</x:v>
      </x:c>
      <x:c r="N191" s="2" t="n">
        <x:v>667.5</x:v>
      </x:c>
      <x:c r="O191" s="2" t="str">
        <x:v>Blum173H7100 37/32; Ø2.5x10 tervezői próbaérték</x:v>
      </x:c>
    </x:row>
    <x:row r="192" ht="34" customHeight="1">
      <x:c r="A192" s="2" t="str">
        <x:v>H0187</x:v>
      </x:c>
      <x:c r="B192" s="2" t="str">
        <x:v>KI12-TV01F-02</x:v>
      </x:c>
      <x:c r="C192" s="2" t="str">
        <x:v>PANT_CSÉSZE</x:v>
      </x:c>
      <x:c r="D192" s="2" t="n">
        <x:v>631.75</x:v>
      </x:c>
      <x:c r="E192" s="2" t="n">
        <x:v>334</x:v>
      </x:c>
      <x:c r="F192" s="2" t="n">
        <x:v>0</x:v>
      </x:c>
      <x:c r="G192" s="2" t="n">
        <x:v>0</x:v>
      </x:c>
      <x:c r="H192" s="2" t="n">
        <x:v>0</x:v>
      </x:c>
      <x:c r="I192" s="2" t="n">
        <x:v>-1</x:v>
      </x:c>
      <x:c r="J192" s="2" t="n">
        <x:v>35</x:v>
      </x:c>
      <x:c r="K192" s="2" t="n">
        <x:v>13</x:v>
      </x:c>
      <x:c r="L192" s="2" t="n">
        <x:v>695.5</x:v>
      </x:c>
      <x:c r="M192" s="2" t="n">
        <x:v>-3</x:v>
      </x:c>
      <x:c r="N192" s="2" t="n">
        <x:v>1183.25</x:v>
      </x:c>
      <x:c r="O192" s="2" t="str">
        <x:v>Blum 70T3550.TL datasheet:35/13; TB5.5, MD0 -&gt; FA16.5</x:v>
      </x:c>
    </x:row>
    <x:row r="193" ht="34" customHeight="1">
      <x:c r="A193" s="2" t="str">
        <x:v>H0188</x:v>
      </x:c>
      <x:c r="B193" s="2" t="str">
        <x:v>KI12-TV01F-02</x:v>
      </x:c>
      <x:c r="C193" s="2" t="str">
        <x:v>PANT_CSAVAR_ELOFURAT</x:v>
      </x:c>
      <x:c r="D193" s="2" t="n">
        <x:v>609.25</x:v>
      </x:c>
      <x:c r="E193" s="2" t="n">
        <x:v>343.5</x:v>
      </x:c>
      <x:c r="F193" s="2" t="n">
        <x:v>0</x:v>
      </x:c>
      <x:c r="G193" s="2" t="n">
        <x:v>0</x:v>
      </x:c>
      <x:c r="H193" s="2" t="n">
        <x:v>0</x:v>
      </x:c>
      <x:c r="I193" s="2" t="n">
        <x:v>-1</x:v>
      </x:c>
      <x:c r="J193" s="2" t="n">
        <x:v>2.5</x:v>
      </x:c>
      <x:c r="K193" s="2" t="n">
        <x:v>10</x:v>
      </x:c>
      <x:c r="L193" s="2" t="n">
        <x:v>705</x:v>
      </x:c>
      <x:c r="M193" s="2" t="n">
        <x:v>-3</x:v>
      </x:c>
      <x:c r="N193" s="2" t="n">
        <x:v>1160.75</x:v>
      </x:c>
      <x:c r="O193" s="2" t="str">
        <x:v>45/9.5 gyári kiosztás; Ø2.5x10 próbadarabon igazolandó 3.5x15 csavarhoz</x:v>
      </x:c>
    </x:row>
    <x:row r="194" ht="34" customHeight="1">
      <x:c r="A194" s="2" t="str">
        <x:v>H0189</x:v>
      </x:c>
      <x:c r="B194" s="2" t="str">
        <x:v>KI12-TV01F-02</x:v>
      </x:c>
      <x:c r="C194" s="2" t="str">
        <x:v>PANT_CSAVAR_ELOFURAT</x:v>
      </x:c>
      <x:c r="D194" s="2" t="n">
        <x:v>654.25</x:v>
      </x:c>
      <x:c r="E194" s="2" t="n">
        <x:v>343.5</x:v>
      </x:c>
      <x:c r="F194" s="2" t="n">
        <x:v>0</x:v>
      </x:c>
      <x:c r="G194" s="2" t="n">
        <x:v>0</x:v>
      </x:c>
      <x:c r="H194" s="2" t="n">
        <x:v>0</x:v>
      </x:c>
      <x:c r="I194" s="2" t="n">
        <x:v>-1</x:v>
      </x:c>
      <x:c r="J194" s="2" t="n">
        <x:v>2.5</x:v>
      </x:c>
      <x:c r="K194" s="2" t="n">
        <x:v>10</x:v>
      </x:c>
      <x:c r="L194" s="2" t="n">
        <x:v>705</x:v>
      </x:c>
      <x:c r="M194" s="2" t="n">
        <x:v>-3</x:v>
      </x:c>
      <x:c r="N194" s="2" t="n">
        <x:v>1205.75</x:v>
      </x:c>
      <x:c r="O194" s="2" t="str">
        <x:v>45/9.5 gyári kiosztás; Ø2.5x10 próbadarabon igazolandó 3.5x15 csavarhoz</x:v>
      </x:c>
    </x:row>
    <x:row r="195" ht="34" customHeight="1">
      <x:c r="A195" s="2" t="str">
        <x:v>H0190</x:v>
      </x:c>
      <x:c r="B195" s="2" t="str">
        <x:v>KI12-TV01S-02</x:v>
      </x:c>
      <x:c r="C195" s="2" t="str">
        <x:v>TALP_CSAVAR_ELOFURAT</x:v>
      </x:c>
      <x:c r="D195" s="2" t="n">
        <x:v>617.25</x:v>
      </x:c>
      <x:c r="E195" s="2" t="n">
        <x:v>37</x:v>
      </x:c>
      <x:c r="F195" s="2" t="n">
        <x:v>0</x:v>
      </x:c>
      <x:c r="G195" s="2" t="n">
        <x:v>0</x:v>
      </x:c>
      <x:c r="H195" s="2" t="n">
        <x:v>0</x:v>
      </x:c>
      <x:c r="I195" s="2" t="n">
        <x:v>-1</x:v>
      </x:c>
      <x:c r="J195" s="2" t="n">
        <x:v>2.5</x:v>
      </x:c>
      <x:c r="K195" s="2" t="n">
        <x:v>10</x:v>
      </x:c>
      <x:c r="L195" s="2" t="n">
        <x:v>702</x:v>
      </x:c>
      <x:c r="M195" s="2" t="n">
        <x:v>37</x:v>
      </x:c>
      <x:c r="N195" s="2" t="n">
        <x:v>1167.25</x:v>
      </x:c>
      <x:c r="O195" s="2" t="str">
        <x:v>Blum173H7100 37/32; Ø2.5x10 tervezői próbaérték</x:v>
      </x:c>
    </x:row>
    <x:row r="196" ht="34" customHeight="1">
      <x:c r="A196" s="2" t="str">
        <x:v>H0191</x:v>
      </x:c>
      <x:c r="B196" s="2" t="str">
        <x:v>KI12-TV01S-02</x:v>
      </x:c>
      <x:c r="C196" s="2" t="str">
        <x:v>TALP_CSAVAR_ELOFURAT</x:v>
      </x:c>
      <x:c r="D196" s="2" t="n">
        <x:v>649.25</x:v>
      </x:c>
      <x:c r="E196" s="2" t="n">
        <x:v>37</x:v>
      </x:c>
      <x:c r="F196" s="2" t="n">
        <x:v>0</x:v>
      </x:c>
      <x:c r="G196" s="2" t="n">
        <x:v>0</x:v>
      </x:c>
      <x:c r="H196" s="2" t="n">
        <x:v>0</x:v>
      </x:c>
      <x:c r="I196" s="2" t="n">
        <x:v>-1</x:v>
      </x:c>
      <x:c r="J196" s="2" t="n">
        <x:v>2.5</x:v>
      </x:c>
      <x:c r="K196" s="2" t="n">
        <x:v>10</x:v>
      </x:c>
      <x:c r="L196" s="2" t="n">
        <x:v>702</x:v>
      </x:c>
      <x:c r="M196" s="2" t="n">
        <x:v>37</x:v>
      </x:c>
      <x:c r="N196" s="2" t="n">
        <x:v>1199.25</x:v>
      </x:c>
      <x:c r="O196" s="2" t="str">
        <x:v>Blum173H7100 37/32; Ø2.5x10 tervezői próbaérték</x:v>
      </x:c>
    </x:row>
    <x:row r="197" ht="34" customHeight="1">
      <x:c r="A197" s="2" t="str">
        <x:v>H0192</x:v>
      </x:c>
      <x:c r="B197" s="2" t="str">
        <x:v>KI12-TV01F-02</x:v>
      </x:c>
      <x:c r="C197" s="2" t="str">
        <x:v>PANT_CSÉSZE</x:v>
      </x:c>
      <x:c r="D197" s="2" t="n">
        <x:v>1163.5</x:v>
      </x:c>
      <x:c r="E197" s="2" t="n">
        <x:v>334</x:v>
      </x:c>
      <x:c r="F197" s="2" t="n">
        <x:v>0</x:v>
      </x:c>
      <x:c r="G197" s="2" t="n">
        <x:v>0</x:v>
      </x:c>
      <x:c r="H197" s="2" t="n">
        <x:v>0</x:v>
      </x:c>
      <x:c r="I197" s="2" t="n">
        <x:v>-1</x:v>
      </x:c>
      <x:c r="J197" s="2" t="n">
        <x:v>35</x:v>
      </x:c>
      <x:c r="K197" s="2" t="n">
        <x:v>13</x:v>
      </x:c>
      <x:c r="L197" s="2" t="n">
        <x:v>695.5</x:v>
      </x:c>
      <x:c r="M197" s="2" t="n">
        <x:v>-3</x:v>
      </x:c>
      <x:c r="N197" s="2" t="n">
        <x:v>1715</x:v>
      </x:c>
      <x:c r="O197" s="2" t="str">
        <x:v>Blum 70T3550.TL datasheet:35/13; TB5.5, MD0 -&gt; FA16.5</x:v>
      </x:c>
    </x:row>
    <x:row r="198" ht="34" customHeight="1">
      <x:c r="A198" s="2" t="str">
        <x:v>H0193</x:v>
      </x:c>
      <x:c r="B198" s="2" t="str">
        <x:v>KI12-TV01F-02</x:v>
      </x:c>
      <x:c r="C198" s="2" t="str">
        <x:v>PANT_CSAVAR_ELOFURAT</x:v>
      </x:c>
      <x:c r="D198" s="2" t="n">
        <x:v>1141</x:v>
      </x:c>
      <x:c r="E198" s="2" t="n">
        <x:v>343.5</x:v>
      </x:c>
      <x:c r="F198" s="2" t="n">
        <x:v>0</x:v>
      </x:c>
      <x:c r="G198" s="2" t="n">
        <x:v>0</x:v>
      </x:c>
      <x:c r="H198" s="2" t="n">
        <x:v>0</x:v>
      </x:c>
      <x:c r="I198" s="2" t="n">
        <x:v>-1</x:v>
      </x:c>
      <x:c r="J198" s="2" t="n">
        <x:v>2.5</x:v>
      </x:c>
      <x:c r="K198" s="2" t="n">
        <x:v>10</x:v>
      </x:c>
      <x:c r="L198" s="2" t="n">
        <x:v>705</x:v>
      </x:c>
      <x:c r="M198" s="2" t="n">
        <x:v>-3</x:v>
      </x:c>
      <x:c r="N198" s="2" t="n">
        <x:v>1692.5</x:v>
      </x:c>
      <x:c r="O198" s="2" t="str">
        <x:v>45/9.5 gyári kiosztás; Ø2.5x10 próbadarabon igazolandó 3.5x15 csavarhoz</x:v>
      </x:c>
    </x:row>
    <x:row r="199" ht="34" customHeight="1">
      <x:c r="A199" s="2" t="str">
        <x:v>H0194</x:v>
      </x:c>
      <x:c r="B199" s="2" t="str">
        <x:v>KI12-TV01F-02</x:v>
      </x:c>
      <x:c r="C199" s="2" t="str">
        <x:v>PANT_CSAVAR_ELOFURAT</x:v>
      </x:c>
      <x:c r="D199" s="2" t="n">
        <x:v>1186</x:v>
      </x:c>
      <x:c r="E199" s="2" t="n">
        <x:v>343.5</x:v>
      </x:c>
      <x:c r="F199" s="2" t="n">
        <x:v>0</x:v>
      </x:c>
      <x:c r="G199" s="2" t="n">
        <x:v>0</x:v>
      </x:c>
      <x:c r="H199" s="2" t="n">
        <x:v>0</x:v>
      </x:c>
      <x:c r="I199" s="2" t="n">
        <x:v>-1</x:v>
      </x:c>
      <x:c r="J199" s="2" t="n">
        <x:v>2.5</x:v>
      </x:c>
      <x:c r="K199" s="2" t="n">
        <x:v>10</x:v>
      </x:c>
      <x:c r="L199" s="2" t="n">
        <x:v>705</x:v>
      </x:c>
      <x:c r="M199" s="2" t="n">
        <x:v>-3</x:v>
      </x:c>
      <x:c r="N199" s="2" t="n">
        <x:v>1737.5</x:v>
      </x:c>
      <x:c r="O199" s="2" t="str">
        <x:v>45/9.5 gyári kiosztás; Ø2.5x10 próbadarabon igazolandó 3.5x15 csavarhoz</x:v>
      </x:c>
    </x:row>
    <x:row r="200" ht="34" customHeight="1">
      <x:c r="A200" s="2" t="str">
        <x:v>H0195</x:v>
      </x:c>
      <x:c r="B200" s="2" t="str">
        <x:v>KI12-TV01S-02</x:v>
      </x:c>
      <x:c r="C200" s="2" t="str">
        <x:v>TALP_CSAVAR_ELOFURAT</x:v>
      </x:c>
      <x:c r="D200" s="2" t="n">
        <x:v>1149</x:v>
      </x:c>
      <x:c r="E200" s="2" t="n">
        <x:v>37</x:v>
      </x:c>
      <x:c r="F200" s="2" t="n">
        <x:v>0</x:v>
      </x:c>
      <x:c r="G200" s="2" t="n">
        <x:v>0</x:v>
      </x:c>
      <x:c r="H200" s="2" t="n">
        <x:v>0</x:v>
      </x:c>
      <x:c r="I200" s="2" t="n">
        <x:v>-1</x:v>
      </x:c>
      <x:c r="J200" s="2" t="n">
        <x:v>2.5</x:v>
      </x:c>
      <x:c r="K200" s="2" t="n">
        <x:v>10</x:v>
      </x:c>
      <x:c r="L200" s="2" t="n">
        <x:v>702</x:v>
      </x:c>
      <x:c r="M200" s="2" t="n">
        <x:v>37</x:v>
      </x:c>
      <x:c r="N200" s="2" t="n">
        <x:v>1699</x:v>
      </x:c>
      <x:c r="O200" s="2" t="str">
        <x:v>Blum173H7100 37/32; Ø2.5x10 tervezői próbaérték</x:v>
      </x:c>
    </x:row>
    <x:row r="201" ht="34" customHeight="1">
      <x:c r="A201" s="2" t="str">
        <x:v>H0196</x:v>
      </x:c>
      <x:c r="B201" s="2" t="str">
        <x:v>KI12-TV01S-02</x:v>
      </x:c>
      <x:c r="C201" s="2" t="str">
        <x:v>TALP_CSAVAR_ELOFURAT</x:v>
      </x:c>
      <x:c r="D201" s="2" t="n">
        <x:v>1181</x:v>
      </x:c>
      <x:c r="E201" s="2" t="n">
        <x:v>37</x:v>
      </x:c>
      <x:c r="F201" s="2" t="n">
        <x:v>0</x:v>
      </x:c>
      <x:c r="G201" s="2" t="n">
        <x:v>0</x:v>
      </x:c>
      <x:c r="H201" s="2" t="n">
        <x:v>0</x:v>
      </x:c>
      <x:c r="I201" s="2" t="n">
        <x:v>-1</x:v>
      </x:c>
      <x:c r="J201" s="2" t="n">
        <x:v>2.5</x:v>
      </x:c>
      <x:c r="K201" s="2" t="n">
        <x:v>10</x:v>
      </x:c>
      <x:c r="L201" s="2" t="n">
        <x:v>702</x:v>
      </x:c>
      <x:c r="M201" s="2" t="n">
        <x:v>37</x:v>
      </x:c>
      <x:c r="N201" s="2" t="n">
        <x:v>1731</x:v>
      </x:c>
      <x:c r="O201" s="2" t="str">
        <x:v>Blum173H7100 37/32; Ø2.5x10 tervezői próbaérték</x:v>
      </x:c>
    </x:row>
    <x:row r="202" ht="34" customHeight="1">
      <x:c r="A202" s="2" t="str">
        <x:v>H0197</x:v>
      </x:c>
      <x:c r="B202" s="2" t="str">
        <x:v>KI12-TV01F-02</x:v>
      </x:c>
      <x:c r="C202" s="2" t="str">
        <x:v>PANT_CSÉSZE</x:v>
      </x:c>
      <x:c r="D202" s="2" t="n">
        <x:v>1695.25</x:v>
      </x:c>
      <x:c r="E202" s="2" t="n">
        <x:v>334</x:v>
      </x:c>
      <x:c r="F202" s="2" t="n">
        <x:v>0</x:v>
      </x:c>
      <x:c r="G202" s="2" t="n">
        <x:v>0</x:v>
      </x:c>
      <x:c r="H202" s="2" t="n">
        <x:v>0</x:v>
      </x:c>
      <x:c r="I202" s="2" t="n">
        <x:v>-1</x:v>
      </x:c>
      <x:c r="J202" s="2" t="n">
        <x:v>35</x:v>
      </x:c>
      <x:c r="K202" s="2" t="n">
        <x:v>13</x:v>
      </x:c>
      <x:c r="L202" s="2" t="n">
        <x:v>695.5</x:v>
      </x:c>
      <x:c r="M202" s="2" t="n">
        <x:v>-3</x:v>
      </x:c>
      <x:c r="N202" s="2" t="n">
        <x:v>2246.75</x:v>
      </x:c>
      <x:c r="O202" s="2" t="str">
        <x:v>Blum 70T3550.TL datasheet:35/13; TB5.5, MD0 -&gt; FA16.5</x:v>
      </x:c>
    </x:row>
    <x:row r="203" ht="34" customHeight="1">
      <x:c r="A203" s="2" t="str">
        <x:v>H0198</x:v>
      </x:c>
      <x:c r="B203" s="2" t="str">
        <x:v>KI12-TV01F-02</x:v>
      </x:c>
      <x:c r="C203" s="2" t="str">
        <x:v>PANT_CSAVAR_ELOFURAT</x:v>
      </x:c>
      <x:c r="D203" s="2" t="n">
        <x:v>1672.75</x:v>
      </x:c>
      <x:c r="E203" s="2" t="n">
        <x:v>343.5</x:v>
      </x:c>
      <x:c r="F203" s="2" t="n">
        <x:v>0</x:v>
      </x:c>
      <x:c r="G203" s="2" t="n">
        <x:v>0</x:v>
      </x:c>
      <x:c r="H203" s="2" t="n">
        <x:v>0</x:v>
      </x:c>
      <x:c r="I203" s="2" t="n">
        <x:v>-1</x:v>
      </x:c>
      <x:c r="J203" s="2" t="n">
        <x:v>2.5</x:v>
      </x:c>
      <x:c r="K203" s="2" t="n">
        <x:v>10</x:v>
      </x:c>
      <x:c r="L203" s="2" t="n">
        <x:v>705</x:v>
      </x:c>
      <x:c r="M203" s="2" t="n">
        <x:v>-3</x:v>
      </x:c>
      <x:c r="N203" s="2" t="n">
        <x:v>2224.25</x:v>
      </x:c>
      <x:c r="O203" s="2" t="str">
        <x:v>45/9.5 gyári kiosztás; Ø2.5x10 próbadarabon igazolandó 3.5x15 csavarhoz</x:v>
      </x:c>
    </x:row>
    <x:row r="204" ht="34" customHeight="1">
      <x:c r="A204" s="2" t="str">
        <x:v>H0199</x:v>
      </x:c>
      <x:c r="B204" s="2" t="str">
        <x:v>KI12-TV01F-02</x:v>
      </x:c>
      <x:c r="C204" s="2" t="str">
        <x:v>PANT_CSAVAR_ELOFURAT</x:v>
      </x:c>
      <x:c r="D204" s="2" t="n">
        <x:v>1717.75</x:v>
      </x:c>
      <x:c r="E204" s="2" t="n">
        <x:v>343.5</x:v>
      </x:c>
      <x:c r="F204" s="2" t="n">
        <x:v>0</x:v>
      </x:c>
      <x:c r="G204" s="2" t="n">
        <x:v>0</x:v>
      </x:c>
      <x:c r="H204" s="2" t="n">
        <x:v>0</x:v>
      </x:c>
      <x:c r="I204" s="2" t="n">
        <x:v>-1</x:v>
      </x:c>
      <x:c r="J204" s="2" t="n">
        <x:v>2.5</x:v>
      </x:c>
      <x:c r="K204" s="2" t="n">
        <x:v>10</x:v>
      </x:c>
      <x:c r="L204" s="2" t="n">
        <x:v>705</x:v>
      </x:c>
      <x:c r="M204" s="2" t="n">
        <x:v>-3</x:v>
      </x:c>
      <x:c r="N204" s="2" t="n">
        <x:v>2269.25</x:v>
      </x:c>
      <x:c r="O204" s="2" t="str">
        <x:v>45/9.5 gyári kiosztás; Ø2.5x10 próbadarabon igazolandó 3.5x15 csavarhoz</x:v>
      </x:c>
    </x:row>
    <x:row r="205" ht="34" customHeight="1">
      <x:c r="A205" s="2" t="str">
        <x:v>H0200</x:v>
      </x:c>
      <x:c r="B205" s="2" t="str">
        <x:v>KI12-TV01S-02</x:v>
      </x:c>
      <x:c r="C205" s="2" t="str">
        <x:v>TALP_CSAVAR_ELOFURAT</x:v>
      </x:c>
      <x:c r="D205" s="2" t="n">
        <x:v>1680.75</x:v>
      </x:c>
      <x:c r="E205" s="2" t="n">
        <x:v>37</x:v>
      </x:c>
      <x:c r="F205" s="2" t="n">
        <x:v>0</x:v>
      </x:c>
      <x:c r="G205" s="2" t="n">
        <x:v>0</x:v>
      </x:c>
      <x:c r="H205" s="2" t="n">
        <x:v>0</x:v>
      </x:c>
      <x:c r="I205" s="2" t="n">
        <x:v>-1</x:v>
      </x:c>
      <x:c r="J205" s="2" t="n">
        <x:v>2.5</x:v>
      </x:c>
      <x:c r="K205" s="2" t="n">
        <x:v>10</x:v>
      </x:c>
      <x:c r="L205" s="2" t="n">
        <x:v>702</x:v>
      </x:c>
      <x:c r="M205" s="2" t="n">
        <x:v>37</x:v>
      </x:c>
      <x:c r="N205" s="2" t="n">
        <x:v>2230.75</x:v>
      </x:c>
      <x:c r="O205" s="2" t="str">
        <x:v>Blum173H7100 37/32; Ø2.5x10 tervezői próbaérték</x:v>
      </x:c>
    </x:row>
    <x:row r="206" ht="34" customHeight="1">
      <x:c r="A206" s="2" t="str">
        <x:v>H0201</x:v>
      </x:c>
      <x:c r="B206" s="2" t="str">
        <x:v>KI12-TV01S-02</x:v>
      </x:c>
      <x:c r="C206" s="2" t="str">
        <x:v>TALP_CSAVAR_ELOFURAT</x:v>
      </x:c>
      <x:c r="D206" s="2" t="n">
        <x:v>1712.75</x:v>
      </x:c>
      <x:c r="E206" s="2" t="n">
        <x:v>37</x:v>
      </x:c>
      <x:c r="F206" s="2" t="n">
        <x:v>0</x:v>
      </x:c>
      <x:c r="G206" s="2" t="n">
        <x:v>0</x:v>
      </x:c>
      <x:c r="H206" s="2" t="n">
        <x:v>0</x:v>
      </x:c>
      <x:c r="I206" s="2" t="n">
        <x:v>-1</x:v>
      </x:c>
      <x:c r="J206" s="2" t="n">
        <x:v>2.5</x:v>
      </x:c>
      <x:c r="K206" s="2" t="n">
        <x:v>10</x:v>
      </x:c>
      <x:c r="L206" s="2" t="n">
        <x:v>702</x:v>
      </x:c>
      <x:c r="M206" s="2" t="n">
        <x:v>37</x:v>
      </x:c>
      <x:c r="N206" s="2" t="n">
        <x:v>2262.75</x:v>
      </x:c>
      <x:c r="O206" s="2" t="str">
        <x:v>Blum173H7100 37/32; Ø2.5x10 tervezői próbaérték</x:v>
      </x:c>
    </x:row>
    <x:row r="207" ht="34" customHeight="1">
      <x:c r="A207" s="2" t="str">
        <x:v>H0202</x:v>
      </x:c>
      <x:c r="B207" s="2" t="str">
        <x:v>KI12-TV01F-02</x:v>
      </x:c>
      <x:c r="C207" s="2" t="str">
        <x:v>PANT_CSÉSZE</x:v>
      </x:c>
      <x:c r="D207" s="2" t="n">
        <x:v>2227</x:v>
      </x:c>
      <x:c r="E207" s="2" t="n">
        <x:v>334</x:v>
      </x:c>
      <x:c r="F207" s="2" t="n">
        <x:v>0</x:v>
      </x:c>
      <x:c r="G207" s="2" t="n">
        <x:v>0</x:v>
      </x:c>
      <x:c r="H207" s="2" t="n">
        <x:v>0</x:v>
      </x:c>
      <x:c r="I207" s="2" t="n">
        <x:v>-1</x:v>
      </x:c>
      <x:c r="J207" s="2" t="n">
        <x:v>35</x:v>
      </x:c>
      <x:c r="K207" s="2" t="n">
        <x:v>13</x:v>
      </x:c>
      <x:c r="L207" s="2" t="n">
        <x:v>695.5</x:v>
      </x:c>
      <x:c r="M207" s="2" t="n">
        <x:v>-3</x:v>
      </x:c>
      <x:c r="N207" s="2" t="n">
        <x:v>2778.5</x:v>
      </x:c>
      <x:c r="O207" s="2" t="str">
        <x:v>Blum 70T3550.TL datasheet:35/13; TB5.5, MD0 -&gt; FA16.5</x:v>
      </x:c>
    </x:row>
    <x:row r="208" ht="34" customHeight="1">
      <x:c r="A208" s="2" t="str">
        <x:v>H0203</x:v>
      </x:c>
      <x:c r="B208" s="2" t="str">
        <x:v>KI12-TV01F-02</x:v>
      </x:c>
      <x:c r="C208" s="2" t="str">
        <x:v>PANT_CSAVAR_ELOFURAT</x:v>
      </x:c>
      <x:c r="D208" s="2" t="n">
        <x:v>2204.5</x:v>
      </x:c>
      <x:c r="E208" s="2" t="n">
        <x:v>343.5</x:v>
      </x:c>
      <x:c r="F208" s="2" t="n">
        <x:v>0</x:v>
      </x:c>
      <x:c r="G208" s="2" t="n">
        <x:v>0</x:v>
      </x:c>
      <x:c r="H208" s="2" t="n">
        <x:v>0</x:v>
      </x:c>
      <x:c r="I208" s="2" t="n">
        <x:v>-1</x:v>
      </x:c>
      <x:c r="J208" s="2" t="n">
        <x:v>2.5</x:v>
      </x:c>
      <x:c r="K208" s="2" t="n">
        <x:v>10</x:v>
      </x:c>
      <x:c r="L208" s="2" t="n">
        <x:v>705</x:v>
      </x:c>
      <x:c r="M208" s="2" t="n">
        <x:v>-3</x:v>
      </x:c>
      <x:c r="N208" s="2" t="n">
        <x:v>2756</x:v>
      </x:c>
      <x:c r="O208" s="2" t="str">
        <x:v>45/9.5 gyári kiosztás; Ø2.5x10 próbadarabon igazolandó 3.5x15 csavarhoz</x:v>
      </x:c>
    </x:row>
    <x:row r="209" ht="34" customHeight="1">
      <x:c r="A209" s="2" t="str">
        <x:v>H0204</x:v>
      </x:c>
      <x:c r="B209" s="2" t="str">
        <x:v>KI12-TV01F-02</x:v>
      </x:c>
      <x:c r="C209" s="2" t="str">
        <x:v>PANT_CSAVAR_ELOFURAT</x:v>
      </x:c>
      <x:c r="D209" s="2" t="n">
        <x:v>2249.5</x:v>
      </x:c>
      <x:c r="E209" s="2" t="n">
        <x:v>343.5</x:v>
      </x:c>
      <x:c r="F209" s="2" t="n">
        <x:v>0</x:v>
      </x:c>
      <x:c r="G209" s="2" t="n">
        <x:v>0</x:v>
      </x:c>
      <x:c r="H209" s="2" t="n">
        <x:v>0</x:v>
      </x:c>
      <x:c r="I209" s="2" t="n">
        <x:v>-1</x:v>
      </x:c>
      <x:c r="J209" s="2" t="n">
        <x:v>2.5</x:v>
      </x:c>
      <x:c r="K209" s="2" t="n">
        <x:v>10</x:v>
      </x:c>
      <x:c r="L209" s="2" t="n">
        <x:v>705</x:v>
      </x:c>
      <x:c r="M209" s="2" t="n">
        <x:v>-3</x:v>
      </x:c>
      <x:c r="N209" s="2" t="n">
        <x:v>2801</x:v>
      </x:c>
      <x:c r="O209" s="2" t="str">
        <x:v>45/9.5 gyári kiosztás; Ø2.5x10 próbadarabon igazolandó 3.5x15 csavarhoz</x:v>
      </x:c>
    </x:row>
    <x:row r="210" ht="34" customHeight="1">
      <x:c r="A210" s="2" t="str">
        <x:v>H0205</x:v>
      </x:c>
      <x:c r="B210" s="2" t="str">
        <x:v>KI12-TV01S-02</x:v>
      </x:c>
      <x:c r="C210" s="2" t="str">
        <x:v>TALP_CSAVAR_ELOFURAT</x:v>
      </x:c>
      <x:c r="D210" s="2" t="n">
        <x:v>2212.5</x:v>
      </x:c>
      <x:c r="E210" s="2" t="n">
        <x:v>37</x:v>
      </x:c>
      <x:c r="F210" s="2" t="n">
        <x:v>0</x:v>
      </x:c>
      <x:c r="G210" s="2" t="n">
        <x:v>0</x:v>
      </x:c>
      <x:c r="H210" s="2" t="n">
        <x:v>0</x:v>
      </x:c>
      <x:c r="I210" s="2" t="n">
        <x:v>-1</x:v>
      </x:c>
      <x:c r="J210" s="2" t="n">
        <x:v>2.5</x:v>
      </x:c>
      <x:c r="K210" s="2" t="n">
        <x:v>10</x:v>
      </x:c>
      <x:c r="L210" s="2" t="n">
        <x:v>702</x:v>
      </x:c>
      <x:c r="M210" s="2" t="n">
        <x:v>37</x:v>
      </x:c>
      <x:c r="N210" s="2" t="n">
        <x:v>2762.5</x:v>
      </x:c>
      <x:c r="O210" s="2" t="str">
        <x:v>Blum173H7100 37/32; Ø2.5x10 tervezői próbaérték</x:v>
      </x:c>
    </x:row>
    <x:row r="211" ht="34" customHeight="1">
      <x:c r="A211" s="2" t="str">
        <x:v>H0206</x:v>
      </x:c>
      <x:c r="B211" s="2" t="str">
        <x:v>KI12-TV01S-02</x:v>
      </x:c>
      <x:c r="C211" s="2" t="str">
        <x:v>TALP_CSAVAR_ELOFURAT</x:v>
      </x:c>
      <x:c r="D211" s="2" t="n">
        <x:v>2244.5</x:v>
      </x:c>
      <x:c r="E211" s="2" t="n">
        <x:v>37</x:v>
      </x:c>
      <x:c r="F211" s="2" t="n">
        <x:v>0</x:v>
      </x:c>
      <x:c r="G211" s="2" t="n">
        <x:v>0</x:v>
      </x:c>
      <x:c r="H211" s="2" t="n">
        <x:v>0</x:v>
      </x:c>
      <x:c r="I211" s="2" t="n">
        <x:v>-1</x:v>
      </x:c>
      <x:c r="J211" s="2" t="n">
        <x:v>2.5</x:v>
      </x:c>
      <x:c r="K211" s="2" t="n">
        <x:v>10</x:v>
      </x:c>
      <x:c r="L211" s="2" t="n">
        <x:v>702</x:v>
      </x:c>
      <x:c r="M211" s="2" t="n">
        <x:v>37</x:v>
      </x:c>
      <x:c r="N211" s="2" t="n">
        <x:v>2794.5</x:v>
      </x:c>
      <x:c r="O211" s="2" t="str">
        <x:v>Blum173H7100 37/32; Ø2.5x10 tervezői próbaérték</x:v>
      </x:c>
    </x:row>
    <x:row r="212" ht="34" customHeight="1">
      <x:c r="A212" s="2" t="str">
        <x:v>H0207</x:v>
      </x:c>
      <x:c r="B212" s="2" t="str">
        <x:v>KI12-TV02F1-01</x:v>
      </x:c>
      <x:c r="C212" s="2" t="str">
        <x:v>PANT_CSÉSZE</x:v>
      </x:c>
      <x:c r="D212" s="2" t="n">
        <x:v>694</x:v>
      </x:c>
      <x:c r="E212" s="2" t="n">
        <x:v>80</x:v>
      </x:c>
      <x:c r="F212" s="2" t="n">
        <x:v>0</x:v>
      </x:c>
      <x:c r="G212" s="2" t="n">
        <x:v>0</x:v>
      </x:c>
      <x:c r="H212" s="2" t="n">
        <x:v>0</x:v>
      </x:c>
      <x:c r="I212" s="2" t="n">
        <x:v>-1</x:v>
      </x:c>
      <x:c r="J212" s="2" t="n">
        <x:v>35</x:v>
      </x:c>
      <x:c r="K212" s="2" t="n">
        <x:v>13</x:v>
      </x:c>
      <x:c r="L212" s="2" t="n">
        <x:v>24.5</x:v>
      </x:c>
      <x:c r="M212" s="2" t="n">
        <x:v>-3</x:v>
      </x:c>
      <x:c r="N212" s="2" t="n">
        <x:v>231.5</x:v>
      </x:c>
      <x:c r="O212" s="2" t="str">
        <x:v>Blum 70T3550.TL datasheet:35/13; TB5.5, MD0 -&gt; FA16.5</x:v>
      </x:c>
    </x:row>
    <x:row r="213" ht="34" customHeight="1">
      <x:c r="A213" s="2" t="str">
        <x:v>H0208</x:v>
      </x:c>
      <x:c r="B213" s="2" t="str">
        <x:v>KI12-TV02F1-01</x:v>
      </x:c>
      <x:c r="C213" s="2" t="str">
        <x:v>PANT_CSAVAR_ELOFURAT</x:v>
      </x:c>
      <x:c r="D213" s="2" t="n">
        <x:v>703.5</x:v>
      </x:c>
      <x:c r="E213" s="2" t="n">
        <x:v>57.5</x:v>
      </x:c>
      <x:c r="F213" s="2" t="n">
        <x:v>0</x:v>
      </x:c>
      <x:c r="G213" s="2" t="n">
        <x:v>0</x:v>
      </x:c>
      <x:c r="H213" s="2" t="n">
        <x:v>0</x:v>
      </x:c>
      <x:c r="I213" s="2" t="n">
        <x:v>-1</x:v>
      </x:c>
      <x:c r="J213" s="2" t="n">
        <x:v>2.5</x:v>
      </x:c>
      <x:c r="K213" s="2" t="n">
        <x:v>10</x:v>
      </x:c>
      <x:c r="L213" s="2" t="n">
        <x:v>15</x:v>
      </x:c>
      <x:c r="M213" s="2" t="n">
        <x:v>-3</x:v>
      </x:c>
      <x:c r="N213" s="2" t="n">
        <x:v>209</x:v>
      </x:c>
      <x:c r="O213" s="2" t="str">
        <x:v>45/9.5 gyári kiosztás; Ø2.5x10 próbadarabon igazolandó 3.5x15 csavarhoz</x:v>
      </x:c>
    </x:row>
    <x:row r="214" ht="34" customHeight="1">
      <x:c r="A214" s="2" t="str">
        <x:v>H0209</x:v>
      </x:c>
      <x:c r="B214" s="2" t="str">
        <x:v>KI12-TV02F1-01</x:v>
      </x:c>
      <x:c r="C214" s="2" t="str">
        <x:v>PANT_CSAVAR_ELOFURAT</x:v>
      </x:c>
      <x:c r="D214" s="2" t="n">
        <x:v>703.5</x:v>
      </x:c>
      <x:c r="E214" s="2" t="n">
        <x:v>102.5</x:v>
      </x:c>
      <x:c r="F214" s="2" t="n">
        <x:v>0</x:v>
      </x:c>
      <x:c r="G214" s="2" t="n">
        <x:v>0</x:v>
      </x:c>
      <x:c r="H214" s="2" t="n">
        <x:v>0</x:v>
      </x:c>
      <x:c r="I214" s="2" t="n">
        <x:v>-1</x:v>
      </x:c>
      <x:c r="J214" s="2" t="n">
        <x:v>2.5</x:v>
      </x:c>
      <x:c r="K214" s="2" t="n">
        <x:v>10</x:v>
      </x:c>
      <x:c r="L214" s="2" t="n">
        <x:v>15</x:v>
      </x:c>
      <x:c r="M214" s="2" t="n">
        <x:v>-3</x:v>
      </x:c>
      <x:c r="N214" s="2" t="n">
        <x:v>254</x:v>
      </x:c>
      <x:c r="O214" s="2" t="str">
        <x:v>45/9.5 gyári kiosztás; Ø2.5x10 próbadarabon igazolandó 3.5x15 csavarhoz</x:v>
      </x:c>
    </x:row>
    <x:row r="215" ht="34" customHeight="1">
      <x:c r="A215" s="2" t="str">
        <x:v>H0210</x:v>
      </x:c>
      <x:c r="B215" s="2" t="str">
        <x:v>KI12-TV02S-01</x:v>
      </x:c>
      <x:c r="C215" s="2" t="str">
        <x:v>TALP_CSAVAR_ELOFURAT</x:v>
      </x:c>
      <x:c r="D215" s="2" t="n">
        <x:v>65.5</x:v>
      </x:c>
      <x:c r="E215" s="2" t="n">
        <x:v>37</x:v>
      </x:c>
      <x:c r="F215" s="2" t="n">
        <x:v>-18</x:v>
      </x:c>
      <x:c r="G215" s="2" t="n">
        <x:v>0</x:v>
      </x:c>
      <x:c r="H215" s="2" t="n">
        <x:v>0</x:v>
      </x:c>
      <x:c r="I215" s="2" t="n">
        <x:v>1</x:v>
      </x:c>
      <x:c r="J215" s="2" t="n">
        <x:v>2.5</x:v>
      </x:c>
      <x:c r="K215" s="2" t="n">
        <x:v>10</x:v>
      </x:c>
      <x:c r="L215" s="2" t="n">
        <x:v>18</x:v>
      </x:c>
      <x:c r="M215" s="2" t="n">
        <x:v>37</x:v>
      </x:c>
      <x:c r="N215" s="2" t="n">
        <x:v>215.5</x:v>
      </x:c>
      <x:c r="O215" s="2" t="str">
        <x:v>Blum173H7100 37/32; Ø2.5x10 tervezői próbaérték</x:v>
      </x:c>
    </x:row>
    <x:row r="216" ht="34" customHeight="1">
      <x:c r="A216" s="2" t="str">
        <x:v>H0211</x:v>
      </x:c>
      <x:c r="B216" s="2" t="str">
        <x:v>KI12-TV02S-01</x:v>
      </x:c>
      <x:c r="C216" s="2" t="str">
        <x:v>TALP_CSAVAR_ELOFURAT</x:v>
      </x:c>
      <x:c r="D216" s="2" t="n">
        <x:v>97.5</x:v>
      </x:c>
      <x:c r="E216" s="2" t="n">
        <x:v>37</x:v>
      </x:c>
      <x:c r="F216" s="2" t="n">
        <x:v>-18</x:v>
      </x:c>
      <x:c r="G216" s="2" t="n">
        <x:v>0</x:v>
      </x:c>
      <x:c r="H216" s="2" t="n">
        <x:v>0</x:v>
      </x:c>
      <x:c r="I216" s="2" t="n">
        <x:v>1</x:v>
      </x:c>
      <x:c r="J216" s="2" t="n">
        <x:v>2.5</x:v>
      </x:c>
      <x:c r="K216" s="2" t="n">
        <x:v>10</x:v>
      </x:c>
      <x:c r="L216" s="2" t="n">
        <x:v>18</x:v>
      </x:c>
      <x:c r="M216" s="2" t="n">
        <x:v>37</x:v>
      </x:c>
      <x:c r="N216" s="2" t="n">
        <x:v>247.5</x:v>
      </x:c>
      <x:c r="O216" s="2" t="str">
        <x:v>Blum173H7100 37/32; Ø2.5x10 tervezői próbaérték</x:v>
      </x:c>
    </x:row>
    <x:row r="217" ht="34" customHeight="1">
      <x:c r="A217" s="2" t="str">
        <x:v>H0212</x:v>
      </x:c>
      <x:c r="B217" s="2" t="str">
        <x:v>KI12-TV02F1-01</x:v>
      </x:c>
      <x:c r="C217" s="2" t="str">
        <x:v>PANT_CSÉSZE</x:v>
      </x:c>
      <x:c r="D217" s="2" t="n">
        <x:v>694</x:v>
      </x:c>
      <x:c r="E217" s="2" t="n">
        <x:v>317</x:v>
      </x:c>
      <x:c r="F217" s="2" t="n">
        <x:v>0</x:v>
      </x:c>
      <x:c r="G217" s="2" t="n">
        <x:v>0</x:v>
      </x:c>
      <x:c r="H217" s="2" t="n">
        <x:v>0</x:v>
      </x:c>
      <x:c r="I217" s="2" t="n">
        <x:v>-1</x:v>
      </x:c>
      <x:c r="J217" s="2" t="n">
        <x:v>35</x:v>
      </x:c>
      <x:c r="K217" s="2" t="n">
        <x:v>13</x:v>
      </x:c>
      <x:c r="L217" s="2" t="n">
        <x:v>24.5</x:v>
      </x:c>
      <x:c r="M217" s="2" t="n">
        <x:v>-3</x:v>
      </x:c>
      <x:c r="N217" s="2" t="n">
        <x:v>468.5</x:v>
      </x:c>
      <x:c r="O217" s="2" t="str">
        <x:v>Blum 70T3550.TL datasheet:35/13; TB5.5, MD0 -&gt; FA16.5</x:v>
      </x:c>
    </x:row>
    <x:row r="218" ht="34" customHeight="1">
      <x:c r="A218" s="2" t="str">
        <x:v>H0213</x:v>
      </x:c>
      <x:c r="B218" s="2" t="str">
        <x:v>KI12-TV02F1-01</x:v>
      </x:c>
      <x:c r="C218" s="2" t="str">
        <x:v>PANT_CSAVAR_ELOFURAT</x:v>
      </x:c>
      <x:c r="D218" s="2" t="n">
        <x:v>703.5</x:v>
      </x:c>
      <x:c r="E218" s="2" t="n">
        <x:v>294.5</x:v>
      </x:c>
      <x:c r="F218" s="2" t="n">
        <x:v>0</x:v>
      </x:c>
      <x:c r="G218" s="2" t="n">
        <x:v>0</x:v>
      </x:c>
      <x:c r="H218" s="2" t="n">
        <x:v>0</x:v>
      </x:c>
      <x:c r="I218" s="2" t="n">
        <x:v>-1</x:v>
      </x:c>
      <x:c r="J218" s="2" t="n">
        <x:v>2.5</x:v>
      </x:c>
      <x:c r="K218" s="2" t="n">
        <x:v>10</x:v>
      </x:c>
      <x:c r="L218" s="2" t="n">
        <x:v>15</x:v>
      </x:c>
      <x:c r="M218" s="2" t="n">
        <x:v>-3</x:v>
      </x:c>
      <x:c r="N218" s="2" t="n">
        <x:v>446</x:v>
      </x:c>
      <x:c r="O218" s="2" t="str">
        <x:v>45/9.5 gyári kiosztás; Ø2.5x10 próbadarabon igazolandó 3.5x15 csavarhoz</x:v>
      </x:c>
    </x:row>
    <x:row r="219" ht="34" customHeight="1">
      <x:c r="A219" s="2" t="str">
        <x:v>H0214</x:v>
      </x:c>
      <x:c r="B219" s="2" t="str">
        <x:v>KI12-TV02F1-01</x:v>
      </x:c>
      <x:c r="C219" s="2" t="str">
        <x:v>PANT_CSAVAR_ELOFURAT</x:v>
      </x:c>
      <x:c r="D219" s="2" t="n">
        <x:v>703.5</x:v>
      </x:c>
      <x:c r="E219" s="2" t="n">
        <x:v>339.5</x:v>
      </x:c>
      <x:c r="F219" s="2" t="n">
        <x:v>0</x:v>
      </x:c>
      <x:c r="G219" s="2" t="n">
        <x:v>0</x:v>
      </x:c>
      <x:c r="H219" s="2" t="n">
        <x:v>0</x:v>
      </x:c>
      <x:c r="I219" s="2" t="n">
        <x:v>-1</x:v>
      </x:c>
      <x:c r="J219" s="2" t="n">
        <x:v>2.5</x:v>
      </x:c>
      <x:c r="K219" s="2" t="n">
        <x:v>10</x:v>
      </x:c>
      <x:c r="L219" s="2" t="n">
        <x:v>15</x:v>
      </x:c>
      <x:c r="M219" s="2" t="n">
        <x:v>-3</x:v>
      </x:c>
      <x:c r="N219" s="2" t="n">
        <x:v>491</x:v>
      </x:c>
      <x:c r="O219" s="2" t="str">
        <x:v>45/9.5 gyári kiosztás; Ø2.5x10 próbadarabon igazolandó 3.5x15 csavarhoz</x:v>
      </x:c>
    </x:row>
    <x:row r="220" ht="34" customHeight="1">
      <x:c r="A220" s="2" t="str">
        <x:v>H0215</x:v>
      </x:c>
      <x:c r="B220" s="2" t="str">
        <x:v>KI12-TV02S-01</x:v>
      </x:c>
      <x:c r="C220" s="2" t="str">
        <x:v>TALP_CSAVAR_ELOFURAT</x:v>
      </x:c>
      <x:c r="D220" s="2" t="n">
        <x:v>302.5</x:v>
      </x:c>
      <x:c r="E220" s="2" t="n">
        <x:v>37</x:v>
      </x:c>
      <x:c r="F220" s="2" t="n">
        <x:v>-18</x:v>
      </x:c>
      <x:c r="G220" s="2" t="n">
        <x:v>0</x:v>
      </x:c>
      <x:c r="H220" s="2" t="n">
        <x:v>0</x:v>
      </x:c>
      <x:c r="I220" s="2" t="n">
        <x:v>1</x:v>
      </x:c>
      <x:c r="J220" s="2" t="n">
        <x:v>2.5</x:v>
      </x:c>
      <x:c r="K220" s="2" t="n">
        <x:v>10</x:v>
      </x:c>
      <x:c r="L220" s="2" t="n">
        <x:v>18</x:v>
      </x:c>
      <x:c r="M220" s="2" t="n">
        <x:v>37</x:v>
      </x:c>
      <x:c r="N220" s="2" t="n">
        <x:v>452.5</x:v>
      </x:c>
      <x:c r="O220" s="2" t="str">
        <x:v>Blum173H7100 37/32; Ø2.5x10 tervezői próbaérték</x:v>
      </x:c>
    </x:row>
    <x:row r="221" ht="34" customHeight="1">
      <x:c r="A221" s="2" t="str">
        <x:v>H0216</x:v>
      </x:c>
      <x:c r="B221" s="2" t="str">
        <x:v>KI12-TV02S-01</x:v>
      </x:c>
      <x:c r="C221" s="2" t="str">
        <x:v>TALP_CSAVAR_ELOFURAT</x:v>
      </x:c>
      <x:c r="D221" s="2" t="n">
        <x:v>334.5</x:v>
      </x:c>
      <x:c r="E221" s="2" t="n">
        <x:v>37</x:v>
      </x:c>
      <x:c r="F221" s="2" t="n">
        <x:v>-18</x:v>
      </x:c>
      <x:c r="G221" s="2" t="n">
        <x:v>0</x:v>
      </x:c>
      <x:c r="H221" s="2" t="n">
        <x:v>0</x:v>
      </x:c>
      <x:c r="I221" s="2" t="n">
        <x:v>1</x:v>
      </x:c>
      <x:c r="J221" s="2" t="n">
        <x:v>2.5</x:v>
      </x:c>
      <x:c r="K221" s="2" t="n">
        <x:v>10</x:v>
      </x:c>
      <x:c r="L221" s="2" t="n">
        <x:v>18</x:v>
      </x:c>
      <x:c r="M221" s="2" t="n">
        <x:v>37</x:v>
      </x:c>
      <x:c r="N221" s="2" t="n">
        <x:v>484.5</x:v>
      </x:c>
      <x:c r="O221" s="2" t="str">
        <x:v>Blum173H7100 37/32; Ø2.5x10 tervezői próbaérték</x:v>
      </x:c>
    </x:row>
    <x:row r="222" ht="34" customHeight="1">
      <x:c r="A222" s="2" t="str">
        <x:v>H0217</x:v>
      </x:c>
      <x:c r="B222" s="2" t="str">
        <x:v>KI12-TV02F2-01</x:v>
      </x:c>
      <x:c r="C222" s="2" t="str">
        <x:v>PANT_CSÉSZE</x:v>
      </x:c>
      <x:c r="D222" s="2" t="n">
        <x:v>664</x:v>
      </x:c>
      <x:c r="E222" s="2" t="n">
        <x:v>80</x:v>
      </x:c>
      <x:c r="F222" s="2" t="n">
        <x:v>0</x:v>
      </x:c>
      <x:c r="G222" s="2" t="n">
        <x:v>0</x:v>
      </x:c>
      <x:c r="H222" s="2" t="n">
        <x:v>0</x:v>
      </x:c>
      <x:c r="I222" s="2" t="n">
        <x:v>-1</x:v>
      </x:c>
      <x:c r="J222" s="2" t="n">
        <x:v>35</x:v>
      </x:c>
      <x:c r="K222" s="2" t="n">
        <x:v>13</x:v>
      </x:c>
      <x:c r="L222" s="2" t="n">
        <x:v>864.5</x:v>
      </x:c>
      <x:c r="M222" s="2" t="n">
        <x:v>-3</x:v>
      </x:c>
      <x:c r="N222" s="2" t="n">
        <x:v>231.5</x:v>
      </x:c>
      <x:c r="O222" s="2" t="str">
        <x:v>Blum 70T3550.TL datasheet:35/13; TB5.5, MD0 -&gt; FA16.5</x:v>
      </x:c>
    </x:row>
    <x:row r="223" ht="34" customHeight="1">
      <x:c r="A223" s="2" t="str">
        <x:v>H0218</x:v>
      </x:c>
      <x:c r="B223" s="2" t="str">
        <x:v>KI12-TV02F2-01</x:v>
      </x:c>
      <x:c r="C223" s="2" t="str">
        <x:v>PANT_CSAVAR_ELOFURAT</x:v>
      </x:c>
      <x:c r="D223" s="2" t="n">
        <x:v>673.5</x:v>
      </x:c>
      <x:c r="E223" s="2" t="n">
        <x:v>57.5</x:v>
      </x:c>
      <x:c r="F223" s="2" t="n">
        <x:v>0</x:v>
      </x:c>
      <x:c r="G223" s="2" t="n">
        <x:v>0</x:v>
      </x:c>
      <x:c r="H223" s="2" t="n">
        <x:v>0</x:v>
      </x:c>
      <x:c r="I223" s="2" t="n">
        <x:v>-1</x:v>
      </x:c>
      <x:c r="J223" s="2" t="n">
        <x:v>2.5</x:v>
      </x:c>
      <x:c r="K223" s="2" t="n">
        <x:v>10</x:v>
      </x:c>
      <x:c r="L223" s="2" t="n">
        <x:v>855</x:v>
      </x:c>
      <x:c r="M223" s="2" t="n">
        <x:v>-3</x:v>
      </x:c>
      <x:c r="N223" s="2" t="n">
        <x:v>209</x:v>
      </x:c>
      <x:c r="O223" s="2" t="str">
        <x:v>45/9.5 gyári kiosztás; Ø2.5x10 próbadarabon igazolandó 3.5x15 csavarhoz</x:v>
      </x:c>
    </x:row>
    <x:row r="224" ht="34" customHeight="1">
      <x:c r="A224" s="2" t="str">
        <x:v>H0219</x:v>
      </x:c>
      <x:c r="B224" s="2" t="str">
        <x:v>KI12-TV02F2-01</x:v>
      </x:c>
      <x:c r="C224" s="2" t="str">
        <x:v>PANT_CSAVAR_ELOFURAT</x:v>
      </x:c>
      <x:c r="D224" s="2" t="n">
        <x:v>673.5</x:v>
      </x:c>
      <x:c r="E224" s="2" t="n">
        <x:v>102.5</x:v>
      </x:c>
      <x:c r="F224" s="2" t="n">
        <x:v>0</x:v>
      </x:c>
      <x:c r="G224" s="2" t="n">
        <x:v>0</x:v>
      </x:c>
      <x:c r="H224" s="2" t="n">
        <x:v>0</x:v>
      </x:c>
      <x:c r="I224" s="2" t="n">
        <x:v>-1</x:v>
      </x:c>
      <x:c r="J224" s="2" t="n">
        <x:v>2.5</x:v>
      </x:c>
      <x:c r="K224" s="2" t="n">
        <x:v>10</x:v>
      </x:c>
      <x:c r="L224" s="2" t="n">
        <x:v>855</x:v>
      </x:c>
      <x:c r="M224" s="2" t="n">
        <x:v>-3</x:v>
      </x:c>
      <x:c r="N224" s="2" t="n">
        <x:v>254</x:v>
      </x:c>
      <x:c r="O224" s="2" t="str">
        <x:v>45/9.5 gyári kiosztás; Ø2.5x10 próbadarabon igazolandó 3.5x15 csavarhoz</x:v>
      </x:c>
    </x:row>
    <x:row r="225" ht="34" customHeight="1">
      <x:c r="A225" s="2" t="str">
        <x:v>H0220</x:v>
      </x:c>
      <x:c r="B225" s="2" t="str">
        <x:v>KI12-TV02S-03</x:v>
      </x:c>
      <x:c r="C225" s="2" t="str">
        <x:v>TALP_CSAVAR_ELOFURAT</x:v>
      </x:c>
      <x:c r="D225" s="2" t="n">
        <x:v>65.5</x:v>
      </x:c>
      <x:c r="E225" s="2" t="n">
        <x:v>37</x:v>
      </x:c>
      <x:c r="F225" s="2" t="n">
        <x:v>-18</x:v>
      </x:c>
      <x:c r="G225" s="2" t="n">
        <x:v>0</x:v>
      </x:c>
      <x:c r="H225" s="2" t="n">
        <x:v>0</x:v>
      </x:c>
      <x:c r="I225" s="2" t="n">
        <x:v>1</x:v>
      </x:c>
      <x:c r="J225" s="2" t="n">
        <x:v>2.5</x:v>
      </x:c>
      <x:c r="K225" s="2" t="n">
        <x:v>10</x:v>
      </x:c>
      <x:c r="L225" s="2" t="n">
        <x:v>858</x:v>
      </x:c>
      <x:c r="M225" s="2" t="n">
        <x:v>37</x:v>
      </x:c>
      <x:c r="N225" s="2" t="n">
        <x:v>215.5</x:v>
      </x:c>
      <x:c r="O225" s="2" t="str">
        <x:v>Blum173H7100 37/32; Ø2.5x10 tervezői próbaérték</x:v>
      </x:c>
    </x:row>
    <x:row r="226" ht="34" customHeight="1">
      <x:c r="A226" s="2" t="str">
        <x:v>H0221</x:v>
      </x:c>
      <x:c r="B226" s="2" t="str">
        <x:v>KI12-TV02S-03</x:v>
      </x:c>
      <x:c r="C226" s="2" t="str">
        <x:v>TALP_CSAVAR_ELOFURAT</x:v>
      </x:c>
      <x:c r="D226" s="2" t="n">
        <x:v>97.5</x:v>
      </x:c>
      <x:c r="E226" s="2" t="n">
        <x:v>37</x:v>
      </x:c>
      <x:c r="F226" s="2" t="n">
        <x:v>-18</x:v>
      </x:c>
      <x:c r="G226" s="2" t="n">
        <x:v>0</x:v>
      </x:c>
      <x:c r="H226" s="2" t="n">
        <x:v>0</x:v>
      </x:c>
      <x:c r="I226" s="2" t="n">
        <x:v>1</x:v>
      </x:c>
      <x:c r="J226" s="2" t="n">
        <x:v>2.5</x:v>
      </x:c>
      <x:c r="K226" s="2" t="n">
        <x:v>10</x:v>
      </x:c>
      <x:c r="L226" s="2" t="n">
        <x:v>858</x:v>
      </x:c>
      <x:c r="M226" s="2" t="n">
        <x:v>37</x:v>
      </x:c>
      <x:c r="N226" s="2" t="n">
        <x:v>247.5</x:v>
      </x:c>
      <x:c r="O226" s="2" t="str">
        <x:v>Blum173H7100 37/32; Ø2.5x10 tervezői próbaérték</x:v>
      </x:c>
    </x:row>
    <x:row r="227" ht="34" customHeight="1">
      <x:c r="A227" s="2" t="str">
        <x:v>H0222</x:v>
      </x:c>
      <x:c r="B227" s="2" t="str">
        <x:v>KI12-TV02F2-01</x:v>
      </x:c>
      <x:c r="C227" s="2" t="str">
        <x:v>PANT_CSÉSZE</x:v>
      </x:c>
      <x:c r="D227" s="2" t="n">
        <x:v>664</x:v>
      </x:c>
      <x:c r="E227" s="2" t="n">
        <x:v>317</x:v>
      </x:c>
      <x:c r="F227" s="2" t="n">
        <x:v>0</x:v>
      </x:c>
      <x:c r="G227" s="2" t="n">
        <x:v>0</x:v>
      </x:c>
      <x:c r="H227" s="2" t="n">
        <x:v>0</x:v>
      </x:c>
      <x:c r="I227" s="2" t="n">
        <x:v>-1</x:v>
      </x:c>
      <x:c r="J227" s="2" t="n">
        <x:v>35</x:v>
      </x:c>
      <x:c r="K227" s="2" t="n">
        <x:v>13</x:v>
      </x:c>
      <x:c r="L227" s="2" t="n">
        <x:v>864.5</x:v>
      </x:c>
      <x:c r="M227" s="2" t="n">
        <x:v>-3</x:v>
      </x:c>
      <x:c r="N227" s="2" t="n">
        <x:v>468.5</x:v>
      </x:c>
      <x:c r="O227" s="2" t="str">
        <x:v>Blum 70T3550.TL datasheet:35/13; TB5.5, MD0 -&gt; FA16.5</x:v>
      </x:c>
    </x:row>
    <x:row r="228" ht="34" customHeight="1">
      <x:c r="A228" s="2" t="str">
        <x:v>H0223</x:v>
      </x:c>
      <x:c r="B228" s="2" t="str">
        <x:v>KI12-TV02F2-01</x:v>
      </x:c>
      <x:c r="C228" s="2" t="str">
        <x:v>PANT_CSAVAR_ELOFURAT</x:v>
      </x:c>
      <x:c r="D228" s="2" t="n">
        <x:v>673.5</x:v>
      </x:c>
      <x:c r="E228" s="2" t="n">
        <x:v>294.5</x:v>
      </x:c>
      <x:c r="F228" s="2" t="n">
        <x:v>0</x:v>
      </x:c>
      <x:c r="G228" s="2" t="n">
        <x:v>0</x:v>
      </x:c>
      <x:c r="H228" s="2" t="n">
        <x:v>0</x:v>
      </x:c>
      <x:c r="I228" s="2" t="n">
        <x:v>-1</x:v>
      </x:c>
      <x:c r="J228" s="2" t="n">
        <x:v>2.5</x:v>
      </x:c>
      <x:c r="K228" s="2" t="n">
        <x:v>10</x:v>
      </x:c>
      <x:c r="L228" s="2" t="n">
        <x:v>855</x:v>
      </x:c>
      <x:c r="M228" s="2" t="n">
        <x:v>-3</x:v>
      </x:c>
      <x:c r="N228" s="2" t="n">
        <x:v>446</x:v>
      </x:c>
      <x:c r="O228" s="2" t="str">
        <x:v>45/9.5 gyári kiosztás; Ø2.5x10 próbadarabon igazolandó 3.5x15 csavarhoz</x:v>
      </x:c>
    </x:row>
    <x:row r="229" ht="34" customHeight="1">
      <x:c r="A229" s="2" t="str">
        <x:v>H0224</x:v>
      </x:c>
      <x:c r="B229" s="2" t="str">
        <x:v>KI12-TV02F2-01</x:v>
      </x:c>
      <x:c r="C229" s="2" t="str">
        <x:v>PANT_CSAVAR_ELOFURAT</x:v>
      </x:c>
      <x:c r="D229" s="2" t="n">
        <x:v>673.5</x:v>
      </x:c>
      <x:c r="E229" s="2" t="n">
        <x:v>339.5</x:v>
      </x:c>
      <x:c r="F229" s="2" t="n">
        <x:v>0</x:v>
      </x:c>
      <x:c r="G229" s="2" t="n">
        <x:v>0</x:v>
      </x:c>
      <x:c r="H229" s="2" t="n">
        <x:v>0</x:v>
      </x:c>
      <x:c r="I229" s="2" t="n">
        <x:v>-1</x:v>
      </x:c>
      <x:c r="J229" s="2" t="n">
        <x:v>2.5</x:v>
      </x:c>
      <x:c r="K229" s="2" t="n">
        <x:v>10</x:v>
      </x:c>
      <x:c r="L229" s="2" t="n">
        <x:v>855</x:v>
      </x:c>
      <x:c r="M229" s="2" t="n">
        <x:v>-3</x:v>
      </x:c>
      <x:c r="N229" s="2" t="n">
        <x:v>491</x:v>
      </x:c>
      <x:c r="O229" s="2" t="str">
        <x:v>45/9.5 gyári kiosztás; Ø2.5x10 próbadarabon igazolandó 3.5x15 csavarhoz</x:v>
      </x:c>
    </x:row>
    <x:row r="230" ht="34" customHeight="1">
      <x:c r="A230" s="2" t="str">
        <x:v>H0225</x:v>
      </x:c>
      <x:c r="B230" s="2" t="str">
        <x:v>KI12-TV02S-03</x:v>
      </x:c>
      <x:c r="C230" s="2" t="str">
        <x:v>TALP_CSAVAR_ELOFURAT</x:v>
      </x:c>
      <x:c r="D230" s="2" t="n">
        <x:v>302.5</x:v>
      </x:c>
      <x:c r="E230" s="2" t="n">
        <x:v>37</x:v>
      </x:c>
      <x:c r="F230" s="2" t="n">
        <x:v>-18</x:v>
      </x:c>
      <x:c r="G230" s="2" t="n">
        <x:v>0</x:v>
      </x:c>
      <x:c r="H230" s="2" t="n">
        <x:v>0</x:v>
      </x:c>
      <x:c r="I230" s="2" t="n">
        <x:v>1</x:v>
      </x:c>
      <x:c r="J230" s="2" t="n">
        <x:v>2.5</x:v>
      </x:c>
      <x:c r="K230" s="2" t="n">
        <x:v>10</x:v>
      </x:c>
      <x:c r="L230" s="2" t="n">
        <x:v>858</x:v>
      </x:c>
      <x:c r="M230" s="2" t="n">
        <x:v>37</x:v>
      </x:c>
      <x:c r="N230" s="2" t="n">
        <x:v>452.5</x:v>
      </x:c>
      <x:c r="O230" s="2" t="str">
        <x:v>Blum173H7100 37/32; Ø2.5x10 tervezői próbaérték</x:v>
      </x:c>
    </x:row>
    <x:row r="231" ht="34" customHeight="1">
      <x:c r="A231" s="2" t="str">
        <x:v>H0226</x:v>
      </x:c>
      <x:c r="B231" s="2" t="str">
        <x:v>KI12-TV02S-03</x:v>
      </x:c>
      <x:c r="C231" s="2" t="str">
        <x:v>TALP_CSAVAR_ELOFURAT</x:v>
      </x:c>
      <x:c r="D231" s="2" t="n">
        <x:v>334.5</x:v>
      </x:c>
      <x:c r="E231" s="2" t="n">
        <x:v>37</x:v>
      </x:c>
      <x:c r="F231" s="2" t="n">
        <x:v>-18</x:v>
      </x:c>
      <x:c r="G231" s="2" t="n">
        <x:v>0</x:v>
      </x:c>
      <x:c r="H231" s="2" t="n">
        <x:v>0</x:v>
      </x:c>
      <x:c r="I231" s="2" t="n">
        <x:v>1</x:v>
      </x:c>
      <x:c r="J231" s="2" t="n">
        <x:v>2.5</x:v>
      </x:c>
      <x:c r="K231" s="2" t="n">
        <x:v>10</x:v>
      </x:c>
      <x:c r="L231" s="2" t="n">
        <x:v>858</x:v>
      </x:c>
      <x:c r="M231" s="2" t="n">
        <x:v>37</x:v>
      </x:c>
      <x:c r="N231" s="2" t="n">
        <x:v>484.5</x:v>
      </x:c>
      <x:c r="O231" s="2" t="str">
        <x:v>Blum173H7100 37/32; Ø2.5x10 tervezői próbaérték</x:v>
      </x:c>
    </x:row>
    <x:row r="232" ht="34" customHeight="1">
      <x:c r="A232" s="2" t="str">
        <x:v>H0227</x:v>
      </x:c>
      <x:c r="B232" s="2" t="str">
        <x:v>KI12-TV02F2-04</x:v>
      </x:c>
      <x:c r="C232" s="2" t="str">
        <x:v>PANT_CSÉSZE</x:v>
      </x:c>
      <x:c r="D232" s="2" t="n">
        <x:v>664</x:v>
      </x:c>
      <x:c r="E232" s="2" t="n">
        <x:v>80</x:v>
      </x:c>
      <x:c r="F232" s="2" t="n">
        <x:v>0</x:v>
      </x:c>
      <x:c r="G232" s="2" t="n">
        <x:v>0</x:v>
      </x:c>
      <x:c r="H232" s="2" t="n">
        <x:v>0</x:v>
      </x:c>
      <x:c r="I232" s="2" t="n">
        <x:v>-1</x:v>
      </x:c>
      <x:c r="J232" s="2" t="n">
        <x:v>35</x:v>
      </x:c>
      <x:c r="K232" s="2" t="n">
        <x:v>13</x:v>
      </x:c>
      <x:c r="L232" s="2" t="n">
        <x:v>2934.5</x:v>
      </x:c>
      <x:c r="M232" s="2" t="n">
        <x:v>-3</x:v>
      </x:c>
      <x:c r="N232" s="2" t="n">
        <x:v>231.5</x:v>
      </x:c>
      <x:c r="O232" s="2" t="str">
        <x:v>Blum 70T3550.TL datasheet:35/13; TB5.5, MD0 -&gt; FA16.5</x:v>
      </x:c>
    </x:row>
    <x:row r="233" ht="34" customHeight="1">
      <x:c r="A233" s="2" t="str">
        <x:v>H0228</x:v>
      </x:c>
      <x:c r="B233" s="2" t="str">
        <x:v>KI12-TV02F2-04</x:v>
      </x:c>
      <x:c r="C233" s="2" t="str">
        <x:v>PANT_CSAVAR_ELOFURAT</x:v>
      </x:c>
      <x:c r="D233" s="2" t="n">
        <x:v>673.5</x:v>
      </x:c>
      <x:c r="E233" s="2" t="n">
        <x:v>57.5</x:v>
      </x:c>
      <x:c r="F233" s="2" t="n">
        <x:v>0</x:v>
      </x:c>
      <x:c r="G233" s="2" t="n">
        <x:v>0</x:v>
      </x:c>
      <x:c r="H233" s="2" t="n">
        <x:v>0</x:v>
      </x:c>
      <x:c r="I233" s="2" t="n">
        <x:v>-1</x:v>
      </x:c>
      <x:c r="J233" s="2" t="n">
        <x:v>2.5</x:v>
      </x:c>
      <x:c r="K233" s="2" t="n">
        <x:v>10</x:v>
      </x:c>
      <x:c r="L233" s="2" t="n">
        <x:v>2925</x:v>
      </x:c>
      <x:c r="M233" s="2" t="n">
        <x:v>-3</x:v>
      </x:c>
      <x:c r="N233" s="2" t="n">
        <x:v>209</x:v>
      </x:c>
      <x:c r="O233" s="2" t="str">
        <x:v>45/9.5 gyári kiosztás; Ø2.5x10 próbadarabon igazolandó 3.5x15 csavarhoz</x:v>
      </x:c>
    </x:row>
    <x:row r="234" ht="34" customHeight="1">
      <x:c r="A234" s="2" t="str">
        <x:v>H0229</x:v>
      </x:c>
      <x:c r="B234" s="2" t="str">
        <x:v>KI12-TV02F2-04</x:v>
      </x:c>
      <x:c r="C234" s="2" t="str">
        <x:v>PANT_CSAVAR_ELOFURAT</x:v>
      </x:c>
      <x:c r="D234" s="2" t="n">
        <x:v>673.5</x:v>
      </x:c>
      <x:c r="E234" s="2" t="n">
        <x:v>102.5</x:v>
      </x:c>
      <x:c r="F234" s="2" t="n">
        <x:v>0</x:v>
      </x:c>
      <x:c r="G234" s="2" t="n">
        <x:v>0</x:v>
      </x:c>
      <x:c r="H234" s="2" t="n">
        <x:v>0</x:v>
      </x:c>
      <x:c r="I234" s="2" t="n">
        <x:v>-1</x:v>
      </x:c>
      <x:c r="J234" s="2" t="n">
        <x:v>2.5</x:v>
      </x:c>
      <x:c r="K234" s="2" t="n">
        <x:v>10</x:v>
      </x:c>
      <x:c r="L234" s="2" t="n">
        <x:v>2925</x:v>
      </x:c>
      <x:c r="M234" s="2" t="n">
        <x:v>-3</x:v>
      </x:c>
      <x:c r="N234" s="2" t="n">
        <x:v>254</x:v>
      </x:c>
      <x:c r="O234" s="2" t="str">
        <x:v>45/9.5 gyári kiosztás; Ø2.5x10 próbadarabon igazolandó 3.5x15 csavarhoz</x:v>
      </x:c>
    </x:row>
    <x:row r="235" ht="34" customHeight="1">
      <x:c r="A235" s="2" t="str">
        <x:v>H0230</x:v>
      </x:c>
      <x:c r="B235" s="2" t="str">
        <x:v>KI12-TV02S-09</x:v>
      </x:c>
      <x:c r="C235" s="2" t="str">
        <x:v>TALP_CSAVAR_ELOFURAT</x:v>
      </x:c>
      <x:c r="D235" s="2" t="n">
        <x:v>65.5</x:v>
      </x:c>
      <x:c r="E235" s="2" t="n">
        <x:v>37</x:v>
      </x:c>
      <x:c r="F235" s="2" t="n">
        <x:v>-18</x:v>
      </x:c>
      <x:c r="G235" s="2" t="n">
        <x:v>0</x:v>
      </x:c>
      <x:c r="H235" s="2" t="n">
        <x:v>0</x:v>
      </x:c>
      <x:c r="I235" s="2" t="n">
        <x:v>1</x:v>
      </x:c>
      <x:c r="J235" s="2" t="n">
        <x:v>2.5</x:v>
      </x:c>
      <x:c r="K235" s="2" t="n">
        <x:v>10</x:v>
      </x:c>
      <x:c r="L235" s="2" t="n">
        <x:v>2928</x:v>
      </x:c>
      <x:c r="M235" s="2" t="n">
        <x:v>37</x:v>
      </x:c>
      <x:c r="N235" s="2" t="n">
        <x:v>215.5</x:v>
      </x:c>
      <x:c r="O235" s="2" t="str">
        <x:v>Blum173H7100 37/32; Ø2.5x10 tervezői próbaérték</x:v>
      </x:c>
    </x:row>
    <x:row r="236" ht="34" customHeight="1">
      <x:c r="A236" s="2" t="str">
        <x:v>H0231</x:v>
      </x:c>
      <x:c r="B236" s="2" t="str">
        <x:v>KI12-TV02S-09</x:v>
      </x:c>
      <x:c r="C236" s="2" t="str">
        <x:v>TALP_CSAVAR_ELOFURAT</x:v>
      </x:c>
      <x:c r="D236" s="2" t="n">
        <x:v>97.5</x:v>
      </x:c>
      <x:c r="E236" s="2" t="n">
        <x:v>37</x:v>
      </x:c>
      <x:c r="F236" s="2" t="n">
        <x:v>-18</x:v>
      </x:c>
      <x:c r="G236" s="2" t="n">
        <x:v>0</x:v>
      </x:c>
      <x:c r="H236" s="2" t="n">
        <x:v>0</x:v>
      </x:c>
      <x:c r="I236" s="2" t="n">
        <x:v>1</x:v>
      </x:c>
      <x:c r="J236" s="2" t="n">
        <x:v>2.5</x:v>
      </x:c>
      <x:c r="K236" s="2" t="n">
        <x:v>10</x:v>
      </x:c>
      <x:c r="L236" s="2" t="n">
        <x:v>2928</x:v>
      </x:c>
      <x:c r="M236" s="2" t="n">
        <x:v>37</x:v>
      </x:c>
      <x:c r="N236" s="2" t="n">
        <x:v>247.5</x:v>
      </x:c>
      <x:c r="O236" s="2" t="str">
        <x:v>Blum173H7100 37/32; Ø2.5x10 tervezői próbaérték</x:v>
      </x:c>
    </x:row>
    <x:row r="237" ht="34" customHeight="1">
      <x:c r="A237" s="2" t="str">
        <x:v>H0232</x:v>
      </x:c>
      <x:c r="B237" s="2" t="str">
        <x:v>KI12-TV02F2-04</x:v>
      </x:c>
      <x:c r="C237" s="2" t="str">
        <x:v>PANT_CSÉSZE</x:v>
      </x:c>
      <x:c r="D237" s="2" t="n">
        <x:v>664</x:v>
      </x:c>
      <x:c r="E237" s="2" t="n">
        <x:v>317</x:v>
      </x:c>
      <x:c r="F237" s="2" t="n">
        <x:v>0</x:v>
      </x:c>
      <x:c r="G237" s="2" t="n">
        <x:v>0</x:v>
      </x:c>
      <x:c r="H237" s="2" t="n">
        <x:v>0</x:v>
      </x:c>
      <x:c r="I237" s="2" t="n">
        <x:v>-1</x:v>
      </x:c>
      <x:c r="J237" s="2" t="n">
        <x:v>35</x:v>
      </x:c>
      <x:c r="K237" s="2" t="n">
        <x:v>13</x:v>
      </x:c>
      <x:c r="L237" s="2" t="n">
        <x:v>2934.5</x:v>
      </x:c>
      <x:c r="M237" s="2" t="n">
        <x:v>-3</x:v>
      </x:c>
      <x:c r="N237" s="2" t="n">
        <x:v>468.5</x:v>
      </x:c>
      <x:c r="O237" s="2" t="str">
        <x:v>Blum 70T3550.TL datasheet:35/13; TB5.5, MD0 -&gt; FA16.5</x:v>
      </x:c>
    </x:row>
    <x:row r="238" ht="34" customHeight="1">
      <x:c r="A238" s="2" t="str">
        <x:v>H0233</x:v>
      </x:c>
      <x:c r="B238" s="2" t="str">
        <x:v>KI12-TV02F2-04</x:v>
      </x:c>
      <x:c r="C238" s="2" t="str">
        <x:v>PANT_CSAVAR_ELOFURAT</x:v>
      </x:c>
      <x:c r="D238" s="2" t="n">
        <x:v>673.5</x:v>
      </x:c>
      <x:c r="E238" s="2" t="n">
        <x:v>294.5</x:v>
      </x:c>
      <x:c r="F238" s="2" t="n">
        <x:v>0</x:v>
      </x:c>
      <x:c r="G238" s="2" t="n">
        <x:v>0</x:v>
      </x:c>
      <x:c r="H238" s="2" t="n">
        <x:v>0</x:v>
      </x:c>
      <x:c r="I238" s="2" t="n">
        <x:v>-1</x:v>
      </x:c>
      <x:c r="J238" s="2" t="n">
        <x:v>2.5</x:v>
      </x:c>
      <x:c r="K238" s="2" t="n">
        <x:v>10</x:v>
      </x:c>
      <x:c r="L238" s="2" t="n">
        <x:v>2925</x:v>
      </x:c>
      <x:c r="M238" s="2" t="n">
        <x:v>-3</x:v>
      </x:c>
      <x:c r="N238" s="2" t="n">
        <x:v>446</x:v>
      </x:c>
      <x:c r="O238" s="2" t="str">
        <x:v>45/9.5 gyári kiosztás; Ø2.5x10 próbadarabon igazolandó 3.5x15 csavarhoz</x:v>
      </x:c>
    </x:row>
    <x:row r="239" ht="34" customHeight="1">
      <x:c r="A239" s="2" t="str">
        <x:v>H0234</x:v>
      </x:c>
      <x:c r="B239" s="2" t="str">
        <x:v>KI12-TV02F2-04</x:v>
      </x:c>
      <x:c r="C239" s="2" t="str">
        <x:v>PANT_CSAVAR_ELOFURAT</x:v>
      </x:c>
      <x:c r="D239" s="2" t="n">
        <x:v>673.5</x:v>
      </x:c>
      <x:c r="E239" s="2" t="n">
        <x:v>339.5</x:v>
      </x:c>
      <x:c r="F239" s="2" t="n">
        <x:v>0</x:v>
      </x:c>
      <x:c r="G239" s="2" t="n">
        <x:v>0</x:v>
      </x:c>
      <x:c r="H239" s="2" t="n">
        <x:v>0</x:v>
      </x:c>
      <x:c r="I239" s="2" t="n">
        <x:v>-1</x:v>
      </x:c>
      <x:c r="J239" s="2" t="n">
        <x:v>2.5</x:v>
      </x:c>
      <x:c r="K239" s="2" t="n">
        <x:v>10</x:v>
      </x:c>
      <x:c r="L239" s="2" t="n">
        <x:v>2925</x:v>
      </x:c>
      <x:c r="M239" s="2" t="n">
        <x:v>-3</x:v>
      </x:c>
      <x:c r="N239" s="2" t="n">
        <x:v>491</x:v>
      </x:c>
      <x:c r="O239" s="2" t="str">
        <x:v>45/9.5 gyári kiosztás; Ø2.5x10 próbadarabon igazolandó 3.5x15 csavarhoz</x:v>
      </x:c>
    </x:row>
    <x:row r="240" ht="34" customHeight="1">
      <x:c r="A240" s="2" t="str">
        <x:v>H0235</x:v>
      </x:c>
      <x:c r="B240" s="2" t="str">
        <x:v>KI12-TV02S-09</x:v>
      </x:c>
      <x:c r="C240" s="2" t="str">
        <x:v>TALP_CSAVAR_ELOFURAT</x:v>
      </x:c>
      <x:c r="D240" s="2" t="n">
        <x:v>302.5</x:v>
      </x:c>
      <x:c r="E240" s="2" t="n">
        <x:v>37</x:v>
      </x:c>
      <x:c r="F240" s="2" t="n">
        <x:v>-18</x:v>
      </x:c>
      <x:c r="G240" s="2" t="n">
        <x:v>0</x:v>
      </x:c>
      <x:c r="H240" s="2" t="n">
        <x:v>0</x:v>
      </x:c>
      <x:c r="I240" s="2" t="n">
        <x:v>1</x:v>
      </x:c>
      <x:c r="J240" s="2" t="n">
        <x:v>2.5</x:v>
      </x:c>
      <x:c r="K240" s="2" t="n">
        <x:v>10</x:v>
      </x:c>
      <x:c r="L240" s="2" t="n">
        <x:v>2928</x:v>
      </x:c>
      <x:c r="M240" s="2" t="n">
        <x:v>37</x:v>
      </x:c>
      <x:c r="N240" s="2" t="n">
        <x:v>452.5</x:v>
      </x:c>
      <x:c r="O240" s="2" t="str">
        <x:v>Blum173H7100 37/32; Ø2.5x10 tervezői próbaérték</x:v>
      </x:c>
    </x:row>
    <x:row r="241" ht="34" customHeight="1">
      <x:c r="A241" s="2" t="str">
        <x:v>H0236</x:v>
      </x:c>
      <x:c r="B241" s="2" t="str">
        <x:v>KI12-TV02S-09</x:v>
      </x:c>
      <x:c r="C241" s="2" t="str">
        <x:v>TALP_CSAVAR_ELOFURAT</x:v>
      </x:c>
      <x:c r="D241" s="2" t="n">
        <x:v>334.5</x:v>
      </x:c>
      <x:c r="E241" s="2" t="n">
        <x:v>37</x:v>
      </x:c>
      <x:c r="F241" s="2" t="n">
        <x:v>-18</x:v>
      </x:c>
      <x:c r="G241" s="2" t="n">
        <x:v>0</x:v>
      </x:c>
      <x:c r="H241" s="2" t="n">
        <x:v>0</x:v>
      </x:c>
      <x:c r="I241" s="2" t="n">
        <x:v>1</x:v>
      </x:c>
      <x:c r="J241" s="2" t="n">
        <x:v>2.5</x:v>
      </x:c>
      <x:c r="K241" s="2" t="n">
        <x:v>10</x:v>
      </x:c>
      <x:c r="L241" s="2" t="n">
        <x:v>2928</x:v>
      </x:c>
      <x:c r="M241" s="2" t="n">
        <x:v>37</x:v>
      </x:c>
      <x:c r="N241" s="2" t="n">
        <x:v>484.5</x:v>
      </x:c>
      <x:c r="O241" s="2" t="str">
        <x:v>Blum173H7100 37/32; Ø2.5x10 tervezői próbaérték</x:v>
      </x:c>
    </x:row>
    <x:row r="242" ht="34" customHeight="1">
      <x:c r="A242" s="2" t="str">
        <x:v>H0237</x:v>
      </x:c>
      <x:c r="B242" s="2" t="str">
        <x:v>KI12-TV01S-01</x:v>
      </x:c>
      <x:c r="C242" s="2" t="str">
        <x:v>POLCTARTO</x:v>
      </x:c>
      <x:c r="D242" s="2" t="n">
        <x:v>382.5</x:v>
      </x:c>
      <x:c r="E242" s="2" t="n">
        <x:v>50</x:v>
      </x:c>
      <x:c r="F242" s="2" t="n">
        <x:v>-18</x:v>
      </x:c>
      <x:c r="G242" s="2" t="n">
        <x:v>0</x:v>
      </x:c>
      <x:c r="H242" s="2" t="n">
        <x:v>0</x:v>
      </x:c>
      <x:c r="I242" s="2" t="n">
        <x:v>1</x:v>
      </x:c>
      <x:c r="J242" s="2" t="n">
        <x:v>5</x:v>
      </x:c>
      <x:c r="K242" s="2" t="n">
        <x:v>8</x:v>
      </x:c>
      <x:c r="L242" s="2" t="n">
        <x:v>18</x:v>
      </x:c>
      <x:c r="M242" s="2" t="n">
        <x:v>50</x:v>
      </x:c>
      <x:c r="N242" s="2" t="n">
        <x:v>932.5</x:v>
      </x:c>
      <x:c r="O242" s="2" t="str">
        <x:v>Ø5 csapos, lapos felfekvésű polctartó; 8mm beülés, tervezési specifikáció</x:v>
      </x:c>
    </x:row>
    <x:row r="243" ht="34" customHeight="1">
      <x:c r="A243" s="2" t="str">
        <x:v>H0238</x:v>
      </x:c>
      <x:c r="B243" s="2" t="str">
        <x:v>KI12-TV01S-01</x:v>
      </x:c>
      <x:c r="C243" s="2" t="str">
        <x:v>POLCTARTO</x:v>
      </x:c>
      <x:c r="D243" s="2" t="n">
        <x:v>382.5</x:v>
      </x:c>
      <x:c r="E243" s="2" t="n">
        <x:v>280</x:v>
      </x:c>
      <x:c r="F243" s="2" t="n">
        <x:v>-18</x:v>
      </x:c>
      <x:c r="G243" s="2" t="n">
        <x:v>0</x:v>
      </x:c>
      <x:c r="H243" s="2" t="n">
        <x:v>0</x:v>
      </x:c>
      <x:c r="I243" s="2" t="n">
        <x:v>1</x:v>
      </x:c>
      <x:c r="J243" s="2" t="n">
        <x:v>5</x:v>
      </x:c>
      <x:c r="K243" s="2" t="n">
        <x:v>8</x:v>
      </x:c>
      <x:c r="L243" s="2" t="n">
        <x:v>18</x:v>
      </x:c>
      <x:c r="M243" s="2" t="n">
        <x:v>280</x:v>
      </x:c>
      <x:c r="N243" s="2" t="n">
        <x:v>932.5</x:v>
      </x:c>
      <x:c r="O243" s="2" t="str">
        <x:v>Ø5 csapos, lapos felfekvésű polctartó; 8mm beülés, tervezési specifikáció</x:v>
      </x:c>
    </x:row>
    <x:row r="244" ht="34" customHeight="1">
      <x:c r="A244" s="2" t="str">
        <x:v>H0239</x:v>
      </x:c>
      <x:c r="B244" s="2" t="str">
        <x:v>KI12-TV01C-01</x:v>
      </x:c>
      <x:c r="C244" s="2" t="str">
        <x:v>POLCTARTO</x:v>
      </x:c>
      <x:c r="D244" s="2" t="n">
        <x:v>364.5</x:v>
      </x:c>
      <x:c r="E244" s="2" t="n">
        <x:v>50</x:v>
      </x:c>
      <x:c r="F244" s="2" t="n">
        <x:v>0</x:v>
      </x:c>
      <x:c r="G244" s="2" t="n">
        <x:v>0</x:v>
      </x:c>
      <x:c r="H244" s="2" t="n">
        <x:v>0</x:v>
      </x:c>
      <x:c r="I244" s="2" t="n">
        <x:v>-1</x:v>
      </x:c>
      <x:c r="J244" s="2" t="n">
        <x:v>5</x:v>
      </x:c>
      <x:c r="K244" s="2" t="n">
        <x:v>8</x:v>
      </x:c>
      <x:c r="L244" s="2" t="n">
        <x:v>351</x:v>
      </x:c>
      <x:c r="M244" s="2" t="n">
        <x:v>50</x:v>
      </x:c>
      <x:c r="N244" s="2" t="n">
        <x:v>932.5</x:v>
      </x:c>
      <x:c r="O244" s="2" t="str">
        <x:v>Ø5 csapos, lapos felfekvésű polctartó; 8mm beülés, tervezési specifikáció</x:v>
      </x:c>
    </x:row>
    <x:row r="245" ht="34" customHeight="1">
      <x:c r="A245" s="2" t="str">
        <x:v>H0240</x:v>
      </x:c>
      <x:c r="B245" s="2" t="str">
        <x:v>KI12-TV01C-01</x:v>
      </x:c>
      <x:c r="C245" s="2" t="str">
        <x:v>POLCTARTO</x:v>
      </x:c>
      <x:c r="D245" s="2" t="n">
        <x:v>364.5</x:v>
      </x:c>
      <x:c r="E245" s="2" t="n">
        <x:v>280</x:v>
      </x:c>
      <x:c r="F245" s="2" t="n">
        <x:v>0</x:v>
      </x:c>
      <x:c r="G245" s="2" t="n">
        <x:v>0</x:v>
      </x:c>
      <x:c r="H245" s="2" t="n">
        <x:v>0</x:v>
      </x:c>
      <x:c r="I245" s="2" t="n">
        <x:v>-1</x:v>
      </x:c>
      <x:c r="J245" s="2" t="n">
        <x:v>5</x:v>
      </x:c>
      <x:c r="K245" s="2" t="n">
        <x:v>8</x:v>
      </x:c>
      <x:c r="L245" s="2" t="n">
        <x:v>351</x:v>
      </x:c>
      <x:c r="M245" s="2" t="n">
        <x:v>280</x:v>
      </x:c>
      <x:c r="N245" s="2" t="n">
        <x:v>932.5</x:v>
      </x:c>
      <x:c r="O245" s="2" t="str">
        <x:v>Ø5 csapos, lapos felfekvésű polctartó; 8mm beülés, tervezési specifikáció</x:v>
      </x:c>
    </x:row>
    <x:row r="246" ht="34" customHeight="1">
      <x:c r="A246" s="2" t="str">
        <x:v>H0241</x:v>
      </x:c>
      <x:c r="B246" s="2" t="str">
        <x:v>KI12-TV01S-01</x:v>
      </x:c>
      <x:c r="C246" s="2" t="str">
        <x:v>POLCTARTO</x:v>
      </x:c>
      <x:c r="D246" s="2" t="n">
        <x:v>767.5</x:v>
      </x:c>
      <x:c r="E246" s="2" t="n">
        <x:v>50</x:v>
      </x:c>
      <x:c r="F246" s="2" t="n">
        <x:v>-18</x:v>
      </x:c>
      <x:c r="G246" s="2" t="n">
        <x:v>0</x:v>
      </x:c>
      <x:c r="H246" s="2" t="n">
        <x:v>0</x:v>
      </x:c>
      <x:c r="I246" s="2" t="n">
        <x:v>1</x:v>
      </x:c>
      <x:c r="J246" s="2" t="n">
        <x:v>5</x:v>
      </x:c>
      <x:c r="K246" s="2" t="n">
        <x:v>8</x:v>
      </x:c>
      <x:c r="L246" s="2" t="n">
        <x:v>18</x:v>
      </x:c>
      <x:c r="M246" s="2" t="n">
        <x:v>50</x:v>
      </x:c>
      <x:c r="N246" s="2" t="n">
        <x:v>1317.5</x:v>
      </x:c>
      <x:c r="O246" s="2" t="str">
        <x:v>Ø5 csapos, lapos felfekvésű polctartó; 8mm beülés, tervezési specifikáció</x:v>
      </x:c>
    </x:row>
    <x:row r="247" ht="34" customHeight="1">
      <x:c r="A247" s="2" t="str">
        <x:v>H0242</x:v>
      </x:c>
      <x:c r="B247" s="2" t="str">
        <x:v>KI12-TV01S-01</x:v>
      </x:c>
      <x:c r="C247" s="2" t="str">
        <x:v>POLCTARTO</x:v>
      </x:c>
      <x:c r="D247" s="2" t="n">
        <x:v>767.5</x:v>
      </x:c>
      <x:c r="E247" s="2" t="n">
        <x:v>280</x:v>
      </x:c>
      <x:c r="F247" s="2" t="n">
        <x:v>-18</x:v>
      </x:c>
      <x:c r="G247" s="2" t="n">
        <x:v>0</x:v>
      </x:c>
      <x:c r="H247" s="2" t="n">
        <x:v>0</x:v>
      </x:c>
      <x:c r="I247" s="2" t="n">
        <x:v>1</x:v>
      </x:c>
      <x:c r="J247" s="2" t="n">
        <x:v>5</x:v>
      </x:c>
      <x:c r="K247" s="2" t="n">
        <x:v>8</x:v>
      </x:c>
      <x:c r="L247" s="2" t="n">
        <x:v>18</x:v>
      </x:c>
      <x:c r="M247" s="2" t="n">
        <x:v>280</x:v>
      </x:c>
      <x:c r="N247" s="2" t="n">
        <x:v>1317.5</x:v>
      </x:c>
      <x:c r="O247" s="2" t="str">
        <x:v>Ø5 csapos, lapos felfekvésű polctartó; 8mm beülés, tervezési specifikáció</x:v>
      </x:c>
    </x:row>
    <x:row r="248" ht="34" customHeight="1">
      <x:c r="A248" s="2" t="str">
        <x:v>H0243</x:v>
      </x:c>
      <x:c r="B248" s="2" t="str">
        <x:v>KI12-TV01C-01</x:v>
      </x:c>
      <x:c r="C248" s="2" t="str">
        <x:v>POLCTARTO</x:v>
      </x:c>
      <x:c r="D248" s="2" t="n">
        <x:v>749.5</x:v>
      </x:c>
      <x:c r="E248" s="2" t="n">
        <x:v>50</x:v>
      </x:c>
      <x:c r="F248" s="2" t="n">
        <x:v>0</x:v>
      </x:c>
      <x:c r="G248" s="2" t="n">
        <x:v>0</x:v>
      </x:c>
      <x:c r="H248" s="2" t="n">
        <x:v>0</x:v>
      </x:c>
      <x:c r="I248" s="2" t="n">
        <x:v>-1</x:v>
      </x:c>
      <x:c r="J248" s="2" t="n">
        <x:v>5</x:v>
      </x:c>
      <x:c r="K248" s="2" t="n">
        <x:v>8</x:v>
      </x:c>
      <x:c r="L248" s="2" t="n">
        <x:v>351</x:v>
      </x:c>
      <x:c r="M248" s="2" t="n">
        <x:v>50</x:v>
      </x:c>
      <x:c r="N248" s="2" t="n">
        <x:v>1317.5</x:v>
      </x:c>
      <x:c r="O248" s="2" t="str">
        <x:v>Ø5 csapos, lapos felfekvésű polctartó; 8mm beülés, tervezési specifikáció</x:v>
      </x:c>
    </x:row>
    <x:row r="249" ht="34" customHeight="1">
      <x:c r="A249" s="2" t="str">
        <x:v>H0244</x:v>
      </x:c>
      <x:c r="B249" s="2" t="str">
        <x:v>KI12-TV01C-01</x:v>
      </x:c>
      <x:c r="C249" s="2" t="str">
        <x:v>POLCTARTO</x:v>
      </x:c>
      <x:c r="D249" s="2" t="n">
        <x:v>749.5</x:v>
      </x:c>
      <x:c r="E249" s="2" t="n">
        <x:v>280</x:v>
      </x:c>
      <x:c r="F249" s="2" t="n">
        <x:v>0</x:v>
      </x:c>
      <x:c r="G249" s="2" t="n">
        <x:v>0</x:v>
      </x:c>
      <x:c r="H249" s="2" t="n">
        <x:v>0</x:v>
      </x:c>
      <x:c r="I249" s="2" t="n">
        <x:v>-1</x:v>
      </x:c>
      <x:c r="J249" s="2" t="n">
        <x:v>5</x:v>
      </x:c>
      <x:c r="K249" s="2" t="n">
        <x:v>8</x:v>
      </x:c>
      <x:c r="L249" s="2" t="n">
        <x:v>351</x:v>
      </x:c>
      <x:c r="M249" s="2" t="n">
        <x:v>280</x:v>
      </x:c>
      <x:c r="N249" s="2" t="n">
        <x:v>1317.5</x:v>
      </x:c>
      <x:c r="O249" s="2" t="str">
        <x:v>Ø5 csapos, lapos felfekvésű polctartó; 8mm beülés, tervezési specifikáció</x:v>
      </x:c>
    </x:row>
    <x:row r="250" ht="34" customHeight="1">
      <x:c r="A250" s="2" t="str">
        <x:v>H0245</x:v>
      </x:c>
      <x:c r="B250" s="2" t="str">
        <x:v>KI12-TV01S-01</x:v>
      </x:c>
      <x:c r="C250" s="2" t="str">
        <x:v>POLCTARTO</x:v>
      </x:c>
      <x:c r="D250" s="2" t="n">
        <x:v>1152.5</x:v>
      </x:c>
      <x:c r="E250" s="2" t="n">
        <x:v>50</x:v>
      </x:c>
      <x:c r="F250" s="2" t="n">
        <x:v>-18</x:v>
      </x:c>
      <x:c r="G250" s="2" t="n">
        <x:v>0</x:v>
      </x:c>
      <x:c r="H250" s="2" t="n">
        <x:v>0</x:v>
      </x:c>
      <x:c r="I250" s="2" t="n">
        <x:v>1</x:v>
      </x:c>
      <x:c r="J250" s="2" t="n">
        <x:v>5</x:v>
      </x:c>
      <x:c r="K250" s="2" t="n">
        <x:v>8</x:v>
      </x:c>
      <x:c r="L250" s="2" t="n">
        <x:v>18</x:v>
      </x:c>
      <x:c r="M250" s="2" t="n">
        <x:v>50</x:v>
      </x:c>
      <x:c r="N250" s="2" t="n">
        <x:v>1702.5</x:v>
      </x:c>
      <x:c r="O250" s="2" t="str">
        <x:v>Ø5 csapos, lapos felfekvésű polctartó; 8mm beülés, tervezési specifikáció</x:v>
      </x:c>
    </x:row>
    <x:row r="251" ht="34" customHeight="1">
      <x:c r="A251" s="2" t="str">
        <x:v>H0246</x:v>
      </x:c>
      <x:c r="B251" s="2" t="str">
        <x:v>KI12-TV01S-01</x:v>
      </x:c>
      <x:c r="C251" s="2" t="str">
        <x:v>POLCTARTO</x:v>
      </x:c>
      <x:c r="D251" s="2" t="n">
        <x:v>1152.5</x:v>
      </x:c>
      <x:c r="E251" s="2" t="n">
        <x:v>280</x:v>
      </x:c>
      <x:c r="F251" s="2" t="n">
        <x:v>-18</x:v>
      </x:c>
      <x:c r="G251" s="2" t="n">
        <x:v>0</x:v>
      </x:c>
      <x:c r="H251" s="2" t="n">
        <x:v>0</x:v>
      </x:c>
      <x:c r="I251" s="2" t="n">
        <x:v>1</x:v>
      </x:c>
      <x:c r="J251" s="2" t="n">
        <x:v>5</x:v>
      </x:c>
      <x:c r="K251" s="2" t="n">
        <x:v>8</x:v>
      </x:c>
      <x:c r="L251" s="2" t="n">
        <x:v>18</x:v>
      </x:c>
      <x:c r="M251" s="2" t="n">
        <x:v>280</x:v>
      </x:c>
      <x:c r="N251" s="2" t="n">
        <x:v>1702.5</x:v>
      </x:c>
      <x:c r="O251" s="2" t="str">
        <x:v>Ø5 csapos, lapos felfekvésű polctartó; 8mm beülés, tervezési specifikáció</x:v>
      </x:c>
    </x:row>
    <x:row r="252" ht="34" customHeight="1">
      <x:c r="A252" s="2" t="str">
        <x:v>H0247</x:v>
      </x:c>
      <x:c r="B252" s="2" t="str">
        <x:v>KI12-TV01C-01</x:v>
      </x:c>
      <x:c r="C252" s="2" t="str">
        <x:v>POLCTARTO</x:v>
      </x:c>
      <x:c r="D252" s="2" t="n">
        <x:v>1134.5</x:v>
      </x:c>
      <x:c r="E252" s="2" t="n">
        <x:v>50</x:v>
      </x:c>
      <x:c r="F252" s="2" t="n">
        <x:v>0</x:v>
      </x:c>
      <x:c r="G252" s="2" t="n">
        <x:v>0</x:v>
      </x:c>
      <x:c r="H252" s="2" t="n">
        <x:v>0</x:v>
      </x:c>
      <x:c r="I252" s="2" t="n">
        <x:v>-1</x:v>
      </x:c>
      <x:c r="J252" s="2" t="n">
        <x:v>5</x:v>
      </x:c>
      <x:c r="K252" s="2" t="n">
        <x:v>8</x:v>
      </x:c>
      <x:c r="L252" s="2" t="n">
        <x:v>351</x:v>
      </x:c>
      <x:c r="M252" s="2" t="n">
        <x:v>50</x:v>
      </x:c>
      <x:c r="N252" s="2" t="n">
        <x:v>1702.5</x:v>
      </x:c>
      <x:c r="O252" s="2" t="str">
        <x:v>Ø5 csapos, lapos felfekvésű polctartó; 8mm beülés, tervezési specifikáció</x:v>
      </x:c>
    </x:row>
    <x:row r="253" ht="34" customHeight="1">
      <x:c r="A253" s="2" t="str">
        <x:v>H0248</x:v>
      </x:c>
      <x:c r="B253" s="2" t="str">
        <x:v>KI12-TV01C-01</x:v>
      </x:c>
      <x:c r="C253" s="2" t="str">
        <x:v>POLCTARTO</x:v>
      </x:c>
      <x:c r="D253" s="2" t="n">
        <x:v>1134.5</x:v>
      </x:c>
      <x:c r="E253" s="2" t="n">
        <x:v>280</x:v>
      </x:c>
      <x:c r="F253" s="2" t="n">
        <x:v>0</x:v>
      </x:c>
      <x:c r="G253" s="2" t="n">
        <x:v>0</x:v>
      </x:c>
      <x:c r="H253" s="2" t="n">
        <x:v>0</x:v>
      </x:c>
      <x:c r="I253" s="2" t="n">
        <x:v>-1</x:v>
      </x:c>
      <x:c r="J253" s="2" t="n">
        <x:v>5</x:v>
      </x:c>
      <x:c r="K253" s="2" t="n">
        <x:v>8</x:v>
      </x:c>
      <x:c r="L253" s="2" t="n">
        <x:v>351</x:v>
      </x:c>
      <x:c r="M253" s="2" t="n">
        <x:v>280</x:v>
      </x:c>
      <x:c r="N253" s="2" t="n">
        <x:v>1702.5</x:v>
      </x:c>
      <x:c r="O253" s="2" t="str">
        <x:v>Ø5 csapos, lapos felfekvésű polctartó; 8mm beülés, tervezési specifikáció</x:v>
      </x:c>
    </x:row>
    <x:row r="254" ht="34" customHeight="1">
      <x:c r="A254" s="2" t="str">
        <x:v>H0249</x:v>
      </x:c>
      <x:c r="B254" s="2" t="str">
        <x:v>KI12-TV01S-01</x:v>
      </x:c>
      <x:c r="C254" s="2" t="str">
        <x:v>POLCTARTO</x:v>
      </x:c>
      <x:c r="D254" s="2" t="n">
        <x:v>1537.5</x:v>
      </x:c>
      <x:c r="E254" s="2" t="n">
        <x:v>50</x:v>
      </x:c>
      <x:c r="F254" s="2" t="n">
        <x:v>-18</x:v>
      </x:c>
      <x:c r="G254" s="2" t="n">
        <x:v>0</x:v>
      </x:c>
      <x:c r="H254" s="2" t="n">
        <x:v>0</x:v>
      </x:c>
      <x:c r="I254" s="2" t="n">
        <x:v>1</x:v>
      </x:c>
      <x:c r="J254" s="2" t="n">
        <x:v>5</x:v>
      </x:c>
      <x:c r="K254" s="2" t="n">
        <x:v>8</x:v>
      </x:c>
      <x:c r="L254" s="2" t="n">
        <x:v>18</x:v>
      </x:c>
      <x:c r="M254" s="2" t="n">
        <x:v>50</x:v>
      </x:c>
      <x:c r="N254" s="2" t="n">
        <x:v>2087.5</x:v>
      </x:c>
      <x:c r="O254" s="2" t="str">
        <x:v>Ø5 csapos, lapos felfekvésű polctartó; 8mm beülés, tervezési specifikáció</x:v>
      </x:c>
    </x:row>
    <x:row r="255" ht="34" customHeight="1">
      <x:c r="A255" s="2" t="str">
        <x:v>H0250</x:v>
      </x:c>
      <x:c r="B255" s="2" t="str">
        <x:v>KI12-TV01S-01</x:v>
      </x:c>
      <x:c r="C255" s="2" t="str">
        <x:v>POLCTARTO</x:v>
      </x:c>
      <x:c r="D255" s="2" t="n">
        <x:v>1537.5</x:v>
      </x:c>
      <x:c r="E255" s="2" t="n">
        <x:v>280</x:v>
      </x:c>
      <x:c r="F255" s="2" t="n">
        <x:v>-18</x:v>
      </x:c>
      <x:c r="G255" s="2" t="n">
        <x:v>0</x:v>
      </x:c>
      <x:c r="H255" s="2" t="n">
        <x:v>0</x:v>
      </x:c>
      <x:c r="I255" s="2" t="n">
        <x:v>1</x:v>
      </x:c>
      <x:c r="J255" s="2" t="n">
        <x:v>5</x:v>
      </x:c>
      <x:c r="K255" s="2" t="n">
        <x:v>8</x:v>
      </x:c>
      <x:c r="L255" s="2" t="n">
        <x:v>18</x:v>
      </x:c>
      <x:c r="M255" s="2" t="n">
        <x:v>280</x:v>
      </x:c>
      <x:c r="N255" s="2" t="n">
        <x:v>2087.5</x:v>
      </x:c>
      <x:c r="O255" s="2" t="str">
        <x:v>Ø5 csapos, lapos felfekvésű polctartó; 8mm beülés, tervezési specifikáció</x:v>
      </x:c>
    </x:row>
    <x:row r="256" ht="34" customHeight="1">
      <x:c r="A256" s="2" t="str">
        <x:v>H0251</x:v>
      </x:c>
      <x:c r="B256" s="2" t="str">
        <x:v>KI12-TV01C-01</x:v>
      </x:c>
      <x:c r="C256" s="2" t="str">
        <x:v>POLCTARTO</x:v>
      </x:c>
      <x:c r="D256" s="2" t="n">
        <x:v>1519.5</x:v>
      </x:c>
      <x:c r="E256" s="2" t="n">
        <x:v>50</x:v>
      </x:c>
      <x:c r="F256" s="2" t="n">
        <x:v>0</x:v>
      </x:c>
      <x:c r="G256" s="2" t="n">
        <x:v>0</x:v>
      </x:c>
      <x:c r="H256" s="2" t="n">
        <x:v>0</x:v>
      </x:c>
      <x:c r="I256" s="2" t="n">
        <x:v>-1</x:v>
      </x:c>
      <x:c r="J256" s="2" t="n">
        <x:v>5</x:v>
      </x:c>
      <x:c r="K256" s="2" t="n">
        <x:v>8</x:v>
      </x:c>
      <x:c r="L256" s="2" t="n">
        <x:v>351</x:v>
      </x:c>
      <x:c r="M256" s="2" t="n">
        <x:v>50</x:v>
      </x:c>
      <x:c r="N256" s="2" t="n">
        <x:v>2087.5</x:v>
      </x:c>
      <x:c r="O256" s="2" t="str">
        <x:v>Ø5 csapos, lapos felfekvésű polctartó; 8mm beülés, tervezési specifikáció</x:v>
      </x:c>
    </x:row>
    <x:row r="257" ht="34" customHeight="1">
      <x:c r="A257" s="2" t="str">
        <x:v>H0252</x:v>
      </x:c>
      <x:c r="B257" s="2" t="str">
        <x:v>KI12-TV01C-01</x:v>
      </x:c>
      <x:c r="C257" s="2" t="str">
        <x:v>POLCTARTO</x:v>
      </x:c>
      <x:c r="D257" s="2" t="n">
        <x:v>1519.5</x:v>
      </x:c>
      <x:c r="E257" s="2" t="n">
        <x:v>280</x:v>
      </x:c>
      <x:c r="F257" s="2" t="n">
        <x:v>0</x:v>
      </x:c>
      <x:c r="G257" s="2" t="n">
        <x:v>0</x:v>
      </x:c>
      <x:c r="H257" s="2" t="n">
        <x:v>0</x:v>
      </x:c>
      <x:c r="I257" s="2" t="n">
        <x:v>-1</x:v>
      </x:c>
      <x:c r="J257" s="2" t="n">
        <x:v>5</x:v>
      </x:c>
      <x:c r="K257" s="2" t="n">
        <x:v>8</x:v>
      </x:c>
      <x:c r="L257" s="2" t="n">
        <x:v>351</x:v>
      </x:c>
      <x:c r="M257" s="2" t="n">
        <x:v>280</x:v>
      </x:c>
      <x:c r="N257" s="2" t="n">
        <x:v>2087.5</x:v>
      </x:c>
      <x:c r="O257" s="2" t="str">
        <x:v>Ø5 csapos, lapos felfekvésű polctartó; 8mm beülés, tervezési specifikáció</x:v>
      </x:c>
    </x:row>
    <x:row r="258" ht="34" customHeight="1">
      <x:c r="A258" s="2" t="str">
        <x:v>H0253</x:v>
      </x:c>
      <x:c r="B258" s="2" t="str">
        <x:v>KI12-TV01S-01</x:v>
      </x:c>
      <x:c r="C258" s="2" t="str">
        <x:v>POLCTARTO</x:v>
      </x:c>
      <x:c r="D258" s="2" t="n">
        <x:v>1922.5</x:v>
      </x:c>
      <x:c r="E258" s="2" t="n">
        <x:v>50</x:v>
      </x:c>
      <x:c r="F258" s="2" t="n">
        <x:v>-18</x:v>
      </x:c>
      <x:c r="G258" s="2" t="n">
        <x:v>0</x:v>
      </x:c>
      <x:c r="H258" s="2" t="n">
        <x:v>0</x:v>
      </x:c>
      <x:c r="I258" s="2" t="n">
        <x:v>1</x:v>
      </x:c>
      <x:c r="J258" s="2" t="n">
        <x:v>5</x:v>
      </x:c>
      <x:c r="K258" s="2" t="n">
        <x:v>8</x:v>
      </x:c>
      <x:c r="L258" s="2" t="n">
        <x:v>18</x:v>
      </x:c>
      <x:c r="M258" s="2" t="n">
        <x:v>50</x:v>
      </x:c>
      <x:c r="N258" s="2" t="n">
        <x:v>2472.5</x:v>
      </x:c>
      <x:c r="O258" s="2" t="str">
        <x:v>Ø5 csapos, lapos felfekvésű polctartó; 8mm beülés, tervezési specifikáció</x:v>
      </x:c>
    </x:row>
    <x:row r="259" ht="34" customHeight="1">
      <x:c r="A259" s="2" t="str">
        <x:v>H0254</x:v>
      </x:c>
      <x:c r="B259" s="2" t="str">
        <x:v>KI12-TV01S-01</x:v>
      </x:c>
      <x:c r="C259" s="2" t="str">
        <x:v>POLCTARTO</x:v>
      </x:c>
      <x:c r="D259" s="2" t="n">
        <x:v>1922.5</x:v>
      </x:c>
      <x:c r="E259" s="2" t="n">
        <x:v>280</x:v>
      </x:c>
      <x:c r="F259" s="2" t="n">
        <x:v>-18</x:v>
      </x:c>
      <x:c r="G259" s="2" t="n">
        <x:v>0</x:v>
      </x:c>
      <x:c r="H259" s="2" t="n">
        <x:v>0</x:v>
      </x:c>
      <x:c r="I259" s="2" t="n">
        <x:v>1</x:v>
      </x:c>
      <x:c r="J259" s="2" t="n">
        <x:v>5</x:v>
      </x:c>
      <x:c r="K259" s="2" t="n">
        <x:v>8</x:v>
      </x:c>
      <x:c r="L259" s="2" t="n">
        <x:v>18</x:v>
      </x:c>
      <x:c r="M259" s="2" t="n">
        <x:v>280</x:v>
      </x:c>
      <x:c r="N259" s="2" t="n">
        <x:v>2472.5</x:v>
      </x:c>
      <x:c r="O259" s="2" t="str">
        <x:v>Ø5 csapos, lapos felfekvésű polctartó; 8mm beülés, tervezési specifikáció</x:v>
      </x:c>
    </x:row>
    <x:row r="260" ht="34" customHeight="1">
      <x:c r="A260" s="2" t="str">
        <x:v>H0255</x:v>
      </x:c>
      <x:c r="B260" s="2" t="str">
        <x:v>KI12-TV01C-01</x:v>
      </x:c>
      <x:c r="C260" s="2" t="str">
        <x:v>POLCTARTO</x:v>
      </x:c>
      <x:c r="D260" s="2" t="n">
        <x:v>1904.5</x:v>
      </x:c>
      <x:c r="E260" s="2" t="n">
        <x:v>50</x:v>
      </x:c>
      <x:c r="F260" s="2" t="n">
        <x:v>0</x:v>
      </x:c>
      <x:c r="G260" s="2" t="n">
        <x:v>0</x:v>
      </x:c>
      <x:c r="H260" s="2" t="n">
        <x:v>0</x:v>
      </x:c>
      <x:c r="I260" s="2" t="n">
        <x:v>-1</x:v>
      </x:c>
      <x:c r="J260" s="2" t="n">
        <x:v>5</x:v>
      </x:c>
      <x:c r="K260" s="2" t="n">
        <x:v>8</x:v>
      </x:c>
      <x:c r="L260" s="2" t="n">
        <x:v>351</x:v>
      </x:c>
      <x:c r="M260" s="2" t="n">
        <x:v>50</x:v>
      </x:c>
      <x:c r="N260" s="2" t="n">
        <x:v>2472.5</x:v>
      </x:c>
      <x:c r="O260" s="2" t="str">
        <x:v>Ø5 csapos, lapos felfekvésű polctartó; 8mm beülés, tervezési specifikáció</x:v>
      </x:c>
    </x:row>
    <x:row r="261" ht="34" customHeight="1">
      <x:c r="A261" s="2" t="str">
        <x:v>H0256</x:v>
      </x:c>
      <x:c r="B261" s="2" t="str">
        <x:v>KI12-TV01C-01</x:v>
      </x:c>
      <x:c r="C261" s="2" t="str">
        <x:v>POLCTARTO</x:v>
      </x:c>
      <x:c r="D261" s="2" t="n">
        <x:v>1904.5</x:v>
      </x:c>
      <x:c r="E261" s="2" t="n">
        <x:v>280</x:v>
      </x:c>
      <x:c r="F261" s="2" t="n">
        <x:v>0</x:v>
      </x:c>
      <x:c r="G261" s="2" t="n">
        <x:v>0</x:v>
      </x:c>
      <x:c r="H261" s="2" t="n">
        <x:v>0</x:v>
      </x:c>
      <x:c r="I261" s="2" t="n">
        <x:v>-1</x:v>
      </x:c>
      <x:c r="J261" s="2" t="n">
        <x:v>5</x:v>
      </x:c>
      <x:c r="K261" s="2" t="n">
        <x:v>8</x:v>
      </x:c>
      <x:c r="L261" s="2" t="n">
        <x:v>351</x:v>
      </x:c>
      <x:c r="M261" s="2" t="n">
        <x:v>280</x:v>
      </x:c>
      <x:c r="N261" s="2" t="n">
        <x:v>2472.5</x:v>
      </x:c>
      <x:c r="O261" s="2" t="str">
        <x:v>Ø5 csapos, lapos felfekvésű polctartó; 8mm beülés, tervezési specifikáció</x:v>
      </x:c>
    </x:row>
    <x:row r="262" ht="34" customHeight="1">
      <x:c r="A262" s="2" t="str">
        <x:v>H0257</x:v>
      </x:c>
      <x:c r="B262" s="2" t="str">
        <x:v>KI12-TV01C-01</x:v>
      </x:c>
      <x:c r="C262" s="2" t="str">
        <x:v>POLCTARTO</x:v>
      </x:c>
      <x:c r="D262" s="2" t="n">
        <x:v>364.5</x:v>
      </x:c>
      <x:c r="E262" s="2" t="n">
        <x:v>50</x:v>
      </x:c>
      <x:c r="F262" s="2" t="n">
        <x:v>-18</x:v>
      </x:c>
      <x:c r="G262" s="2" t="n">
        <x:v>0</x:v>
      </x:c>
      <x:c r="H262" s="2" t="n">
        <x:v>0</x:v>
      </x:c>
      <x:c r="I262" s="2" t="n">
        <x:v>1</x:v>
      </x:c>
      <x:c r="J262" s="2" t="n">
        <x:v>5</x:v>
      </x:c>
      <x:c r="K262" s="2" t="n">
        <x:v>8</x:v>
      </x:c>
      <x:c r="L262" s="2" t="n">
        <x:v>369</x:v>
      </x:c>
      <x:c r="M262" s="2" t="n">
        <x:v>50</x:v>
      </x:c>
      <x:c r="N262" s="2" t="n">
        <x:v>932.5</x:v>
      </x:c>
      <x:c r="O262" s="2" t="str">
        <x:v>Ø5 csapos, lapos felfekvésű polctartó; 8mm beülés, tervezési specifikáció</x:v>
      </x:c>
    </x:row>
    <x:row r="263" ht="34" customHeight="1">
      <x:c r="A263" s="2" t="str">
        <x:v>H0258</x:v>
      </x:c>
      <x:c r="B263" s="2" t="str">
        <x:v>KI12-TV01C-01</x:v>
      </x:c>
      <x:c r="C263" s="2" t="str">
        <x:v>POLCTARTO</x:v>
      </x:c>
      <x:c r="D263" s="2" t="n">
        <x:v>364.5</x:v>
      </x:c>
      <x:c r="E263" s="2" t="n">
        <x:v>280</x:v>
      </x:c>
      <x:c r="F263" s="2" t="n">
        <x:v>-18</x:v>
      </x:c>
      <x:c r="G263" s="2" t="n">
        <x:v>0</x:v>
      </x:c>
      <x:c r="H263" s="2" t="n">
        <x:v>0</x:v>
      </x:c>
      <x:c r="I263" s="2" t="n">
        <x:v>1</x:v>
      </x:c>
      <x:c r="J263" s="2" t="n">
        <x:v>5</x:v>
      </x:c>
      <x:c r="K263" s="2" t="n">
        <x:v>8</x:v>
      </x:c>
      <x:c r="L263" s="2" t="n">
        <x:v>369</x:v>
      </x:c>
      <x:c r="M263" s="2" t="n">
        <x:v>280</x:v>
      </x:c>
      <x:c r="N263" s="2" t="n">
        <x:v>932.5</x:v>
      </x:c>
      <x:c r="O263" s="2" t="str">
        <x:v>Ø5 csapos, lapos felfekvésű polctartó; 8mm beülés, tervezési specifikáció</x:v>
      </x:c>
    </x:row>
    <x:row r="264" ht="34" customHeight="1">
      <x:c r="A264" s="2" t="str">
        <x:v>H0259</x:v>
      </x:c>
      <x:c r="B264" s="2" t="str">
        <x:v>KI12-TV01S-02</x:v>
      </x:c>
      <x:c r="C264" s="2" t="str">
        <x:v>POLCTARTO</x:v>
      </x:c>
      <x:c r="D264" s="2" t="n">
        <x:v>382.5</x:v>
      </x:c>
      <x:c r="E264" s="2" t="n">
        <x:v>50</x:v>
      </x:c>
      <x:c r="F264" s="2" t="n">
        <x:v>0</x:v>
      </x:c>
      <x:c r="G264" s="2" t="n">
        <x:v>0</x:v>
      </x:c>
      <x:c r="H264" s="2" t="n">
        <x:v>0</x:v>
      </x:c>
      <x:c r="I264" s="2" t="n">
        <x:v>-1</x:v>
      </x:c>
      <x:c r="J264" s="2" t="n">
        <x:v>5</x:v>
      </x:c>
      <x:c r="K264" s="2" t="n">
        <x:v>8</x:v>
      </x:c>
      <x:c r="L264" s="2" t="n">
        <x:v>702</x:v>
      </x:c>
      <x:c r="M264" s="2" t="n">
        <x:v>50</x:v>
      </x:c>
      <x:c r="N264" s="2" t="n">
        <x:v>932.5</x:v>
      </x:c>
      <x:c r="O264" s="2" t="str">
        <x:v>Ø5 csapos, lapos felfekvésű polctartó; 8mm beülés, tervezési specifikáció</x:v>
      </x:c>
    </x:row>
    <x:row r="265" ht="34" customHeight="1">
      <x:c r="A265" s="2" t="str">
        <x:v>H0260</x:v>
      </x:c>
      <x:c r="B265" s="2" t="str">
        <x:v>KI12-TV01S-02</x:v>
      </x:c>
      <x:c r="C265" s="2" t="str">
        <x:v>POLCTARTO</x:v>
      </x:c>
      <x:c r="D265" s="2" t="n">
        <x:v>382.5</x:v>
      </x:c>
      <x:c r="E265" s="2" t="n">
        <x:v>280</x:v>
      </x:c>
      <x:c r="F265" s="2" t="n">
        <x:v>0</x:v>
      </x:c>
      <x:c r="G265" s="2" t="n">
        <x:v>0</x:v>
      </x:c>
      <x:c r="H265" s="2" t="n">
        <x:v>0</x:v>
      </x:c>
      <x:c r="I265" s="2" t="n">
        <x:v>-1</x:v>
      </x:c>
      <x:c r="J265" s="2" t="n">
        <x:v>5</x:v>
      </x:c>
      <x:c r="K265" s="2" t="n">
        <x:v>8</x:v>
      </x:c>
      <x:c r="L265" s="2" t="n">
        <x:v>702</x:v>
      </x:c>
      <x:c r="M265" s="2" t="n">
        <x:v>280</x:v>
      </x:c>
      <x:c r="N265" s="2" t="n">
        <x:v>932.5</x:v>
      </x:c>
      <x:c r="O265" s="2" t="str">
        <x:v>Ø5 csapos, lapos felfekvésű polctartó; 8mm beülés, tervezési specifikáció</x:v>
      </x:c>
    </x:row>
    <x:row r="266" ht="34" customHeight="1">
      <x:c r="A266" s="2" t="str">
        <x:v>H0261</x:v>
      </x:c>
      <x:c r="B266" s="2" t="str">
        <x:v>KI12-TV01C-01</x:v>
      </x:c>
      <x:c r="C266" s="2" t="str">
        <x:v>POLCTARTO</x:v>
      </x:c>
      <x:c r="D266" s="2" t="n">
        <x:v>749.5</x:v>
      </x:c>
      <x:c r="E266" s="2" t="n">
        <x:v>50</x:v>
      </x:c>
      <x:c r="F266" s="2" t="n">
        <x:v>-18</x:v>
      </x:c>
      <x:c r="G266" s="2" t="n">
        <x:v>0</x:v>
      </x:c>
      <x:c r="H266" s="2" t="n">
        <x:v>0</x:v>
      </x:c>
      <x:c r="I266" s="2" t="n">
        <x:v>1</x:v>
      </x:c>
      <x:c r="J266" s="2" t="n">
        <x:v>5</x:v>
      </x:c>
      <x:c r="K266" s="2" t="n">
        <x:v>8</x:v>
      </x:c>
      <x:c r="L266" s="2" t="n">
        <x:v>369</x:v>
      </x:c>
      <x:c r="M266" s="2" t="n">
        <x:v>50</x:v>
      </x:c>
      <x:c r="N266" s="2" t="n">
        <x:v>1317.5</x:v>
      </x:c>
      <x:c r="O266" s="2" t="str">
        <x:v>Ø5 csapos, lapos felfekvésű polctartó; 8mm beülés, tervezési specifikáció</x:v>
      </x:c>
    </x:row>
    <x:row r="267" ht="34" customHeight="1">
      <x:c r="A267" s="2" t="str">
        <x:v>H0262</x:v>
      </x:c>
      <x:c r="B267" s="2" t="str">
        <x:v>KI12-TV01C-01</x:v>
      </x:c>
      <x:c r="C267" s="2" t="str">
        <x:v>POLCTARTO</x:v>
      </x:c>
      <x:c r="D267" s="2" t="n">
        <x:v>749.5</x:v>
      </x:c>
      <x:c r="E267" s="2" t="n">
        <x:v>280</x:v>
      </x:c>
      <x:c r="F267" s="2" t="n">
        <x:v>-18</x:v>
      </x:c>
      <x:c r="G267" s="2" t="n">
        <x:v>0</x:v>
      </x:c>
      <x:c r="H267" s="2" t="n">
        <x:v>0</x:v>
      </x:c>
      <x:c r="I267" s="2" t="n">
        <x:v>1</x:v>
      </x:c>
      <x:c r="J267" s="2" t="n">
        <x:v>5</x:v>
      </x:c>
      <x:c r="K267" s="2" t="n">
        <x:v>8</x:v>
      </x:c>
      <x:c r="L267" s="2" t="n">
        <x:v>369</x:v>
      </x:c>
      <x:c r="M267" s="2" t="n">
        <x:v>280</x:v>
      </x:c>
      <x:c r="N267" s="2" t="n">
        <x:v>1317.5</x:v>
      </x:c>
      <x:c r="O267" s="2" t="str">
        <x:v>Ø5 csapos, lapos felfekvésű polctartó; 8mm beülés, tervezési specifikáció</x:v>
      </x:c>
    </x:row>
    <x:row r="268" ht="34" customHeight="1">
      <x:c r="A268" s="2" t="str">
        <x:v>H0263</x:v>
      </x:c>
      <x:c r="B268" s="2" t="str">
        <x:v>KI12-TV01S-02</x:v>
      </x:c>
      <x:c r="C268" s="2" t="str">
        <x:v>POLCTARTO</x:v>
      </x:c>
      <x:c r="D268" s="2" t="n">
        <x:v>767.5</x:v>
      </x:c>
      <x:c r="E268" s="2" t="n">
        <x:v>50</x:v>
      </x:c>
      <x:c r="F268" s="2" t="n">
        <x:v>0</x:v>
      </x:c>
      <x:c r="G268" s="2" t="n">
        <x:v>0</x:v>
      </x:c>
      <x:c r="H268" s="2" t="n">
        <x:v>0</x:v>
      </x:c>
      <x:c r="I268" s="2" t="n">
        <x:v>-1</x:v>
      </x:c>
      <x:c r="J268" s="2" t="n">
        <x:v>5</x:v>
      </x:c>
      <x:c r="K268" s="2" t="n">
        <x:v>8</x:v>
      </x:c>
      <x:c r="L268" s="2" t="n">
        <x:v>702</x:v>
      </x:c>
      <x:c r="M268" s="2" t="n">
        <x:v>50</x:v>
      </x:c>
      <x:c r="N268" s="2" t="n">
        <x:v>1317.5</x:v>
      </x:c>
      <x:c r="O268" s="2" t="str">
        <x:v>Ø5 csapos, lapos felfekvésű polctartó; 8mm beülés, tervezési specifikáció</x:v>
      </x:c>
    </x:row>
    <x:row r="269" ht="34" customHeight="1">
      <x:c r="A269" s="2" t="str">
        <x:v>H0264</x:v>
      </x:c>
      <x:c r="B269" s="2" t="str">
        <x:v>KI12-TV01S-02</x:v>
      </x:c>
      <x:c r="C269" s="2" t="str">
        <x:v>POLCTARTO</x:v>
      </x:c>
      <x:c r="D269" s="2" t="n">
        <x:v>767.5</x:v>
      </x:c>
      <x:c r="E269" s="2" t="n">
        <x:v>280</x:v>
      </x:c>
      <x:c r="F269" s="2" t="n">
        <x:v>0</x:v>
      </x:c>
      <x:c r="G269" s="2" t="n">
        <x:v>0</x:v>
      </x:c>
      <x:c r="H269" s="2" t="n">
        <x:v>0</x:v>
      </x:c>
      <x:c r="I269" s="2" t="n">
        <x:v>-1</x:v>
      </x:c>
      <x:c r="J269" s="2" t="n">
        <x:v>5</x:v>
      </x:c>
      <x:c r="K269" s="2" t="n">
        <x:v>8</x:v>
      </x:c>
      <x:c r="L269" s="2" t="n">
        <x:v>702</x:v>
      </x:c>
      <x:c r="M269" s="2" t="n">
        <x:v>280</x:v>
      </x:c>
      <x:c r="N269" s="2" t="n">
        <x:v>1317.5</x:v>
      </x:c>
      <x:c r="O269" s="2" t="str">
        <x:v>Ø5 csapos, lapos felfekvésű polctartó; 8mm beülés, tervezési specifikáció</x:v>
      </x:c>
    </x:row>
    <x:row r="270" ht="34" customHeight="1">
      <x:c r="A270" s="2" t="str">
        <x:v>H0265</x:v>
      </x:c>
      <x:c r="B270" s="2" t="str">
        <x:v>KI12-TV01C-01</x:v>
      </x:c>
      <x:c r="C270" s="2" t="str">
        <x:v>POLCTARTO</x:v>
      </x:c>
      <x:c r="D270" s="2" t="n">
        <x:v>1134.5</x:v>
      </x:c>
      <x:c r="E270" s="2" t="n">
        <x:v>50</x:v>
      </x:c>
      <x:c r="F270" s="2" t="n">
        <x:v>-18</x:v>
      </x:c>
      <x:c r="G270" s="2" t="n">
        <x:v>0</x:v>
      </x:c>
      <x:c r="H270" s="2" t="n">
        <x:v>0</x:v>
      </x:c>
      <x:c r="I270" s="2" t="n">
        <x:v>1</x:v>
      </x:c>
      <x:c r="J270" s="2" t="n">
        <x:v>5</x:v>
      </x:c>
      <x:c r="K270" s="2" t="n">
        <x:v>8</x:v>
      </x:c>
      <x:c r="L270" s="2" t="n">
        <x:v>369</x:v>
      </x:c>
      <x:c r="M270" s="2" t="n">
        <x:v>50</x:v>
      </x:c>
      <x:c r="N270" s="2" t="n">
        <x:v>1702.5</x:v>
      </x:c>
      <x:c r="O270" s="2" t="str">
        <x:v>Ø5 csapos, lapos felfekvésű polctartó; 8mm beülés, tervezési specifikáció</x:v>
      </x:c>
    </x:row>
    <x:row r="271" ht="34" customHeight="1">
      <x:c r="A271" s="2" t="str">
        <x:v>H0266</x:v>
      </x:c>
      <x:c r="B271" s="2" t="str">
        <x:v>KI12-TV01C-01</x:v>
      </x:c>
      <x:c r="C271" s="2" t="str">
        <x:v>POLCTARTO</x:v>
      </x:c>
      <x:c r="D271" s="2" t="n">
        <x:v>1134.5</x:v>
      </x:c>
      <x:c r="E271" s="2" t="n">
        <x:v>280</x:v>
      </x:c>
      <x:c r="F271" s="2" t="n">
        <x:v>-18</x:v>
      </x:c>
      <x:c r="G271" s="2" t="n">
        <x:v>0</x:v>
      </x:c>
      <x:c r="H271" s="2" t="n">
        <x:v>0</x:v>
      </x:c>
      <x:c r="I271" s="2" t="n">
        <x:v>1</x:v>
      </x:c>
      <x:c r="J271" s="2" t="n">
        <x:v>5</x:v>
      </x:c>
      <x:c r="K271" s="2" t="n">
        <x:v>8</x:v>
      </x:c>
      <x:c r="L271" s="2" t="n">
        <x:v>369</x:v>
      </x:c>
      <x:c r="M271" s="2" t="n">
        <x:v>280</x:v>
      </x:c>
      <x:c r="N271" s="2" t="n">
        <x:v>1702.5</x:v>
      </x:c>
      <x:c r="O271" s="2" t="str">
        <x:v>Ø5 csapos, lapos felfekvésű polctartó; 8mm beülés, tervezési specifikáció</x:v>
      </x:c>
    </x:row>
    <x:row r="272" ht="34" customHeight="1">
      <x:c r="A272" s="2" t="str">
        <x:v>H0267</x:v>
      </x:c>
      <x:c r="B272" s="2" t="str">
        <x:v>KI12-TV01S-02</x:v>
      </x:c>
      <x:c r="C272" s="2" t="str">
        <x:v>POLCTARTO</x:v>
      </x:c>
      <x:c r="D272" s="2" t="n">
        <x:v>1152.5</x:v>
      </x:c>
      <x:c r="E272" s="2" t="n">
        <x:v>50</x:v>
      </x:c>
      <x:c r="F272" s="2" t="n">
        <x:v>0</x:v>
      </x:c>
      <x:c r="G272" s="2" t="n">
        <x:v>0</x:v>
      </x:c>
      <x:c r="H272" s="2" t="n">
        <x:v>0</x:v>
      </x:c>
      <x:c r="I272" s="2" t="n">
        <x:v>-1</x:v>
      </x:c>
      <x:c r="J272" s="2" t="n">
        <x:v>5</x:v>
      </x:c>
      <x:c r="K272" s="2" t="n">
        <x:v>8</x:v>
      </x:c>
      <x:c r="L272" s="2" t="n">
        <x:v>702</x:v>
      </x:c>
      <x:c r="M272" s="2" t="n">
        <x:v>50</x:v>
      </x:c>
      <x:c r="N272" s="2" t="n">
        <x:v>1702.5</x:v>
      </x:c>
      <x:c r="O272" s="2" t="str">
        <x:v>Ø5 csapos, lapos felfekvésű polctartó; 8mm beülés, tervezési specifikáció</x:v>
      </x:c>
    </x:row>
    <x:row r="273" ht="34" customHeight="1">
      <x:c r="A273" s="2" t="str">
        <x:v>H0268</x:v>
      </x:c>
      <x:c r="B273" s="2" t="str">
        <x:v>KI12-TV01S-02</x:v>
      </x:c>
      <x:c r="C273" s="2" t="str">
        <x:v>POLCTARTO</x:v>
      </x:c>
      <x:c r="D273" s="2" t="n">
        <x:v>1152.5</x:v>
      </x:c>
      <x:c r="E273" s="2" t="n">
        <x:v>280</x:v>
      </x:c>
      <x:c r="F273" s="2" t="n">
        <x:v>0</x:v>
      </x:c>
      <x:c r="G273" s="2" t="n">
        <x:v>0</x:v>
      </x:c>
      <x:c r="H273" s="2" t="n">
        <x:v>0</x:v>
      </x:c>
      <x:c r="I273" s="2" t="n">
        <x:v>-1</x:v>
      </x:c>
      <x:c r="J273" s="2" t="n">
        <x:v>5</x:v>
      </x:c>
      <x:c r="K273" s="2" t="n">
        <x:v>8</x:v>
      </x:c>
      <x:c r="L273" s="2" t="n">
        <x:v>702</x:v>
      </x:c>
      <x:c r="M273" s="2" t="n">
        <x:v>280</x:v>
      </x:c>
      <x:c r="N273" s="2" t="n">
        <x:v>1702.5</x:v>
      </x:c>
      <x:c r="O273" s="2" t="str">
        <x:v>Ø5 csapos, lapos felfekvésű polctartó; 8mm beülés, tervezési specifikáció</x:v>
      </x:c>
    </x:row>
    <x:row r="274" ht="34" customHeight="1">
      <x:c r="A274" s="2" t="str">
        <x:v>H0269</x:v>
      </x:c>
      <x:c r="B274" s="2" t="str">
        <x:v>KI12-TV01C-01</x:v>
      </x:c>
      <x:c r="C274" s="2" t="str">
        <x:v>POLCTARTO</x:v>
      </x:c>
      <x:c r="D274" s="2" t="n">
        <x:v>1519.5</x:v>
      </x:c>
      <x:c r="E274" s="2" t="n">
        <x:v>50</x:v>
      </x:c>
      <x:c r="F274" s="2" t="n">
        <x:v>-18</x:v>
      </x:c>
      <x:c r="G274" s="2" t="n">
        <x:v>0</x:v>
      </x:c>
      <x:c r="H274" s="2" t="n">
        <x:v>0</x:v>
      </x:c>
      <x:c r="I274" s="2" t="n">
        <x:v>1</x:v>
      </x:c>
      <x:c r="J274" s="2" t="n">
        <x:v>5</x:v>
      </x:c>
      <x:c r="K274" s="2" t="n">
        <x:v>8</x:v>
      </x:c>
      <x:c r="L274" s="2" t="n">
        <x:v>369</x:v>
      </x:c>
      <x:c r="M274" s="2" t="n">
        <x:v>50</x:v>
      </x:c>
      <x:c r="N274" s="2" t="n">
        <x:v>2087.5</x:v>
      </x:c>
      <x:c r="O274" s="2" t="str">
        <x:v>Ø5 csapos, lapos felfekvésű polctartó; 8mm beülés, tervezési specifikáció</x:v>
      </x:c>
    </x:row>
    <x:row r="275" ht="34" customHeight="1">
      <x:c r="A275" s="2" t="str">
        <x:v>H0270</x:v>
      </x:c>
      <x:c r="B275" s="2" t="str">
        <x:v>KI12-TV01C-01</x:v>
      </x:c>
      <x:c r="C275" s="2" t="str">
        <x:v>POLCTARTO</x:v>
      </x:c>
      <x:c r="D275" s="2" t="n">
        <x:v>1519.5</x:v>
      </x:c>
      <x:c r="E275" s="2" t="n">
        <x:v>280</x:v>
      </x:c>
      <x:c r="F275" s="2" t="n">
        <x:v>-18</x:v>
      </x:c>
      <x:c r="G275" s="2" t="n">
        <x:v>0</x:v>
      </x:c>
      <x:c r="H275" s="2" t="n">
        <x:v>0</x:v>
      </x:c>
      <x:c r="I275" s="2" t="n">
        <x:v>1</x:v>
      </x:c>
      <x:c r="J275" s="2" t="n">
        <x:v>5</x:v>
      </x:c>
      <x:c r="K275" s="2" t="n">
        <x:v>8</x:v>
      </x:c>
      <x:c r="L275" s="2" t="n">
        <x:v>369</x:v>
      </x:c>
      <x:c r="M275" s="2" t="n">
        <x:v>280</x:v>
      </x:c>
      <x:c r="N275" s="2" t="n">
        <x:v>2087.5</x:v>
      </x:c>
      <x:c r="O275" s="2" t="str">
        <x:v>Ø5 csapos, lapos felfekvésű polctartó; 8mm beülés, tervezési specifikáció</x:v>
      </x:c>
    </x:row>
    <x:row r="276" ht="34" customHeight="1">
      <x:c r="A276" s="2" t="str">
        <x:v>H0271</x:v>
      </x:c>
      <x:c r="B276" s="2" t="str">
        <x:v>KI12-TV01S-02</x:v>
      </x:c>
      <x:c r="C276" s="2" t="str">
        <x:v>POLCTARTO</x:v>
      </x:c>
      <x:c r="D276" s="2" t="n">
        <x:v>1537.5</x:v>
      </x:c>
      <x:c r="E276" s="2" t="n">
        <x:v>50</x:v>
      </x:c>
      <x:c r="F276" s="2" t="n">
        <x:v>0</x:v>
      </x:c>
      <x:c r="G276" s="2" t="n">
        <x:v>0</x:v>
      </x:c>
      <x:c r="H276" s="2" t="n">
        <x:v>0</x:v>
      </x:c>
      <x:c r="I276" s="2" t="n">
        <x:v>-1</x:v>
      </x:c>
      <x:c r="J276" s="2" t="n">
        <x:v>5</x:v>
      </x:c>
      <x:c r="K276" s="2" t="n">
        <x:v>8</x:v>
      </x:c>
      <x:c r="L276" s="2" t="n">
        <x:v>702</x:v>
      </x:c>
      <x:c r="M276" s="2" t="n">
        <x:v>50</x:v>
      </x:c>
      <x:c r="N276" s="2" t="n">
        <x:v>2087.5</x:v>
      </x:c>
      <x:c r="O276" s="2" t="str">
        <x:v>Ø5 csapos, lapos felfekvésű polctartó; 8mm beülés, tervezési specifikáció</x:v>
      </x:c>
    </x:row>
    <x:row r="277" ht="34" customHeight="1">
      <x:c r="A277" s="2" t="str">
        <x:v>H0272</x:v>
      </x:c>
      <x:c r="B277" s="2" t="str">
        <x:v>KI12-TV01S-02</x:v>
      </x:c>
      <x:c r="C277" s="2" t="str">
        <x:v>POLCTARTO</x:v>
      </x:c>
      <x:c r="D277" s="2" t="n">
        <x:v>1537.5</x:v>
      </x:c>
      <x:c r="E277" s="2" t="n">
        <x:v>280</x:v>
      </x:c>
      <x:c r="F277" s="2" t="n">
        <x:v>0</x:v>
      </x:c>
      <x:c r="G277" s="2" t="n">
        <x:v>0</x:v>
      </x:c>
      <x:c r="H277" s="2" t="n">
        <x:v>0</x:v>
      </x:c>
      <x:c r="I277" s="2" t="n">
        <x:v>-1</x:v>
      </x:c>
      <x:c r="J277" s="2" t="n">
        <x:v>5</x:v>
      </x:c>
      <x:c r="K277" s="2" t="n">
        <x:v>8</x:v>
      </x:c>
      <x:c r="L277" s="2" t="n">
        <x:v>702</x:v>
      </x:c>
      <x:c r="M277" s="2" t="n">
        <x:v>280</x:v>
      </x:c>
      <x:c r="N277" s="2" t="n">
        <x:v>2087.5</x:v>
      </x:c>
      <x:c r="O277" s="2" t="str">
        <x:v>Ø5 csapos, lapos felfekvésű polctartó; 8mm beülés, tervezési specifikáció</x:v>
      </x:c>
    </x:row>
    <x:row r="278" ht="34" customHeight="1">
      <x:c r="A278" s="2" t="str">
        <x:v>H0273</x:v>
      </x:c>
      <x:c r="B278" s="2" t="str">
        <x:v>KI12-TV01C-01</x:v>
      </x:c>
      <x:c r="C278" s="2" t="str">
        <x:v>POLCTARTO</x:v>
      </x:c>
      <x:c r="D278" s="2" t="n">
        <x:v>1904.5</x:v>
      </x:c>
      <x:c r="E278" s="2" t="n">
        <x:v>50</x:v>
      </x:c>
      <x:c r="F278" s="2" t="n">
        <x:v>-18</x:v>
      </x:c>
      <x:c r="G278" s="2" t="n">
        <x:v>0</x:v>
      </x:c>
      <x:c r="H278" s="2" t="n">
        <x:v>0</x:v>
      </x:c>
      <x:c r="I278" s="2" t="n">
        <x:v>1</x:v>
      </x:c>
      <x:c r="J278" s="2" t="n">
        <x:v>5</x:v>
      </x:c>
      <x:c r="K278" s="2" t="n">
        <x:v>8</x:v>
      </x:c>
      <x:c r="L278" s="2" t="n">
        <x:v>369</x:v>
      </x:c>
      <x:c r="M278" s="2" t="n">
        <x:v>50</x:v>
      </x:c>
      <x:c r="N278" s="2" t="n">
        <x:v>2472.5</x:v>
      </x:c>
      <x:c r="O278" s="2" t="str">
        <x:v>Ø5 csapos, lapos felfekvésű polctartó; 8mm beülés, tervezési specifikáció</x:v>
      </x:c>
    </x:row>
    <x:row r="279" ht="34" customHeight="1">
      <x:c r="A279" s="2" t="str">
        <x:v>H0274</x:v>
      </x:c>
      <x:c r="B279" s="2" t="str">
        <x:v>KI12-TV01C-01</x:v>
      </x:c>
      <x:c r="C279" s="2" t="str">
        <x:v>POLCTARTO</x:v>
      </x:c>
      <x:c r="D279" s="2" t="n">
        <x:v>1904.5</x:v>
      </x:c>
      <x:c r="E279" s="2" t="n">
        <x:v>280</x:v>
      </x:c>
      <x:c r="F279" s="2" t="n">
        <x:v>-18</x:v>
      </x:c>
      <x:c r="G279" s="2" t="n">
        <x:v>0</x:v>
      </x:c>
      <x:c r="H279" s="2" t="n">
        <x:v>0</x:v>
      </x:c>
      <x:c r="I279" s="2" t="n">
        <x:v>1</x:v>
      </x:c>
      <x:c r="J279" s="2" t="n">
        <x:v>5</x:v>
      </x:c>
      <x:c r="K279" s="2" t="n">
        <x:v>8</x:v>
      </x:c>
      <x:c r="L279" s="2" t="n">
        <x:v>369</x:v>
      </x:c>
      <x:c r="M279" s="2" t="n">
        <x:v>280</x:v>
      </x:c>
      <x:c r="N279" s="2" t="n">
        <x:v>2472.5</x:v>
      </x:c>
      <x:c r="O279" s="2" t="str">
        <x:v>Ø5 csapos, lapos felfekvésű polctartó; 8mm beülés, tervezési specifikáció</x:v>
      </x:c>
    </x:row>
    <x:row r="280" ht="34" customHeight="1">
      <x:c r="A280" s="2" t="str">
        <x:v>H0275</x:v>
      </x:c>
      <x:c r="B280" s="2" t="str">
        <x:v>KI12-TV01S-02</x:v>
      </x:c>
      <x:c r="C280" s="2" t="str">
        <x:v>POLCTARTO</x:v>
      </x:c>
      <x:c r="D280" s="2" t="n">
        <x:v>1922.5</x:v>
      </x:c>
      <x:c r="E280" s="2" t="n">
        <x:v>50</x:v>
      </x:c>
      <x:c r="F280" s="2" t="n">
        <x:v>0</x:v>
      </x:c>
      <x:c r="G280" s="2" t="n">
        <x:v>0</x:v>
      </x:c>
      <x:c r="H280" s="2" t="n">
        <x:v>0</x:v>
      </x:c>
      <x:c r="I280" s="2" t="n">
        <x:v>-1</x:v>
      </x:c>
      <x:c r="J280" s="2" t="n">
        <x:v>5</x:v>
      </x:c>
      <x:c r="K280" s="2" t="n">
        <x:v>8</x:v>
      </x:c>
      <x:c r="L280" s="2" t="n">
        <x:v>702</x:v>
      </x:c>
      <x:c r="M280" s="2" t="n">
        <x:v>50</x:v>
      </x:c>
      <x:c r="N280" s="2" t="n">
        <x:v>2472.5</x:v>
      </x:c>
      <x:c r="O280" s="2" t="str">
        <x:v>Ø5 csapos, lapos felfekvésű polctartó; 8mm beülés, tervezési specifikáció</x:v>
      </x:c>
    </x:row>
    <x:row r="281" ht="34" customHeight="1">
      <x:c r="A281" s="2" t="str">
        <x:v>H0276</x:v>
      </x:c>
      <x:c r="B281" s="2" t="str">
        <x:v>KI12-TV01S-02</x:v>
      </x:c>
      <x:c r="C281" s="2" t="str">
        <x:v>POLCTARTO</x:v>
      </x:c>
      <x:c r="D281" s="2" t="n">
        <x:v>1922.5</x:v>
      </x:c>
      <x:c r="E281" s="2" t="n">
        <x:v>280</x:v>
      </x:c>
      <x:c r="F281" s="2" t="n">
        <x:v>0</x:v>
      </x:c>
      <x:c r="G281" s="2" t="n">
        <x:v>0</x:v>
      </x:c>
      <x:c r="H281" s="2" t="n">
        <x:v>0</x:v>
      </x:c>
      <x:c r="I281" s="2" t="n">
        <x:v>-1</x:v>
      </x:c>
      <x:c r="J281" s="2" t="n">
        <x:v>5</x:v>
      </x:c>
      <x:c r="K281" s="2" t="n">
        <x:v>8</x:v>
      </x:c>
      <x:c r="L281" s="2" t="n">
        <x:v>702</x:v>
      </x:c>
      <x:c r="M281" s="2" t="n">
        <x:v>280</x:v>
      </x:c>
      <x:c r="N281" s="2" t="n">
        <x:v>2472.5</x:v>
      </x:c>
      <x:c r="O281" s="2" t="str">
        <x:v>Ø5 csapos, lapos felfekvésű polctartó; 8mm beülés, tervezési specifikáció</x:v>
      </x:c>
    </x:row>
    <x:row r="282" ht="34" customHeight="1">
      <x:c r="A282" s="2" t="str">
        <x:v>H0277</x:v>
      </x:c>
      <x:c r="B282" s="2" t="str">
        <x:v>KI12-TV02S-01</x:v>
      </x:c>
      <x:c r="C282" s="2" t="str">
        <x:v>POLCTARTO</x:v>
      </x:c>
      <x:c r="D282" s="2" t="n">
        <x:v>188.5</x:v>
      </x:c>
      <x:c r="E282" s="2" t="n">
        <x:v>50</x:v>
      </x:c>
      <x:c r="F282" s="2" t="n">
        <x:v>-18</x:v>
      </x:c>
      <x:c r="G282" s="2" t="n">
        <x:v>0</x:v>
      </x:c>
      <x:c r="H282" s="2" t="n">
        <x:v>0</x:v>
      </x:c>
      <x:c r="I282" s="2" t="n">
        <x:v>1</x:v>
      </x:c>
      <x:c r="J282" s="2" t="n">
        <x:v>5</x:v>
      </x:c>
      <x:c r="K282" s="2" t="n">
        <x:v>8</x:v>
      </x:c>
      <x:c r="L282" s="2" t="n">
        <x:v>18</x:v>
      </x:c>
      <x:c r="M282" s="2" t="n">
        <x:v>50</x:v>
      </x:c>
      <x:c r="N282" s="2" t="n">
        <x:v>338.5</x:v>
      </x:c>
      <x:c r="O282" s="2" t="str">
        <x:v>Ø5 csapos, lapos felfekvésű polctartó; 8mm beülés, tervezési specifikáció</x:v>
      </x:c>
    </x:row>
    <x:row r="283" ht="34" customHeight="1">
      <x:c r="A283" s="2" t="str">
        <x:v>H0278</x:v>
      </x:c>
      <x:c r="B283" s="2" t="str">
        <x:v>KI12-TV02S-01</x:v>
      </x:c>
      <x:c r="C283" s="2" t="str">
        <x:v>POLCTARTO</x:v>
      </x:c>
      <x:c r="D283" s="2" t="n">
        <x:v>188.5</x:v>
      </x:c>
      <x:c r="E283" s="2" t="n">
        <x:v>280</x:v>
      </x:c>
      <x:c r="F283" s="2" t="n">
        <x:v>-18</x:v>
      </x:c>
      <x:c r="G283" s="2" t="n">
        <x:v>0</x:v>
      </x:c>
      <x:c r="H283" s="2" t="n">
        <x:v>0</x:v>
      </x:c>
      <x:c r="I283" s="2" t="n">
        <x:v>1</x:v>
      </x:c>
      <x:c r="J283" s="2" t="n">
        <x:v>5</x:v>
      </x:c>
      <x:c r="K283" s="2" t="n">
        <x:v>8</x:v>
      </x:c>
      <x:c r="L283" s="2" t="n">
        <x:v>18</x:v>
      </x:c>
      <x:c r="M283" s="2" t="n">
        <x:v>280</x:v>
      </x:c>
      <x:c r="N283" s="2" t="n">
        <x:v>338.5</x:v>
      </x:c>
      <x:c r="O283" s="2" t="str">
        <x:v>Ø5 csapos, lapos felfekvésű polctartó; 8mm beülés, tervezési specifikáció</x:v>
      </x:c>
    </x:row>
    <x:row r="284" ht="34" customHeight="1">
      <x:c r="A284" s="2" t="str">
        <x:v>H0279</x:v>
      </x:c>
      <x:c r="B284" s="2" t="str">
        <x:v>KI12-TV02S-02</x:v>
      </x:c>
      <x:c r="C284" s="2" t="str">
        <x:v>POLCTARTO</x:v>
      </x:c>
      <x:c r="D284" s="2" t="n">
        <x:v>188.5</x:v>
      </x:c>
      <x:c r="E284" s="2" t="n">
        <x:v>50</x:v>
      </x:c>
      <x:c r="F284" s="2" t="n">
        <x:v>0</x:v>
      </x:c>
      <x:c r="G284" s="2" t="n">
        <x:v>0</x:v>
      </x:c>
      <x:c r="H284" s="2" t="n">
        <x:v>0</x:v>
      </x:c>
      <x:c r="I284" s="2" t="n">
        <x:v>-1</x:v>
      </x:c>
      <x:c r="J284" s="2" t="n">
        <x:v>5</x:v>
      </x:c>
      <x:c r="K284" s="2" t="n">
        <x:v>8</x:v>
      </x:c>
      <x:c r="L284" s="2" t="n">
        <x:v>702</x:v>
      </x:c>
      <x:c r="M284" s="2" t="n">
        <x:v>50</x:v>
      </x:c>
      <x:c r="N284" s="2" t="n">
        <x:v>338.5</x:v>
      </x:c>
      <x:c r="O284" s="2" t="str">
        <x:v>Ø5 csapos, lapos felfekvésű polctartó; 8mm beülés, tervezési specifikáció</x:v>
      </x:c>
    </x:row>
    <x:row r="285" ht="34" customHeight="1">
      <x:c r="A285" s="2" t="str">
        <x:v>H0280</x:v>
      </x:c>
      <x:c r="B285" s="2" t="str">
        <x:v>KI12-TV02S-02</x:v>
      </x:c>
      <x:c r="C285" s="2" t="str">
        <x:v>POLCTARTO</x:v>
      </x:c>
      <x:c r="D285" s="2" t="n">
        <x:v>188.5</x:v>
      </x:c>
      <x:c r="E285" s="2" t="n">
        <x:v>280</x:v>
      </x:c>
      <x:c r="F285" s="2" t="n">
        <x:v>0</x:v>
      </x:c>
      <x:c r="G285" s="2" t="n">
        <x:v>0</x:v>
      </x:c>
      <x:c r="H285" s="2" t="n">
        <x:v>0</x:v>
      </x:c>
      <x:c r="I285" s="2" t="n">
        <x:v>-1</x:v>
      </x:c>
      <x:c r="J285" s="2" t="n">
        <x:v>5</x:v>
      </x:c>
      <x:c r="K285" s="2" t="n">
        <x:v>8</x:v>
      </x:c>
      <x:c r="L285" s="2" t="n">
        <x:v>702</x:v>
      </x:c>
      <x:c r="M285" s="2" t="n">
        <x:v>280</x:v>
      </x:c>
      <x:c r="N285" s="2" t="n">
        <x:v>338.5</x:v>
      </x:c>
      <x:c r="O285" s="2" t="str">
        <x:v>Ø5 csapos, lapos felfekvésű polctartó; 8mm beülés, tervezési specifikáció</x:v>
      </x:c>
    </x:row>
    <x:row r="286" ht="34" customHeight="1">
      <x:c r="A286" s="2" t="str">
        <x:v>H0281</x:v>
      </x:c>
      <x:c r="B286" s="2" t="str">
        <x:v>KI12-TV02S-05</x:v>
      </x:c>
      <x:c r="C286" s="2" t="str">
        <x:v>POLCTARTO</x:v>
      </x:c>
      <x:c r="D286" s="2" t="n">
        <x:v>188.5</x:v>
      </x:c>
      <x:c r="E286" s="2" t="n">
        <x:v>50</x:v>
      </x:c>
      <x:c r="F286" s="2" t="n">
        <x:v>-18</x:v>
      </x:c>
      <x:c r="G286" s="2" t="n">
        <x:v>0</x:v>
      </x:c>
      <x:c r="H286" s="2" t="n">
        <x:v>0</x:v>
      </x:c>
      <x:c r="I286" s="2" t="n">
        <x:v>1</x:v>
      </x:c>
      <x:c r="J286" s="2" t="n">
        <x:v>5</x:v>
      </x:c>
      <x:c r="K286" s="2" t="n">
        <x:v>8</x:v>
      </x:c>
      <x:c r="L286" s="2" t="n">
        <x:v>1548</x:v>
      </x:c>
      <x:c r="M286" s="2" t="n">
        <x:v>50</x:v>
      </x:c>
      <x:c r="N286" s="2" t="n">
        <x:v>338.5</x:v>
      </x:c>
      <x:c r="O286" s="2" t="str">
        <x:v>Ø5 csapos, lapos felfekvésű polctartó; 8mm beülés, tervezési specifikáció</x:v>
      </x:c>
    </x:row>
    <x:row r="287" ht="34" customHeight="1">
      <x:c r="A287" s="2" t="str">
        <x:v>H0282</x:v>
      </x:c>
      <x:c r="B287" s="2" t="str">
        <x:v>KI12-TV02S-05</x:v>
      </x:c>
      <x:c r="C287" s="2" t="str">
        <x:v>POLCTARTO</x:v>
      </x:c>
      <x:c r="D287" s="2" t="n">
        <x:v>188.5</x:v>
      </x:c>
      <x:c r="E287" s="2" t="n">
        <x:v>280</x:v>
      </x:c>
      <x:c r="F287" s="2" t="n">
        <x:v>-18</x:v>
      </x:c>
      <x:c r="G287" s="2" t="n">
        <x:v>0</x:v>
      </x:c>
      <x:c r="H287" s="2" t="n">
        <x:v>0</x:v>
      </x:c>
      <x:c r="I287" s="2" t="n">
        <x:v>1</x:v>
      </x:c>
      <x:c r="J287" s="2" t="n">
        <x:v>5</x:v>
      </x:c>
      <x:c r="K287" s="2" t="n">
        <x:v>8</x:v>
      </x:c>
      <x:c r="L287" s="2" t="n">
        <x:v>1548</x:v>
      </x:c>
      <x:c r="M287" s="2" t="n">
        <x:v>280</x:v>
      </x:c>
      <x:c r="N287" s="2" t="n">
        <x:v>338.5</x:v>
      </x:c>
      <x:c r="O287" s="2" t="str">
        <x:v>Ø5 csapos, lapos felfekvésű polctartó; 8mm beülés, tervezési specifikáció</x:v>
      </x:c>
    </x:row>
    <x:row r="288" ht="34" customHeight="1">
      <x:c r="A288" s="2" t="str">
        <x:v>H0283</x:v>
      </x:c>
      <x:c r="B288" s="2" t="str">
        <x:v>KI12-TV02S-06</x:v>
      </x:c>
      <x:c r="C288" s="2" t="str">
        <x:v>POLCTARTO</x:v>
      </x:c>
      <x:c r="D288" s="2" t="n">
        <x:v>188.5</x:v>
      </x:c>
      <x:c r="E288" s="2" t="n">
        <x:v>50</x:v>
      </x:c>
      <x:c r="F288" s="2" t="n">
        <x:v>0</x:v>
      </x:c>
      <x:c r="G288" s="2" t="n">
        <x:v>0</x:v>
      </x:c>
      <x:c r="H288" s="2" t="n">
        <x:v>0</x:v>
      </x:c>
      <x:c r="I288" s="2" t="n">
        <x:v>-1</x:v>
      </x:c>
      <x:c r="J288" s="2" t="n">
        <x:v>5</x:v>
      </x:c>
      <x:c r="K288" s="2" t="n">
        <x:v>8</x:v>
      </x:c>
      <x:c r="L288" s="2" t="n">
        <x:v>2202</x:v>
      </x:c>
      <x:c r="M288" s="2" t="n">
        <x:v>50</x:v>
      </x:c>
      <x:c r="N288" s="2" t="n">
        <x:v>338.5</x:v>
      </x:c>
      <x:c r="O288" s="2" t="str">
        <x:v>Ø5 csapos, lapos felfekvésű polctartó; 8mm beülés, tervezési specifikáció</x:v>
      </x:c>
    </x:row>
    <x:row r="289" ht="34" customHeight="1">
      <x:c r="A289" s="2" t="str">
        <x:v>H0284</x:v>
      </x:c>
      <x:c r="B289" s="2" t="str">
        <x:v>KI12-TV02S-06</x:v>
      </x:c>
      <x:c r="C289" s="2" t="str">
        <x:v>POLCTARTO</x:v>
      </x:c>
      <x:c r="D289" s="2" t="n">
        <x:v>188.5</x:v>
      </x:c>
      <x:c r="E289" s="2" t="n">
        <x:v>280</x:v>
      </x:c>
      <x:c r="F289" s="2" t="n">
        <x:v>0</x:v>
      </x:c>
      <x:c r="G289" s="2" t="n">
        <x:v>0</x:v>
      </x:c>
      <x:c r="H289" s="2" t="n">
        <x:v>0</x:v>
      </x:c>
      <x:c r="I289" s="2" t="n">
        <x:v>-1</x:v>
      </x:c>
      <x:c r="J289" s="2" t="n">
        <x:v>5</x:v>
      </x:c>
      <x:c r="K289" s="2" t="n">
        <x:v>8</x:v>
      </x:c>
      <x:c r="L289" s="2" t="n">
        <x:v>2202</x:v>
      </x:c>
      <x:c r="M289" s="2" t="n">
        <x:v>280</x:v>
      </x:c>
      <x:c r="N289" s="2" t="n">
        <x:v>338.5</x:v>
      </x:c>
      <x:c r="O289" s="2" t="str">
        <x:v>Ø5 csapos, lapos felfekvésű polctartó; 8mm beülés, tervezési specifikáció</x:v>
      </x:c>
    </x:row>
    <x:row r="290" ht="34" customHeight="1">
      <x:c r="A290" s="2" t="str">
        <x:v>H0285</x:v>
      </x:c>
      <x:c r="B290" s="2" t="str">
        <x:v>KI12-TV02S-07</x:v>
      </x:c>
      <x:c r="C290" s="2" t="str">
        <x:v>POLCTARTO</x:v>
      </x:c>
      <x:c r="D290" s="2" t="n">
        <x:v>188.5</x:v>
      </x:c>
      <x:c r="E290" s="2" t="n">
        <x:v>50</x:v>
      </x:c>
      <x:c r="F290" s="2" t="n">
        <x:v>-18</x:v>
      </x:c>
      <x:c r="G290" s="2" t="n">
        <x:v>0</x:v>
      </x:c>
      <x:c r="H290" s="2" t="n">
        <x:v>0</x:v>
      </x:c>
      <x:c r="I290" s="2" t="n">
        <x:v>1</x:v>
      </x:c>
      <x:c r="J290" s="2" t="n">
        <x:v>5</x:v>
      </x:c>
      <x:c r="K290" s="2" t="n">
        <x:v>8</x:v>
      </x:c>
      <x:c r="L290" s="2" t="n">
        <x:v>2238</x:v>
      </x:c>
      <x:c r="M290" s="2" t="n">
        <x:v>50</x:v>
      </x:c>
      <x:c r="N290" s="2" t="n">
        <x:v>338.5</x:v>
      </x:c>
      <x:c r="O290" s="2" t="str">
        <x:v>Ø5 csapos, lapos felfekvésű polctartó; 8mm beülés, tervezési specifikáció</x:v>
      </x:c>
    </x:row>
    <x:row r="291" ht="34" customHeight="1">
      <x:c r="A291" s="2" t="str">
        <x:v>H0286</x:v>
      </x:c>
      <x:c r="B291" s="2" t="str">
        <x:v>KI12-TV02S-07</x:v>
      </x:c>
      <x:c r="C291" s="2" t="str">
        <x:v>POLCTARTO</x:v>
      </x:c>
      <x:c r="D291" s="2" t="n">
        <x:v>188.5</x:v>
      </x:c>
      <x:c r="E291" s="2" t="n">
        <x:v>280</x:v>
      </x:c>
      <x:c r="F291" s="2" t="n">
        <x:v>-18</x:v>
      </x:c>
      <x:c r="G291" s="2" t="n">
        <x:v>0</x:v>
      </x:c>
      <x:c r="H291" s="2" t="n">
        <x:v>0</x:v>
      </x:c>
      <x:c r="I291" s="2" t="n">
        <x:v>1</x:v>
      </x:c>
      <x:c r="J291" s="2" t="n">
        <x:v>5</x:v>
      </x:c>
      <x:c r="K291" s="2" t="n">
        <x:v>8</x:v>
      </x:c>
      <x:c r="L291" s="2" t="n">
        <x:v>2238</x:v>
      </x:c>
      <x:c r="M291" s="2" t="n">
        <x:v>280</x:v>
      </x:c>
      <x:c r="N291" s="2" t="n">
        <x:v>338.5</x:v>
      </x:c>
      <x:c r="O291" s="2" t="str">
        <x:v>Ø5 csapos, lapos felfekvésű polctartó; 8mm beülés, tervezési specifikáció</x:v>
      </x:c>
    </x:row>
    <x:row r="292" ht="34" customHeight="1">
      <x:c r="A292" s="2" t="str">
        <x:v>H0287</x:v>
      </x:c>
      <x:c r="B292" s="2" t="str">
        <x:v>KI12-TV02S-08</x:v>
      </x:c>
      <x:c r="C292" s="2" t="str">
        <x:v>POLCTARTO</x:v>
      </x:c>
      <x:c r="D292" s="2" t="n">
        <x:v>188.5</x:v>
      </x:c>
      <x:c r="E292" s="2" t="n">
        <x:v>50</x:v>
      </x:c>
      <x:c r="F292" s="2" t="n">
        <x:v>0</x:v>
      </x:c>
      <x:c r="G292" s="2" t="n">
        <x:v>0</x:v>
      </x:c>
      <x:c r="H292" s="2" t="n">
        <x:v>0</x:v>
      </x:c>
      <x:c r="I292" s="2" t="n">
        <x:v>-1</x:v>
      </x:c>
      <x:c r="J292" s="2" t="n">
        <x:v>5</x:v>
      </x:c>
      <x:c r="K292" s="2" t="n">
        <x:v>8</x:v>
      </x:c>
      <x:c r="L292" s="2" t="n">
        <x:v>2892</x:v>
      </x:c>
      <x:c r="M292" s="2" t="n">
        <x:v>50</x:v>
      </x:c>
      <x:c r="N292" s="2" t="n">
        <x:v>338.5</x:v>
      </x:c>
      <x:c r="O292" s="2" t="str">
        <x:v>Ø5 csapos, lapos felfekvésű polctartó; 8mm beülés, tervezési specifikáció</x:v>
      </x:c>
    </x:row>
    <x:row r="293" ht="34" customHeight="1">
      <x:c r="A293" s="2" t="str">
        <x:v>H0288</x:v>
      </x:c>
      <x:c r="B293" s="2" t="str">
        <x:v>KI12-TV02S-08</x:v>
      </x:c>
      <x:c r="C293" s="2" t="str">
        <x:v>POLCTARTO</x:v>
      </x:c>
      <x:c r="D293" s="2" t="n">
        <x:v>188.5</x:v>
      </x:c>
      <x:c r="E293" s="2" t="n">
        <x:v>280</x:v>
      </x:c>
      <x:c r="F293" s="2" t="n">
        <x:v>0</x:v>
      </x:c>
      <x:c r="G293" s="2" t="n">
        <x:v>0</x:v>
      </x:c>
      <x:c r="H293" s="2" t="n">
        <x:v>0</x:v>
      </x:c>
      <x:c r="I293" s="2" t="n">
        <x:v>-1</x:v>
      </x:c>
      <x:c r="J293" s="2" t="n">
        <x:v>5</x:v>
      </x:c>
      <x:c r="K293" s="2" t="n">
        <x:v>8</x:v>
      </x:c>
      <x:c r="L293" s="2" t="n">
        <x:v>2892</x:v>
      </x:c>
      <x:c r="M293" s="2" t="n">
        <x:v>280</x:v>
      </x:c>
      <x:c r="N293" s="2" t="n">
        <x:v>338.5</x:v>
      </x:c>
      <x:c r="O293" s="2" t="str">
        <x:v>Ø5 csapos, lapos felfekvésű polctartó; 8mm beülés, tervezési specifikáció</x:v>
      </x:c>
    </x:row>
    <x:row r="294" ht="34" customHeight="1">
      <x:c r="A294" s="2" t="str">
        <x:v>H0289</x:v>
      </x:c>
      <x:c r="B294" s="2" t="str">
        <x:v>KI12-TV02S-09</x:v>
      </x:c>
      <x:c r="C294" s="2" t="str">
        <x:v>POLCTARTO</x:v>
      </x:c>
      <x:c r="D294" s="2" t="n">
        <x:v>188.5</x:v>
      </x:c>
      <x:c r="E294" s="2" t="n">
        <x:v>50</x:v>
      </x:c>
      <x:c r="F294" s="2" t="n">
        <x:v>-18</x:v>
      </x:c>
      <x:c r="G294" s="2" t="n">
        <x:v>0</x:v>
      </x:c>
      <x:c r="H294" s="2" t="n">
        <x:v>0</x:v>
      </x:c>
      <x:c r="I294" s="2" t="n">
        <x:v>1</x:v>
      </x:c>
      <x:c r="J294" s="2" t="n">
        <x:v>5</x:v>
      </x:c>
      <x:c r="K294" s="2" t="n">
        <x:v>8</x:v>
      </x:c>
      <x:c r="L294" s="2" t="n">
        <x:v>2928</x:v>
      </x:c>
      <x:c r="M294" s="2" t="n">
        <x:v>50</x:v>
      </x:c>
      <x:c r="N294" s="2" t="n">
        <x:v>338.5</x:v>
      </x:c>
      <x:c r="O294" s="2" t="str">
        <x:v>Ø5 csapos, lapos felfekvésű polctartó; 8mm beülés, tervezési specifikáció</x:v>
      </x:c>
    </x:row>
    <x:row r="295" ht="34" customHeight="1">
      <x:c r="A295" s="2" t="str">
        <x:v>H0290</x:v>
      </x:c>
      <x:c r="B295" s="2" t="str">
        <x:v>KI12-TV02S-09</x:v>
      </x:c>
      <x:c r="C295" s="2" t="str">
        <x:v>POLCTARTO</x:v>
      </x:c>
      <x:c r="D295" s="2" t="n">
        <x:v>188.5</x:v>
      </x:c>
      <x:c r="E295" s="2" t="n">
        <x:v>280</x:v>
      </x:c>
      <x:c r="F295" s="2" t="n">
        <x:v>-18</x:v>
      </x:c>
      <x:c r="G295" s="2" t="n">
        <x:v>0</x:v>
      </x:c>
      <x:c r="H295" s="2" t="n">
        <x:v>0</x:v>
      </x:c>
      <x:c r="I295" s="2" t="n">
        <x:v>1</x:v>
      </x:c>
      <x:c r="J295" s="2" t="n">
        <x:v>5</x:v>
      </x:c>
      <x:c r="K295" s="2" t="n">
        <x:v>8</x:v>
      </x:c>
      <x:c r="L295" s="2" t="n">
        <x:v>2928</x:v>
      </x:c>
      <x:c r="M295" s="2" t="n">
        <x:v>280</x:v>
      </x:c>
      <x:c r="N295" s="2" t="n">
        <x:v>338.5</x:v>
      </x:c>
      <x:c r="O295" s="2" t="str">
        <x:v>Ø5 csapos, lapos felfekvésű polctartó; 8mm beülés, tervezési specifikáció</x:v>
      </x:c>
    </x:row>
    <x:row r="296" ht="34" customHeight="1">
      <x:c r="A296" s="2" t="str">
        <x:v>H0291</x:v>
      </x:c>
      <x:c r="B296" s="2" t="str">
        <x:v>KI12-TV02S-10</x:v>
      </x:c>
      <x:c r="C296" s="2" t="str">
        <x:v>POLCTARTO</x:v>
      </x:c>
      <x:c r="D296" s="2" t="n">
        <x:v>188.5</x:v>
      </x:c>
      <x:c r="E296" s="2" t="n">
        <x:v>50</x:v>
      </x:c>
      <x:c r="F296" s="2" t="n">
        <x:v>0</x:v>
      </x:c>
      <x:c r="G296" s="2" t="n">
        <x:v>0</x:v>
      </x:c>
      <x:c r="H296" s="2" t="n">
        <x:v>0</x:v>
      </x:c>
      <x:c r="I296" s="2" t="n">
        <x:v>-1</x:v>
      </x:c>
      <x:c r="J296" s="2" t="n">
        <x:v>5</x:v>
      </x:c>
      <x:c r="K296" s="2" t="n">
        <x:v>8</x:v>
      </x:c>
      <x:c r="L296" s="2" t="n">
        <x:v>3582</x:v>
      </x:c>
      <x:c r="M296" s="2" t="n">
        <x:v>50</x:v>
      </x:c>
      <x:c r="N296" s="2" t="n">
        <x:v>338.5</x:v>
      </x:c>
      <x:c r="O296" s="2" t="str">
        <x:v>Ø5 csapos, lapos felfekvésű polctartó; 8mm beülés, tervezési specifikáció</x:v>
      </x:c>
    </x:row>
    <x:row r="297" ht="34" customHeight="1">
      <x:c r="A297" s="2" t="str">
        <x:v>H0292</x:v>
      </x:c>
      <x:c r="B297" s="2" t="str">
        <x:v>KI12-TV02S-10</x:v>
      </x:c>
      <x:c r="C297" s="2" t="str">
        <x:v>POLCTARTO</x:v>
      </x:c>
      <x:c r="D297" s="2" t="n">
        <x:v>188.5</x:v>
      </x:c>
      <x:c r="E297" s="2" t="n">
        <x:v>280</x:v>
      </x:c>
      <x:c r="F297" s="2" t="n">
        <x:v>0</x:v>
      </x:c>
      <x:c r="G297" s="2" t="n">
        <x:v>0</x:v>
      </x:c>
      <x:c r="H297" s="2" t="n">
        <x:v>0</x:v>
      </x:c>
      <x:c r="I297" s="2" t="n">
        <x:v>-1</x:v>
      </x:c>
      <x:c r="J297" s="2" t="n">
        <x:v>5</x:v>
      </x:c>
      <x:c r="K297" s="2" t="n">
        <x:v>8</x:v>
      </x:c>
      <x:c r="L297" s="2" t="n">
        <x:v>3582</x:v>
      </x:c>
      <x:c r="M297" s="2" t="n">
        <x:v>280</x:v>
      </x:c>
      <x:c r="N297" s="2" t="n">
        <x:v>338.5</x:v>
      </x:c>
      <x:c r="O297" s="2" t="str">
        <x:v>Ø5 csapos, lapos felfekvésű polctartó; 8mm beülés, tervezési specifikáció</x:v>
      </x:c>
    </x:row>
    <x:row r="298" ht="34" customHeight="1">
      <x:c r="A298" s="2" t="str">
        <x:v>H0293</x:v>
      </x:c>
      <x:c r="B298" s="2" t="str">
        <x:v>KI12-TV02H2-01</x:v>
      </x:c>
      <x:c r="C298" s="2" t="str">
        <x:v>AV_KABEL</x:v>
      </x:c>
      <x:c r="D298" s="2" t="n">
        <x:v>326</x:v>
      </x:c>
      <x:c r="E298" s="2" t="n">
        <x:v>131</x:v>
      </x:c>
      <x:c r="F298" s="2" t="n">
        <x:v>0</x:v>
      </x:c>
      <x:c r="G298" s="2" t="n">
        <x:v>0</x:v>
      </x:c>
      <x:c r="H298" s="2" t="n">
        <x:v>0</x:v>
      </x:c>
      <x:c r="I298" s="2" t="n">
        <x:v>-1</x:v>
      </x:c>
      <x:c r="J298" s="2" t="n">
        <x:v>60</x:v>
      </x:c>
      <x:c r="K298" s="2" t="n">
        <x:v>8</x:v>
      </x:c>
      <x:c r="L298" s="2" t="n">
        <x:v>1185</x:v>
      </x:c>
      <x:c r="M298" s="2" t="n">
        <x:v>362</x:v>
      </x:c>
      <x:c r="N298" s="2" t="n">
        <x:v>300</x:v>
      </x:c>
      <x:c r="O298" s="2" t="str">
        <x:v>Tervezési Ø60 átvezetés; cserélhető kefe, villamos kábelek elkülönítése</x:v>
      </x:c>
    </x:row>
    <x:row r="299" ht="34" customHeight="1">
      <x:c r="A299" s="2" t="str">
        <x:v>H0294</x:v>
      </x:c>
      <x:c r="B299" s="2" t="str">
        <x:v>KI14-BAT-01</x:v>
      </x:c>
      <x:c r="C299" s="2" t="str">
        <x:v>LEC_OLDAL / R14-J001</x:v>
      </x:c>
      <x:c r="D299" s="2" t="n">
        <x:v>72</x:v>
      </x:c>
      <x:c r="E299" s="2" t="n">
        <x:v>9</x:v>
      </x:c>
      <x:c r="F299" s="2" t="n">
        <x:v>-18</x:v>
      </x:c>
      <x:c r="G299" s="2" t="n">
        <x:v>0</x:v>
      </x:c>
      <x:c r="H299" s="2" t="n">
        <x:v>0</x:v>
      </x:c>
      <x:c r="I299" s="2" t="n">
        <x:v>1</x:v>
      </x:c>
      <x:c r="J299" s="2" t="n">
        <x:v>4</x:v>
      </x:c>
      <x:c r="K299" s="2" t="n">
        <x:v>18</x:v>
      </x:c>
      <x:c r="L299" s="2" t="n">
        <x:v>36</x:v>
      </x:c>
      <x:c r="M299" s="2" t="n">
        <x:v>345</x:v>
      </x:c>
      <x:c r="N299" s="2" t="n">
        <x:v>660</x:v>
      </x:c>
      <x:c r="O299" s="2" t="str">
        <x:v>R14 tervezői kiosztás; tényleges laphoz és csavarhoz próbafúrás</x:v>
      </x:c>
    </x:row>
    <x:row r="300" ht="34" customHeight="1">
      <x:c r="A300" s="2" t="str">
        <x:v>H0295</x:v>
      </x:c>
      <x:c r="B300" s="2" t="str">
        <x:v>KI12-TV01S-01</x:v>
      </x:c>
      <x:c r="C300" s="2" t="str">
        <x:v>LEC_OLDAL / R14-J001</x:v>
      </x:c>
      <x:c r="D300" s="2" t="n">
        <x:v>110</x:v>
      </x:c>
      <x:c r="E300" s="2" t="n">
        <x:v>345</x:v>
      </x:c>
      <x:c r="F300" s="2" t="n">
        <x:v>-18</x:v>
      </x:c>
      <x:c r="G300" s="2" t="n">
        <x:v>0</x:v>
      </x:c>
      <x:c r="H300" s="2" t="n">
        <x:v>0</x:v>
      </x:c>
      <x:c r="I300" s="2" t="n">
        <x:v>1</x:v>
      </x:c>
      <x:c r="J300" s="2" t="n">
        <x:v>2.5</x:v>
      </x:c>
      <x:c r="K300" s="2" t="n">
        <x:v>12</x:v>
      </x:c>
      <x:c r="L300" s="2" t="n">
        <x:v>18</x:v>
      </x:c>
      <x:c r="M300" s="2" t="n">
        <x:v>345</x:v>
      </x:c>
      <x:c r="N300" s="2" t="n">
        <x:v>660</x:v>
      </x:c>
      <x:c r="O300" s="2" t="str">
        <x:v>R14 tervezői kiosztás; tényleges laphoz és csavarhoz próbafúrás</x:v>
      </x:c>
    </x:row>
    <x:row r="301" ht="34" customHeight="1">
      <x:c r="A301" s="2" t="str">
        <x:v>H0296</x:v>
      </x:c>
      <x:c r="B301" s="2" t="str">
        <x:v>KI12-TV01H-01</x:v>
      </x:c>
      <x:c r="C301" s="2" t="str">
        <x:v>HATLAP_LEC / R14-J002</x:v>
      </x:c>
      <x:c r="D301" s="2" t="n">
        <x:v>106</x:v>
      </x:c>
      <x:c r="E301" s="2" t="n">
        <x:v>8</x:v>
      </x:c>
      <x:c r="F301" s="2" t="n">
        <x:v>0</x:v>
      </x:c>
      <x:c r="G301" s="2" t="n">
        <x:v>0</x:v>
      </x:c>
      <x:c r="H301" s="2" t="n">
        <x:v>0</x:v>
      </x:c>
      <x:c r="I301" s="2" t="n">
        <x:v>-1</x:v>
      </x:c>
      <x:c r="J301" s="2" t="n">
        <x:v>3.5</x:v>
      </x:c>
      <x:c r="K301" s="2" t="n">
        <x:v>8</x:v>
      </x:c>
      <x:c r="L301" s="2" t="n">
        <x:v>27</x:v>
      </x:c>
      <x:c r="M301" s="2" t="n">
        <x:v>362</x:v>
      </x:c>
      <x:c r="N301" s="2" t="n">
        <x:v>675</x:v>
      </x:c>
      <x:c r="O301" s="2" t="str">
        <x:v>R14 tervezői kiosztás; tényleges laphoz és csavarhoz próbafúrás</x:v>
      </x:c>
    </x:row>
    <x:row r="302" ht="34" customHeight="1">
      <x:c r="A302" s="2" t="str">
        <x:v>H0297</x:v>
      </x:c>
      <x:c r="B302" s="2" t="str">
        <x:v>KI14-BAT-01</x:v>
      </x:c>
      <x:c r="C302" s="2" t="str">
        <x:v>HATLAP_LEC / R14-J002</x:v>
      </x:c>
      <x:c r="D302" s="2" t="n">
        <x:v>87</x:v>
      </x:c>
      <x:c r="E302" s="2" t="n">
        <x:v>18</x:v>
      </x:c>
      <x:c r="F302" s="2" t="n">
        <x:v>-9</x:v>
      </x:c>
      <x:c r="G302" s="2" t="n">
        <x:v>0</x:v>
      </x:c>
      <x:c r="H302" s="2" t="n">
        <x:v>-1</x:v>
      </x:c>
      <x:c r="I302" s="2" t="n">
        <x:v>0</x:v>
      </x:c>
      <x:c r="J302" s="2" t="n">
        <x:v>2.5</x:v>
      </x:c>
      <x:c r="K302" s="2" t="n">
        <x:v>12</x:v>
      </x:c>
      <x:c r="L302" s="2" t="n">
        <x:v>27</x:v>
      </x:c>
      <x:c r="M302" s="2" t="n">
        <x:v>354</x:v>
      </x:c>
      <x:c r="N302" s="2" t="n">
        <x:v>675</x:v>
      </x:c>
      <x:c r="O302" s="2" t="str">
        <x:v>R14 tervezői kiosztás; tényleges laphoz és csavarhoz próbafúrás</x:v>
      </x:c>
    </x:row>
    <x:row r="303" ht="34" customHeight="1">
      <x:c r="A303" s="2" t="str">
        <x:v>H0298</x:v>
      </x:c>
      <x:c r="B303" s="2" t="str">
        <x:v>KI14-BAT-01</x:v>
      </x:c>
      <x:c r="C303" s="2" t="str">
        <x:v>LEC_OLDAL / R14-J003</x:v>
      </x:c>
      <x:c r="D303" s="2" t="n">
        <x:v>452</x:v>
      </x:c>
      <x:c r="E303" s="2" t="n">
        <x:v>9</x:v>
      </x:c>
      <x:c r="F303" s="2" t="n">
        <x:v>-18</x:v>
      </x:c>
      <x:c r="G303" s="2" t="n">
        <x:v>0</x:v>
      </x:c>
      <x:c r="H303" s="2" t="n">
        <x:v>0</x:v>
      </x:c>
      <x:c r="I303" s="2" t="n">
        <x:v>1</x:v>
      </x:c>
      <x:c r="J303" s="2" t="n">
        <x:v>4</x:v>
      </x:c>
      <x:c r="K303" s="2" t="n">
        <x:v>18</x:v>
      </x:c>
      <x:c r="L303" s="2" t="n">
        <x:v>36</x:v>
      </x:c>
      <x:c r="M303" s="2" t="n">
        <x:v>345</x:v>
      </x:c>
      <x:c r="N303" s="2" t="n">
        <x:v>1040</x:v>
      </x:c>
      <x:c r="O303" s="2" t="str">
        <x:v>R14 tervezői kiosztás; tényleges laphoz és csavarhoz próbafúrás</x:v>
      </x:c>
    </x:row>
    <x:row r="304" ht="34" customHeight="1">
      <x:c r="A304" s="2" t="str">
        <x:v>H0299</x:v>
      </x:c>
      <x:c r="B304" s="2" t="str">
        <x:v>KI12-TV01S-01</x:v>
      </x:c>
      <x:c r="C304" s="2" t="str">
        <x:v>LEC_OLDAL / R14-J003</x:v>
      </x:c>
      <x:c r="D304" s="2" t="n">
        <x:v>490</x:v>
      </x:c>
      <x:c r="E304" s="2" t="n">
        <x:v>345</x:v>
      </x:c>
      <x:c r="F304" s="2" t="n">
        <x:v>-18</x:v>
      </x:c>
      <x:c r="G304" s="2" t="n">
        <x:v>0</x:v>
      </x:c>
      <x:c r="H304" s="2" t="n">
        <x:v>0</x:v>
      </x:c>
      <x:c r="I304" s="2" t="n">
        <x:v>1</x:v>
      </x:c>
      <x:c r="J304" s="2" t="n">
        <x:v>2.5</x:v>
      </x:c>
      <x:c r="K304" s="2" t="n">
        <x:v>12</x:v>
      </x:c>
      <x:c r="L304" s="2" t="n">
        <x:v>18</x:v>
      </x:c>
      <x:c r="M304" s="2" t="n">
        <x:v>345</x:v>
      </x:c>
      <x:c r="N304" s="2" t="n">
        <x:v>1040</x:v>
      </x:c>
      <x:c r="O304" s="2" t="str">
        <x:v>R14 tervezői kiosztás; tényleges laphoz és csavarhoz próbafúrás</x:v>
      </x:c>
    </x:row>
    <x:row r="305" ht="34" customHeight="1">
      <x:c r="A305" s="2" t="str">
        <x:v>H0300</x:v>
      </x:c>
      <x:c r="B305" s="2" t="str">
        <x:v>KI12-TV01H-01</x:v>
      </x:c>
      <x:c r="C305" s="2" t="str">
        <x:v>HATLAP_LEC / R14-J004</x:v>
      </x:c>
      <x:c r="D305" s="2" t="n">
        <x:v>486</x:v>
      </x:c>
      <x:c r="E305" s="2" t="n">
        <x:v>8</x:v>
      </x:c>
      <x:c r="F305" s="2" t="n">
        <x:v>0</x:v>
      </x:c>
      <x:c r="G305" s="2" t="n">
        <x:v>0</x:v>
      </x:c>
      <x:c r="H305" s="2" t="n">
        <x:v>0</x:v>
      </x:c>
      <x:c r="I305" s="2" t="n">
        <x:v>-1</x:v>
      </x:c>
      <x:c r="J305" s="2" t="n">
        <x:v>3.5</x:v>
      </x:c>
      <x:c r="K305" s="2" t="n">
        <x:v>8</x:v>
      </x:c>
      <x:c r="L305" s="2" t="n">
        <x:v>27</x:v>
      </x:c>
      <x:c r="M305" s="2" t="n">
        <x:v>362</x:v>
      </x:c>
      <x:c r="N305" s="2" t="n">
        <x:v>1055</x:v>
      </x:c>
      <x:c r="O305" s="2" t="str">
        <x:v>R14 tervezői kiosztás; tényleges laphoz és csavarhoz próbafúrás</x:v>
      </x:c>
    </x:row>
    <x:row r="306" ht="34" customHeight="1">
      <x:c r="A306" s="2" t="str">
        <x:v>H0301</x:v>
      </x:c>
      <x:c r="B306" s="2" t="str">
        <x:v>KI14-BAT-01</x:v>
      </x:c>
      <x:c r="C306" s="2" t="str">
        <x:v>HATLAP_LEC / R14-J004</x:v>
      </x:c>
      <x:c r="D306" s="2" t="n">
        <x:v>467</x:v>
      </x:c>
      <x:c r="E306" s="2" t="n">
        <x:v>18</x:v>
      </x:c>
      <x:c r="F306" s="2" t="n">
        <x:v>-9</x:v>
      </x:c>
      <x:c r="G306" s="2" t="n">
        <x:v>0</x:v>
      </x:c>
      <x:c r="H306" s="2" t="n">
        <x:v>-1</x:v>
      </x:c>
      <x:c r="I306" s="2" t="n">
        <x:v>0</x:v>
      </x:c>
      <x:c r="J306" s="2" t="n">
        <x:v>2.5</x:v>
      </x:c>
      <x:c r="K306" s="2" t="n">
        <x:v>12</x:v>
      </x:c>
      <x:c r="L306" s="2" t="n">
        <x:v>27</x:v>
      </x:c>
      <x:c r="M306" s="2" t="n">
        <x:v>354</x:v>
      </x:c>
      <x:c r="N306" s="2" t="n">
        <x:v>1055</x:v>
      </x:c>
      <x:c r="O306" s="2" t="str">
        <x:v>R14 tervezői kiosztás; tényleges laphoz és csavarhoz próbafúrás</x:v>
      </x:c>
    </x:row>
    <x:row r="307" ht="34" customHeight="1">
      <x:c r="A307" s="2" t="str">
        <x:v>H0302</x:v>
      </x:c>
      <x:c r="B307" s="2" t="str">
        <x:v>KI14-BAT-01</x:v>
      </x:c>
      <x:c r="C307" s="2" t="str">
        <x:v>LEC_OLDAL / R14-J005</x:v>
      </x:c>
      <x:c r="D307" s="2" t="n">
        <x:v>832</x:v>
      </x:c>
      <x:c r="E307" s="2" t="n">
        <x:v>9</x:v>
      </x:c>
      <x:c r="F307" s="2" t="n">
        <x:v>-18</x:v>
      </x:c>
      <x:c r="G307" s="2" t="n">
        <x:v>0</x:v>
      </x:c>
      <x:c r="H307" s="2" t="n">
        <x:v>0</x:v>
      </x:c>
      <x:c r="I307" s="2" t="n">
        <x:v>1</x:v>
      </x:c>
      <x:c r="J307" s="2" t="n">
        <x:v>4</x:v>
      </x:c>
      <x:c r="K307" s="2" t="n">
        <x:v>18</x:v>
      </x:c>
      <x:c r="L307" s="2" t="n">
        <x:v>36</x:v>
      </x:c>
      <x:c r="M307" s="2" t="n">
        <x:v>345</x:v>
      </x:c>
      <x:c r="N307" s="2" t="n">
        <x:v>1420</x:v>
      </x:c>
      <x:c r="O307" s="2" t="str">
        <x:v>R14 tervezői kiosztás; tényleges laphoz és csavarhoz próbafúrás</x:v>
      </x:c>
    </x:row>
    <x:row r="308" ht="34" customHeight="1">
      <x:c r="A308" s="2" t="str">
        <x:v>H0303</x:v>
      </x:c>
      <x:c r="B308" s="2" t="str">
        <x:v>KI12-TV01S-01</x:v>
      </x:c>
      <x:c r="C308" s="2" t="str">
        <x:v>LEC_OLDAL / R14-J005</x:v>
      </x:c>
      <x:c r="D308" s="2" t="n">
        <x:v>870</x:v>
      </x:c>
      <x:c r="E308" s="2" t="n">
        <x:v>345</x:v>
      </x:c>
      <x:c r="F308" s="2" t="n">
        <x:v>-18</x:v>
      </x:c>
      <x:c r="G308" s="2" t="n">
        <x:v>0</x:v>
      </x:c>
      <x:c r="H308" s="2" t="n">
        <x:v>0</x:v>
      </x:c>
      <x:c r="I308" s="2" t="n">
        <x:v>1</x:v>
      </x:c>
      <x:c r="J308" s="2" t="n">
        <x:v>2.5</x:v>
      </x:c>
      <x:c r="K308" s="2" t="n">
        <x:v>12</x:v>
      </x:c>
      <x:c r="L308" s="2" t="n">
        <x:v>18</x:v>
      </x:c>
      <x:c r="M308" s="2" t="n">
        <x:v>345</x:v>
      </x:c>
      <x:c r="N308" s="2" t="n">
        <x:v>1420</x:v>
      </x:c>
      <x:c r="O308" s="2" t="str">
        <x:v>R14 tervezői kiosztás; tényleges laphoz és csavarhoz próbafúrás</x:v>
      </x:c>
    </x:row>
    <x:row r="309" ht="34" customHeight="1">
      <x:c r="A309" s="2" t="str">
        <x:v>H0304</x:v>
      </x:c>
      <x:c r="B309" s="2" t="str">
        <x:v>KI12-TV01H-01</x:v>
      </x:c>
      <x:c r="C309" s="2" t="str">
        <x:v>HATLAP_LEC / R14-J006</x:v>
      </x:c>
      <x:c r="D309" s="2" t="n">
        <x:v>866</x:v>
      </x:c>
      <x:c r="E309" s="2" t="n">
        <x:v>8</x:v>
      </x:c>
      <x:c r="F309" s="2" t="n">
        <x:v>0</x:v>
      </x:c>
      <x:c r="G309" s="2" t="n">
        <x:v>0</x:v>
      </x:c>
      <x:c r="H309" s="2" t="n">
        <x:v>0</x:v>
      </x:c>
      <x:c r="I309" s="2" t="n">
        <x:v>-1</x:v>
      </x:c>
      <x:c r="J309" s="2" t="n">
        <x:v>3.5</x:v>
      </x:c>
      <x:c r="K309" s="2" t="n">
        <x:v>8</x:v>
      </x:c>
      <x:c r="L309" s="2" t="n">
        <x:v>27</x:v>
      </x:c>
      <x:c r="M309" s="2" t="n">
        <x:v>362</x:v>
      </x:c>
      <x:c r="N309" s="2" t="n">
        <x:v>1435</x:v>
      </x:c>
      <x:c r="O309" s="2" t="str">
        <x:v>R14 tervezői kiosztás; tényleges laphoz és csavarhoz próbafúrás</x:v>
      </x:c>
    </x:row>
    <x:row r="310" ht="34" customHeight="1">
      <x:c r="A310" s="2" t="str">
        <x:v>H0305</x:v>
      </x:c>
      <x:c r="B310" s="2" t="str">
        <x:v>KI14-BAT-01</x:v>
      </x:c>
      <x:c r="C310" s="2" t="str">
        <x:v>HATLAP_LEC / R14-J006</x:v>
      </x:c>
      <x:c r="D310" s="2" t="n">
        <x:v>847</x:v>
      </x:c>
      <x:c r="E310" s="2" t="n">
        <x:v>18</x:v>
      </x:c>
      <x:c r="F310" s="2" t="n">
        <x:v>-9</x:v>
      </x:c>
      <x:c r="G310" s="2" t="n">
        <x:v>0</x:v>
      </x:c>
      <x:c r="H310" s="2" t="n">
        <x:v>-1</x:v>
      </x:c>
      <x:c r="I310" s="2" t="n">
        <x:v>0</x:v>
      </x:c>
      <x:c r="J310" s="2" t="n">
        <x:v>2.5</x:v>
      </x:c>
      <x:c r="K310" s="2" t="n">
        <x:v>12</x:v>
      </x:c>
      <x:c r="L310" s="2" t="n">
        <x:v>27</x:v>
      </x:c>
      <x:c r="M310" s="2" t="n">
        <x:v>354</x:v>
      </x:c>
      <x:c r="N310" s="2" t="n">
        <x:v>1435</x:v>
      </x:c>
      <x:c r="O310" s="2" t="str">
        <x:v>R14 tervezői kiosztás; tényleges laphoz és csavarhoz próbafúrás</x:v>
      </x:c>
    </x:row>
    <x:row r="311" ht="34" customHeight="1">
      <x:c r="A311" s="2" t="str">
        <x:v>H0306</x:v>
      </x:c>
      <x:c r="B311" s="2" t="str">
        <x:v>KI14-BAT-01</x:v>
      </x:c>
      <x:c r="C311" s="2" t="str">
        <x:v>LEC_OLDAL / R14-J007</x:v>
      </x:c>
      <x:c r="D311" s="2" t="n">
        <x:v>1212</x:v>
      </x:c>
      <x:c r="E311" s="2" t="n">
        <x:v>9</x:v>
      </x:c>
      <x:c r="F311" s="2" t="n">
        <x:v>-18</x:v>
      </x:c>
      <x:c r="G311" s="2" t="n">
        <x:v>0</x:v>
      </x:c>
      <x:c r="H311" s="2" t="n">
        <x:v>0</x:v>
      </x:c>
      <x:c r="I311" s="2" t="n">
        <x:v>1</x:v>
      </x:c>
      <x:c r="J311" s="2" t="n">
        <x:v>4</x:v>
      </x:c>
      <x:c r="K311" s="2" t="n">
        <x:v>18</x:v>
      </x:c>
      <x:c r="L311" s="2" t="n">
        <x:v>36</x:v>
      </x:c>
      <x:c r="M311" s="2" t="n">
        <x:v>345</x:v>
      </x:c>
      <x:c r="N311" s="2" t="n">
        <x:v>1800</x:v>
      </x:c>
      <x:c r="O311" s="2" t="str">
        <x:v>R14 tervezői kiosztás; tényleges laphoz és csavarhoz próbafúrás</x:v>
      </x:c>
    </x:row>
    <x:row r="312" ht="34" customHeight="1">
      <x:c r="A312" s="2" t="str">
        <x:v>H0307</x:v>
      </x:c>
      <x:c r="B312" s="2" t="str">
        <x:v>KI12-TV01S-01</x:v>
      </x:c>
      <x:c r="C312" s="2" t="str">
        <x:v>LEC_OLDAL / R14-J007</x:v>
      </x:c>
      <x:c r="D312" s="2" t="n">
        <x:v>1250</x:v>
      </x:c>
      <x:c r="E312" s="2" t="n">
        <x:v>345</x:v>
      </x:c>
      <x:c r="F312" s="2" t="n">
        <x:v>-18</x:v>
      </x:c>
      <x:c r="G312" s="2" t="n">
        <x:v>0</x:v>
      </x:c>
      <x:c r="H312" s="2" t="n">
        <x:v>0</x:v>
      </x:c>
      <x:c r="I312" s="2" t="n">
        <x:v>1</x:v>
      </x:c>
      <x:c r="J312" s="2" t="n">
        <x:v>2.5</x:v>
      </x:c>
      <x:c r="K312" s="2" t="n">
        <x:v>12</x:v>
      </x:c>
      <x:c r="L312" s="2" t="n">
        <x:v>18</x:v>
      </x:c>
      <x:c r="M312" s="2" t="n">
        <x:v>345</x:v>
      </x:c>
      <x:c r="N312" s="2" t="n">
        <x:v>1800</x:v>
      </x:c>
      <x:c r="O312" s="2" t="str">
        <x:v>R14 tervezői kiosztás; tényleges laphoz és csavarhoz próbafúrás</x:v>
      </x:c>
    </x:row>
    <x:row r="313" ht="34" customHeight="1">
      <x:c r="A313" s="2" t="str">
        <x:v>H0308</x:v>
      </x:c>
      <x:c r="B313" s="2" t="str">
        <x:v>KI12-TV01H-01</x:v>
      </x:c>
      <x:c r="C313" s="2" t="str">
        <x:v>HATLAP_LEC / R14-J008</x:v>
      </x:c>
      <x:c r="D313" s="2" t="n">
        <x:v>1246</x:v>
      </x:c>
      <x:c r="E313" s="2" t="n">
        <x:v>8</x:v>
      </x:c>
      <x:c r="F313" s="2" t="n">
        <x:v>0</x:v>
      </x:c>
      <x:c r="G313" s="2" t="n">
        <x:v>0</x:v>
      </x:c>
      <x:c r="H313" s="2" t="n">
        <x:v>0</x:v>
      </x:c>
      <x:c r="I313" s="2" t="n">
        <x:v>-1</x:v>
      </x:c>
      <x:c r="J313" s="2" t="n">
        <x:v>3.5</x:v>
      </x:c>
      <x:c r="K313" s="2" t="n">
        <x:v>8</x:v>
      </x:c>
      <x:c r="L313" s="2" t="n">
        <x:v>27</x:v>
      </x:c>
      <x:c r="M313" s="2" t="n">
        <x:v>362</x:v>
      </x:c>
      <x:c r="N313" s="2" t="n">
        <x:v>1815</x:v>
      </x:c>
      <x:c r="O313" s="2" t="str">
        <x:v>R14 tervezői kiosztás; tényleges laphoz és csavarhoz próbafúrás</x:v>
      </x:c>
    </x:row>
    <x:row r="314" ht="34" customHeight="1">
      <x:c r="A314" s="2" t="str">
        <x:v>H0309</x:v>
      </x:c>
      <x:c r="B314" s="2" t="str">
        <x:v>KI14-BAT-01</x:v>
      </x:c>
      <x:c r="C314" s="2" t="str">
        <x:v>HATLAP_LEC / R14-J008</x:v>
      </x:c>
      <x:c r="D314" s="2" t="n">
        <x:v>1227</x:v>
      </x:c>
      <x:c r="E314" s="2" t="n">
        <x:v>18</x:v>
      </x:c>
      <x:c r="F314" s="2" t="n">
        <x:v>-9</x:v>
      </x:c>
      <x:c r="G314" s="2" t="n">
        <x:v>0</x:v>
      </x:c>
      <x:c r="H314" s="2" t="n">
        <x:v>-1</x:v>
      </x:c>
      <x:c r="I314" s="2" t="n">
        <x:v>0</x:v>
      </x:c>
      <x:c r="J314" s="2" t="n">
        <x:v>2.5</x:v>
      </x:c>
      <x:c r="K314" s="2" t="n">
        <x:v>12</x:v>
      </x:c>
      <x:c r="L314" s="2" t="n">
        <x:v>27</x:v>
      </x:c>
      <x:c r="M314" s="2" t="n">
        <x:v>354</x:v>
      </x:c>
      <x:c r="N314" s="2" t="n">
        <x:v>1815</x:v>
      </x:c>
      <x:c r="O314" s="2" t="str">
        <x:v>R14 tervezői kiosztás; tényleges laphoz és csavarhoz próbafúrás</x:v>
      </x:c>
    </x:row>
    <x:row r="315" ht="34" customHeight="1">
      <x:c r="A315" s="2" t="str">
        <x:v>H0310</x:v>
      </x:c>
      <x:c r="B315" s="2" t="str">
        <x:v>KI14-BAT-01</x:v>
      </x:c>
      <x:c r="C315" s="2" t="str">
        <x:v>LEC_OLDAL / R14-J009</x:v>
      </x:c>
      <x:c r="D315" s="2" t="n">
        <x:v>1592</x:v>
      </x:c>
      <x:c r="E315" s="2" t="n">
        <x:v>9</x:v>
      </x:c>
      <x:c r="F315" s="2" t="n">
        <x:v>-18</x:v>
      </x:c>
      <x:c r="G315" s="2" t="n">
        <x:v>0</x:v>
      </x:c>
      <x:c r="H315" s="2" t="n">
        <x:v>0</x:v>
      </x:c>
      <x:c r="I315" s="2" t="n">
        <x:v>1</x:v>
      </x:c>
      <x:c r="J315" s="2" t="n">
        <x:v>4</x:v>
      </x:c>
      <x:c r="K315" s="2" t="n">
        <x:v>18</x:v>
      </x:c>
      <x:c r="L315" s="2" t="n">
        <x:v>36</x:v>
      </x:c>
      <x:c r="M315" s="2" t="n">
        <x:v>345</x:v>
      </x:c>
      <x:c r="N315" s="2" t="n">
        <x:v>2180</x:v>
      </x:c>
      <x:c r="O315" s="2" t="str">
        <x:v>R14 tervezői kiosztás; tényleges laphoz és csavarhoz próbafúrás</x:v>
      </x:c>
    </x:row>
    <x:row r="316" ht="34" customHeight="1">
      <x:c r="A316" s="2" t="str">
        <x:v>H0311</x:v>
      </x:c>
      <x:c r="B316" s="2" t="str">
        <x:v>KI12-TV01S-01</x:v>
      </x:c>
      <x:c r="C316" s="2" t="str">
        <x:v>LEC_OLDAL / R14-J009</x:v>
      </x:c>
      <x:c r="D316" s="2" t="n">
        <x:v>1630</x:v>
      </x:c>
      <x:c r="E316" s="2" t="n">
        <x:v>345</x:v>
      </x:c>
      <x:c r="F316" s="2" t="n">
        <x:v>-18</x:v>
      </x:c>
      <x:c r="G316" s="2" t="n">
        <x:v>0</x:v>
      </x:c>
      <x:c r="H316" s="2" t="n">
        <x:v>0</x:v>
      </x:c>
      <x:c r="I316" s="2" t="n">
        <x:v>1</x:v>
      </x:c>
      <x:c r="J316" s="2" t="n">
        <x:v>2.5</x:v>
      </x:c>
      <x:c r="K316" s="2" t="n">
        <x:v>12</x:v>
      </x:c>
      <x:c r="L316" s="2" t="n">
        <x:v>18</x:v>
      </x:c>
      <x:c r="M316" s="2" t="n">
        <x:v>345</x:v>
      </x:c>
      <x:c r="N316" s="2" t="n">
        <x:v>2180</x:v>
      </x:c>
      <x:c r="O316" s="2" t="str">
        <x:v>R14 tervezői kiosztás; tényleges laphoz és csavarhoz próbafúrás</x:v>
      </x:c>
    </x:row>
    <x:row r="317" ht="34" customHeight="1">
      <x:c r="A317" s="2" t="str">
        <x:v>H0312</x:v>
      </x:c>
      <x:c r="B317" s="2" t="str">
        <x:v>KI12-TV01H-01</x:v>
      </x:c>
      <x:c r="C317" s="2" t="str">
        <x:v>HATLAP_LEC / R14-J010</x:v>
      </x:c>
      <x:c r="D317" s="2" t="n">
        <x:v>1626</x:v>
      </x:c>
      <x:c r="E317" s="2" t="n">
        <x:v>8</x:v>
      </x:c>
      <x:c r="F317" s="2" t="n">
        <x:v>0</x:v>
      </x:c>
      <x:c r="G317" s="2" t="n">
        <x:v>0</x:v>
      </x:c>
      <x:c r="H317" s="2" t="n">
        <x:v>0</x:v>
      </x:c>
      <x:c r="I317" s="2" t="n">
        <x:v>-1</x:v>
      </x:c>
      <x:c r="J317" s="2" t="n">
        <x:v>3.5</x:v>
      </x:c>
      <x:c r="K317" s="2" t="n">
        <x:v>8</x:v>
      </x:c>
      <x:c r="L317" s="2" t="n">
        <x:v>27</x:v>
      </x:c>
      <x:c r="M317" s="2" t="n">
        <x:v>362</x:v>
      </x:c>
      <x:c r="N317" s="2" t="n">
        <x:v>2195</x:v>
      </x:c>
      <x:c r="O317" s="2" t="str">
        <x:v>R14 tervezői kiosztás; tényleges laphoz és csavarhoz próbafúrás</x:v>
      </x:c>
    </x:row>
    <x:row r="318" ht="34" customHeight="1">
      <x:c r="A318" s="2" t="str">
        <x:v>H0313</x:v>
      </x:c>
      <x:c r="B318" s="2" t="str">
        <x:v>KI14-BAT-01</x:v>
      </x:c>
      <x:c r="C318" s="2" t="str">
        <x:v>HATLAP_LEC / R14-J010</x:v>
      </x:c>
      <x:c r="D318" s="2" t="n">
        <x:v>1607</x:v>
      </x:c>
      <x:c r="E318" s="2" t="n">
        <x:v>18</x:v>
      </x:c>
      <x:c r="F318" s="2" t="n">
        <x:v>-9</x:v>
      </x:c>
      <x:c r="G318" s="2" t="n">
        <x:v>0</x:v>
      </x:c>
      <x:c r="H318" s="2" t="n">
        <x:v>-1</x:v>
      </x:c>
      <x:c r="I318" s="2" t="n">
        <x:v>0</x:v>
      </x:c>
      <x:c r="J318" s="2" t="n">
        <x:v>2.5</x:v>
      </x:c>
      <x:c r="K318" s="2" t="n">
        <x:v>12</x:v>
      </x:c>
      <x:c r="L318" s="2" t="n">
        <x:v>27</x:v>
      </x:c>
      <x:c r="M318" s="2" t="n">
        <x:v>354</x:v>
      </x:c>
      <x:c r="N318" s="2" t="n">
        <x:v>2195</x:v>
      </x:c>
      <x:c r="O318" s="2" t="str">
        <x:v>R14 tervezői kiosztás; tényleges laphoz és csavarhoz próbafúrás</x:v>
      </x:c>
    </x:row>
    <x:row r="319" ht="34" customHeight="1">
      <x:c r="A319" s="2" t="str">
        <x:v>H0314</x:v>
      </x:c>
      <x:c r="B319" s="2" t="str">
        <x:v>KI14-BAT-01</x:v>
      </x:c>
      <x:c r="C319" s="2" t="str">
        <x:v>LEC_OLDAL / R14-J011</x:v>
      </x:c>
      <x:c r="D319" s="2" t="n">
        <x:v>1972</x:v>
      </x:c>
      <x:c r="E319" s="2" t="n">
        <x:v>9</x:v>
      </x:c>
      <x:c r="F319" s="2" t="n">
        <x:v>-18</x:v>
      </x:c>
      <x:c r="G319" s="2" t="n">
        <x:v>0</x:v>
      </x:c>
      <x:c r="H319" s="2" t="n">
        <x:v>0</x:v>
      </x:c>
      <x:c r="I319" s="2" t="n">
        <x:v>1</x:v>
      </x:c>
      <x:c r="J319" s="2" t="n">
        <x:v>4</x:v>
      </x:c>
      <x:c r="K319" s="2" t="n">
        <x:v>18</x:v>
      </x:c>
      <x:c r="L319" s="2" t="n">
        <x:v>36</x:v>
      </x:c>
      <x:c r="M319" s="2" t="n">
        <x:v>345</x:v>
      </x:c>
      <x:c r="N319" s="2" t="n">
        <x:v>2560</x:v>
      </x:c>
      <x:c r="O319" s="2" t="str">
        <x:v>R14 tervezői kiosztás; tényleges laphoz és csavarhoz próbafúrás</x:v>
      </x:c>
    </x:row>
    <x:row r="320" ht="34" customHeight="1">
      <x:c r="A320" s="2" t="str">
        <x:v>H0315</x:v>
      </x:c>
      <x:c r="B320" s="2" t="str">
        <x:v>KI12-TV01S-01</x:v>
      </x:c>
      <x:c r="C320" s="2" t="str">
        <x:v>LEC_OLDAL / R14-J011</x:v>
      </x:c>
      <x:c r="D320" s="2" t="n">
        <x:v>2010</x:v>
      </x:c>
      <x:c r="E320" s="2" t="n">
        <x:v>345</x:v>
      </x:c>
      <x:c r="F320" s="2" t="n">
        <x:v>-18</x:v>
      </x:c>
      <x:c r="G320" s="2" t="n">
        <x:v>0</x:v>
      </x:c>
      <x:c r="H320" s="2" t="n">
        <x:v>0</x:v>
      </x:c>
      <x:c r="I320" s="2" t="n">
        <x:v>1</x:v>
      </x:c>
      <x:c r="J320" s="2" t="n">
        <x:v>2.5</x:v>
      </x:c>
      <x:c r="K320" s="2" t="n">
        <x:v>12</x:v>
      </x:c>
      <x:c r="L320" s="2" t="n">
        <x:v>18</x:v>
      </x:c>
      <x:c r="M320" s="2" t="n">
        <x:v>345</x:v>
      </x:c>
      <x:c r="N320" s="2" t="n">
        <x:v>2560</x:v>
      </x:c>
      <x:c r="O320" s="2" t="str">
        <x:v>R14 tervezői kiosztás; tényleges laphoz és csavarhoz próbafúrás</x:v>
      </x:c>
    </x:row>
    <x:row r="321" ht="34" customHeight="1">
      <x:c r="A321" s="2" t="str">
        <x:v>H0316</x:v>
      </x:c>
      <x:c r="B321" s="2" t="str">
        <x:v>KI12-TV01H-01</x:v>
      </x:c>
      <x:c r="C321" s="2" t="str">
        <x:v>HATLAP_LEC / R14-J012</x:v>
      </x:c>
      <x:c r="D321" s="2" t="n">
        <x:v>2006</x:v>
      </x:c>
      <x:c r="E321" s="2" t="n">
        <x:v>8</x:v>
      </x:c>
      <x:c r="F321" s="2" t="n">
        <x:v>0</x:v>
      </x:c>
      <x:c r="G321" s="2" t="n">
        <x:v>0</x:v>
      </x:c>
      <x:c r="H321" s="2" t="n">
        <x:v>0</x:v>
      </x:c>
      <x:c r="I321" s="2" t="n">
        <x:v>-1</x:v>
      </x:c>
      <x:c r="J321" s="2" t="n">
        <x:v>3.5</x:v>
      </x:c>
      <x:c r="K321" s="2" t="n">
        <x:v>8</x:v>
      </x:c>
      <x:c r="L321" s="2" t="n">
        <x:v>27</x:v>
      </x:c>
      <x:c r="M321" s="2" t="n">
        <x:v>362</x:v>
      </x:c>
      <x:c r="N321" s="2" t="n">
        <x:v>2575</x:v>
      </x:c>
      <x:c r="O321" s="2" t="str">
        <x:v>R14 tervezői kiosztás; tényleges laphoz és csavarhoz próbafúrás</x:v>
      </x:c>
    </x:row>
    <x:row r="322" ht="34" customHeight="1">
      <x:c r="A322" s="2" t="str">
        <x:v>H0317</x:v>
      </x:c>
      <x:c r="B322" s="2" t="str">
        <x:v>KI14-BAT-01</x:v>
      </x:c>
      <x:c r="C322" s="2" t="str">
        <x:v>HATLAP_LEC / R14-J012</x:v>
      </x:c>
      <x:c r="D322" s="2" t="n">
        <x:v>1987</x:v>
      </x:c>
      <x:c r="E322" s="2" t="n">
        <x:v>18</x:v>
      </x:c>
      <x:c r="F322" s="2" t="n">
        <x:v>-9</x:v>
      </x:c>
      <x:c r="G322" s="2" t="n">
        <x:v>0</x:v>
      </x:c>
      <x:c r="H322" s="2" t="n">
        <x:v>-1</x:v>
      </x:c>
      <x:c r="I322" s="2" t="n">
        <x:v>0</x:v>
      </x:c>
      <x:c r="J322" s="2" t="n">
        <x:v>2.5</x:v>
      </x:c>
      <x:c r="K322" s="2" t="n">
        <x:v>12</x:v>
      </x:c>
      <x:c r="L322" s="2" t="n">
        <x:v>27</x:v>
      </x:c>
      <x:c r="M322" s="2" t="n">
        <x:v>354</x:v>
      </x:c>
      <x:c r="N322" s="2" t="n">
        <x:v>2575</x:v>
      </x:c>
      <x:c r="O322" s="2" t="str">
        <x:v>R14 tervezői kiosztás; tényleges laphoz és csavarhoz próbafúrás</x:v>
      </x:c>
    </x:row>
    <x:row r="323" ht="34" customHeight="1">
      <x:c r="A323" s="2" t="str">
        <x:v>H0318</x:v>
      </x:c>
      <x:c r="B323" s="2" t="str">
        <x:v>KI14-BAT-01</x:v>
      </x:c>
      <x:c r="C323" s="2" t="str">
        <x:v>LEC_OLDAL / R14-J013</x:v>
      </x:c>
      <x:c r="D323" s="2" t="n">
        <x:v>2112</x:v>
      </x:c>
      <x:c r="E323" s="2" t="n">
        <x:v>9</x:v>
      </x:c>
      <x:c r="F323" s="2" t="n">
        <x:v>-18</x:v>
      </x:c>
      <x:c r="G323" s="2" t="n">
        <x:v>0</x:v>
      </x:c>
      <x:c r="H323" s="2" t="n">
        <x:v>0</x:v>
      </x:c>
      <x:c r="I323" s="2" t="n">
        <x:v>1</x:v>
      </x:c>
      <x:c r="J323" s="2" t="n">
        <x:v>4</x:v>
      </x:c>
      <x:c r="K323" s="2" t="n">
        <x:v>18</x:v>
      </x:c>
      <x:c r="L323" s="2" t="n">
        <x:v>36</x:v>
      </x:c>
      <x:c r="M323" s="2" t="n">
        <x:v>345</x:v>
      </x:c>
      <x:c r="N323" s="2" t="n">
        <x:v>2700</x:v>
      </x:c>
      <x:c r="O323" s="2" t="str">
        <x:v>R14 tervezői kiosztás; tényleges laphoz és csavarhoz próbafúrás</x:v>
      </x:c>
    </x:row>
    <x:row r="324" ht="34" customHeight="1">
      <x:c r="A324" s="2" t="str">
        <x:v>H0319</x:v>
      </x:c>
      <x:c r="B324" s="2" t="str">
        <x:v>KI12-TV01S-01</x:v>
      </x:c>
      <x:c r="C324" s="2" t="str">
        <x:v>LEC_OLDAL / R14-J013</x:v>
      </x:c>
      <x:c r="D324" s="2" t="n">
        <x:v>2150</x:v>
      </x:c>
      <x:c r="E324" s="2" t="n">
        <x:v>345</x:v>
      </x:c>
      <x:c r="F324" s="2" t="n">
        <x:v>-18</x:v>
      </x:c>
      <x:c r="G324" s="2" t="n">
        <x:v>0</x:v>
      </x:c>
      <x:c r="H324" s="2" t="n">
        <x:v>0</x:v>
      </x:c>
      <x:c r="I324" s="2" t="n">
        <x:v>1</x:v>
      </x:c>
      <x:c r="J324" s="2" t="n">
        <x:v>2.5</x:v>
      </x:c>
      <x:c r="K324" s="2" t="n">
        <x:v>12</x:v>
      </x:c>
      <x:c r="L324" s="2" t="n">
        <x:v>18</x:v>
      </x:c>
      <x:c r="M324" s="2" t="n">
        <x:v>345</x:v>
      </x:c>
      <x:c r="N324" s="2" t="n">
        <x:v>2700</x:v>
      </x:c>
      <x:c r="O324" s="2" t="str">
        <x:v>R14 tervezői kiosztás; tényleges laphoz és csavarhoz próbafúrás</x:v>
      </x:c>
    </x:row>
    <x:row r="325" ht="34" customHeight="1">
      <x:c r="A325" s="2" t="str">
        <x:v>H0320</x:v>
      </x:c>
      <x:c r="B325" s="2" t="str">
        <x:v>KI12-TV01H-01</x:v>
      </x:c>
      <x:c r="C325" s="2" t="str">
        <x:v>HATLAP_LEC / R14-J014</x:v>
      </x:c>
      <x:c r="D325" s="2" t="n">
        <x:v>2146</x:v>
      </x:c>
      <x:c r="E325" s="2" t="n">
        <x:v>8</x:v>
      </x:c>
      <x:c r="F325" s="2" t="n">
        <x:v>0</x:v>
      </x:c>
      <x:c r="G325" s="2" t="n">
        <x:v>0</x:v>
      </x:c>
      <x:c r="H325" s="2" t="n">
        <x:v>0</x:v>
      </x:c>
      <x:c r="I325" s="2" t="n">
        <x:v>-1</x:v>
      </x:c>
      <x:c r="J325" s="2" t="n">
        <x:v>3.5</x:v>
      </x:c>
      <x:c r="K325" s="2" t="n">
        <x:v>8</x:v>
      </x:c>
      <x:c r="L325" s="2" t="n">
        <x:v>27</x:v>
      </x:c>
      <x:c r="M325" s="2" t="n">
        <x:v>362</x:v>
      </x:c>
      <x:c r="N325" s="2" t="n">
        <x:v>2715</x:v>
      </x:c>
      <x:c r="O325" s="2" t="str">
        <x:v>R14 tervezői kiosztás; tényleges laphoz és csavarhoz próbafúrás</x:v>
      </x:c>
    </x:row>
    <x:row r="326" ht="34" customHeight="1">
      <x:c r="A326" s="2" t="str">
        <x:v>H0321</x:v>
      </x:c>
      <x:c r="B326" s="2" t="str">
        <x:v>KI14-BAT-01</x:v>
      </x:c>
      <x:c r="C326" s="2" t="str">
        <x:v>HATLAP_LEC / R14-J014</x:v>
      </x:c>
      <x:c r="D326" s="2" t="n">
        <x:v>2127</x:v>
      </x:c>
      <x:c r="E326" s="2" t="n">
        <x:v>18</x:v>
      </x:c>
      <x:c r="F326" s="2" t="n">
        <x:v>-9</x:v>
      </x:c>
      <x:c r="G326" s="2" t="n">
        <x:v>0</x:v>
      </x:c>
      <x:c r="H326" s="2" t="n">
        <x:v>-1</x:v>
      </x:c>
      <x:c r="I326" s="2" t="n">
        <x:v>0</x:v>
      </x:c>
      <x:c r="J326" s="2" t="n">
        <x:v>2.5</x:v>
      </x:c>
      <x:c r="K326" s="2" t="n">
        <x:v>12</x:v>
      </x:c>
      <x:c r="L326" s="2" t="n">
        <x:v>27</x:v>
      </x:c>
      <x:c r="M326" s="2" t="n">
        <x:v>354</x:v>
      </x:c>
      <x:c r="N326" s="2" t="n">
        <x:v>2715</x:v>
      </x:c>
      <x:c r="O326" s="2" t="str">
        <x:v>R14 tervezői kiosztás; tényleges laphoz és csavarhoz próbafúrás</x:v>
      </x:c>
    </x:row>
    <x:row r="327" ht="34" customHeight="1">
      <x:c r="A327" s="2" t="str">
        <x:v>H0322</x:v>
      </x:c>
      <x:c r="B327" s="2" t="str">
        <x:v>KI14-BAT-02</x:v>
      </x:c>
      <x:c r="C327" s="2" t="str">
        <x:v>LEC_OLDAL / R14-J015</x:v>
      </x:c>
      <x:c r="D327" s="2" t="n">
        <x:v>72</x:v>
      </x:c>
      <x:c r="E327" s="2" t="n">
        <x:v>9</x:v>
      </x:c>
      <x:c r="F327" s="2" t="n">
        <x:v>0</x:v>
      </x:c>
      <x:c r="G327" s="2" t="n">
        <x:v>0</x:v>
      </x:c>
      <x:c r="H327" s="2" t="n">
        <x:v>0</x:v>
      </x:c>
      <x:c r="I327" s="2" t="n">
        <x:v>-1</x:v>
      </x:c>
      <x:c r="J327" s="2" t="n">
        <x:v>4</x:v>
      </x:c>
      <x:c r="K327" s="2" t="n">
        <x:v>18</x:v>
      </x:c>
      <x:c r="L327" s="2" t="n">
        <x:v>684</x:v>
      </x:c>
      <x:c r="M327" s="2" t="n">
        <x:v>345</x:v>
      </x:c>
      <x:c r="N327" s="2" t="n">
        <x:v>660</x:v>
      </x:c>
      <x:c r="O327" s="2" t="str">
        <x:v>R14 tervezői kiosztás; tényleges laphoz és csavarhoz próbafúrás</x:v>
      </x:c>
    </x:row>
    <x:row r="328" ht="34" customHeight="1">
      <x:c r="A328" s="2" t="str">
        <x:v>H0323</x:v>
      </x:c>
      <x:c r="B328" s="2" t="str">
        <x:v>KI12-TV01S-02</x:v>
      </x:c>
      <x:c r="C328" s="2" t="str">
        <x:v>LEC_OLDAL / R14-J015</x:v>
      </x:c>
      <x:c r="D328" s="2" t="n">
        <x:v>110</x:v>
      </x:c>
      <x:c r="E328" s="2" t="n">
        <x:v>345</x:v>
      </x:c>
      <x:c r="F328" s="2" t="n">
        <x:v>0</x:v>
      </x:c>
      <x:c r="G328" s="2" t="n">
        <x:v>0</x:v>
      </x:c>
      <x:c r="H328" s="2" t="n">
        <x:v>0</x:v>
      </x:c>
      <x:c r="I328" s="2" t="n">
        <x:v>-1</x:v>
      </x:c>
      <x:c r="J328" s="2" t="n">
        <x:v>2.5</x:v>
      </x:c>
      <x:c r="K328" s="2" t="n">
        <x:v>12</x:v>
      </x:c>
      <x:c r="L328" s="2" t="n">
        <x:v>702</x:v>
      </x:c>
      <x:c r="M328" s="2" t="n">
        <x:v>345</x:v>
      </x:c>
      <x:c r="N328" s="2" t="n">
        <x:v>660</x:v>
      </x:c>
      <x:c r="O328" s="2" t="str">
        <x:v>R14 tervezői kiosztás; tényleges laphoz és csavarhoz próbafúrás</x:v>
      </x:c>
    </x:row>
    <x:row r="329" ht="34" customHeight="1">
      <x:c r="A329" s="2" t="str">
        <x:v>H0324</x:v>
      </x:c>
      <x:c r="B329" s="2" t="str">
        <x:v>KI12-TV01H-01</x:v>
      </x:c>
      <x:c r="C329" s="2" t="str">
        <x:v>HATLAP_LEC / R14-J016</x:v>
      </x:c>
      <x:c r="D329" s="2" t="n">
        <x:v>106</x:v>
      </x:c>
      <x:c r="E329" s="2" t="n">
        <x:v>674</x:v>
      </x:c>
      <x:c r="F329" s="2" t="n">
        <x:v>0</x:v>
      </x:c>
      <x:c r="G329" s="2" t="n">
        <x:v>0</x:v>
      </x:c>
      <x:c r="H329" s="2" t="n">
        <x:v>0</x:v>
      </x:c>
      <x:c r="I329" s="2" t="n">
        <x:v>-1</x:v>
      </x:c>
      <x:c r="J329" s="2" t="n">
        <x:v>3.5</x:v>
      </x:c>
      <x:c r="K329" s="2" t="n">
        <x:v>8</x:v>
      </x:c>
      <x:c r="L329" s="2" t="n">
        <x:v>693</x:v>
      </x:c>
      <x:c r="M329" s="2" t="n">
        <x:v>362</x:v>
      </x:c>
      <x:c r="N329" s="2" t="n">
        <x:v>675</x:v>
      </x:c>
      <x:c r="O329" s="2" t="str">
        <x:v>R14 tervezői kiosztás; tényleges laphoz és csavarhoz próbafúrás</x:v>
      </x:c>
    </x:row>
    <x:row r="330" ht="34" customHeight="1">
      <x:c r="A330" s="2" t="str">
        <x:v>H0325</x:v>
      </x:c>
      <x:c r="B330" s="2" t="str">
        <x:v>KI14-BAT-02</x:v>
      </x:c>
      <x:c r="C330" s="2" t="str">
        <x:v>HATLAP_LEC / R14-J016</x:v>
      </x:c>
      <x:c r="D330" s="2" t="n">
        <x:v>87</x:v>
      </x:c>
      <x:c r="E330" s="2" t="n">
        <x:v>18</x:v>
      </x:c>
      <x:c r="F330" s="2" t="n">
        <x:v>-9</x:v>
      </x:c>
      <x:c r="G330" s="2" t="n">
        <x:v>0</x:v>
      </x:c>
      <x:c r="H330" s="2" t="n">
        <x:v>-1</x:v>
      </x:c>
      <x:c r="I330" s="2" t="n">
        <x:v>0</x:v>
      </x:c>
      <x:c r="J330" s="2" t="n">
        <x:v>2.5</x:v>
      </x:c>
      <x:c r="K330" s="2" t="n">
        <x:v>12</x:v>
      </x:c>
      <x:c r="L330" s="2" t="n">
        <x:v>693</x:v>
      </x:c>
      <x:c r="M330" s="2" t="n">
        <x:v>354</x:v>
      </x:c>
      <x:c r="N330" s="2" t="n">
        <x:v>675</x:v>
      </x:c>
      <x:c r="O330" s="2" t="str">
        <x:v>R14 tervezői kiosztás; tényleges laphoz és csavarhoz próbafúrás</x:v>
      </x:c>
    </x:row>
    <x:row r="331" ht="34" customHeight="1">
      <x:c r="A331" s="2" t="str">
        <x:v>H0326</x:v>
      </x:c>
      <x:c r="B331" s="2" t="str">
        <x:v>KI14-BAT-02</x:v>
      </x:c>
      <x:c r="C331" s="2" t="str">
        <x:v>LEC_OLDAL / R14-J017</x:v>
      </x:c>
      <x:c r="D331" s="2" t="n">
        <x:v>452</x:v>
      </x:c>
      <x:c r="E331" s="2" t="n">
        <x:v>9</x:v>
      </x:c>
      <x:c r="F331" s="2" t="n">
        <x:v>0</x:v>
      </x:c>
      <x:c r="G331" s="2" t="n">
        <x:v>0</x:v>
      </x:c>
      <x:c r="H331" s="2" t="n">
        <x:v>0</x:v>
      </x:c>
      <x:c r="I331" s="2" t="n">
        <x:v>-1</x:v>
      </x:c>
      <x:c r="J331" s="2" t="n">
        <x:v>4</x:v>
      </x:c>
      <x:c r="K331" s="2" t="n">
        <x:v>18</x:v>
      </x:c>
      <x:c r="L331" s="2" t="n">
        <x:v>684</x:v>
      </x:c>
      <x:c r="M331" s="2" t="n">
        <x:v>345</x:v>
      </x:c>
      <x:c r="N331" s="2" t="n">
        <x:v>1040</x:v>
      </x:c>
      <x:c r="O331" s="2" t="str">
        <x:v>R14 tervezői kiosztás; tényleges laphoz és csavarhoz próbafúrás</x:v>
      </x:c>
    </x:row>
    <x:row r="332" ht="34" customHeight="1">
      <x:c r="A332" s="2" t="str">
        <x:v>H0327</x:v>
      </x:c>
      <x:c r="B332" s="2" t="str">
        <x:v>KI12-TV01S-02</x:v>
      </x:c>
      <x:c r="C332" s="2" t="str">
        <x:v>LEC_OLDAL / R14-J017</x:v>
      </x:c>
      <x:c r="D332" s="2" t="n">
        <x:v>490</x:v>
      </x:c>
      <x:c r="E332" s="2" t="n">
        <x:v>345</x:v>
      </x:c>
      <x:c r="F332" s="2" t="n">
        <x:v>0</x:v>
      </x:c>
      <x:c r="G332" s="2" t="n">
        <x:v>0</x:v>
      </x:c>
      <x:c r="H332" s="2" t="n">
        <x:v>0</x:v>
      </x:c>
      <x:c r="I332" s="2" t="n">
        <x:v>-1</x:v>
      </x:c>
      <x:c r="J332" s="2" t="n">
        <x:v>2.5</x:v>
      </x:c>
      <x:c r="K332" s="2" t="n">
        <x:v>12</x:v>
      </x:c>
      <x:c r="L332" s="2" t="n">
        <x:v>702</x:v>
      </x:c>
      <x:c r="M332" s="2" t="n">
        <x:v>345</x:v>
      </x:c>
      <x:c r="N332" s="2" t="n">
        <x:v>1040</x:v>
      </x:c>
      <x:c r="O332" s="2" t="str">
        <x:v>R14 tervezői kiosztás; tényleges laphoz és csavarhoz próbafúrás</x:v>
      </x:c>
    </x:row>
    <x:row r="333" ht="34" customHeight="1">
      <x:c r="A333" s="2" t="str">
        <x:v>H0328</x:v>
      </x:c>
      <x:c r="B333" s="2" t="str">
        <x:v>KI12-TV01H-01</x:v>
      </x:c>
      <x:c r="C333" s="2" t="str">
        <x:v>HATLAP_LEC / R14-J018</x:v>
      </x:c>
      <x:c r="D333" s="2" t="n">
        <x:v>486</x:v>
      </x:c>
      <x:c r="E333" s="2" t="n">
        <x:v>674</x:v>
      </x:c>
      <x:c r="F333" s="2" t="n">
        <x:v>0</x:v>
      </x:c>
      <x:c r="G333" s="2" t="n">
        <x:v>0</x:v>
      </x:c>
      <x:c r="H333" s="2" t="n">
        <x:v>0</x:v>
      </x:c>
      <x:c r="I333" s="2" t="n">
        <x:v>-1</x:v>
      </x:c>
      <x:c r="J333" s="2" t="n">
        <x:v>3.5</x:v>
      </x:c>
      <x:c r="K333" s="2" t="n">
        <x:v>8</x:v>
      </x:c>
      <x:c r="L333" s="2" t="n">
        <x:v>693</x:v>
      </x:c>
      <x:c r="M333" s="2" t="n">
        <x:v>362</x:v>
      </x:c>
      <x:c r="N333" s="2" t="n">
        <x:v>1055</x:v>
      </x:c>
      <x:c r="O333" s="2" t="str">
        <x:v>R14 tervezői kiosztás; tényleges laphoz és csavarhoz próbafúrás</x:v>
      </x:c>
    </x:row>
    <x:row r="334" ht="34" customHeight="1">
      <x:c r="A334" s="2" t="str">
        <x:v>H0329</x:v>
      </x:c>
      <x:c r="B334" s="2" t="str">
        <x:v>KI14-BAT-02</x:v>
      </x:c>
      <x:c r="C334" s="2" t="str">
        <x:v>HATLAP_LEC / R14-J018</x:v>
      </x:c>
      <x:c r="D334" s="2" t="n">
        <x:v>467</x:v>
      </x:c>
      <x:c r="E334" s="2" t="n">
        <x:v>18</x:v>
      </x:c>
      <x:c r="F334" s="2" t="n">
        <x:v>-9</x:v>
      </x:c>
      <x:c r="G334" s="2" t="n">
        <x:v>0</x:v>
      </x:c>
      <x:c r="H334" s="2" t="n">
        <x:v>-1</x:v>
      </x:c>
      <x:c r="I334" s="2" t="n">
        <x:v>0</x:v>
      </x:c>
      <x:c r="J334" s="2" t="n">
        <x:v>2.5</x:v>
      </x:c>
      <x:c r="K334" s="2" t="n">
        <x:v>12</x:v>
      </x:c>
      <x:c r="L334" s="2" t="n">
        <x:v>693</x:v>
      </x:c>
      <x:c r="M334" s="2" t="n">
        <x:v>354</x:v>
      </x:c>
      <x:c r="N334" s="2" t="n">
        <x:v>1055</x:v>
      </x:c>
      <x:c r="O334" s="2" t="str">
        <x:v>R14 tervezői kiosztás; tényleges laphoz és csavarhoz próbafúrás</x:v>
      </x:c>
    </x:row>
    <x:row r="335" ht="34" customHeight="1">
      <x:c r="A335" s="2" t="str">
        <x:v>H0330</x:v>
      </x:c>
      <x:c r="B335" s="2" t="str">
        <x:v>KI14-BAT-02</x:v>
      </x:c>
      <x:c r="C335" s="2" t="str">
        <x:v>LEC_OLDAL / R14-J019</x:v>
      </x:c>
      <x:c r="D335" s="2" t="n">
        <x:v>832</x:v>
      </x:c>
      <x:c r="E335" s="2" t="n">
        <x:v>9</x:v>
      </x:c>
      <x:c r="F335" s="2" t="n">
        <x:v>0</x:v>
      </x:c>
      <x:c r="G335" s="2" t="n">
        <x:v>0</x:v>
      </x:c>
      <x:c r="H335" s="2" t="n">
        <x:v>0</x:v>
      </x:c>
      <x:c r="I335" s="2" t="n">
        <x:v>-1</x:v>
      </x:c>
      <x:c r="J335" s="2" t="n">
        <x:v>4</x:v>
      </x:c>
      <x:c r="K335" s="2" t="n">
        <x:v>18</x:v>
      </x:c>
      <x:c r="L335" s="2" t="n">
        <x:v>684</x:v>
      </x:c>
      <x:c r="M335" s="2" t="n">
        <x:v>345</x:v>
      </x:c>
      <x:c r="N335" s="2" t="n">
        <x:v>1420</x:v>
      </x:c>
      <x:c r="O335" s="2" t="str">
        <x:v>R14 tervezői kiosztás; tényleges laphoz és csavarhoz próbafúrás</x:v>
      </x:c>
    </x:row>
    <x:row r="336" ht="34" customHeight="1">
      <x:c r="A336" s="2" t="str">
        <x:v>H0331</x:v>
      </x:c>
      <x:c r="B336" s="2" t="str">
        <x:v>KI12-TV01S-02</x:v>
      </x:c>
      <x:c r="C336" s="2" t="str">
        <x:v>LEC_OLDAL / R14-J019</x:v>
      </x:c>
      <x:c r="D336" s="2" t="n">
        <x:v>870</x:v>
      </x:c>
      <x:c r="E336" s="2" t="n">
        <x:v>345</x:v>
      </x:c>
      <x:c r="F336" s="2" t="n">
        <x:v>0</x:v>
      </x:c>
      <x:c r="G336" s="2" t="n">
        <x:v>0</x:v>
      </x:c>
      <x:c r="H336" s="2" t="n">
        <x:v>0</x:v>
      </x:c>
      <x:c r="I336" s="2" t="n">
        <x:v>-1</x:v>
      </x:c>
      <x:c r="J336" s="2" t="n">
        <x:v>2.5</x:v>
      </x:c>
      <x:c r="K336" s="2" t="n">
        <x:v>12</x:v>
      </x:c>
      <x:c r="L336" s="2" t="n">
        <x:v>702</x:v>
      </x:c>
      <x:c r="M336" s="2" t="n">
        <x:v>345</x:v>
      </x:c>
      <x:c r="N336" s="2" t="n">
        <x:v>1420</x:v>
      </x:c>
      <x:c r="O336" s="2" t="str">
        <x:v>R14 tervezői kiosztás; tényleges laphoz és csavarhoz próbafúrás</x:v>
      </x:c>
    </x:row>
    <x:row r="337" ht="34" customHeight="1">
      <x:c r="A337" s="2" t="str">
        <x:v>H0332</x:v>
      </x:c>
      <x:c r="B337" s="2" t="str">
        <x:v>KI12-TV01H-01</x:v>
      </x:c>
      <x:c r="C337" s="2" t="str">
        <x:v>HATLAP_LEC / R14-J020</x:v>
      </x:c>
      <x:c r="D337" s="2" t="n">
        <x:v>866</x:v>
      </x:c>
      <x:c r="E337" s="2" t="n">
        <x:v>674</x:v>
      </x:c>
      <x:c r="F337" s="2" t="n">
        <x:v>0</x:v>
      </x:c>
      <x:c r="G337" s="2" t="n">
        <x:v>0</x:v>
      </x:c>
      <x:c r="H337" s="2" t="n">
        <x:v>0</x:v>
      </x:c>
      <x:c r="I337" s="2" t="n">
        <x:v>-1</x:v>
      </x:c>
      <x:c r="J337" s="2" t="n">
        <x:v>3.5</x:v>
      </x:c>
      <x:c r="K337" s="2" t="n">
        <x:v>8</x:v>
      </x:c>
      <x:c r="L337" s="2" t="n">
        <x:v>693</x:v>
      </x:c>
      <x:c r="M337" s="2" t="n">
        <x:v>362</x:v>
      </x:c>
      <x:c r="N337" s="2" t="n">
        <x:v>1435</x:v>
      </x:c>
      <x:c r="O337" s="2" t="str">
        <x:v>R14 tervezői kiosztás; tényleges laphoz és csavarhoz próbafúrás</x:v>
      </x:c>
    </x:row>
    <x:row r="338" ht="34" customHeight="1">
      <x:c r="A338" s="2" t="str">
        <x:v>H0333</x:v>
      </x:c>
      <x:c r="B338" s="2" t="str">
        <x:v>KI14-BAT-02</x:v>
      </x:c>
      <x:c r="C338" s="2" t="str">
        <x:v>HATLAP_LEC / R14-J020</x:v>
      </x:c>
      <x:c r="D338" s="2" t="n">
        <x:v>847</x:v>
      </x:c>
      <x:c r="E338" s="2" t="n">
        <x:v>18</x:v>
      </x:c>
      <x:c r="F338" s="2" t="n">
        <x:v>-9</x:v>
      </x:c>
      <x:c r="G338" s="2" t="n">
        <x:v>0</x:v>
      </x:c>
      <x:c r="H338" s="2" t="n">
        <x:v>-1</x:v>
      </x:c>
      <x:c r="I338" s="2" t="n">
        <x:v>0</x:v>
      </x:c>
      <x:c r="J338" s="2" t="n">
        <x:v>2.5</x:v>
      </x:c>
      <x:c r="K338" s="2" t="n">
        <x:v>12</x:v>
      </x:c>
      <x:c r="L338" s="2" t="n">
        <x:v>693</x:v>
      </x:c>
      <x:c r="M338" s="2" t="n">
        <x:v>354</x:v>
      </x:c>
      <x:c r="N338" s="2" t="n">
        <x:v>1435</x:v>
      </x:c>
      <x:c r="O338" s="2" t="str">
        <x:v>R14 tervezői kiosztás; tényleges laphoz és csavarhoz próbafúrás</x:v>
      </x:c>
    </x:row>
    <x:row r="339" ht="34" customHeight="1">
      <x:c r="A339" s="2" t="str">
        <x:v>H0334</x:v>
      </x:c>
      <x:c r="B339" s="2" t="str">
        <x:v>KI14-BAT-02</x:v>
      </x:c>
      <x:c r="C339" s="2" t="str">
        <x:v>LEC_OLDAL / R14-J021</x:v>
      </x:c>
      <x:c r="D339" s="2" t="n">
        <x:v>1212</x:v>
      </x:c>
      <x:c r="E339" s="2" t="n">
        <x:v>9</x:v>
      </x:c>
      <x:c r="F339" s="2" t="n">
        <x:v>0</x:v>
      </x:c>
      <x:c r="G339" s="2" t="n">
        <x:v>0</x:v>
      </x:c>
      <x:c r="H339" s="2" t="n">
        <x:v>0</x:v>
      </x:c>
      <x:c r="I339" s="2" t="n">
        <x:v>-1</x:v>
      </x:c>
      <x:c r="J339" s="2" t="n">
        <x:v>4</x:v>
      </x:c>
      <x:c r="K339" s="2" t="n">
        <x:v>18</x:v>
      </x:c>
      <x:c r="L339" s="2" t="n">
        <x:v>684</x:v>
      </x:c>
      <x:c r="M339" s="2" t="n">
        <x:v>345</x:v>
      </x:c>
      <x:c r="N339" s="2" t="n">
        <x:v>1800</x:v>
      </x:c>
      <x:c r="O339" s="2" t="str">
        <x:v>R14 tervezői kiosztás; tényleges laphoz és csavarhoz próbafúrás</x:v>
      </x:c>
    </x:row>
    <x:row r="340" ht="34" customHeight="1">
      <x:c r="A340" s="2" t="str">
        <x:v>H0335</x:v>
      </x:c>
      <x:c r="B340" s="2" t="str">
        <x:v>KI12-TV01S-02</x:v>
      </x:c>
      <x:c r="C340" s="2" t="str">
        <x:v>LEC_OLDAL / R14-J021</x:v>
      </x:c>
      <x:c r="D340" s="2" t="n">
        <x:v>1250</x:v>
      </x:c>
      <x:c r="E340" s="2" t="n">
        <x:v>345</x:v>
      </x:c>
      <x:c r="F340" s="2" t="n">
        <x:v>0</x:v>
      </x:c>
      <x:c r="G340" s="2" t="n">
        <x:v>0</x:v>
      </x:c>
      <x:c r="H340" s="2" t="n">
        <x:v>0</x:v>
      </x:c>
      <x:c r="I340" s="2" t="n">
        <x:v>-1</x:v>
      </x:c>
      <x:c r="J340" s="2" t="n">
        <x:v>2.5</x:v>
      </x:c>
      <x:c r="K340" s="2" t="n">
        <x:v>12</x:v>
      </x:c>
      <x:c r="L340" s="2" t="n">
        <x:v>702</x:v>
      </x:c>
      <x:c r="M340" s="2" t="n">
        <x:v>345</x:v>
      </x:c>
      <x:c r="N340" s="2" t="n">
        <x:v>1800</x:v>
      </x:c>
      <x:c r="O340" s="2" t="str">
        <x:v>R14 tervezői kiosztás; tényleges laphoz és csavarhoz próbafúrás</x:v>
      </x:c>
    </x:row>
    <x:row r="341" ht="34" customHeight="1">
      <x:c r="A341" s="2" t="str">
        <x:v>H0336</x:v>
      </x:c>
      <x:c r="B341" s="2" t="str">
        <x:v>KI12-TV01H-01</x:v>
      </x:c>
      <x:c r="C341" s="2" t="str">
        <x:v>HATLAP_LEC / R14-J022</x:v>
      </x:c>
      <x:c r="D341" s="2" t="n">
        <x:v>1246</x:v>
      </x:c>
      <x:c r="E341" s="2" t="n">
        <x:v>674</x:v>
      </x:c>
      <x:c r="F341" s="2" t="n">
        <x:v>0</x:v>
      </x:c>
      <x:c r="G341" s="2" t="n">
        <x:v>0</x:v>
      </x:c>
      <x:c r="H341" s="2" t="n">
        <x:v>0</x:v>
      </x:c>
      <x:c r="I341" s="2" t="n">
        <x:v>-1</x:v>
      </x:c>
      <x:c r="J341" s="2" t="n">
        <x:v>3.5</x:v>
      </x:c>
      <x:c r="K341" s="2" t="n">
        <x:v>8</x:v>
      </x:c>
      <x:c r="L341" s="2" t="n">
        <x:v>693</x:v>
      </x:c>
      <x:c r="M341" s="2" t="n">
        <x:v>362</x:v>
      </x:c>
      <x:c r="N341" s="2" t="n">
        <x:v>1815</x:v>
      </x:c>
      <x:c r="O341" s="2" t="str">
        <x:v>R14 tervezői kiosztás; tényleges laphoz és csavarhoz próbafúrás</x:v>
      </x:c>
    </x:row>
    <x:row r="342" ht="34" customHeight="1">
      <x:c r="A342" s="2" t="str">
        <x:v>H0337</x:v>
      </x:c>
      <x:c r="B342" s="2" t="str">
        <x:v>KI14-BAT-02</x:v>
      </x:c>
      <x:c r="C342" s="2" t="str">
        <x:v>HATLAP_LEC / R14-J022</x:v>
      </x:c>
      <x:c r="D342" s="2" t="n">
        <x:v>1227</x:v>
      </x:c>
      <x:c r="E342" s="2" t="n">
        <x:v>18</x:v>
      </x:c>
      <x:c r="F342" s="2" t="n">
        <x:v>-9</x:v>
      </x:c>
      <x:c r="G342" s="2" t="n">
        <x:v>0</x:v>
      </x:c>
      <x:c r="H342" s="2" t="n">
        <x:v>-1</x:v>
      </x:c>
      <x:c r="I342" s="2" t="n">
        <x:v>0</x:v>
      </x:c>
      <x:c r="J342" s="2" t="n">
        <x:v>2.5</x:v>
      </x:c>
      <x:c r="K342" s="2" t="n">
        <x:v>12</x:v>
      </x:c>
      <x:c r="L342" s="2" t="n">
        <x:v>693</x:v>
      </x:c>
      <x:c r="M342" s="2" t="n">
        <x:v>354</x:v>
      </x:c>
      <x:c r="N342" s="2" t="n">
        <x:v>1815</x:v>
      </x:c>
      <x:c r="O342" s="2" t="str">
        <x:v>R14 tervezői kiosztás; tényleges laphoz és csavarhoz próbafúrás</x:v>
      </x:c>
    </x:row>
    <x:row r="343" ht="34" customHeight="1">
      <x:c r="A343" s="2" t="str">
        <x:v>H0338</x:v>
      </x:c>
      <x:c r="B343" s="2" t="str">
        <x:v>KI14-BAT-02</x:v>
      </x:c>
      <x:c r="C343" s="2" t="str">
        <x:v>LEC_OLDAL / R14-J023</x:v>
      </x:c>
      <x:c r="D343" s="2" t="n">
        <x:v>1592</x:v>
      </x:c>
      <x:c r="E343" s="2" t="n">
        <x:v>9</x:v>
      </x:c>
      <x:c r="F343" s="2" t="n">
        <x:v>0</x:v>
      </x:c>
      <x:c r="G343" s="2" t="n">
        <x:v>0</x:v>
      </x:c>
      <x:c r="H343" s="2" t="n">
        <x:v>0</x:v>
      </x:c>
      <x:c r="I343" s="2" t="n">
        <x:v>-1</x:v>
      </x:c>
      <x:c r="J343" s="2" t="n">
        <x:v>4</x:v>
      </x:c>
      <x:c r="K343" s="2" t="n">
        <x:v>18</x:v>
      </x:c>
      <x:c r="L343" s="2" t="n">
        <x:v>684</x:v>
      </x:c>
      <x:c r="M343" s="2" t="n">
        <x:v>345</x:v>
      </x:c>
      <x:c r="N343" s="2" t="n">
        <x:v>2180</x:v>
      </x:c>
      <x:c r="O343" s="2" t="str">
        <x:v>R14 tervezői kiosztás; tényleges laphoz és csavarhoz próbafúrás</x:v>
      </x:c>
    </x:row>
    <x:row r="344" ht="34" customHeight="1">
      <x:c r="A344" s="2" t="str">
        <x:v>H0339</x:v>
      </x:c>
      <x:c r="B344" s="2" t="str">
        <x:v>KI12-TV01S-02</x:v>
      </x:c>
      <x:c r="C344" s="2" t="str">
        <x:v>LEC_OLDAL / R14-J023</x:v>
      </x:c>
      <x:c r="D344" s="2" t="n">
        <x:v>1630</x:v>
      </x:c>
      <x:c r="E344" s="2" t="n">
        <x:v>345</x:v>
      </x:c>
      <x:c r="F344" s="2" t="n">
        <x:v>0</x:v>
      </x:c>
      <x:c r="G344" s="2" t="n">
        <x:v>0</x:v>
      </x:c>
      <x:c r="H344" s="2" t="n">
        <x:v>0</x:v>
      </x:c>
      <x:c r="I344" s="2" t="n">
        <x:v>-1</x:v>
      </x:c>
      <x:c r="J344" s="2" t="n">
        <x:v>2.5</x:v>
      </x:c>
      <x:c r="K344" s="2" t="n">
        <x:v>12</x:v>
      </x:c>
      <x:c r="L344" s="2" t="n">
        <x:v>702</x:v>
      </x:c>
      <x:c r="M344" s="2" t="n">
        <x:v>345</x:v>
      </x:c>
      <x:c r="N344" s="2" t="n">
        <x:v>2180</x:v>
      </x:c>
      <x:c r="O344" s="2" t="str">
        <x:v>R14 tervezői kiosztás; tényleges laphoz és csavarhoz próbafúrás</x:v>
      </x:c>
    </x:row>
    <x:row r="345" ht="34" customHeight="1">
      <x:c r="A345" s="2" t="str">
        <x:v>H0340</x:v>
      </x:c>
      <x:c r="B345" s="2" t="str">
        <x:v>KI12-TV01H-01</x:v>
      </x:c>
      <x:c r="C345" s="2" t="str">
        <x:v>HATLAP_LEC / R14-J024</x:v>
      </x:c>
      <x:c r="D345" s="2" t="n">
        <x:v>1626</x:v>
      </x:c>
      <x:c r="E345" s="2" t="n">
        <x:v>674</x:v>
      </x:c>
      <x:c r="F345" s="2" t="n">
        <x:v>0</x:v>
      </x:c>
      <x:c r="G345" s="2" t="n">
        <x:v>0</x:v>
      </x:c>
      <x:c r="H345" s="2" t="n">
        <x:v>0</x:v>
      </x:c>
      <x:c r="I345" s="2" t="n">
        <x:v>-1</x:v>
      </x:c>
      <x:c r="J345" s="2" t="n">
        <x:v>3.5</x:v>
      </x:c>
      <x:c r="K345" s="2" t="n">
        <x:v>8</x:v>
      </x:c>
      <x:c r="L345" s="2" t="n">
        <x:v>693</x:v>
      </x:c>
      <x:c r="M345" s="2" t="n">
        <x:v>362</x:v>
      </x:c>
      <x:c r="N345" s="2" t="n">
        <x:v>2195</x:v>
      </x:c>
      <x:c r="O345" s="2" t="str">
        <x:v>R14 tervezői kiosztás; tényleges laphoz és csavarhoz próbafúrás</x:v>
      </x:c>
    </x:row>
    <x:row r="346" ht="34" customHeight="1">
      <x:c r="A346" s="2" t="str">
        <x:v>H0341</x:v>
      </x:c>
      <x:c r="B346" s="2" t="str">
        <x:v>KI14-BAT-02</x:v>
      </x:c>
      <x:c r="C346" s="2" t="str">
        <x:v>HATLAP_LEC / R14-J024</x:v>
      </x:c>
      <x:c r="D346" s="2" t="n">
        <x:v>1607</x:v>
      </x:c>
      <x:c r="E346" s="2" t="n">
        <x:v>18</x:v>
      </x:c>
      <x:c r="F346" s="2" t="n">
        <x:v>-9</x:v>
      </x:c>
      <x:c r="G346" s="2" t="n">
        <x:v>0</x:v>
      </x:c>
      <x:c r="H346" s="2" t="n">
        <x:v>-1</x:v>
      </x:c>
      <x:c r="I346" s="2" t="n">
        <x:v>0</x:v>
      </x:c>
      <x:c r="J346" s="2" t="n">
        <x:v>2.5</x:v>
      </x:c>
      <x:c r="K346" s="2" t="n">
        <x:v>12</x:v>
      </x:c>
      <x:c r="L346" s="2" t="n">
        <x:v>693</x:v>
      </x:c>
      <x:c r="M346" s="2" t="n">
        <x:v>354</x:v>
      </x:c>
      <x:c r="N346" s="2" t="n">
        <x:v>2195</x:v>
      </x:c>
      <x:c r="O346" s="2" t="str">
        <x:v>R14 tervezői kiosztás; tényleges laphoz és csavarhoz próbafúrás</x:v>
      </x:c>
    </x:row>
    <x:row r="347" ht="34" customHeight="1">
      <x:c r="A347" s="2" t="str">
        <x:v>H0342</x:v>
      </x:c>
      <x:c r="B347" s="2" t="str">
        <x:v>KI14-BAT-02</x:v>
      </x:c>
      <x:c r="C347" s="2" t="str">
        <x:v>LEC_OLDAL / R14-J025</x:v>
      </x:c>
      <x:c r="D347" s="2" t="n">
        <x:v>1972</x:v>
      </x:c>
      <x:c r="E347" s="2" t="n">
        <x:v>9</x:v>
      </x:c>
      <x:c r="F347" s="2" t="n">
        <x:v>0</x:v>
      </x:c>
      <x:c r="G347" s="2" t="n">
        <x:v>0</x:v>
      </x:c>
      <x:c r="H347" s="2" t="n">
        <x:v>0</x:v>
      </x:c>
      <x:c r="I347" s="2" t="n">
        <x:v>-1</x:v>
      </x:c>
      <x:c r="J347" s="2" t="n">
        <x:v>4</x:v>
      </x:c>
      <x:c r="K347" s="2" t="n">
        <x:v>18</x:v>
      </x:c>
      <x:c r="L347" s="2" t="n">
        <x:v>684</x:v>
      </x:c>
      <x:c r="M347" s="2" t="n">
        <x:v>345</x:v>
      </x:c>
      <x:c r="N347" s="2" t="n">
        <x:v>2560</x:v>
      </x:c>
      <x:c r="O347" s="2" t="str">
        <x:v>R14 tervezői kiosztás; tényleges laphoz és csavarhoz próbafúrás</x:v>
      </x:c>
    </x:row>
    <x:row r="348" ht="34" customHeight="1">
      <x:c r="A348" s="2" t="str">
        <x:v>H0343</x:v>
      </x:c>
      <x:c r="B348" s="2" t="str">
        <x:v>KI12-TV01S-02</x:v>
      </x:c>
      <x:c r="C348" s="2" t="str">
        <x:v>LEC_OLDAL / R14-J025</x:v>
      </x:c>
      <x:c r="D348" s="2" t="n">
        <x:v>2010</x:v>
      </x:c>
      <x:c r="E348" s="2" t="n">
        <x:v>345</x:v>
      </x:c>
      <x:c r="F348" s="2" t="n">
        <x:v>0</x:v>
      </x:c>
      <x:c r="G348" s="2" t="n">
        <x:v>0</x:v>
      </x:c>
      <x:c r="H348" s="2" t="n">
        <x:v>0</x:v>
      </x:c>
      <x:c r="I348" s="2" t="n">
        <x:v>-1</x:v>
      </x:c>
      <x:c r="J348" s="2" t="n">
        <x:v>2.5</x:v>
      </x:c>
      <x:c r="K348" s="2" t="n">
        <x:v>12</x:v>
      </x:c>
      <x:c r="L348" s="2" t="n">
        <x:v>702</x:v>
      </x:c>
      <x:c r="M348" s="2" t="n">
        <x:v>345</x:v>
      </x:c>
      <x:c r="N348" s="2" t="n">
        <x:v>2560</x:v>
      </x:c>
      <x:c r="O348" s="2" t="str">
        <x:v>R14 tervezői kiosztás; tényleges laphoz és csavarhoz próbafúrás</x:v>
      </x:c>
    </x:row>
    <x:row r="349" ht="34" customHeight="1">
      <x:c r="A349" s="2" t="str">
        <x:v>H0344</x:v>
      </x:c>
      <x:c r="B349" s="2" t="str">
        <x:v>KI12-TV01H-01</x:v>
      </x:c>
      <x:c r="C349" s="2" t="str">
        <x:v>HATLAP_LEC / R14-J026</x:v>
      </x:c>
      <x:c r="D349" s="2" t="n">
        <x:v>2006</x:v>
      </x:c>
      <x:c r="E349" s="2" t="n">
        <x:v>674</x:v>
      </x:c>
      <x:c r="F349" s="2" t="n">
        <x:v>0</x:v>
      </x:c>
      <x:c r="G349" s="2" t="n">
        <x:v>0</x:v>
      </x:c>
      <x:c r="H349" s="2" t="n">
        <x:v>0</x:v>
      </x:c>
      <x:c r="I349" s="2" t="n">
        <x:v>-1</x:v>
      </x:c>
      <x:c r="J349" s="2" t="n">
        <x:v>3.5</x:v>
      </x:c>
      <x:c r="K349" s="2" t="n">
        <x:v>8</x:v>
      </x:c>
      <x:c r="L349" s="2" t="n">
        <x:v>693</x:v>
      </x:c>
      <x:c r="M349" s="2" t="n">
        <x:v>362</x:v>
      </x:c>
      <x:c r="N349" s="2" t="n">
        <x:v>2575</x:v>
      </x:c>
      <x:c r="O349" s="2" t="str">
        <x:v>R14 tervezői kiosztás; tényleges laphoz és csavarhoz próbafúrás</x:v>
      </x:c>
    </x:row>
    <x:row r="350" ht="34" customHeight="1">
      <x:c r="A350" s="2" t="str">
        <x:v>H0345</x:v>
      </x:c>
      <x:c r="B350" s="2" t="str">
        <x:v>KI14-BAT-02</x:v>
      </x:c>
      <x:c r="C350" s="2" t="str">
        <x:v>HATLAP_LEC / R14-J026</x:v>
      </x:c>
      <x:c r="D350" s="2" t="n">
        <x:v>1987</x:v>
      </x:c>
      <x:c r="E350" s="2" t="n">
        <x:v>18</x:v>
      </x:c>
      <x:c r="F350" s="2" t="n">
        <x:v>-9</x:v>
      </x:c>
      <x:c r="G350" s="2" t="n">
        <x:v>0</x:v>
      </x:c>
      <x:c r="H350" s="2" t="n">
        <x:v>-1</x:v>
      </x:c>
      <x:c r="I350" s="2" t="n">
        <x:v>0</x:v>
      </x:c>
      <x:c r="J350" s="2" t="n">
        <x:v>2.5</x:v>
      </x:c>
      <x:c r="K350" s="2" t="n">
        <x:v>12</x:v>
      </x:c>
      <x:c r="L350" s="2" t="n">
        <x:v>693</x:v>
      </x:c>
      <x:c r="M350" s="2" t="n">
        <x:v>354</x:v>
      </x:c>
      <x:c r="N350" s="2" t="n">
        <x:v>2575</x:v>
      </x:c>
      <x:c r="O350" s="2" t="str">
        <x:v>R14 tervezői kiosztás; tényleges laphoz és csavarhoz próbafúrás</x:v>
      </x:c>
    </x:row>
    <x:row r="351" ht="34" customHeight="1">
      <x:c r="A351" s="2" t="str">
        <x:v>H0346</x:v>
      </x:c>
      <x:c r="B351" s="2" t="str">
        <x:v>KI14-BAT-02</x:v>
      </x:c>
      <x:c r="C351" s="2" t="str">
        <x:v>LEC_OLDAL / R14-J027</x:v>
      </x:c>
      <x:c r="D351" s="2" t="n">
        <x:v>2112</x:v>
      </x:c>
      <x:c r="E351" s="2" t="n">
        <x:v>9</x:v>
      </x:c>
      <x:c r="F351" s="2" t="n">
        <x:v>0</x:v>
      </x:c>
      <x:c r="G351" s="2" t="n">
        <x:v>0</x:v>
      </x:c>
      <x:c r="H351" s="2" t="n">
        <x:v>0</x:v>
      </x:c>
      <x:c r="I351" s="2" t="n">
        <x:v>-1</x:v>
      </x:c>
      <x:c r="J351" s="2" t="n">
        <x:v>4</x:v>
      </x:c>
      <x:c r="K351" s="2" t="n">
        <x:v>18</x:v>
      </x:c>
      <x:c r="L351" s="2" t="n">
        <x:v>684</x:v>
      </x:c>
      <x:c r="M351" s="2" t="n">
        <x:v>345</x:v>
      </x:c>
      <x:c r="N351" s="2" t="n">
        <x:v>2700</x:v>
      </x:c>
      <x:c r="O351" s="2" t="str">
        <x:v>R14 tervezői kiosztás; tényleges laphoz és csavarhoz próbafúrás</x:v>
      </x:c>
    </x:row>
    <x:row r="352" ht="34" customHeight="1">
      <x:c r="A352" s="2" t="str">
        <x:v>H0347</x:v>
      </x:c>
      <x:c r="B352" s="2" t="str">
        <x:v>KI12-TV01S-02</x:v>
      </x:c>
      <x:c r="C352" s="2" t="str">
        <x:v>LEC_OLDAL / R14-J027</x:v>
      </x:c>
      <x:c r="D352" s="2" t="n">
        <x:v>2150</x:v>
      </x:c>
      <x:c r="E352" s="2" t="n">
        <x:v>345</x:v>
      </x:c>
      <x:c r="F352" s="2" t="n">
        <x:v>0</x:v>
      </x:c>
      <x:c r="G352" s="2" t="n">
        <x:v>0</x:v>
      </x:c>
      <x:c r="H352" s="2" t="n">
        <x:v>0</x:v>
      </x:c>
      <x:c r="I352" s="2" t="n">
        <x:v>-1</x:v>
      </x:c>
      <x:c r="J352" s="2" t="n">
        <x:v>2.5</x:v>
      </x:c>
      <x:c r="K352" s="2" t="n">
        <x:v>12</x:v>
      </x:c>
      <x:c r="L352" s="2" t="n">
        <x:v>702</x:v>
      </x:c>
      <x:c r="M352" s="2" t="n">
        <x:v>345</x:v>
      </x:c>
      <x:c r="N352" s="2" t="n">
        <x:v>2700</x:v>
      </x:c>
      <x:c r="O352" s="2" t="str">
        <x:v>R14 tervezői kiosztás; tényleges laphoz és csavarhoz próbafúrás</x:v>
      </x:c>
    </x:row>
    <x:row r="353" ht="34" customHeight="1">
      <x:c r="A353" s="2" t="str">
        <x:v>H0348</x:v>
      </x:c>
      <x:c r="B353" s="2" t="str">
        <x:v>KI12-TV01H-01</x:v>
      </x:c>
      <x:c r="C353" s="2" t="str">
        <x:v>HATLAP_LEC / R14-J028</x:v>
      </x:c>
      <x:c r="D353" s="2" t="n">
        <x:v>2146</x:v>
      </x:c>
      <x:c r="E353" s="2" t="n">
        <x:v>674</x:v>
      </x:c>
      <x:c r="F353" s="2" t="n">
        <x:v>0</x:v>
      </x:c>
      <x:c r="G353" s="2" t="n">
        <x:v>0</x:v>
      </x:c>
      <x:c r="H353" s="2" t="n">
        <x:v>0</x:v>
      </x:c>
      <x:c r="I353" s="2" t="n">
        <x:v>-1</x:v>
      </x:c>
      <x:c r="J353" s="2" t="n">
        <x:v>3.5</x:v>
      </x:c>
      <x:c r="K353" s="2" t="n">
        <x:v>8</x:v>
      </x:c>
      <x:c r="L353" s="2" t="n">
        <x:v>693</x:v>
      </x:c>
      <x:c r="M353" s="2" t="n">
        <x:v>362</x:v>
      </x:c>
      <x:c r="N353" s="2" t="n">
        <x:v>2715</x:v>
      </x:c>
      <x:c r="O353" s="2" t="str">
        <x:v>R14 tervezői kiosztás; tényleges laphoz és csavarhoz próbafúrás</x:v>
      </x:c>
    </x:row>
    <x:row r="354" ht="34" customHeight="1">
      <x:c r="A354" s="2" t="str">
        <x:v>H0349</x:v>
      </x:c>
      <x:c r="B354" s="2" t="str">
        <x:v>KI14-BAT-02</x:v>
      </x:c>
      <x:c r="C354" s="2" t="str">
        <x:v>HATLAP_LEC / R14-J028</x:v>
      </x:c>
      <x:c r="D354" s="2" t="n">
        <x:v>2127</x:v>
      </x:c>
      <x:c r="E354" s="2" t="n">
        <x:v>18</x:v>
      </x:c>
      <x:c r="F354" s="2" t="n">
        <x:v>-9</x:v>
      </x:c>
      <x:c r="G354" s="2" t="n">
        <x:v>0</x:v>
      </x:c>
      <x:c r="H354" s="2" t="n">
        <x:v>-1</x:v>
      </x:c>
      <x:c r="I354" s="2" t="n">
        <x:v>0</x:v>
      </x:c>
      <x:c r="J354" s="2" t="n">
        <x:v>2.5</x:v>
      </x:c>
      <x:c r="K354" s="2" t="n">
        <x:v>12</x:v>
      </x:c>
      <x:c r="L354" s="2" t="n">
        <x:v>693</x:v>
      </x:c>
      <x:c r="M354" s="2" t="n">
        <x:v>354</x:v>
      </x:c>
      <x:c r="N354" s="2" t="n">
        <x:v>2715</x:v>
      </x:c>
      <x:c r="O354" s="2" t="str">
        <x:v>R14 tervezői kiosztás; tényleges laphoz és csavarhoz próbafúrás</x:v>
      </x:c>
    </x:row>
    <x:row r="355" ht="34" customHeight="1">
      <x:c r="A355" s="2" t="str">
        <x:v>H0350</x:v>
      </x:c>
      <x:c r="B355" s="2" t="str">
        <x:v>KI14-BAT-03</x:v>
      </x:c>
      <x:c r="C355" s="2" t="str">
        <x:v>LEC_OLDAL / R14-J029</x:v>
      </x:c>
      <x:c r="D355" s="2" t="n">
        <x:v>22</x:v>
      </x:c>
      <x:c r="E355" s="2" t="n">
        <x:v>9</x:v>
      </x:c>
      <x:c r="F355" s="2" t="n">
        <x:v>-18</x:v>
      </x:c>
      <x:c r="G355" s="2" t="n">
        <x:v>0</x:v>
      </x:c>
      <x:c r="H355" s="2" t="n">
        <x:v>0</x:v>
      </x:c>
      <x:c r="I355" s="2" t="n">
        <x:v>1</x:v>
      </x:c>
      <x:c r="J355" s="2" t="n">
        <x:v>4</x:v>
      </x:c>
      <x:c r="K355" s="2" t="n">
        <x:v>18</x:v>
      </x:c>
      <x:c r="L355" s="2" t="n">
        <x:v>36</x:v>
      </x:c>
      <x:c r="M355" s="2" t="n">
        <x:v>345</x:v>
      </x:c>
      <x:c r="N355" s="2" t="n">
        <x:v>210</x:v>
      </x:c>
      <x:c r="O355" s="2" t="str">
        <x:v>R14 tervezői kiosztás; tényleges laphoz és csavarhoz próbafúrás</x:v>
      </x:c>
    </x:row>
    <x:row r="356" ht="34" customHeight="1">
      <x:c r="A356" s="2" t="str">
        <x:v>H0351</x:v>
      </x:c>
      <x:c r="B356" s="2" t="str">
        <x:v>KI12-TV02S-01</x:v>
      </x:c>
      <x:c r="C356" s="2" t="str">
        <x:v>LEC_OLDAL / R14-J029</x:v>
      </x:c>
      <x:c r="D356" s="2" t="n">
        <x:v>60</x:v>
      </x:c>
      <x:c r="E356" s="2" t="n">
        <x:v>345</x:v>
      </x:c>
      <x:c r="F356" s="2" t="n">
        <x:v>-18</x:v>
      </x:c>
      <x:c r="G356" s="2" t="n">
        <x:v>0</x:v>
      </x:c>
      <x:c r="H356" s="2" t="n">
        <x:v>0</x:v>
      </x:c>
      <x:c r="I356" s="2" t="n">
        <x:v>1</x:v>
      </x:c>
      <x:c r="J356" s="2" t="n">
        <x:v>2.5</x:v>
      </x:c>
      <x:c r="K356" s="2" t="n">
        <x:v>12</x:v>
      </x:c>
      <x:c r="L356" s="2" t="n">
        <x:v>18</x:v>
      </x:c>
      <x:c r="M356" s="2" t="n">
        <x:v>345</x:v>
      </x:c>
      <x:c r="N356" s="2" t="n">
        <x:v>210</x:v>
      </x:c>
      <x:c r="O356" s="2" t="str">
        <x:v>R14 tervezői kiosztás; tényleges laphoz és csavarhoz próbafúrás</x:v>
      </x:c>
    </x:row>
    <x:row r="357" ht="34" customHeight="1">
      <x:c r="A357" s="2" t="str">
        <x:v>H0352</x:v>
      </x:c>
      <x:c r="B357" s="2" t="str">
        <x:v>KI12-TV02H1-01</x:v>
      </x:c>
      <x:c r="C357" s="2" t="str">
        <x:v>HATLAP_LEC / R14-J030</x:v>
      </x:c>
      <x:c r="D357" s="2" t="n">
        <x:v>674</x:v>
      </x:c>
      <x:c r="E357" s="2" t="n">
        <x:v>56</x:v>
      </x:c>
      <x:c r="F357" s="2" t="n">
        <x:v>0</x:v>
      </x:c>
      <x:c r="G357" s="2" t="n">
        <x:v>0</x:v>
      </x:c>
      <x:c r="H357" s="2" t="n">
        <x:v>0</x:v>
      </x:c>
      <x:c r="I357" s="2" t="n">
        <x:v>-1</x:v>
      </x:c>
      <x:c r="J357" s="2" t="n">
        <x:v>3.5</x:v>
      </x:c>
      <x:c r="K357" s="2" t="n">
        <x:v>8</x:v>
      </x:c>
      <x:c r="L357" s="2" t="n">
        <x:v>27</x:v>
      </x:c>
      <x:c r="M357" s="2" t="n">
        <x:v>362</x:v>
      </x:c>
      <x:c r="N357" s="2" t="n">
        <x:v>225</x:v>
      </x:c>
      <x:c r="O357" s="2" t="str">
        <x:v>R14 tervezői kiosztás; tényleges laphoz és csavarhoz próbafúrás</x:v>
      </x:c>
    </x:row>
    <x:row r="358" ht="34" customHeight="1">
      <x:c r="A358" s="2" t="str">
        <x:v>H0353</x:v>
      </x:c>
      <x:c r="B358" s="2" t="str">
        <x:v>KI14-BAT-03</x:v>
      </x:c>
      <x:c r="C358" s="2" t="str">
        <x:v>HATLAP_LEC / R14-J030</x:v>
      </x:c>
      <x:c r="D358" s="2" t="n">
        <x:v>37</x:v>
      </x:c>
      <x:c r="E358" s="2" t="n">
        <x:v>18</x:v>
      </x:c>
      <x:c r="F358" s="2" t="n">
        <x:v>-9</x:v>
      </x:c>
      <x:c r="G358" s="2" t="n">
        <x:v>0</x:v>
      </x:c>
      <x:c r="H358" s="2" t="n">
        <x:v>-1</x:v>
      </x:c>
      <x:c r="I358" s="2" t="n">
        <x:v>0</x:v>
      </x:c>
      <x:c r="J358" s="2" t="n">
        <x:v>2.5</x:v>
      </x:c>
      <x:c r="K358" s="2" t="n">
        <x:v>12</x:v>
      </x:c>
      <x:c r="L358" s="2" t="n">
        <x:v>27</x:v>
      </x:c>
      <x:c r="M358" s="2" t="n">
        <x:v>354</x:v>
      </x:c>
      <x:c r="N358" s="2" t="n">
        <x:v>225</x:v>
      </x:c>
      <x:c r="O358" s="2" t="str">
        <x:v>R14 tervezői kiosztás; tényleges laphoz és csavarhoz próbafúrás</x:v>
      </x:c>
    </x:row>
    <x:row r="359" ht="34" customHeight="1">
      <x:c r="A359" s="2" t="str">
        <x:v>H0354</x:v>
      </x:c>
      <x:c r="B359" s="2" t="str">
        <x:v>KI14-BAT-03</x:v>
      </x:c>
      <x:c r="C359" s="2" t="str">
        <x:v>LEC_OLDAL / R14-J031</x:v>
      </x:c>
      <x:c r="D359" s="2" t="n">
        <x:v>102</x:v>
      </x:c>
      <x:c r="E359" s="2" t="n">
        <x:v>9</x:v>
      </x:c>
      <x:c r="F359" s="2" t="n">
        <x:v>-18</x:v>
      </x:c>
      <x:c r="G359" s="2" t="n">
        <x:v>0</x:v>
      </x:c>
      <x:c r="H359" s="2" t="n">
        <x:v>0</x:v>
      </x:c>
      <x:c r="I359" s="2" t="n">
        <x:v>1</x:v>
      </x:c>
      <x:c r="J359" s="2" t="n">
        <x:v>4</x:v>
      </x:c>
      <x:c r="K359" s="2" t="n">
        <x:v>18</x:v>
      </x:c>
      <x:c r="L359" s="2" t="n">
        <x:v>36</x:v>
      </x:c>
      <x:c r="M359" s="2" t="n">
        <x:v>345</x:v>
      </x:c>
      <x:c r="N359" s="2" t="n">
        <x:v>290</x:v>
      </x:c>
      <x:c r="O359" s="2" t="str">
        <x:v>R14 tervezői kiosztás; tényleges laphoz és csavarhoz próbafúrás</x:v>
      </x:c>
    </x:row>
    <x:row r="360" ht="34" customHeight="1">
      <x:c r="A360" s="2" t="str">
        <x:v>H0355</x:v>
      </x:c>
      <x:c r="B360" s="2" t="str">
        <x:v>KI12-TV02S-01</x:v>
      </x:c>
      <x:c r="C360" s="2" t="str">
        <x:v>LEC_OLDAL / R14-J031</x:v>
      </x:c>
      <x:c r="D360" s="2" t="n">
        <x:v>140</x:v>
      </x:c>
      <x:c r="E360" s="2" t="n">
        <x:v>345</x:v>
      </x:c>
      <x:c r="F360" s="2" t="n">
        <x:v>-18</x:v>
      </x:c>
      <x:c r="G360" s="2" t="n">
        <x:v>0</x:v>
      </x:c>
      <x:c r="H360" s="2" t="n">
        <x:v>0</x:v>
      </x:c>
      <x:c r="I360" s="2" t="n">
        <x:v>1</x:v>
      </x:c>
      <x:c r="J360" s="2" t="n">
        <x:v>2.5</x:v>
      </x:c>
      <x:c r="K360" s="2" t="n">
        <x:v>12</x:v>
      </x:c>
      <x:c r="L360" s="2" t="n">
        <x:v>18</x:v>
      </x:c>
      <x:c r="M360" s="2" t="n">
        <x:v>345</x:v>
      </x:c>
      <x:c r="N360" s="2" t="n">
        <x:v>290</x:v>
      </x:c>
      <x:c r="O360" s="2" t="str">
        <x:v>R14 tervezői kiosztás; tényleges laphoz és csavarhoz próbafúrás</x:v>
      </x:c>
    </x:row>
    <x:row r="361" ht="34" customHeight="1">
      <x:c r="A361" s="2" t="str">
        <x:v>H0356</x:v>
      </x:c>
      <x:c r="B361" s="2" t="str">
        <x:v>KI12-TV02H1-01</x:v>
      </x:c>
      <x:c r="C361" s="2" t="str">
        <x:v>HATLAP_LEC / R14-J032</x:v>
      </x:c>
      <x:c r="D361" s="2" t="n">
        <x:v>674</x:v>
      </x:c>
      <x:c r="E361" s="2" t="n">
        <x:v>136</x:v>
      </x:c>
      <x:c r="F361" s="2" t="n">
        <x:v>0</x:v>
      </x:c>
      <x:c r="G361" s="2" t="n">
        <x:v>0</x:v>
      </x:c>
      <x:c r="H361" s="2" t="n">
        <x:v>0</x:v>
      </x:c>
      <x:c r="I361" s="2" t="n">
        <x:v>-1</x:v>
      </x:c>
      <x:c r="J361" s="2" t="n">
        <x:v>3.5</x:v>
      </x:c>
      <x:c r="K361" s="2" t="n">
        <x:v>8</x:v>
      </x:c>
      <x:c r="L361" s="2" t="n">
        <x:v>27</x:v>
      </x:c>
      <x:c r="M361" s="2" t="n">
        <x:v>362</x:v>
      </x:c>
      <x:c r="N361" s="2" t="n">
        <x:v>305</x:v>
      </x:c>
      <x:c r="O361" s="2" t="str">
        <x:v>R14 tervezői kiosztás; tényleges laphoz és csavarhoz próbafúrás</x:v>
      </x:c>
    </x:row>
    <x:row r="362" ht="34" customHeight="1">
      <x:c r="A362" s="2" t="str">
        <x:v>H0357</x:v>
      </x:c>
      <x:c r="B362" s="2" t="str">
        <x:v>KI14-BAT-03</x:v>
      </x:c>
      <x:c r="C362" s="2" t="str">
        <x:v>HATLAP_LEC / R14-J032</x:v>
      </x:c>
      <x:c r="D362" s="2" t="n">
        <x:v>117</x:v>
      </x:c>
      <x:c r="E362" s="2" t="n">
        <x:v>18</x:v>
      </x:c>
      <x:c r="F362" s="2" t="n">
        <x:v>-9</x:v>
      </x:c>
      <x:c r="G362" s="2" t="n">
        <x:v>0</x:v>
      </x:c>
      <x:c r="H362" s="2" t="n">
        <x:v>-1</x:v>
      </x:c>
      <x:c r="I362" s="2" t="n">
        <x:v>0</x:v>
      </x:c>
      <x:c r="J362" s="2" t="n">
        <x:v>2.5</x:v>
      </x:c>
      <x:c r="K362" s="2" t="n">
        <x:v>12</x:v>
      </x:c>
      <x:c r="L362" s="2" t="n">
        <x:v>27</x:v>
      </x:c>
      <x:c r="M362" s="2" t="n">
        <x:v>354</x:v>
      </x:c>
      <x:c r="N362" s="2" t="n">
        <x:v>305</x:v>
      </x:c>
      <x:c r="O362" s="2" t="str">
        <x:v>R14 tervezői kiosztás; tényleges laphoz és csavarhoz próbafúrás</x:v>
      </x:c>
    </x:row>
    <x:row r="363" ht="34" customHeight="1">
      <x:c r="A363" s="2" t="str">
        <x:v>H0358</x:v>
      </x:c>
      <x:c r="B363" s="2" t="str">
        <x:v>KI14-BAT-03</x:v>
      </x:c>
      <x:c r="C363" s="2" t="str">
        <x:v>LEC_OLDAL / R14-J033</x:v>
      </x:c>
      <x:c r="D363" s="2" t="n">
        <x:v>182</x:v>
      </x:c>
      <x:c r="E363" s="2" t="n">
        <x:v>9</x:v>
      </x:c>
      <x:c r="F363" s="2" t="n">
        <x:v>-18</x:v>
      </x:c>
      <x:c r="G363" s="2" t="n">
        <x:v>0</x:v>
      </x:c>
      <x:c r="H363" s="2" t="n">
        <x:v>0</x:v>
      </x:c>
      <x:c r="I363" s="2" t="n">
        <x:v>1</x:v>
      </x:c>
      <x:c r="J363" s="2" t="n">
        <x:v>4</x:v>
      </x:c>
      <x:c r="K363" s="2" t="n">
        <x:v>18</x:v>
      </x:c>
      <x:c r="L363" s="2" t="n">
        <x:v>36</x:v>
      </x:c>
      <x:c r="M363" s="2" t="n">
        <x:v>345</x:v>
      </x:c>
      <x:c r="N363" s="2" t="n">
        <x:v>370</x:v>
      </x:c>
      <x:c r="O363" s="2" t="str">
        <x:v>R14 tervezői kiosztás; tényleges laphoz és csavarhoz próbafúrás</x:v>
      </x:c>
    </x:row>
    <x:row r="364" ht="34" customHeight="1">
      <x:c r="A364" s="2" t="str">
        <x:v>H0359</x:v>
      </x:c>
      <x:c r="B364" s="2" t="str">
        <x:v>KI12-TV02S-01</x:v>
      </x:c>
      <x:c r="C364" s="2" t="str">
        <x:v>LEC_OLDAL / R14-J033</x:v>
      </x:c>
      <x:c r="D364" s="2" t="n">
        <x:v>220</x:v>
      </x:c>
      <x:c r="E364" s="2" t="n">
        <x:v>345</x:v>
      </x:c>
      <x:c r="F364" s="2" t="n">
        <x:v>-18</x:v>
      </x:c>
      <x:c r="G364" s="2" t="n">
        <x:v>0</x:v>
      </x:c>
      <x:c r="H364" s="2" t="n">
        <x:v>0</x:v>
      </x:c>
      <x:c r="I364" s="2" t="n">
        <x:v>1</x:v>
      </x:c>
      <x:c r="J364" s="2" t="n">
        <x:v>2.5</x:v>
      </x:c>
      <x:c r="K364" s="2" t="n">
        <x:v>12</x:v>
      </x:c>
      <x:c r="L364" s="2" t="n">
        <x:v>18</x:v>
      </x:c>
      <x:c r="M364" s="2" t="n">
        <x:v>345</x:v>
      </x:c>
      <x:c r="N364" s="2" t="n">
        <x:v>370</x:v>
      </x:c>
      <x:c r="O364" s="2" t="str">
        <x:v>R14 tervezői kiosztás; tényleges laphoz és csavarhoz próbafúrás</x:v>
      </x:c>
    </x:row>
    <x:row r="365" ht="34" customHeight="1">
      <x:c r="A365" s="2" t="str">
        <x:v>H0360</x:v>
      </x:c>
      <x:c r="B365" s="2" t="str">
        <x:v>KI12-TV02H1-01</x:v>
      </x:c>
      <x:c r="C365" s="2" t="str">
        <x:v>HATLAP_LEC / R14-J034</x:v>
      </x:c>
      <x:c r="D365" s="2" t="n">
        <x:v>674</x:v>
      </x:c>
      <x:c r="E365" s="2" t="n">
        <x:v>216</x:v>
      </x:c>
      <x:c r="F365" s="2" t="n">
        <x:v>0</x:v>
      </x:c>
      <x:c r="G365" s="2" t="n">
        <x:v>0</x:v>
      </x:c>
      <x:c r="H365" s="2" t="n">
        <x:v>0</x:v>
      </x:c>
      <x:c r="I365" s="2" t="n">
        <x:v>-1</x:v>
      </x:c>
      <x:c r="J365" s="2" t="n">
        <x:v>3.5</x:v>
      </x:c>
      <x:c r="K365" s="2" t="n">
        <x:v>8</x:v>
      </x:c>
      <x:c r="L365" s="2" t="n">
        <x:v>27</x:v>
      </x:c>
      <x:c r="M365" s="2" t="n">
        <x:v>362</x:v>
      </x:c>
      <x:c r="N365" s="2" t="n">
        <x:v>385</x:v>
      </x:c>
      <x:c r="O365" s="2" t="str">
        <x:v>R14 tervezői kiosztás; tényleges laphoz és csavarhoz próbafúrás</x:v>
      </x:c>
    </x:row>
    <x:row r="366" ht="34" customHeight="1">
      <x:c r="A366" s="2" t="str">
        <x:v>H0361</x:v>
      </x:c>
      <x:c r="B366" s="2" t="str">
        <x:v>KI14-BAT-03</x:v>
      </x:c>
      <x:c r="C366" s="2" t="str">
        <x:v>HATLAP_LEC / R14-J034</x:v>
      </x:c>
      <x:c r="D366" s="2" t="n">
        <x:v>197</x:v>
      </x:c>
      <x:c r="E366" s="2" t="n">
        <x:v>18</x:v>
      </x:c>
      <x:c r="F366" s="2" t="n">
        <x:v>-9</x:v>
      </x:c>
      <x:c r="G366" s="2" t="n">
        <x:v>0</x:v>
      </x:c>
      <x:c r="H366" s="2" t="n">
        <x:v>-1</x:v>
      </x:c>
      <x:c r="I366" s="2" t="n">
        <x:v>0</x:v>
      </x:c>
      <x:c r="J366" s="2" t="n">
        <x:v>2.5</x:v>
      </x:c>
      <x:c r="K366" s="2" t="n">
        <x:v>12</x:v>
      </x:c>
      <x:c r="L366" s="2" t="n">
        <x:v>27</x:v>
      </x:c>
      <x:c r="M366" s="2" t="n">
        <x:v>354</x:v>
      </x:c>
      <x:c r="N366" s="2" t="n">
        <x:v>385</x:v>
      </x:c>
      <x:c r="O366" s="2" t="str">
        <x:v>R14 tervezői kiosztás; tényleges laphoz és csavarhoz próbafúrás</x:v>
      </x:c>
    </x:row>
    <x:row r="367" ht="34" customHeight="1">
      <x:c r="A367" s="2" t="str">
        <x:v>H0362</x:v>
      </x:c>
      <x:c r="B367" s="2" t="str">
        <x:v>KI14-BAT-04</x:v>
      </x:c>
      <x:c r="C367" s="2" t="str">
        <x:v>LEC_OLDAL / R14-J035</x:v>
      </x:c>
      <x:c r="D367" s="2" t="n">
        <x:v>22</x:v>
      </x:c>
      <x:c r="E367" s="2" t="n">
        <x:v>9</x:v>
      </x:c>
      <x:c r="F367" s="2" t="n">
        <x:v>0</x:v>
      </x:c>
      <x:c r="G367" s="2" t="n">
        <x:v>0</x:v>
      </x:c>
      <x:c r="H367" s="2" t="n">
        <x:v>0</x:v>
      </x:c>
      <x:c r="I367" s="2" t="n">
        <x:v>-1</x:v>
      </x:c>
      <x:c r="J367" s="2" t="n">
        <x:v>4</x:v>
      </x:c>
      <x:c r="K367" s="2" t="n">
        <x:v>18</x:v>
      </x:c>
      <x:c r="L367" s="2" t="n">
        <x:v>684</x:v>
      </x:c>
      <x:c r="M367" s="2" t="n">
        <x:v>345</x:v>
      </x:c>
      <x:c r="N367" s="2" t="n">
        <x:v>210</x:v>
      </x:c>
      <x:c r="O367" s="2" t="str">
        <x:v>R14 tervezői kiosztás; tényleges laphoz és csavarhoz próbafúrás</x:v>
      </x:c>
    </x:row>
    <x:row r="368" ht="34" customHeight="1">
      <x:c r="A368" s="2" t="str">
        <x:v>H0363</x:v>
      </x:c>
      <x:c r="B368" s="2" t="str">
        <x:v>KI12-TV02S-02</x:v>
      </x:c>
      <x:c r="C368" s="2" t="str">
        <x:v>LEC_OLDAL / R14-J035</x:v>
      </x:c>
      <x:c r="D368" s="2" t="n">
        <x:v>60</x:v>
      </x:c>
      <x:c r="E368" s="2" t="n">
        <x:v>345</x:v>
      </x:c>
      <x:c r="F368" s="2" t="n">
        <x:v>0</x:v>
      </x:c>
      <x:c r="G368" s="2" t="n">
        <x:v>0</x:v>
      </x:c>
      <x:c r="H368" s="2" t="n">
        <x:v>0</x:v>
      </x:c>
      <x:c r="I368" s="2" t="n">
        <x:v>-1</x:v>
      </x:c>
      <x:c r="J368" s="2" t="n">
        <x:v>2.5</x:v>
      </x:c>
      <x:c r="K368" s="2" t="n">
        <x:v>12</x:v>
      </x:c>
      <x:c r="L368" s="2" t="n">
        <x:v>702</x:v>
      </x:c>
      <x:c r="M368" s="2" t="n">
        <x:v>345</x:v>
      </x:c>
      <x:c r="N368" s="2" t="n">
        <x:v>210</x:v>
      </x:c>
      <x:c r="O368" s="2" t="str">
        <x:v>R14 tervezői kiosztás; tényleges laphoz és csavarhoz próbafúrás</x:v>
      </x:c>
    </x:row>
    <x:row r="369" ht="34" customHeight="1">
      <x:c r="A369" s="2" t="str">
        <x:v>H0364</x:v>
      </x:c>
      <x:c r="B369" s="2" t="str">
        <x:v>KI12-TV02H1-01</x:v>
      </x:c>
      <x:c r="C369" s="2" t="str">
        <x:v>HATLAP_LEC / R14-J036</x:v>
      </x:c>
      <x:c r="D369" s="2" t="n">
        <x:v>8</x:v>
      </x:c>
      <x:c r="E369" s="2" t="n">
        <x:v>56</x:v>
      </x:c>
      <x:c r="F369" s="2" t="n">
        <x:v>0</x:v>
      </x:c>
      <x:c r="G369" s="2" t="n">
        <x:v>0</x:v>
      </x:c>
      <x:c r="H369" s="2" t="n">
        <x:v>0</x:v>
      </x:c>
      <x:c r="I369" s="2" t="n">
        <x:v>-1</x:v>
      </x:c>
      <x:c r="J369" s="2" t="n">
        <x:v>3.5</x:v>
      </x:c>
      <x:c r="K369" s="2" t="n">
        <x:v>8</x:v>
      </x:c>
      <x:c r="L369" s="2" t="n">
        <x:v>693</x:v>
      </x:c>
      <x:c r="M369" s="2" t="n">
        <x:v>362</x:v>
      </x:c>
      <x:c r="N369" s="2" t="n">
        <x:v>225</x:v>
      </x:c>
      <x:c r="O369" s="2" t="str">
        <x:v>R14 tervezői kiosztás; tényleges laphoz és csavarhoz próbafúrás</x:v>
      </x:c>
    </x:row>
    <x:row r="370" ht="34" customHeight="1">
      <x:c r="A370" s="2" t="str">
        <x:v>H0365</x:v>
      </x:c>
      <x:c r="B370" s="2" t="str">
        <x:v>KI14-BAT-04</x:v>
      </x:c>
      <x:c r="C370" s="2" t="str">
        <x:v>HATLAP_LEC / R14-J036</x:v>
      </x:c>
      <x:c r="D370" s="2" t="n">
        <x:v>37</x:v>
      </x:c>
      <x:c r="E370" s="2" t="n">
        <x:v>18</x:v>
      </x:c>
      <x:c r="F370" s="2" t="n">
        <x:v>-9</x:v>
      </x:c>
      <x:c r="G370" s="2" t="n">
        <x:v>0</x:v>
      </x:c>
      <x:c r="H370" s="2" t="n">
        <x:v>-1</x:v>
      </x:c>
      <x:c r="I370" s="2" t="n">
        <x:v>0</x:v>
      </x:c>
      <x:c r="J370" s="2" t="n">
        <x:v>2.5</x:v>
      </x:c>
      <x:c r="K370" s="2" t="n">
        <x:v>12</x:v>
      </x:c>
      <x:c r="L370" s="2" t="n">
        <x:v>693</x:v>
      </x:c>
      <x:c r="M370" s="2" t="n">
        <x:v>354</x:v>
      </x:c>
      <x:c r="N370" s="2" t="n">
        <x:v>225</x:v>
      </x:c>
      <x:c r="O370" s="2" t="str">
        <x:v>R14 tervezői kiosztás; tényleges laphoz és csavarhoz próbafúrás</x:v>
      </x:c>
    </x:row>
    <x:row r="371" ht="34" customHeight="1">
      <x:c r="A371" s="2" t="str">
        <x:v>H0366</x:v>
      </x:c>
      <x:c r="B371" s="2" t="str">
        <x:v>KI14-BAT-04</x:v>
      </x:c>
      <x:c r="C371" s="2" t="str">
        <x:v>LEC_OLDAL / R14-J037</x:v>
      </x:c>
      <x:c r="D371" s="2" t="n">
        <x:v>102</x:v>
      </x:c>
      <x:c r="E371" s="2" t="n">
        <x:v>9</x:v>
      </x:c>
      <x:c r="F371" s="2" t="n">
        <x:v>0</x:v>
      </x:c>
      <x:c r="G371" s="2" t="n">
        <x:v>0</x:v>
      </x:c>
      <x:c r="H371" s="2" t="n">
        <x:v>0</x:v>
      </x:c>
      <x:c r="I371" s="2" t="n">
        <x:v>-1</x:v>
      </x:c>
      <x:c r="J371" s="2" t="n">
        <x:v>4</x:v>
      </x:c>
      <x:c r="K371" s="2" t="n">
        <x:v>18</x:v>
      </x:c>
      <x:c r="L371" s="2" t="n">
        <x:v>684</x:v>
      </x:c>
      <x:c r="M371" s="2" t="n">
        <x:v>345</x:v>
      </x:c>
      <x:c r="N371" s="2" t="n">
        <x:v>290</x:v>
      </x:c>
      <x:c r="O371" s="2" t="str">
        <x:v>R14 tervezői kiosztás; tényleges laphoz és csavarhoz próbafúrás</x:v>
      </x:c>
    </x:row>
    <x:row r="372" ht="34" customHeight="1">
      <x:c r="A372" s="2" t="str">
        <x:v>H0367</x:v>
      </x:c>
      <x:c r="B372" s="2" t="str">
        <x:v>KI12-TV02S-02</x:v>
      </x:c>
      <x:c r="C372" s="2" t="str">
        <x:v>LEC_OLDAL / R14-J037</x:v>
      </x:c>
      <x:c r="D372" s="2" t="n">
        <x:v>140</x:v>
      </x:c>
      <x:c r="E372" s="2" t="n">
        <x:v>345</x:v>
      </x:c>
      <x:c r="F372" s="2" t="n">
        <x:v>0</x:v>
      </x:c>
      <x:c r="G372" s="2" t="n">
        <x:v>0</x:v>
      </x:c>
      <x:c r="H372" s="2" t="n">
        <x:v>0</x:v>
      </x:c>
      <x:c r="I372" s="2" t="n">
        <x:v>-1</x:v>
      </x:c>
      <x:c r="J372" s="2" t="n">
        <x:v>2.5</x:v>
      </x:c>
      <x:c r="K372" s="2" t="n">
        <x:v>12</x:v>
      </x:c>
      <x:c r="L372" s="2" t="n">
        <x:v>702</x:v>
      </x:c>
      <x:c r="M372" s="2" t="n">
        <x:v>345</x:v>
      </x:c>
      <x:c r="N372" s="2" t="n">
        <x:v>290</x:v>
      </x:c>
      <x:c r="O372" s="2" t="str">
        <x:v>R14 tervezői kiosztás; tényleges laphoz és csavarhoz próbafúrás</x:v>
      </x:c>
    </x:row>
    <x:row r="373" ht="34" customHeight="1">
      <x:c r="A373" s="2" t="str">
        <x:v>H0368</x:v>
      </x:c>
      <x:c r="B373" s="2" t="str">
        <x:v>KI12-TV02H1-01</x:v>
      </x:c>
      <x:c r="C373" s="2" t="str">
        <x:v>HATLAP_LEC / R14-J038</x:v>
      </x:c>
      <x:c r="D373" s="2" t="n">
        <x:v>8</x:v>
      </x:c>
      <x:c r="E373" s="2" t="n">
        <x:v>136</x:v>
      </x:c>
      <x:c r="F373" s="2" t="n">
        <x:v>0</x:v>
      </x:c>
      <x:c r="G373" s="2" t="n">
        <x:v>0</x:v>
      </x:c>
      <x:c r="H373" s="2" t="n">
        <x:v>0</x:v>
      </x:c>
      <x:c r="I373" s="2" t="n">
        <x:v>-1</x:v>
      </x:c>
      <x:c r="J373" s="2" t="n">
        <x:v>3.5</x:v>
      </x:c>
      <x:c r="K373" s="2" t="n">
        <x:v>8</x:v>
      </x:c>
      <x:c r="L373" s="2" t="n">
        <x:v>693</x:v>
      </x:c>
      <x:c r="M373" s="2" t="n">
        <x:v>362</x:v>
      </x:c>
      <x:c r="N373" s="2" t="n">
        <x:v>305</x:v>
      </x:c>
      <x:c r="O373" s="2" t="str">
        <x:v>R14 tervezői kiosztás; tényleges laphoz és csavarhoz próbafúrás</x:v>
      </x:c>
    </x:row>
    <x:row r="374" ht="34" customHeight="1">
      <x:c r="A374" s="2" t="str">
        <x:v>H0369</x:v>
      </x:c>
      <x:c r="B374" s="2" t="str">
        <x:v>KI14-BAT-04</x:v>
      </x:c>
      <x:c r="C374" s="2" t="str">
        <x:v>HATLAP_LEC / R14-J038</x:v>
      </x:c>
      <x:c r="D374" s="2" t="n">
        <x:v>117</x:v>
      </x:c>
      <x:c r="E374" s="2" t="n">
        <x:v>18</x:v>
      </x:c>
      <x:c r="F374" s="2" t="n">
        <x:v>-9</x:v>
      </x:c>
      <x:c r="G374" s="2" t="n">
        <x:v>0</x:v>
      </x:c>
      <x:c r="H374" s="2" t="n">
        <x:v>-1</x:v>
      </x:c>
      <x:c r="I374" s="2" t="n">
        <x:v>0</x:v>
      </x:c>
      <x:c r="J374" s="2" t="n">
        <x:v>2.5</x:v>
      </x:c>
      <x:c r="K374" s="2" t="n">
        <x:v>12</x:v>
      </x:c>
      <x:c r="L374" s="2" t="n">
        <x:v>693</x:v>
      </x:c>
      <x:c r="M374" s="2" t="n">
        <x:v>354</x:v>
      </x:c>
      <x:c r="N374" s="2" t="n">
        <x:v>305</x:v>
      </x:c>
      <x:c r="O374" s="2" t="str">
        <x:v>R14 tervezői kiosztás; tényleges laphoz és csavarhoz próbafúrás</x:v>
      </x:c>
    </x:row>
    <x:row r="375" ht="34" customHeight="1">
      <x:c r="A375" s="2" t="str">
        <x:v>H0370</x:v>
      </x:c>
      <x:c r="B375" s="2" t="str">
        <x:v>KI14-BAT-04</x:v>
      </x:c>
      <x:c r="C375" s="2" t="str">
        <x:v>LEC_OLDAL / R14-J039</x:v>
      </x:c>
      <x:c r="D375" s="2" t="n">
        <x:v>182</x:v>
      </x:c>
      <x:c r="E375" s="2" t="n">
        <x:v>9</x:v>
      </x:c>
      <x:c r="F375" s="2" t="n">
        <x:v>0</x:v>
      </x:c>
      <x:c r="G375" s="2" t="n">
        <x:v>0</x:v>
      </x:c>
      <x:c r="H375" s="2" t="n">
        <x:v>0</x:v>
      </x:c>
      <x:c r="I375" s="2" t="n">
        <x:v>-1</x:v>
      </x:c>
      <x:c r="J375" s="2" t="n">
        <x:v>4</x:v>
      </x:c>
      <x:c r="K375" s="2" t="n">
        <x:v>18</x:v>
      </x:c>
      <x:c r="L375" s="2" t="n">
        <x:v>684</x:v>
      </x:c>
      <x:c r="M375" s="2" t="n">
        <x:v>345</x:v>
      </x:c>
      <x:c r="N375" s="2" t="n">
        <x:v>370</x:v>
      </x:c>
      <x:c r="O375" s="2" t="str">
        <x:v>R14 tervezői kiosztás; tényleges laphoz és csavarhoz próbafúrás</x:v>
      </x:c>
    </x:row>
    <x:row r="376" ht="34" customHeight="1">
      <x:c r="A376" s="2" t="str">
        <x:v>H0371</x:v>
      </x:c>
      <x:c r="B376" s="2" t="str">
        <x:v>KI12-TV02S-02</x:v>
      </x:c>
      <x:c r="C376" s="2" t="str">
        <x:v>LEC_OLDAL / R14-J039</x:v>
      </x:c>
      <x:c r="D376" s="2" t="n">
        <x:v>220</x:v>
      </x:c>
      <x:c r="E376" s="2" t="n">
        <x:v>345</x:v>
      </x:c>
      <x:c r="F376" s="2" t="n">
        <x:v>0</x:v>
      </x:c>
      <x:c r="G376" s="2" t="n">
        <x:v>0</x:v>
      </x:c>
      <x:c r="H376" s="2" t="n">
        <x:v>0</x:v>
      </x:c>
      <x:c r="I376" s="2" t="n">
        <x:v>-1</x:v>
      </x:c>
      <x:c r="J376" s="2" t="n">
        <x:v>2.5</x:v>
      </x:c>
      <x:c r="K376" s="2" t="n">
        <x:v>12</x:v>
      </x:c>
      <x:c r="L376" s="2" t="n">
        <x:v>702</x:v>
      </x:c>
      <x:c r="M376" s="2" t="n">
        <x:v>345</x:v>
      </x:c>
      <x:c r="N376" s="2" t="n">
        <x:v>370</x:v>
      </x:c>
      <x:c r="O376" s="2" t="str">
        <x:v>R14 tervezői kiosztás; tényleges laphoz és csavarhoz próbafúrás</x:v>
      </x:c>
    </x:row>
    <x:row r="377" ht="34" customHeight="1">
      <x:c r="A377" s="2" t="str">
        <x:v>H0372</x:v>
      </x:c>
      <x:c r="B377" s="2" t="str">
        <x:v>KI12-TV02H1-01</x:v>
      </x:c>
      <x:c r="C377" s="2" t="str">
        <x:v>HATLAP_LEC / R14-J040</x:v>
      </x:c>
      <x:c r="D377" s="2" t="n">
        <x:v>8</x:v>
      </x:c>
      <x:c r="E377" s="2" t="n">
        <x:v>216</x:v>
      </x:c>
      <x:c r="F377" s="2" t="n">
        <x:v>0</x:v>
      </x:c>
      <x:c r="G377" s="2" t="n">
        <x:v>0</x:v>
      </x:c>
      <x:c r="H377" s="2" t="n">
        <x:v>0</x:v>
      </x:c>
      <x:c r="I377" s="2" t="n">
        <x:v>-1</x:v>
      </x:c>
      <x:c r="J377" s="2" t="n">
        <x:v>3.5</x:v>
      </x:c>
      <x:c r="K377" s="2" t="n">
        <x:v>8</x:v>
      </x:c>
      <x:c r="L377" s="2" t="n">
        <x:v>693</x:v>
      </x:c>
      <x:c r="M377" s="2" t="n">
        <x:v>362</x:v>
      </x:c>
      <x:c r="N377" s="2" t="n">
        <x:v>385</x:v>
      </x:c>
      <x:c r="O377" s="2" t="str">
        <x:v>R14 tervezői kiosztás; tényleges laphoz és csavarhoz próbafúrás</x:v>
      </x:c>
    </x:row>
    <x:row r="378" ht="34" customHeight="1">
      <x:c r="A378" s="2" t="str">
        <x:v>H0373</x:v>
      </x:c>
      <x:c r="B378" s="2" t="str">
        <x:v>KI14-BAT-04</x:v>
      </x:c>
      <x:c r="C378" s="2" t="str">
        <x:v>HATLAP_LEC / R14-J040</x:v>
      </x:c>
      <x:c r="D378" s="2" t="n">
        <x:v>197</x:v>
      </x:c>
      <x:c r="E378" s="2" t="n">
        <x:v>18</x:v>
      </x:c>
      <x:c r="F378" s="2" t="n">
        <x:v>-9</x:v>
      </x:c>
      <x:c r="G378" s="2" t="n">
        <x:v>0</x:v>
      </x:c>
      <x:c r="H378" s="2" t="n">
        <x:v>-1</x:v>
      </x:c>
      <x:c r="I378" s="2" t="n">
        <x:v>0</x:v>
      </x:c>
      <x:c r="J378" s="2" t="n">
        <x:v>2.5</x:v>
      </x:c>
      <x:c r="K378" s="2" t="n">
        <x:v>12</x:v>
      </x:c>
      <x:c r="L378" s="2" t="n">
        <x:v>693</x:v>
      </x:c>
      <x:c r="M378" s="2" t="n">
        <x:v>354</x:v>
      </x:c>
      <x:c r="N378" s="2" t="n">
        <x:v>385</x:v>
      </x:c>
      <x:c r="O378" s="2" t="str">
        <x:v>R14 tervezői kiosztás; tényleges laphoz és csavarhoz próbafúrás</x:v>
      </x:c>
    </x:row>
    <x:row r="379" ht="34" customHeight="1">
      <x:c r="A379" s="2" t="str">
        <x:v>H0374</x:v>
      </x:c>
      <x:c r="B379" s="2" t="str">
        <x:v>KI14-BAT-05</x:v>
      </x:c>
      <x:c r="C379" s="2" t="str">
        <x:v>LEC_OLDAL / R14-J041</x:v>
      </x:c>
      <x:c r="D379" s="2" t="n">
        <x:v>22</x:v>
      </x:c>
      <x:c r="E379" s="2" t="n">
        <x:v>9</x:v>
      </x:c>
      <x:c r="F379" s="2" t="n">
        <x:v>-18</x:v>
      </x:c>
      <x:c r="G379" s="2" t="n">
        <x:v>0</x:v>
      </x:c>
      <x:c r="H379" s="2" t="n">
        <x:v>0</x:v>
      </x:c>
      <x:c r="I379" s="2" t="n">
        <x:v>1</x:v>
      </x:c>
      <x:c r="J379" s="2" t="n">
        <x:v>4</x:v>
      </x:c>
      <x:c r="K379" s="2" t="n">
        <x:v>18</x:v>
      </x:c>
      <x:c r="L379" s="2" t="n">
        <x:v>876</x:v>
      </x:c>
      <x:c r="M379" s="2" t="n">
        <x:v>345</x:v>
      </x:c>
      <x:c r="N379" s="2" t="n">
        <x:v>210</x:v>
      </x:c>
      <x:c r="O379" s="2" t="str">
        <x:v>R14 tervezői kiosztás; tényleges laphoz és csavarhoz próbafúrás</x:v>
      </x:c>
    </x:row>
    <x:row r="380" ht="34" customHeight="1">
      <x:c r="A380" s="2" t="str">
        <x:v>H0375</x:v>
      </x:c>
      <x:c r="B380" s="2" t="str">
        <x:v>KI12-TV02S-03</x:v>
      </x:c>
      <x:c r="C380" s="2" t="str">
        <x:v>LEC_OLDAL / R14-J041</x:v>
      </x:c>
      <x:c r="D380" s="2" t="n">
        <x:v>60</x:v>
      </x:c>
      <x:c r="E380" s="2" t="n">
        <x:v>345</x:v>
      </x:c>
      <x:c r="F380" s="2" t="n">
        <x:v>-18</x:v>
      </x:c>
      <x:c r="G380" s="2" t="n">
        <x:v>0</x:v>
      </x:c>
      <x:c r="H380" s="2" t="n">
        <x:v>0</x:v>
      </x:c>
      <x:c r="I380" s="2" t="n">
        <x:v>1</x:v>
      </x:c>
      <x:c r="J380" s="2" t="n">
        <x:v>2.5</x:v>
      </x:c>
      <x:c r="K380" s="2" t="n">
        <x:v>12</x:v>
      </x:c>
      <x:c r="L380" s="2" t="n">
        <x:v>858</x:v>
      </x:c>
      <x:c r="M380" s="2" t="n">
        <x:v>345</x:v>
      </x:c>
      <x:c r="N380" s="2" t="n">
        <x:v>210</x:v>
      </x:c>
      <x:c r="O380" s="2" t="str">
        <x:v>R14 tervezői kiosztás; tényleges laphoz és csavarhoz próbafúrás</x:v>
      </x:c>
    </x:row>
    <x:row r="381" ht="34" customHeight="1">
      <x:c r="A381" s="2" t="str">
        <x:v>H0376</x:v>
      </x:c>
      <x:c r="B381" s="2" t="str">
        <x:v>KI12-TV02H2-01</x:v>
      </x:c>
      <x:c r="C381" s="2" t="str">
        <x:v>HATLAP_LEC / R14-J042</x:v>
      </x:c>
      <x:c r="D381" s="2" t="n">
        <x:v>644</x:v>
      </x:c>
      <x:c r="E381" s="2" t="n">
        <x:v>56</x:v>
      </x:c>
      <x:c r="F381" s="2" t="n">
        <x:v>0</x:v>
      </x:c>
      <x:c r="G381" s="2" t="n">
        <x:v>0</x:v>
      </x:c>
      <x:c r="H381" s="2" t="n">
        <x:v>0</x:v>
      </x:c>
      <x:c r="I381" s="2" t="n">
        <x:v>-1</x:v>
      </x:c>
      <x:c r="J381" s="2" t="n">
        <x:v>3.5</x:v>
      </x:c>
      <x:c r="K381" s="2" t="n">
        <x:v>8</x:v>
      </x:c>
      <x:c r="L381" s="2" t="n">
        <x:v>867</x:v>
      </x:c>
      <x:c r="M381" s="2" t="n">
        <x:v>362</x:v>
      </x:c>
      <x:c r="N381" s="2" t="n">
        <x:v>225</x:v>
      </x:c>
      <x:c r="O381" s="2" t="str">
        <x:v>R14 tervezői kiosztás; tényleges laphoz és csavarhoz próbafúrás</x:v>
      </x:c>
    </x:row>
    <x:row r="382" ht="34" customHeight="1">
      <x:c r="A382" s="2" t="str">
        <x:v>H0377</x:v>
      </x:c>
      <x:c r="B382" s="2" t="str">
        <x:v>KI14-BAT-05</x:v>
      </x:c>
      <x:c r="C382" s="2" t="str">
        <x:v>HATLAP_LEC / R14-J042</x:v>
      </x:c>
      <x:c r="D382" s="2" t="n">
        <x:v>37</x:v>
      </x:c>
      <x:c r="E382" s="2" t="n">
        <x:v>18</x:v>
      </x:c>
      <x:c r="F382" s="2" t="n">
        <x:v>-9</x:v>
      </x:c>
      <x:c r="G382" s="2" t="n">
        <x:v>0</x:v>
      </x:c>
      <x:c r="H382" s="2" t="n">
        <x:v>-1</x:v>
      </x:c>
      <x:c r="I382" s="2" t="n">
        <x:v>0</x:v>
      </x:c>
      <x:c r="J382" s="2" t="n">
        <x:v>2.5</x:v>
      </x:c>
      <x:c r="K382" s="2" t="n">
        <x:v>12</x:v>
      </x:c>
      <x:c r="L382" s="2" t="n">
        <x:v>867</x:v>
      </x:c>
      <x:c r="M382" s="2" t="n">
        <x:v>354</x:v>
      </x:c>
      <x:c r="N382" s="2" t="n">
        <x:v>225</x:v>
      </x:c>
      <x:c r="O382" s="2" t="str">
        <x:v>R14 tervezői kiosztás; tényleges laphoz és csavarhoz próbafúrás</x:v>
      </x:c>
    </x:row>
    <x:row r="383" ht="34" customHeight="1">
      <x:c r="A383" s="2" t="str">
        <x:v>H0378</x:v>
      </x:c>
      <x:c r="B383" s="2" t="str">
        <x:v>KI14-BAT-05</x:v>
      </x:c>
      <x:c r="C383" s="2" t="str">
        <x:v>LEC_OLDAL / R14-J043</x:v>
      </x:c>
      <x:c r="D383" s="2" t="n">
        <x:v>102</x:v>
      </x:c>
      <x:c r="E383" s="2" t="n">
        <x:v>9</x:v>
      </x:c>
      <x:c r="F383" s="2" t="n">
        <x:v>-18</x:v>
      </x:c>
      <x:c r="G383" s="2" t="n">
        <x:v>0</x:v>
      </x:c>
      <x:c r="H383" s="2" t="n">
        <x:v>0</x:v>
      </x:c>
      <x:c r="I383" s="2" t="n">
        <x:v>1</x:v>
      </x:c>
      <x:c r="J383" s="2" t="n">
        <x:v>4</x:v>
      </x:c>
      <x:c r="K383" s="2" t="n">
        <x:v>18</x:v>
      </x:c>
      <x:c r="L383" s="2" t="n">
        <x:v>876</x:v>
      </x:c>
      <x:c r="M383" s="2" t="n">
        <x:v>345</x:v>
      </x:c>
      <x:c r="N383" s="2" t="n">
        <x:v>290</x:v>
      </x:c>
      <x:c r="O383" s="2" t="str">
        <x:v>R14 tervezői kiosztás; tényleges laphoz és csavarhoz próbafúrás</x:v>
      </x:c>
    </x:row>
    <x:row r="384" ht="34" customHeight="1">
      <x:c r="A384" s="2" t="str">
        <x:v>H0379</x:v>
      </x:c>
      <x:c r="B384" s="2" t="str">
        <x:v>KI12-TV02S-03</x:v>
      </x:c>
      <x:c r="C384" s="2" t="str">
        <x:v>LEC_OLDAL / R14-J043</x:v>
      </x:c>
      <x:c r="D384" s="2" t="n">
        <x:v>140</x:v>
      </x:c>
      <x:c r="E384" s="2" t="n">
        <x:v>345</x:v>
      </x:c>
      <x:c r="F384" s="2" t="n">
        <x:v>-18</x:v>
      </x:c>
      <x:c r="G384" s="2" t="n">
        <x:v>0</x:v>
      </x:c>
      <x:c r="H384" s="2" t="n">
        <x:v>0</x:v>
      </x:c>
      <x:c r="I384" s="2" t="n">
        <x:v>1</x:v>
      </x:c>
      <x:c r="J384" s="2" t="n">
        <x:v>2.5</x:v>
      </x:c>
      <x:c r="K384" s="2" t="n">
        <x:v>12</x:v>
      </x:c>
      <x:c r="L384" s="2" t="n">
        <x:v>858</x:v>
      </x:c>
      <x:c r="M384" s="2" t="n">
        <x:v>345</x:v>
      </x:c>
      <x:c r="N384" s="2" t="n">
        <x:v>290</x:v>
      </x:c>
      <x:c r="O384" s="2" t="str">
        <x:v>R14 tervezői kiosztás; tényleges laphoz és csavarhoz próbafúrás</x:v>
      </x:c>
    </x:row>
    <x:row r="385" ht="34" customHeight="1">
      <x:c r="A385" s="2" t="str">
        <x:v>H0380</x:v>
      </x:c>
      <x:c r="B385" s="2" t="str">
        <x:v>KI12-TV02H2-01</x:v>
      </x:c>
      <x:c r="C385" s="2" t="str">
        <x:v>HATLAP_LEC / R14-J044</x:v>
      </x:c>
      <x:c r="D385" s="2" t="n">
        <x:v>644</x:v>
      </x:c>
      <x:c r="E385" s="2" t="n">
        <x:v>136</x:v>
      </x:c>
      <x:c r="F385" s="2" t="n">
        <x:v>0</x:v>
      </x:c>
      <x:c r="G385" s="2" t="n">
        <x:v>0</x:v>
      </x:c>
      <x:c r="H385" s="2" t="n">
        <x:v>0</x:v>
      </x:c>
      <x:c r="I385" s="2" t="n">
        <x:v>-1</x:v>
      </x:c>
      <x:c r="J385" s="2" t="n">
        <x:v>3.5</x:v>
      </x:c>
      <x:c r="K385" s="2" t="n">
        <x:v>8</x:v>
      </x:c>
      <x:c r="L385" s="2" t="n">
        <x:v>867</x:v>
      </x:c>
      <x:c r="M385" s="2" t="n">
        <x:v>362</x:v>
      </x:c>
      <x:c r="N385" s="2" t="n">
        <x:v>305</x:v>
      </x:c>
      <x:c r="O385" s="2" t="str">
        <x:v>R14 tervezői kiosztás; tényleges laphoz és csavarhoz próbafúrás</x:v>
      </x:c>
    </x:row>
    <x:row r="386" ht="34" customHeight="1">
      <x:c r="A386" s="2" t="str">
        <x:v>H0381</x:v>
      </x:c>
      <x:c r="B386" s="2" t="str">
        <x:v>KI14-BAT-05</x:v>
      </x:c>
      <x:c r="C386" s="2" t="str">
        <x:v>HATLAP_LEC / R14-J044</x:v>
      </x:c>
      <x:c r="D386" s="2" t="n">
        <x:v>117</x:v>
      </x:c>
      <x:c r="E386" s="2" t="n">
        <x:v>18</x:v>
      </x:c>
      <x:c r="F386" s="2" t="n">
        <x:v>-9</x:v>
      </x:c>
      <x:c r="G386" s="2" t="n">
        <x:v>0</x:v>
      </x:c>
      <x:c r="H386" s="2" t="n">
        <x:v>-1</x:v>
      </x:c>
      <x:c r="I386" s="2" t="n">
        <x:v>0</x:v>
      </x:c>
      <x:c r="J386" s="2" t="n">
        <x:v>2.5</x:v>
      </x:c>
      <x:c r="K386" s="2" t="n">
        <x:v>12</x:v>
      </x:c>
      <x:c r="L386" s="2" t="n">
        <x:v>867</x:v>
      </x:c>
      <x:c r="M386" s="2" t="n">
        <x:v>354</x:v>
      </x:c>
      <x:c r="N386" s="2" t="n">
        <x:v>305</x:v>
      </x:c>
      <x:c r="O386" s="2" t="str">
        <x:v>R14 tervezői kiosztás; tényleges laphoz és csavarhoz próbafúrás</x:v>
      </x:c>
    </x:row>
    <x:row r="387" ht="34" customHeight="1">
      <x:c r="A387" s="2" t="str">
        <x:v>H0382</x:v>
      </x:c>
      <x:c r="B387" s="2" t="str">
        <x:v>KI14-BAT-05</x:v>
      </x:c>
      <x:c r="C387" s="2" t="str">
        <x:v>LEC_OLDAL / R14-J045</x:v>
      </x:c>
      <x:c r="D387" s="2" t="n">
        <x:v>182</x:v>
      </x:c>
      <x:c r="E387" s="2" t="n">
        <x:v>9</x:v>
      </x:c>
      <x:c r="F387" s="2" t="n">
        <x:v>-18</x:v>
      </x:c>
      <x:c r="G387" s="2" t="n">
        <x:v>0</x:v>
      </x:c>
      <x:c r="H387" s="2" t="n">
        <x:v>0</x:v>
      </x:c>
      <x:c r="I387" s="2" t="n">
        <x:v>1</x:v>
      </x:c>
      <x:c r="J387" s="2" t="n">
        <x:v>4</x:v>
      </x:c>
      <x:c r="K387" s="2" t="n">
        <x:v>18</x:v>
      </x:c>
      <x:c r="L387" s="2" t="n">
        <x:v>876</x:v>
      </x:c>
      <x:c r="M387" s="2" t="n">
        <x:v>345</x:v>
      </x:c>
      <x:c r="N387" s="2" t="n">
        <x:v>370</x:v>
      </x:c>
      <x:c r="O387" s="2" t="str">
        <x:v>R14 tervezői kiosztás; tényleges laphoz és csavarhoz próbafúrás</x:v>
      </x:c>
    </x:row>
    <x:row r="388" ht="34" customHeight="1">
      <x:c r="A388" s="2" t="str">
        <x:v>H0383</x:v>
      </x:c>
      <x:c r="B388" s="2" t="str">
        <x:v>KI12-TV02S-03</x:v>
      </x:c>
      <x:c r="C388" s="2" t="str">
        <x:v>LEC_OLDAL / R14-J045</x:v>
      </x:c>
      <x:c r="D388" s="2" t="n">
        <x:v>220</x:v>
      </x:c>
      <x:c r="E388" s="2" t="n">
        <x:v>345</x:v>
      </x:c>
      <x:c r="F388" s="2" t="n">
        <x:v>-18</x:v>
      </x:c>
      <x:c r="G388" s="2" t="n">
        <x:v>0</x:v>
      </x:c>
      <x:c r="H388" s="2" t="n">
        <x:v>0</x:v>
      </x:c>
      <x:c r="I388" s="2" t="n">
        <x:v>1</x:v>
      </x:c>
      <x:c r="J388" s="2" t="n">
        <x:v>2.5</x:v>
      </x:c>
      <x:c r="K388" s="2" t="n">
        <x:v>12</x:v>
      </x:c>
      <x:c r="L388" s="2" t="n">
        <x:v>858</x:v>
      </x:c>
      <x:c r="M388" s="2" t="n">
        <x:v>345</x:v>
      </x:c>
      <x:c r="N388" s="2" t="n">
        <x:v>370</x:v>
      </x:c>
      <x:c r="O388" s="2" t="str">
        <x:v>R14 tervezői kiosztás; tényleges laphoz és csavarhoz próbafúrás</x:v>
      </x:c>
    </x:row>
    <x:row r="389" ht="34" customHeight="1">
      <x:c r="A389" s="2" t="str">
        <x:v>H0384</x:v>
      </x:c>
      <x:c r="B389" s="2" t="str">
        <x:v>KI12-TV02H2-01</x:v>
      </x:c>
      <x:c r="C389" s="2" t="str">
        <x:v>HATLAP_LEC / R14-J046</x:v>
      </x:c>
      <x:c r="D389" s="2" t="n">
        <x:v>644</x:v>
      </x:c>
      <x:c r="E389" s="2" t="n">
        <x:v>216</x:v>
      </x:c>
      <x:c r="F389" s="2" t="n">
        <x:v>0</x:v>
      </x:c>
      <x:c r="G389" s="2" t="n">
        <x:v>0</x:v>
      </x:c>
      <x:c r="H389" s="2" t="n">
        <x:v>0</x:v>
      </x:c>
      <x:c r="I389" s="2" t="n">
        <x:v>-1</x:v>
      </x:c>
      <x:c r="J389" s="2" t="n">
        <x:v>3.5</x:v>
      </x:c>
      <x:c r="K389" s="2" t="n">
        <x:v>8</x:v>
      </x:c>
      <x:c r="L389" s="2" t="n">
        <x:v>867</x:v>
      </x:c>
      <x:c r="M389" s="2" t="n">
        <x:v>362</x:v>
      </x:c>
      <x:c r="N389" s="2" t="n">
        <x:v>385</x:v>
      </x:c>
      <x:c r="O389" s="2" t="str">
        <x:v>R14 tervezői kiosztás; tényleges laphoz és csavarhoz próbafúrás</x:v>
      </x:c>
    </x:row>
    <x:row r="390" ht="34" customHeight="1">
      <x:c r="A390" s="2" t="str">
        <x:v>H0385</x:v>
      </x:c>
      <x:c r="B390" s="2" t="str">
        <x:v>KI14-BAT-05</x:v>
      </x:c>
      <x:c r="C390" s="2" t="str">
        <x:v>HATLAP_LEC / R14-J046</x:v>
      </x:c>
      <x:c r="D390" s="2" t="n">
        <x:v>197</x:v>
      </x:c>
      <x:c r="E390" s="2" t="n">
        <x:v>18</x:v>
      </x:c>
      <x:c r="F390" s="2" t="n">
        <x:v>-9</x:v>
      </x:c>
      <x:c r="G390" s="2" t="n">
        <x:v>0</x:v>
      </x:c>
      <x:c r="H390" s="2" t="n">
        <x:v>-1</x:v>
      </x:c>
      <x:c r="I390" s="2" t="n">
        <x:v>0</x:v>
      </x:c>
      <x:c r="J390" s="2" t="n">
        <x:v>2.5</x:v>
      </x:c>
      <x:c r="K390" s="2" t="n">
        <x:v>12</x:v>
      </x:c>
      <x:c r="L390" s="2" t="n">
        <x:v>867</x:v>
      </x:c>
      <x:c r="M390" s="2" t="n">
        <x:v>354</x:v>
      </x:c>
      <x:c r="N390" s="2" t="n">
        <x:v>385</x:v>
      </x:c>
      <x:c r="O390" s="2" t="str">
        <x:v>R14 tervezői kiosztás; tényleges laphoz és csavarhoz próbafúrás</x:v>
      </x:c>
    </x:row>
    <x:row r="391" ht="34" customHeight="1">
      <x:c r="A391" s="2" t="str">
        <x:v>H0386</x:v>
      </x:c>
      <x:c r="B391" s="2" t="str">
        <x:v>KI14-BAT-06</x:v>
      </x:c>
      <x:c r="C391" s="2" t="str">
        <x:v>LEC_OLDAL / R14-J047</x:v>
      </x:c>
      <x:c r="D391" s="2" t="n">
        <x:v>22</x:v>
      </x:c>
      <x:c r="E391" s="2" t="n">
        <x:v>9</x:v>
      </x:c>
      <x:c r="F391" s="2" t="n">
        <x:v>0</x:v>
      </x:c>
      <x:c r="G391" s="2" t="n">
        <x:v>0</x:v>
      </x:c>
      <x:c r="H391" s="2" t="n">
        <x:v>0</x:v>
      </x:c>
      <x:c r="I391" s="2" t="n">
        <x:v>-1</x:v>
      </x:c>
      <x:c r="J391" s="2" t="n">
        <x:v>4</x:v>
      </x:c>
      <x:c r="K391" s="2" t="n">
        <x:v>18</x:v>
      </x:c>
      <x:c r="L391" s="2" t="n">
        <x:v>1494</x:v>
      </x:c>
      <x:c r="M391" s="2" t="n">
        <x:v>345</x:v>
      </x:c>
      <x:c r="N391" s="2" t="n">
        <x:v>210</x:v>
      </x:c>
      <x:c r="O391" s="2" t="str">
        <x:v>R14 tervezői kiosztás; tényleges laphoz és csavarhoz próbafúrás</x:v>
      </x:c>
    </x:row>
    <x:row r="392" ht="34" customHeight="1">
      <x:c r="A392" s="2" t="str">
        <x:v>H0387</x:v>
      </x:c>
      <x:c r="B392" s="2" t="str">
        <x:v>KI12-TV02S-04</x:v>
      </x:c>
      <x:c r="C392" s="2" t="str">
        <x:v>LEC_OLDAL / R14-J047</x:v>
      </x:c>
      <x:c r="D392" s="2" t="n">
        <x:v>60</x:v>
      </x:c>
      <x:c r="E392" s="2" t="n">
        <x:v>345</x:v>
      </x:c>
      <x:c r="F392" s="2" t="n">
        <x:v>0</x:v>
      </x:c>
      <x:c r="G392" s="2" t="n">
        <x:v>0</x:v>
      </x:c>
      <x:c r="H392" s="2" t="n">
        <x:v>0</x:v>
      </x:c>
      <x:c r="I392" s="2" t="n">
        <x:v>-1</x:v>
      </x:c>
      <x:c r="J392" s="2" t="n">
        <x:v>2.5</x:v>
      </x:c>
      <x:c r="K392" s="2" t="n">
        <x:v>12</x:v>
      </x:c>
      <x:c r="L392" s="2" t="n">
        <x:v>1512</x:v>
      </x:c>
      <x:c r="M392" s="2" t="n">
        <x:v>345</x:v>
      </x:c>
      <x:c r="N392" s="2" t="n">
        <x:v>210</x:v>
      </x:c>
      <x:c r="O392" s="2" t="str">
        <x:v>R14 tervezői kiosztás; tényleges laphoz és csavarhoz próbafúrás</x:v>
      </x:c>
    </x:row>
    <x:row r="393" ht="34" customHeight="1">
      <x:c r="A393" s="2" t="str">
        <x:v>H0388</x:v>
      </x:c>
      <x:c r="B393" s="2" t="str">
        <x:v>KI12-TV02H2-01</x:v>
      </x:c>
      <x:c r="C393" s="2" t="str">
        <x:v>HATLAP_LEC / R14-J048</x:v>
      </x:c>
      <x:c r="D393" s="2" t="n">
        <x:v>8</x:v>
      </x:c>
      <x:c r="E393" s="2" t="n">
        <x:v>56</x:v>
      </x:c>
      <x:c r="F393" s="2" t="n">
        <x:v>0</x:v>
      </x:c>
      <x:c r="G393" s="2" t="n">
        <x:v>0</x:v>
      </x:c>
      <x:c r="H393" s="2" t="n">
        <x:v>0</x:v>
      </x:c>
      <x:c r="I393" s="2" t="n">
        <x:v>-1</x:v>
      </x:c>
      <x:c r="J393" s="2" t="n">
        <x:v>3.5</x:v>
      </x:c>
      <x:c r="K393" s="2" t="n">
        <x:v>8</x:v>
      </x:c>
      <x:c r="L393" s="2" t="n">
        <x:v>1503</x:v>
      </x:c>
      <x:c r="M393" s="2" t="n">
        <x:v>362</x:v>
      </x:c>
      <x:c r="N393" s="2" t="n">
        <x:v>225</x:v>
      </x:c>
      <x:c r="O393" s="2" t="str">
        <x:v>R14 tervezői kiosztás; tényleges laphoz és csavarhoz próbafúrás</x:v>
      </x:c>
    </x:row>
    <x:row r="394" ht="34" customHeight="1">
      <x:c r="A394" s="2" t="str">
        <x:v>H0389</x:v>
      </x:c>
      <x:c r="B394" s="2" t="str">
        <x:v>KI14-BAT-06</x:v>
      </x:c>
      <x:c r="C394" s="2" t="str">
        <x:v>HATLAP_LEC / R14-J048</x:v>
      </x:c>
      <x:c r="D394" s="2" t="n">
        <x:v>37</x:v>
      </x:c>
      <x:c r="E394" s="2" t="n">
        <x:v>18</x:v>
      </x:c>
      <x:c r="F394" s="2" t="n">
        <x:v>-9</x:v>
      </x:c>
      <x:c r="G394" s="2" t="n">
        <x:v>0</x:v>
      </x:c>
      <x:c r="H394" s="2" t="n">
        <x:v>-1</x:v>
      </x:c>
      <x:c r="I394" s="2" t="n">
        <x:v>0</x:v>
      </x:c>
      <x:c r="J394" s="2" t="n">
        <x:v>2.5</x:v>
      </x:c>
      <x:c r="K394" s="2" t="n">
        <x:v>12</x:v>
      </x:c>
      <x:c r="L394" s="2" t="n">
        <x:v>1503</x:v>
      </x:c>
      <x:c r="M394" s="2" t="n">
        <x:v>354</x:v>
      </x:c>
      <x:c r="N394" s="2" t="n">
        <x:v>225</x:v>
      </x:c>
      <x:c r="O394" s="2" t="str">
        <x:v>R14 tervezői kiosztás; tényleges laphoz és csavarhoz próbafúrás</x:v>
      </x:c>
    </x:row>
    <x:row r="395" ht="34" customHeight="1">
      <x:c r="A395" s="2" t="str">
        <x:v>H0390</x:v>
      </x:c>
      <x:c r="B395" s="2" t="str">
        <x:v>KI14-BAT-06</x:v>
      </x:c>
      <x:c r="C395" s="2" t="str">
        <x:v>LEC_OLDAL / R14-J049</x:v>
      </x:c>
      <x:c r="D395" s="2" t="n">
        <x:v>102</x:v>
      </x:c>
      <x:c r="E395" s="2" t="n">
        <x:v>9</x:v>
      </x:c>
      <x:c r="F395" s="2" t="n">
        <x:v>0</x:v>
      </x:c>
      <x:c r="G395" s="2" t="n">
        <x:v>0</x:v>
      </x:c>
      <x:c r="H395" s="2" t="n">
        <x:v>0</x:v>
      </x:c>
      <x:c r="I395" s="2" t="n">
        <x:v>-1</x:v>
      </x:c>
      <x:c r="J395" s="2" t="n">
        <x:v>4</x:v>
      </x:c>
      <x:c r="K395" s="2" t="n">
        <x:v>18</x:v>
      </x:c>
      <x:c r="L395" s="2" t="n">
        <x:v>1494</x:v>
      </x:c>
      <x:c r="M395" s="2" t="n">
        <x:v>345</x:v>
      </x:c>
      <x:c r="N395" s="2" t="n">
        <x:v>290</x:v>
      </x:c>
      <x:c r="O395" s="2" t="str">
        <x:v>R14 tervezői kiosztás; tényleges laphoz és csavarhoz próbafúrás</x:v>
      </x:c>
    </x:row>
    <x:row r="396" ht="34" customHeight="1">
      <x:c r="A396" s="2" t="str">
        <x:v>H0391</x:v>
      </x:c>
      <x:c r="B396" s="2" t="str">
        <x:v>KI12-TV02S-04</x:v>
      </x:c>
      <x:c r="C396" s="2" t="str">
        <x:v>LEC_OLDAL / R14-J049</x:v>
      </x:c>
      <x:c r="D396" s="2" t="n">
        <x:v>140</x:v>
      </x:c>
      <x:c r="E396" s="2" t="n">
        <x:v>345</x:v>
      </x:c>
      <x:c r="F396" s="2" t="n">
        <x:v>0</x:v>
      </x:c>
      <x:c r="G396" s="2" t="n">
        <x:v>0</x:v>
      </x:c>
      <x:c r="H396" s="2" t="n">
        <x:v>0</x:v>
      </x:c>
      <x:c r="I396" s="2" t="n">
        <x:v>-1</x:v>
      </x:c>
      <x:c r="J396" s="2" t="n">
        <x:v>2.5</x:v>
      </x:c>
      <x:c r="K396" s="2" t="n">
        <x:v>12</x:v>
      </x:c>
      <x:c r="L396" s="2" t="n">
        <x:v>1512</x:v>
      </x:c>
      <x:c r="M396" s="2" t="n">
        <x:v>345</x:v>
      </x:c>
      <x:c r="N396" s="2" t="n">
        <x:v>290</x:v>
      </x:c>
      <x:c r="O396" s="2" t="str">
        <x:v>R14 tervezői kiosztás; tényleges laphoz és csavarhoz próbafúrás</x:v>
      </x:c>
    </x:row>
    <x:row r="397" ht="34" customHeight="1">
      <x:c r="A397" s="2" t="str">
        <x:v>H0392</x:v>
      </x:c>
      <x:c r="B397" s="2" t="str">
        <x:v>KI12-TV02H2-01</x:v>
      </x:c>
      <x:c r="C397" s="2" t="str">
        <x:v>HATLAP_LEC / R14-J050</x:v>
      </x:c>
      <x:c r="D397" s="2" t="n">
        <x:v>8</x:v>
      </x:c>
      <x:c r="E397" s="2" t="n">
        <x:v>136</x:v>
      </x:c>
      <x:c r="F397" s="2" t="n">
        <x:v>0</x:v>
      </x:c>
      <x:c r="G397" s="2" t="n">
        <x:v>0</x:v>
      </x:c>
      <x:c r="H397" s="2" t="n">
        <x:v>0</x:v>
      </x:c>
      <x:c r="I397" s="2" t="n">
        <x:v>-1</x:v>
      </x:c>
      <x:c r="J397" s="2" t="n">
        <x:v>3.5</x:v>
      </x:c>
      <x:c r="K397" s="2" t="n">
        <x:v>8</x:v>
      </x:c>
      <x:c r="L397" s="2" t="n">
        <x:v>1503</x:v>
      </x:c>
      <x:c r="M397" s="2" t="n">
        <x:v>362</x:v>
      </x:c>
      <x:c r="N397" s="2" t="n">
        <x:v>305</x:v>
      </x:c>
      <x:c r="O397" s="2" t="str">
        <x:v>R14 tervezői kiosztás; tényleges laphoz és csavarhoz próbafúrás</x:v>
      </x:c>
    </x:row>
    <x:row r="398" ht="34" customHeight="1">
      <x:c r="A398" s="2" t="str">
        <x:v>H0393</x:v>
      </x:c>
      <x:c r="B398" s="2" t="str">
        <x:v>KI14-BAT-06</x:v>
      </x:c>
      <x:c r="C398" s="2" t="str">
        <x:v>HATLAP_LEC / R14-J050</x:v>
      </x:c>
      <x:c r="D398" s="2" t="n">
        <x:v>117</x:v>
      </x:c>
      <x:c r="E398" s="2" t="n">
        <x:v>18</x:v>
      </x:c>
      <x:c r="F398" s="2" t="n">
        <x:v>-9</x:v>
      </x:c>
      <x:c r="G398" s="2" t="n">
        <x:v>0</x:v>
      </x:c>
      <x:c r="H398" s="2" t="n">
        <x:v>-1</x:v>
      </x:c>
      <x:c r="I398" s="2" t="n">
        <x:v>0</x:v>
      </x:c>
      <x:c r="J398" s="2" t="n">
        <x:v>2.5</x:v>
      </x:c>
      <x:c r="K398" s="2" t="n">
        <x:v>12</x:v>
      </x:c>
      <x:c r="L398" s="2" t="n">
        <x:v>1503</x:v>
      </x:c>
      <x:c r="M398" s="2" t="n">
        <x:v>354</x:v>
      </x:c>
      <x:c r="N398" s="2" t="n">
        <x:v>305</x:v>
      </x:c>
      <x:c r="O398" s="2" t="str">
        <x:v>R14 tervezői kiosztás; tényleges laphoz és csavarhoz próbafúrás</x:v>
      </x:c>
    </x:row>
    <x:row r="399" ht="34" customHeight="1">
      <x:c r="A399" s="2" t="str">
        <x:v>H0394</x:v>
      </x:c>
      <x:c r="B399" s="2" t="str">
        <x:v>KI14-BAT-06</x:v>
      </x:c>
      <x:c r="C399" s="2" t="str">
        <x:v>LEC_OLDAL / R14-J051</x:v>
      </x:c>
      <x:c r="D399" s="2" t="n">
        <x:v>182</x:v>
      </x:c>
      <x:c r="E399" s="2" t="n">
        <x:v>9</x:v>
      </x:c>
      <x:c r="F399" s="2" t="n">
        <x:v>0</x:v>
      </x:c>
      <x:c r="G399" s="2" t="n">
        <x:v>0</x:v>
      </x:c>
      <x:c r="H399" s="2" t="n">
        <x:v>0</x:v>
      </x:c>
      <x:c r="I399" s="2" t="n">
        <x:v>-1</x:v>
      </x:c>
      <x:c r="J399" s="2" t="n">
        <x:v>4</x:v>
      </x:c>
      <x:c r="K399" s="2" t="n">
        <x:v>18</x:v>
      </x:c>
      <x:c r="L399" s="2" t="n">
        <x:v>1494</x:v>
      </x:c>
      <x:c r="M399" s="2" t="n">
        <x:v>345</x:v>
      </x:c>
      <x:c r="N399" s="2" t="n">
        <x:v>370</x:v>
      </x:c>
      <x:c r="O399" s="2" t="str">
        <x:v>R14 tervezői kiosztás; tényleges laphoz és csavarhoz próbafúrás</x:v>
      </x:c>
    </x:row>
    <x:row r="400" ht="34" customHeight="1">
      <x:c r="A400" s="2" t="str">
        <x:v>H0395</x:v>
      </x:c>
      <x:c r="B400" s="2" t="str">
        <x:v>KI12-TV02S-04</x:v>
      </x:c>
      <x:c r="C400" s="2" t="str">
        <x:v>LEC_OLDAL / R14-J051</x:v>
      </x:c>
      <x:c r="D400" s="2" t="n">
        <x:v>220</x:v>
      </x:c>
      <x:c r="E400" s="2" t="n">
        <x:v>345</x:v>
      </x:c>
      <x:c r="F400" s="2" t="n">
        <x:v>0</x:v>
      </x:c>
      <x:c r="G400" s="2" t="n">
        <x:v>0</x:v>
      </x:c>
      <x:c r="H400" s="2" t="n">
        <x:v>0</x:v>
      </x:c>
      <x:c r="I400" s="2" t="n">
        <x:v>-1</x:v>
      </x:c>
      <x:c r="J400" s="2" t="n">
        <x:v>2.5</x:v>
      </x:c>
      <x:c r="K400" s="2" t="n">
        <x:v>12</x:v>
      </x:c>
      <x:c r="L400" s="2" t="n">
        <x:v>1512</x:v>
      </x:c>
      <x:c r="M400" s="2" t="n">
        <x:v>345</x:v>
      </x:c>
      <x:c r="N400" s="2" t="n">
        <x:v>370</x:v>
      </x:c>
      <x:c r="O400" s="2" t="str">
        <x:v>R14 tervezői kiosztás; tényleges laphoz és csavarhoz próbafúrás</x:v>
      </x:c>
    </x:row>
    <x:row r="401" ht="34" customHeight="1">
      <x:c r="A401" s="2" t="str">
        <x:v>H0396</x:v>
      </x:c>
      <x:c r="B401" s="2" t="str">
        <x:v>KI12-TV02H2-01</x:v>
      </x:c>
      <x:c r="C401" s="2" t="str">
        <x:v>HATLAP_LEC / R14-J052</x:v>
      </x:c>
      <x:c r="D401" s="2" t="n">
        <x:v>8</x:v>
      </x:c>
      <x:c r="E401" s="2" t="n">
        <x:v>216</x:v>
      </x:c>
      <x:c r="F401" s="2" t="n">
        <x:v>0</x:v>
      </x:c>
      <x:c r="G401" s="2" t="n">
        <x:v>0</x:v>
      </x:c>
      <x:c r="H401" s="2" t="n">
        <x:v>0</x:v>
      </x:c>
      <x:c r="I401" s="2" t="n">
        <x:v>-1</x:v>
      </x:c>
      <x:c r="J401" s="2" t="n">
        <x:v>3.5</x:v>
      </x:c>
      <x:c r="K401" s="2" t="n">
        <x:v>8</x:v>
      </x:c>
      <x:c r="L401" s="2" t="n">
        <x:v>1503</x:v>
      </x:c>
      <x:c r="M401" s="2" t="n">
        <x:v>362</x:v>
      </x:c>
      <x:c r="N401" s="2" t="n">
        <x:v>385</x:v>
      </x:c>
      <x:c r="O401" s="2" t="str">
        <x:v>R14 tervezői kiosztás; tényleges laphoz és csavarhoz próbafúrás</x:v>
      </x:c>
    </x:row>
    <x:row r="402" ht="34" customHeight="1">
      <x:c r="A402" s="2" t="str">
        <x:v>H0397</x:v>
      </x:c>
      <x:c r="B402" s="2" t="str">
        <x:v>KI14-BAT-06</x:v>
      </x:c>
      <x:c r="C402" s="2" t="str">
        <x:v>HATLAP_LEC / R14-J052</x:v>
      </x:c>
      <x:c r="D402" s="2" t="n">
        <x:v>197</x:v>
      </x:c>
      <x:c r="E402" s="2" t="n">
        <x:v>18</x:v>
      </x:c>
      <x:c r="F402" s="2" t="n">
        <x:v>-9</x:v>
      </x:c>
      <x:c r="G402" s="2" t="n">
        <x:v>0</x:v>
      </x:c>
      <x:c r="H402" s="2" t="n">
        <x:v>-1</x:v>
      </x:c>
      <x:c r="I402" s="2" t="n">
        <x:v>0</x:v>
      </x:c>
      <x:c r="J402" s="2" t="n">
        <x:v>2.5</x:v>
      </x:c>
      <x:c r="K402" s="2" t="n">
        <x:v>12</x:v>
      </x:c>
      <x:c r="L402" s="2" t="n">
        <x:v>1503</x:v>
      </x:c>
      <x:c r="M402" s="2" t="n">
        <x:v>354</x:v>
      </x:c>
      <x:c r="N402" s="2" t="n">
        <x:v>385</x:v>
      </x:c>
      <x:c r="O402" s="2" t="str">
        <x:v>R14 tervezői kiosztás; tényleges laphoz és csavarhoz próbafúrás</x:v>
      </x:c>
    </x:row>
    <x:row r="403" ht="34" customHeight="1">
      <x:c r="A403" s="2" t="str">
        <x:v>H0398</x:v>
      </x:c>
      <x:c r="B403" s="2" t="str">
        <x:v>KI14-BAT-07</x:v>
      </x:c>
      <x:c r="C403" s="2" t="str">
        <x:v>LEC_OLDAL / R14-J053</x:v>
      </x:c>
      <x:c r="D403" s="2" t="n">
        <x:v>22</x:v>
      </x:c>
      <x:c r="E403" s="2" t="n">
        <x:v>9</x:v>
      </x:c>
      <x:c r="F403" s="2" t="n">
        <x:v>-18</x:v>
      </x:c>
      <x:c r="G403" s="2" t="n">
        <x:v>0</x:v>
      </x:c>
      <x:c r="H403" s="2" t="n">
        <x:v>0</x:v>
      </x:c>
      <x:c r="I403" s="2" t="n">
        <x:v>1</x:v>
      </x:c>
      <x:c r="J403" s="2" t="n">
        <x:v>4</x:v>
      </x:c>
      <x:c r="K403" s="2" t="n">
        <x:v>18</x:v>
      </x:c>
      <x:c r="L403" s="2" t="n">
        <x:v>1566</x:v>
      </x:c>
      <x:c r="M403" s="2" t="n">
        <x:v>345</x:v>
      </x:c>
      <x:c r="N403" s="2" t="n">
        <x:v>210</x:v>
      </x:c>
      <x:c r="O403" s="2" t="str">
        <x:v>R14 tervezői kiosztás; tényleges laphoz és csavarhoz próbafúrás</x:v>
      </x:c>
    </x:row>
    <x:row r="404" ht="34" customHeight="1">
      <x:c r="A404" s="2" t="str">
        <x:v>H0399</x:v>
      </x:c>
      <x:c r="B404" s="2" t="str">
        <x:v>KI12-TV02S-05</x:v>
      </x:c>
      <x:c r="C404" s="2" t="str">
        <x:v>LEC_OLDAL / R14-J053</x:v>
      </x:c>
      <x:c r="D404" s="2" t="n">
        <x:v>60</x:v>
      </x:c>
      <x:c r="E404" s="2" t="n">
        <x:v>345</x:v>
      </x:c>
      <x:c r="F404" s="2" t="n">
        <x:v>-18</x:v>
      </x:c>
      <x:c r="G404" s="2" t="n">
        <x:v>0</x:v>
      </x:c>
      <x:c r="H404" s="2" t="n">
        <x:v>0</x:v>
      </x:c>
      <x:c r="I404" s="2" t="n">
        <x:v>1</x:v>
      </x:c>
      <x:c r="J404" s="2" t="n">
        <x:v>2.5</x:v>
      </x:c>
      <x:c r="K404" s="2" t="n">
        <x:v>12</x:v>
      </x:c>
      <x:c r="L404" s="2" t="n">
        <x:v>1548</x:v>
      </x:c>
      <x:c r="M404" s="2" t="n">
        <x:v>345</x:v>
      </x:c>
      <x:c r="N404" s="2" t="n">
        <x:v>210</x:v>
      </x:c>
      <x:c r="O404" s="2" t="str">
        <x:v>R14 tervezői kiosztás; tényleges laphoz és csavarhoz próbafúrás</x:v>
      </x:c>
    </x:row>
    <x:row r="405" ht="34" customHeight="1">
      <x:c r="A405" s="2" t="str">
        <x:v>H0400</x:v>
      </x:c>
      <x:c r="B405" s="2" t="str">
        <x:v>KI12-TV02H2-02</x:v>
      </x:c>
      <x:c r="C405" s="2" t="str">
        <x:v>HATLAP_LEC / R14-J054</x:v>
      </x:c>
      <x:c r="D405" s="2" t="n">
        <x:v>644</x:v>
      </x:c>
      <x:c r="E405" s="2" t="n">
        <x:v>56</x:v>
      </x:c>
      <x:c r="F405" s="2" t="n">
        <x:v>0</x:v>
      </x:c>
      <x:c r="G405" s="2" t="n">
        <x:v>0</x:v>
      </x:c>
      <x:c r="H405" s="2" t="n">
        <x:v>0</x:v>
      </x:c>
      <x:c r="I405" s="2" t="n">
        <x:v>-1</x:v>
      </x:c>
      <x:c r="J405" s="2" t="n">
        <x:v>3.5</x:v>
      </x:c>
      <x:c r="K405" s="2" t="n">
        <x:v>8</x:v>
      </x:c>
      <x:c r="L405" s="2" t="n">
        <x:v>1557</x:v>
      </x:c>
      <x:c r="M405" s="2" t="n">
        <x:v>362</x:v>
      </x:c>
      <x:c r="N405" s="2" t="n">
        <x:v>225</x:v>
      </x:c>
      <x:c r="O405" s="2" t="str">
        <x:v>R14 tervezői kiosztás; tényleges laphoz és csavarhoz próbafúrás</x:v>
      </x:c>
    </x:row>
    <x:row r="406" ht="34" customHeight="1">
      <x:c r="A406" s="2" t="str">
        <x:v>H0401</x:v>
      </x:c>
      <x:c r="B406" s="2" t="str">
        <x:v>KI14-BAT-07</x:v>
      </x:c>
      <x:c r="C406" s="2" t="str">
        <x:v>HATLAP_LEC / R14-J054</x:v>
      </x:c>
      <x:c r="D406" s="2" t="n">
        <x:v>37</x:v>
      </x:c>
      <x:c r="E406" s="2" t="n">
        <x:v>18</x:v>
      </x:c>
      <x:c r="F406" s="2" t="n">
        <x:v>-9</x:v>
      </x:c>
      <x:c r="G406" s="2" t="n">
        <x:v>0</x:v>
      </x:c>
      <x:c r="H406" s="2" t="n">
        <x:v>-1</x:v>
      </x:c>
      <x:c r="I406" s="2" t="n">
        <x:v>0</x:v>
      </x:c>
      <x:c r="J406" s="2" t="n">
        <x:v>2.5</x:v>
      </x:c>
      <x:c r="K406" s="2" t="n">
        <x:v>12</x:v>
      </x:c>
      <x:c r="L406" s="2" t="n">
        <x:v>1557</x:v>
      </x:c>
      <x:c r="M406" s="2" t="n">
        <x:v>354</x:v>
      </x:c>
      <x:c r="N406" s="2" t="n">
        <x:v>225</x:v>
      </x:c>
      <x:c r="O406" s="2" t="str">
        <x:v>R14 tervezői kiosztás; tényleges laphoz és csavarhoz próbafúrás</x:v>
      </x:c>
    </x:row>
    <x:row r="407" ht="34" customHeight="1">
      <x:c r="A407" s="2" t="str">
        <x:v>H0402</x:v>
      </x:c>
      <x:c r="B407" s="2" t="str">
        <x:v>KI14-BAT-07</x:v>
      </x:c>
      <x:c r="C407" s="2" t="str">
        <x:v>LEC_OLDAL / R14-J055</x:v>
      </x:c>
      <x:c r="D407" s="2" t="n">
        <x:v>102</x:v>
      </x:c>
      <x:c r="E407" s="2" t="n">
        <x:v>9</x:v>
      </x:c>
      <x:c r="F407" s="2" t="n">
        <x:v>-18</x:v>
      </x:c>
      <x:c r="G407" s="2" t="n">
        <x:v>0</x:v>
      </x:c>
      <x:c r="H407" s="2" t="n">
        <x:v>0</x:v>
      </x:c>
      <x:c r="I407" s="2" t="n">
        <x:v>1</x:v>
      </x:c>
      <x:c r="J407" s="2" t="n">
        <x:v>4</x:v>
      </x:c>
      <x:c r="K407" s="2" t="n">
        <x:v>18</x:v>
      </x:c>
      <x:c r="L407" s="2" t="n">
        <x:v>1566</x:v>
      </x:c>
      <x:c r="M407" s="2" t="n">
        <x:v>345</x:v>
      </x:c>
      <x:c r="N407" s="2" t="n">
        <x:v>290</x:v>
      </x:c>
      <x:c r="O407" s="2" t="str">
        <x:v>R14 tervezői kiosztás; tényleges laphoz és csavarhoz próbafúrás</x:v>
      </x:c>
    </x:row>
    <x:row r="408" ht="34" customHeight="1">
      <x:c r="A408" s="2" t="str">
        <x:v>H0403</x:v>
      </x:c>
      <x:c r="B408" s="2" t="str">
        <x:v>KI12-TV02S-05</x:v>
      </x:c>
      <x:c r="C408" s="2" t="str">
        <x:v>LEC_OLDAL / R14-J055</x:v>
      </x:c>
      <x:c r="D408" s="2" t="n">
        <x:v>140</x:v>
      </x:c>
      <x:c r="E408" s="2" t="n">
        <x:v>345</x:v>
      </x:c>
      <x:c r="F408" s="2" t="n">
        <x:v>-18</x:v>
      </x:c>
      <x:c r="G408" s="2" t="n">
        <x:v>0</x:v>
      </x:c>
      <x:c r="H408" s="2" t="n">
        <x:v>0</x:v>
      </x:c>
      <x:c r="I408" s="2" t="n">
        <x:v>1</x:v>
      </x:c>
      <x:c r="J408" s="2" t="n">
        <x:v>2.5</x:v>
      </x:c>
      <x:c r="K408" s="2" t="n">
        <x:v>12</x:v>
      </x:c>
      <x:c r="L408" s="2" t="n">
        <x:v>1548</x:v>
      </x:c>
      <x:c r="M408" s="2" t="n">
        <x:v>345</x:v>
      </x:c>
      <x:c r="N408" s="2" t="n">
        <x:v>290</x:v>
      </x:c>
      <x:c r="O408" s="2" t="str">
        <x:v>R14 tervezői kiosztás; tényleges laphoz és csavarhoz próbafúrás</x:v>
      </x:c>
    </x:row>
    <x:row r="409" ht="34" customHeight="1">
      <x:c r="A409" s="2" t="str">
        <x:v>H0404</x:v>
      </x:c>
      <x:c r="B409" s="2" t="str">
        <x:v>KI12-TV02H2-02</x:v>
      </x:c>
      <x:c r="C409" s="2" t="str">
        <x:v>HATLAP_LEC / R14-J056</x:v>
      </x:c>
      <x:c r="D409" s="2" t="n">
        <x:v>644</x:v>
      </x:c>
      <x:c r="E409" s="2" t="n">
        <x:v>136</x:v>
      </x:c>
      <x:c r="F409" s="2" t="n">
        <x:v>0</x:v>
      </x:c>
      <x:c r="G409" s="2" t="n">
        <x:v>0</x:v>
      </x:c>
      <x:c r="H409" s="2" t="n">
        <x:v>0</x:v>
      </x:c>
      <x:c r="I409" s="2" t="n">
        <x:v>-1</x:v>
      </x:c>
      <x:c r="J409" s="2" t="n">
        <x:v>3.5</x:v>
      </x:c>
      <x:c r="K409" s="2" t="n">
        <x:v>8</x:v>
      </x:c>
      <x:c r="L409" s="2" t="n">
        <x:v>1557</x:v>
      </x:c>
      <x:c r="M409" s="2" t="n">
        <x:v>362</x:v>
      </x:c>
      <x:c r="N409" s="2" t="n">
        <x:v>305</x:v>
      </x:c>
      <x:c r="O409" s="2" t="str">
        <x:v>R14 tervezői kiosztás; tényleges laphoz és csavarhoz próbafúrás</x:v>
      </x:c>
    </x:row>
    <x:row r="410" ht="34" customHeight="1">
      <x:c r="A410" s="2" t="str">
        <x:v>H0405</x:v>
      </x:c>
      <x:c r="B410" s="2" t="str">
        <x:v>KI14-BAT-07</x:v>
      </x:c>
      <x:c r="C410" s="2" t="str">
        <x:v>HATLAP_LEC / R14-J056</x:v>
      </x:c>
      <x:c r="D410" s="2" t="n">
        <x:v>117</x:v>
      </x:c>
      <x:c r="E410" s="2" t="n">
        <x:v>18</x:v>
      </x:c>
      <x:c r="F410" s="2" t="n">
        <x:v>-9</x:v>
      </x:c>
      <x:c r="G410" s="2" t="n">
        <x:v>0</x:v>
      </x:c>
      <x:c r="H410" s="2" t="n">
        <x:v>-1</x:v>
      </x:c>
      <x:c r="I410" s="2" t="n">
        <x:v>0</x:v>
      </x:c>
      <x:c r="J410" s="2" t="n">
        <x:v>2.5</x:v>
      </x:c>
      <x:c r="K410" s="2" t="n">
        <x:v>12</x:v>
      </x:c>
      <x:c r="L410" s="2" t="n">
        <x:v>1557</x:v>
      </x:c>
      <x:c r="M410" s="2" t="n">
        <x:v>354</x:v>
      </x:c>
      <x:c r="N410" s="2" t="n">
        <x:v>305</x:v>
      </x:c>
      <x:c r="O410" s="2" t="str">
        <x:v>R14 tervezői kiosztás; tényleges laphoz és csavarhoz próbafúrás</x:v>
      </x:c>
    </x:row>
    <x:row r="411" ht="34" customHeight="1">
      <x:c r="A411" s="2" t="str">
        <x:v>H0406</x:v>
      </x:c>
      <x:c r="B411" s="2" t="str">
        <x:v>KI14-BAT-07</x:v>
      </x:c>
      <x:c r="C411" s="2" t="str">
        <x:v>LEC_OLDAL / R14-J057</x:v>
      </x:c>
      <x:c r="D411" s="2" t="n">
        <x:v>182</x:v>
      </x:c>
      <x:c r="E411" s="2" t="n">
        <x:v>9</x:v>
      </x:c>
      <x:c r="F411" s="2" t="n">
        <x:v>-18</x:v>
      </x:c>
      <x:c r="G411" s="2" t="n">
        <x:v>0</x:v>
      </x:c>
      <x:c r="H411" s="2" t="n">
        <x:v>0</x:v>
      </x:c>
      <x:c r="I411" s="2" t="n">
        <x:v>1</x:v>
      </x:c>
      <x:c r="J411" s="2" t="n">
        <x:v>4</x:v>
      </x:c>
      <x:c r="K411" s="2" t="n">
        <x:v>18</x:v>
      </x:c>
      <x:c r="L411" s="2" t="n">
        <x:v>1566</x:v>
      </x:c>
      <x:c r="M411" s="2" t="n">
        <x:v>345</x:v>
      </x:c>
      <x:c r="N411" s="2" t="n">
        <x:v>370</x:v>
      </x:c>
      <x:c r="O411" s="2" t="str">
        <x:v>R14 tervezői kiosztás; tényleges laphoz és csavarhoz próbafúrás</x:v>
      </x:c>
    </x:row>
    <x:row r="412" ht="34" customHeight="1">
      <x:c r="A412" s="2" t="str">
        <x:v>H0407</x:v>
      </x:c>
      <x:c r="B412" s="2" t="str">
        <x:v>KI12-TV02S-05</x:v>
      </x:c>
      <x:c r="C412" s="2" t="str">
        <x:v>LEC_OLDAL / R14-J057</x:v>
      </x:c>
      <x:c r="D412" s="2" t="n">
        <x:v>220</x:v>
      </x:c>
      <x:c r="E412" s="2" t="n">
        <x:v>345</x:v>
      </x:c>
      <x:c r="F412" s="2" t="n">
        <x:v>-18</x:v>
      </x:c>
      <x:c r="G412" s="2" t="n">
        <x:v>0</x:v>
      </x:c>
      <x:c r="H412" s="2" t="n">
        <x:v>0</x:v>
      </x:c>
      <x:c r="I412" s="2" t="n">
        <x:v>1</x:v>
      </x:c>
      <x:c r="J412" s="2" t="n">
        <x:v>2.5</x:v>
      </x:c>
      <x:c r="K412" s="2" t="n">
        <x:v>12</x:v>
      </x:c>
      <x:c r="L412" s="2" t="n">
        <x:v>1548</x:v>
      </x:c>
      <x:c r="M412" s="2" t="n">
        <x:v>345</x:v>
      </x:c>
      <x:c r="N412" s="2" t="n">
        <x:v>370</x:v>
      </x:c>
      <x:c r="O412" s="2" t="str">
        <x:v>R14 tervezői kiosztás; tényleges laphoz és csavarhoz próbafúrás</x:v>
      </x:c>
    </x:row>
    <x:row r="413" ht="34" customHeight="1">
      <x:c r="A413" s="2" t="str">
        <x:v>H0408</x:v>
      </x:c>
      <x:c r="B413" s="2" t="str">
        <x:v>KI12-TV02H2-02</x:v>
      </x:c>
      <x:c r="C413" s="2" t="str">
        <x:v>HATLAP_LEC / R14-J058</x:v>
      </x:c>
      <x:c r="D413" s="2" t="n">
        <x:v>644</x:v>
      </x:c>
      <x:c r="E413" s="2" t="n">
        <x:v>216</x:v>
      </x:c>
      <x:c r="F413" s="2" t="n">
        <x:v>0</x:v>
      </x:c>
      <x:c r="G413" s="2" t="n">
        <x:v>0</x:v>
      </x:c>
      <x:c r="H413" s="2" t="n">
        <x:v>0</x:v>
      </x:c>
      <x:c r="I413" s="2" t="n">
        <x:v>-1</x:v>
      </x:c>
      <x:c r="J413" s="2" t="n">
        <x:v>3.5</x:v>
      </x:c>
      <x:c r="K413" s="2" t="n">
        <x:v>8</x:v>
      </x:c>
      <x:c r="L413" s="2" t="n">
        <x:v>1557</x:v>
      </x:c>
      <x:c r="M413" s="2" t="n">
        <x:v>362</x:v>
      </x:c>
      <x:c r="N413" s="2" t="n">
        <x:v>385</x:v>
      </x:c>
      <x:c r="O413" s="2" t="str">
        <x:v>R14 tervezői kiosztás; tényleges laphoz és csavarhoz próbafúrás</x:v>
      </x:c>
    </x:row>
    <x:row r="414" ht="34" customHeight="1">
      <x:c r="A414" s="2" t="str">
        <x:v>H0409</x:v>
      </x:c>
      <x:c r="B414" s="2" t="str">
        <x:v>KI14-BAT-07</x:v>
      </x:c>
      <x:c r="C414" s="2" t="str">
        <x:v>HATLAP_LEC / R14-J058</x:v>
      </x:c>
      <x:c r="D414" s="2" t="n">
        <x:v>197</x:v>
      </x:c>
      <x:c r="E414" s="2" t="n">
        <x:v>18</x:v>
      </x:c>
      <x:c r="F414" s="2" t="n">
        <x:v>-9</x:v>
      </x:c>
      <x:c r="G414" s="2" t="n">
        <x:v>0</x:v>
      </x:c>
      <x:c r="H414" s="2" t="n">
        <x:v>-1</x:v>
      </x:c>
      <x:c r="I414" s="2" t="n">
        <x:v>0</x:v>
      </x:c>
      <x:c r="J414" s="2" t="n">
        <x:v>2.5</x:v>
      </x:c>
      <x:c r="K414" s="2" t="n">
        <x:v>12</x:v>
      </x:c>
      <x:c r="L414" s="2" t="n">
        <x:v>1557</x:v>
      </x:c>
      <x:c r="M414" s="2" t="n">
        <x:v>354</x:v>
      </x:c>
      <x:c r="N414" s="2" t="n">
        <x:v>385</x:v>
      </x:c>
      <x:c r="O414" s="2" t="str">
        <x:v>R14 tervezői kiosztás; tényleges laphoz és csavarhoz próbafúrás</x:v>
      </x:c>
    </x:row>
    <x:row r="415" ht="34" customHeight="1">
      <x:c r="A415" s="2" t="str">
        <x:v>H0410</x:v>
      </x:c>
      <x:c r="B415" s="2" t="str">
        <x:v>KI14-BAT-08</x:v>
      </x:c>
      <x:c r="C415" s="2" t="str">
        <x:v>LEC_OLDAL / R14-J059</x:v>
      </x:c>
      <x:c r="D415" s="2" t="n">
        <x:v>22</x:v>
      </x:c>
      <x:c r="E415" s="2" t="n">
        <x:v>9</x:v>
      </x:c>
      <x:c r="F415" s="2" t="n">
        <x:v>0</x:v>
      </x:c>
      <x:c r="G415" s="2" t="n">
        <x:v>0</x:v>
      </x:c>
      <x:c r="H415" s="2" t="n">
        <x:v>0</x:v>
      </x:c>
      <x:c r="I415" s="2" t="n">
        <x:v>-1</x:v>
      </x:c>
      <x:c r="J415" s="2" t="n">
        <x:v>4</x:v>
      </x:c>
      <x:c r="K415" s="2" t="n">
        <x:v>18</x:v>
      </x:c>
      <x:c r="L415" s="2" t="n">
        <x:v>2184</x:v>
      </x:c>
      <x:c r="M415" s="2" t="n">
        <x:v>345</x:v>
      </x:c>
      <x:c r="N415" s="2" t="n">
        <x:v>210</x:v>
      </x:c>
      <x:c r="O415" s="2" t="str">
        <x:v>R14 tervezői kiosztás; tényleges laphoz és csavarhoz próbafúrás</x:v>
      </x:c>
    </x:row>
    <x:row r="416" ht="34" customHeight="1">
      <x:c r="A416" s="2" t="str">
        <x:v>H0411</x:v>
      </x:c>
      <x:c r="B416" s="2" t="str">
        <x:v>KI12-TV02S-06</x:v>
      </x:c>
      <x:c r="C416" s="2" t="str">
        <x:v>LEC_OLDAL / R14-J059</x:v>
      </x:c>
      <x:c r="D416" s="2" t="n">
        <x:v>60</x:v>
      </x:c>
      <x:c r="E416" s="2" t="n">
        <x:v>345</x:v>
      </x:c>
      <x:c r="F416" s="2" t="n">
        <x:v>0</x:v>
      </x:c>
      <x:c r="G416" s="2" t="n">
        <x:v>0</x:v>
      </x:c>
      <x:c r="H416" s="2" t="n">
        <x:v>0</x:v>
      </x:c>
      <x:c r="I416" s="2" t="n">
        <x:v>-1</x:v>
      </x:c>
      <x:c r="J416" s="2" t="n">
        <x:v>2.5</x:v>
      </x:c>
      <x:c r="K416" s="2" t="n">
        <x:v>12</x:v>
      </x:c>
      <x:c r="L416" s="2" t="n">
        <x:v>2202</x:v>
      </x:c>
      <x:c r="M416" s="2" t="n">
        <x:v>345</x:v>
      </x:c>
      <x:c r="N416" s="2" t="n">
        <x:v>210</x:v>
      </x:c>
      <x:c r="O416" s="2" t="str">
        <x:v>R14 tervezői kiosztás; tényleges laphoz és csavarhoz próbafúrás</x:v>
      </x:c>
    </x:row>
    <x:row r="417" ht="34" customHeight="1">
      <x:c r="A417" s="2" t="str">
        <x:v>H0412</x:v>
      </x:c>
      <x:c r="B417" s="2" t="str">
        <x:v>KI12-TV02H2-02</x:v>
      </x:c>
      <x:c r="C417" s="2" t="str">
        <x:v>HATLAP_LEC / R14-J060</x:v>
      </x:c>
      <x:c r="D417" s="2" t="n">
        <x:v>8</x:v>
      </x:c>
      <x:c r="E417" s="2" t="n">
        <x:v>56</x:v>
      </x:c>
      <x:c r="F417" s="2" t="n">
        <x:v>0</x:v>
      </x:c>
      <x:c r="G417" s="2" t="n">
        <x:v>0</x:v>
      </x:c>
      <x:c r="H417" s="2" t="n">
        <x:v>0</x:v>
      </x:c>
      <x:c r="I417" s="2" t="n">
        <x:v>-1</x:v>
      </x:c>
      <x:c r="J417" s="2" t="n">
        <x:v>3.5</x:v>
      </x:c>
      <x:c r="K417" s="2" t="n">
        <x:v>8</x:v>
      </x:c>
      <x:c r="L417" s="2" t="n">
        <x:v>2193</x:v>
      </x:c>
      <x:c r="M417" s="2" t="n">
        <x:v>362</x:v>
      </x:c>
      <x:c r="N417" s="2" t="n">
        <x:v>225</x:v>
      </x:c>
      <x:c r="O417" s="2" t="str">
        <x:v>R14 tervezői kiosztás; tényleges laphoz és csavarhoz próbafúrás</x:v>
      </x:c>
    </x:row>
    <x:row r="418" ht="34" customHeight="1">
      <x:c r="A418" s="2" t="str">
        <x:v>H0413</x:v>
      </x:c>
      <x:c r="B418" s="2" t="str">
        <x:v>KI14-BAT-08</x:v>
      </x:c>
      <x:c r="C418" s="2" t="str">
        <x:v>HATLAP_LEC / R14-J060</x:v>
      </x:c>
      <x:c r="D418" s="2" t="n">
        <x:v>37</x:v>
      </x:c>
      <x:c r="E418" s="2" t="n">
        <x:v>18</x:v>
      </x:c>
      <x:c r="F418" s="2" t="n">
        <x:v>-9</x:v>
      </x:c>
      <x:c r="G418" s="2" t="n">
        <x:v>0</x:v>
      </x:c>
      <x:c r="H418" s="2" t="n">
        <x:v>-1</x:v>
      </x:c>
      <x:c r="I418" s="2" t="n">
        <x:v>0</x:v>
      </x:c>
      <x:c r="J418" s="2" t="n">
        <x:v>2.5</x:v>
      </x:c>
      <x:c r="K418" s="2" t="n">
        <x:v>12</x:v>
      </x:c>
      <x:c r="L418" s="2" t="n">
        <x:v>2193</x:v>
      </x:c>
      <x:c r="M418" s="2" t="n">
        <x:v>354</x:v>
      </x:c>
      <x:c r="N418" s="2" t="n">
        <x:v>225</x:v>
      </x:c>
      <x:c r="O418" s="2" t="str">
        <x:v>R14 tervezői kiosztás; tényleges laphoz és csavarhoz próbafúrás</x:v>
      </x:c>
    </x:row>
    <x:row r="419" ht="34" customHeight="1">
      <x:c r="A419" s="2" t="str">
        <x:v>H0414</x:v>
      </x:c>
      <x:c r="B419" s="2" t="str">
        <x:v>KI14-BAT-08</x:v>
      </x:c>
      <x:c r="C419" s="2" t="str">
        <x:v>LEC_OLDAL / R14-J061</x:v>
      </x:c>
      <x:c r="D419" s="2" t="n">
        <x:v>102</x:v>
      </x:c>
      <x:c r="E419" s="2" t="n">
        <x:v>9</x:v>
      </x:c>
      <x:c r="F419" s="2" t="n">
        <x:v>0</x:v>
      </x:c>
      <x:c r="G419" s="2" t="n">
        <x:v>0</x:v>
      </x:c>
      <x:c r="H419" s="2" t="n">
        <x:v>0</x:v>
      </x:c>
      <x:c r="I419" s="2" t="n">
        <x:v>-1</x:v>
      </x:c>
      <x:c r="J419" s="2" t="n">
        <x:v>4</x:v>
      </x:c>
      <x:c r="K419" s="2" t="n">
        <x:v>18</x:v>
      </x:c>
      <x:c r="L419" s="2" t="n">
        <x:v>2184</x:v>
      </x:c>
      <x:c r="M419" s="2" t="n">
        <x:v>345</x:v>
      </x:c>
      <x:c r="N419" s="2" t="n">
        <x:v>290</x:v>
      </x:c>
      <x:c r="O419" s="2" t="str">
        <x:v>R14 tervezői kiosztás; tényleges laphoz és csavarhoz próbafúrás</x:v>
      </x:c>
    </x:row>
    <x:row r="420" ht="34" customHeight="1">
      <x:c r="A420" s="2" t="str">
        <x:v>H0415</x:v>
      </x:c>
      <x:c r="B420" s="2" t="str">
        <x:v>KI12-TV02S-06</x:v>
      </x:c>
      <x:c r="C420" s="2" t="str">
        <x:v>LEC_OLDAL / R14-J061</x:v>
      </x:c>
      <x:c r="D420" s="2" t="n">
        <x:v>140</x:v>
      </x:c>
      <x:c r="E420" s="2" t="n">
        <x:v>345</x:v>
      </x:c>
      <x:c r="F420" s="2" t="n">
        <x:v>0</x:v>
      </x:c>
      <x:c r="G420" s="2" t="n">
        <x:v>0</x:v>
      </x:c>
      <x:c r="H420" s="2" t="n">
        <x:v>0</x:v>
      </x:c>
      <x:c r="I420" s="2" t="n">
        <x:v>-1</x:v>
      </x:c>
      <x:c r="J420" s="2" t="n">
        <x:v>2.5</x:v>
      </x:c>
      <x:c r="K420" s="2" t="n">
        <x:v>12</x:v>
      </x:c>
      <x:c r="L420" s="2" t="n">
        <x:v>2202</x:v>
      </x:c>
      <x:c r="M420" s="2" t="n">
        <x:v>345</x:v>
      </x:c>
      <x:c r="N420" s="2" t="n">
        <x:v>290</x:v>
      </x:c>
      <x:c r="O420" s="2" t="str">
        <x:v>R14 tervezői kiosztás; tényleges laphoz és csavarhoz próbafúrás</x:v>
      </x:c>
    </x:row>
    <x:row r="421" ht="34" customHeight="1">
      <x:c r="A421" s="2" t="str">
        <x:v>H0416</x:v>
      </x:c>
      <x:c r="B421" s="2" t="str">
        <x:v>KI12-TV02H2-02</x:v>
      </x:c>
      <x:c r="C421" s="2" t="str">
        <x:v>HATLAP_LEC / R14-J062</x:v>
      </x:c>
      <x:c r="D421" s="2" t="n">
        <x:v>8</x:v>
      </x:c>
      <x:c r="E421" s="2" t="n">
        <x:v>136</x:v>
      </x:c>
      <x:c r="F421" s="2" t="n">
        <x:v>0</x:v>
      </x:c>
      <x:c r="G421" s="2" t="n">
        <x:v>0</x:v>
      </x:c>
      <x:c r="H421" s="2" t="n">
        <x:v>0</x:v>
      </x:c>
      <x:c r="I421" s="2" t="n">
        <x:v>-1</x:v>
      </x:c>
      <x:c r="J421" s="2" t="n">
        <x:v>3.5</x:v>
      </x:c>
      <x:c r="K421" s="2" t="n">
        <x:v>8</x:v>
      </x:c>
      <x:c r="L421" s="2" t="n">
        <x:v>2193</x:v>
      </x:c>
      <x:c r="M421" s="2" t="n">
        <x:v>362</x:v>
      </x:c>
      <x:c r="N421" s="2" t="n">
        <x:v>305</x:v>
      </x:c>
      <x:c r="O421" s="2" t="str">
        <x:v>R14 tervezői kiosztás; tényleges laphoz és csavarhoz próbafúrás</x:v>
      </x:c>
    </x:row>
    <x:row r="422" ht="34" customHeight="1">
      <x:c r="A422" s="2" t="str">
        <x:v>H0417</x:v>
      </x:c>
      <x:c r="B422" s="2" t="str">
        <x:v>KI14-BAT-08</x:v>
      </x:c>
      <x:c r="C422" s="2" t="str">
        <x:v>HATLAP_LEC / R14-J062</x:v>
      </x:c>
      <x:c r="D422" s="2" t="n">
        <x:v>117</x:v>
      </x:c>
      <x:c r="E422" s="2" t="n">
        <x:v>18</x:v>
      </x:c>
      <x:c r="F422" s="2" t="n">
        <x:v>-9</x:v>
      </x:c>
      <x:c r="G422" s="2" t="n">
        <x:v>0</x:v>
      </x:c>
      <x:c r="H422" s="2" t="n">
        <x:v>-1</x:v>
      </x:c>
      <x:c r="I422" s="2" t="n">
        <x:v>0</x:v>
      </x:c>
      <x:c r="J422" s="2" t="n">
        <x:v>2.5</x:v>
      </x:c>
      <x:c r="K422" s="2" t="n">
        <x:v>12</x:v>
      </x:c>
      <x:c r="L422" s="2" t="n">
        <x:v>2193</x:v>
      </x:c>
      <x:c r="M422" s="2" t="n">
        <x:v>354</x:v>
      </x:c>
      <x:c r="N422" s="2" t="n">
        <x:v>305</x:v>
      </x:c>
      <x:c r="O422" s="2" t="str">
        <x:v>R14 tervezői kiosztás; tényleges laphoz és csavarhoz próbafúrás</x:v>
      </x:c>
    </x:row>
    <x:row r="423" ht="34" customHeight="1">
      <x:c r="A423" s="2" t="str">
        <x:v>H0418</x:v>
      </x:c>
      <x:c r="B423" s="2" t="str">
        <x:v>KI14-BAT-08</x:v>
      </x:c>
      <x:c r="C423" s="2" t="str">
        <x:v>LEC_OLDAL / R14-J063</x:v>
      </x:c>
      <x:c r="D423" s="2" t="n">
        <x:v>182</x:v>
      </x:c>
      <x:c r="E423" s="2" t="n">
        <x:v>9</x:v>
      </x:c>
      <x:c r="F423" s="2" t="n">
        <x:v>0</x:v>
      </x:c>
      <x:c r="G423" s="2" t="n">
        <x:v>0</x:v>
      </x:c>
      <x:c r="H423" s="2" t="n">
        <x:v>0</x:v>
      </x:c>
      <x:c r="I423" s="2" t="n">
        <x:v>-1</x:v>
      </x:c>
      <x:c r="J423" s="2" t="n">
        <x:v>4</x:v>
      </x:c>
      <x:c r="K423" s="2" t="n">
        <x:v>18</x:v>
      </x:c>
      <x:c r="L423" s="2" t="n">
        <x:v>2184</x:v>
      </x:c>
      <x:c r="M423" s="2" t="n">
        <x:v>345</x:v>
      </x:c>
      <x:c r="N423" s="2" t="n">
        <x:v>370</x:v>
      </x:c>
      <x:c r="O423" s="2" t="str">
        <x:v>R14 tervezői kiosztás; tényleges laphoz és csavarhoz próbafúrás</x:v>
      </x:c>
    </x:row>
    <x:row r="424" ht="34" customHeight="1">
      <x:c r="A424" s="2" t="str">
        <x:v>H0419</x:v>
      </x:c>
      <x:c r="B424" s="2" t="str">
        <x:v>KI12-TV02S-06</x:v>
      </x:c>
      <x:c r="C424" s="2" t="str">
        <x:v>LEC_OLDAL / R14-J063</x:v>
      </x:c>
      <x:c r="D424" s="2" t="n">
        <x:v>220</x:v>
      </x:c>
      <x:c r="E424" s="2" t="n">
        <x:v>345</x:v>
      </x:c>
      <x:c r="F424" s="2" t="n">
        <x:v>0</x:v>
      </x:c>
      <x:c r="G424" s="2" t="n">
        <x:v>0</x:v>
      </x:c>
      <x:c r="H424" s="2" t="n">
        <x:v>0</x:v>
      </x:c>
      <x:c r="I424" s="2" t="n">
        <x:v>-1</x:v>
      </x:c>
      <x:c r="J424" s="2" t="n">
        <x:v>2.5</x:v>
      </x:c>
      <x:c r="K424" s="2" t="n">
        <x:v>12</x:v>
      </x:c>
      <x:c r="L424" s="2" t="n">
        <x:v>2202</x:v>
      </x:c>
      <x:c r="M424" s="2" t="n">
        <x:v>345</x:v>
      </x:c>
      <x:c r="N424" s="2" t="n">
        <x:v>370</x:v>
      </x:c>
      <x:c r="O424" s="2" t="str">
        <x:v>R14 tervezői kiosztás; tényleges laphoz és csavarhoz próbafúrás</x:v>
      </x:c>
    </x:row>
    <x:row r="425" ht="34" customHeight="1">
      <x:c r="A425" s="2" t="str">
        <x:v>H0420</x:v>
      </x:c>
      <x:c r="B425" s="2" t="str">
        <x:v>KI12-TV02H2-02</x:v>
      </x:c>
      <x:c r="C425" s="2" t="str">
        <x:v>HATLAP_LEC / R14-J064</x:v>
      </x:c>
      <x:c r="D425" s="2" t="n">
        <x:v>8</x:v>
      </x:c>
      <x:c r="E425" s="2" t="n">
        <x:v>216</x:v>
      </x:c>
      <x:c r="F425" s="2" t="n">
        <x:v>0</x:v>
      </x:c>
      <x:c r="G425" s="2" t="n">
        <x:v>0</x:v>
      </x:c>
      <x:c r="H425" s="2" t="n">
        <x:v>0</x:v>
      </x:c>
      <x:c r="I425" s="2" t="n">
        <x:v>-1</x:v>
      </x:c>
      <x:c r="J425" s="2" t="n">
        <x:v>3.5</x:v>
      </x:c>
      <x:c r="K425" s="2" t="n">
        <x:v>8</x:v>
      </x:c>
      <x:c r="L425" s="2" t="n">
        <x:v>2193</x:v>
      </x:c>
      <x:c r="M425" s="2" t="n">
        <x:v>362</x:v>
      </x:c>
      <x:c r="N425" s="2" t="n">
        <x:v>385</x:v>
      </x:c>
      <x:c r="O425" s="2" t="str">
        <x:v>R14 tervezői kiosztás; tényleges laphoz és csavarhoz próbafúrás</x:v>
      </x:c>
    </x:row>
    <x:row r="426" ht="34" customHeight="1">
      <x:c r="A426" s="2" t="str">
        <x:v>H0421</x:v>
      </x:c>
      <x:c r="B426" s="2" t="str">
        <x:v>KI14-BAT-08</x:v>
      </x:c>
      <x:c r="C426" s="2" t="str">
        <x:v>HATLAP_LEC / R14-J064</x:v>
      </x:c>
      <x:c r="D426" s="2" t="n">
        <x:v>197</x:v>
      </x:c>
      <x:c r="E426" s="2" t="n">
        <x:v>18</x:v>
      </x:c>
      <x:c r="F426" s="2" t="n">
        <x:v>-9</x:v>
      </x:c>
      <x:c r="G426" s="2" t="n">
        <x:v>0</x:v>
      </x:c>
      <x:c r="H426" s="2" t="n">
        <x:v>-1</x:v>
      </x:c>
      <x:c r="I426" s="2" t="n">
        <x:v>0</x:v>
      </x:c>
      <x:c r="J426" s="2" t="n">
        <x:v>2.5</x:v>
      </x:c>
      <x:c r="K426" s="2" t="n">
        <x:v>12</x:v>
      </x:c>
      <x:c r="L426" s="2" t="n">
        <x:v>2193</x:v>
      </x:c>
      <x:c r="M426" s="2" t="n">
        <x:v>354</x:v>
      </x:c>
      <x:c r="N426" s="2" t="n">
        <x:v>385</x:v>
      </x:c>
      <x:c r="O426" s="2" t="str">
        <x:v>R14 tervezői kiosztás; tényleges laphoz és csavarhoz próbafúrás</x:v>
      </x:c>
    </x:row>
    <x:row r="427" ht="34" customHeight="1">
      <x:c r="A427" s="2" t="str">
        <x:v>H0422</x:v>
      </x:c>
      <x:c r="B427" s="2" t="str">
        <x:v>KI14-BAT-09</x:v>
      </x:c>
      <x:c r="C427" s="2" t="str">
        <x:v>LEC_OLDAL / R14-J065</x:v>
      </x:c>
      <x:c r="D427" s="2" t="n">
        <x:v>22</x:v>
      </x:c>
      <x:c r="E427" s="2" t="n">
        <x:v>9</x:v>
      </x:c>
      <x:c r="F427" s="2" t="n">
        <x:v>-18</x:v>
      </x:c>
      <x:c r="G427" s="2" t="n">
        <x:v>0</x:v>
      </x:c>
      <x:c r="H427" s="2" t="n">
        <x:v>0</x:v>
      </x:c>
      <x:c r="I427" s="2" t="n">
        <x:v>1</x:v>
      </x:c>
      <x:c r="J427" s="2" t="n">
        <x:v>4</x:v>
      </x:c>
      <x:c r="K427" s="2" t="n">
        <x:v>18</x:v>
      </x:c>
      <x:c r="L427" s="2" t="n">
        <x:v>2256</x:v>
      </x:c>
      <x:c r="M427" s="2" t="n">
        <x:v>345</x:v>
      </x:c>
      <x:c r="N427" s="2" t="n">
        <x:v>210</x:v>
      </x:c>
      <x:c r="O427" s="2" t="str">
        <x:v>R14 tervezői kiosztás; tényleges laphoz és csavarhoz próbafúrás</x:v>
      </x:c>
    </x:row>
    <x:row r="428" ht="34" customHeight="1">
      <x:c r="A428" s="2" t="str">
        <x:v>H0423</x:v>
      </x:c>
      <x:c r="B428" s="2" t="str">
        <x:v>KI12-TV02S-07</x:v>
      </x:c>
      <x:c r="C428" s="2" t="str">
        <x:v>LEC_OLDAL / R14-J065</x:v>
      </x:c>
      <x:c r="D428" s="2" t="n">
        <x:v>60</x:v>
      </x:c>
      <x:c r="E428" s="2" t="n">
        <x:v>345</x:v>
      </x:c>
      <x:c r="F428" s="2" t="n">
        <x:v>-18</x:v>
      </x:c>
      <x:c r="G428" s="2" t="n">
        <x:v>0</x:v>
      </x:c>
      <x:c r="H428" s="2" t="n">
        <x:v>0</x:v>
      </x:c>
      <x:c r="I428" s="2" t="n">
        <x:v>1</x:v>
      </x:c>
      <x:c r="J428" s="2" t="n">
        <x:v>2.5</x:v>
      </x:c>
      <x:c r="K428" s="2" t="n">
        <x:v>12</x:v>
      </x:c>
      <x:c r="L428" s="2" t="n">
        <x:v>2238</x:v>
      </x:c>
      <x:c r="M428" s="2" t="n">
        <x:v>345</x:v>
      </x:c>
      <x:c r="N428" s="2" t="n">
        <x:v>210</x:v>
      </x:c>
      <x:c r="O428" s="2" t="str">
        <x:v>R14 tervezői kiosztás; tényleges laphoz és csavarhoz próbafúrás</x:v>
      </x:c>
    </x:row>
    <x:row r="429" ht="34" customHeight="1">
      <x:c r="A429" s="2" t="str">
        <x:v>H0424</x:v>
      </x:c>
      <x:c r="B429" s="2" t="str">
        <x:v>KI12-TV02H2-03</x:v>
      </x:c>
      <x:c r="C429" s="2" t="str">
        <x:v>HATLAP_LEC / R14-J066</x:v>
      </x:c>
      <x:c r="D429" s="2" t="n">
        <x:v>644</x:v>
      </x:c>
      <x:c r="E429" s="2" t="n">
        <x:v>56</x:v>
      </x:c>
      <x:c r="F429" s="2" t="n">
        <x:v>0</x:v>
      </x:c>
      <x:c r="G429" s="2" t="n">
        <x:v>0</x:v>
      </x:c>
      <x:c r="H429" s="2" t="n">
        <x:v>0</x:v>
      </x:c>
      <x:c r="I429" s="2" t="n">
        <x:v>-1</x:v>
      </x:c>
      <x:c r="J429" s="2" t="n">
        <x:v>3.5</x:v>
      </x:c>
      <x:c r="K429" s="2" t="n">
        <x:v>8</x:v>
      </x:c>
      <x:c r="L429" s="2" t="n">
        <x:v>2247</x:v>
      </x:c>
      <x:c r="M429" s="2" t="n">
        <x:v>362</x:v>
      </x:c>
      <x:c r="N429" s="2" t="n">
        <x:v>225</x:v>
      </x:c>
      <x:c r="O429" s="2" t="str">
        <x:v>R14 tervezői kiosztás; tényleges laphoz és csavarhoz próbafúrás</x:v>
      </x:c>
    </x:row>
    <x:row r="430" ht="34" customHeight="1">
      <x:c r="A430" s="2" t="str">
        <x:v>H0425</x:v>
      </x:c>
      <x:c r="B430" s="2" t="str">
        <x:v>KI14-BAT-09</x:v>
      </x:c>
      <x:c r="C430" s="2" t="str">
        <x:v>HATLAP_LEC / R14-J066</x:v>
      </x:c>
      <x:c r="D430" s="2" t="n">
        <x:v>37</x:v>
      </x:c>
      <x:c r="E430" s="2" t="n">
        <x:v>18</x:v>
      </x:c>
      <x:c r="F430" s="2" t="n">
        <x:v>-9</x:v>
      </x:c>
      <x:c r="G430" s="2" t="n">
        <x:v>0</x:v>
      </x:c>
      <x:c r="H430" s="2" t="n">
        <x:v>-1</x:v>
      </x:c>
      <x:c r="I430" s="2" t="n">
        <x:v>0</x:v>
      </x:c>
      <x:c r="J430" s="2" t="n">
        <x:v>2.5</x:v>
      </x:c>
      <x:c r="K430" s="2" t="n">
        <x:v>12</x:v>
      </x:c>
      <x:c r="L430" s="2" t="n">
        <x:v>2247</x:v>
      </x:c>
      <x:c r="M430" s="2" t="n">
        <x:v>354</x:v>
      </x:c>
      <x:c r="N430" s="2" t="n">
        <x:v>225</x:v>
      </x:c>
      <x:c r="O430" s="2" t="str">
        <x:v>R14 tervezői kiosztás; tényleges laphoz és csavarhoz próbafúrás</x:v>
      </x:c>
    </x:row>
    <x:row r="431" ht="34" customHeight="1">
      <x:c r="A431" s="2" t="str">
        <x:v>H0426</x:v>
      </x:c>
      <x:c r="B431" s="2" t="str">
        <x:v>KI14-BAT-09</x:v>
      </x:c>
      <x:c r="C431" s="2" t="str">
        <x:v>LEC_OLDAL / R14-J067</x:v>
      </x:c>
      <x:c r="D431" s="2" t="n">
        <x:v>102</x:v>
      </x:c>
      <x:c r="E431" s="2" t="n">
        <x:v>9</x:v>
      </x:c>
      <x:c r="F431" s="2" t="n">
        <x:v>-18</x:v>
      </x:c>
      <x:c r="G431" s="2" t="n">
        <x:v>0</x:v>
      </x:c>
      <x:c r="H431" s="2" t="n">
        <x:v>0</x:v>
      </x:c>
      <x:c r="I431" s="2" t="n">
        <x:v>1</x:v>
      </x:c>
      <x:c r="J431" s="2" t="n">
        <x:v>4</x:v>
      </x:c>
      <x:c r="K431" s="2" t="n">
        <x:v>18</x:v>
      </x:c>
      <x:c r="L431" s="2" t="n">
        <x:v>2256</x:v>
      </x:c>
      <x:c r="M431" s="2" t="n">
        <x:v>345</x:v>
      </x:c>
      <x:c r="N431" s="2" t="n">
        <x:v>290</x:v>
      </x:c>
      <x:c r="O431" s="2" t="str">
        <x:v>R14 tervezői kiosztás; tényleges laphoz és csavarhoz próbafúrás</x:v>
      </x:c>
    </x:row>
    <x:row r="432" ht="34" customHeight="1">
      <x:c r="A432" s="2" t="str">
        <x:v>H0427</x:v>
      </x:c>
      <x:c r="B432" s="2" t="str">
        <x:v>KI12-TV02S-07</x:v>
      </x:c>
      <x:c r="C432" s="2" t="str">
        <x:v>LEC_OLDAL / R14-J067</x:v>
      </x:c>
      <x:c r="D432" s="2" t="n">
        <x:v>140</x:v>
      </x:c>
      <x:c r="E432" s="2" t="n">
        <x:v>345</x:v>
      </x:c>
      <x:c r="F432" s="2" t="n">
        <x:v>-18</x:v>
      </x:c>
      <x:c r="G432" s="2" t="n">
        <x:v>0</x:v>
      </x:c>
      <x:c r="H432" s="2" t="n">
        <x:v>0</x:v>
      </x:c>
      <x:c r="I432" s="2" t="n">
        <x:v>1</x:v>
      </x:c>
      <x:c r="J432" s="2" t="n">
        <x:v>2.5</x:v>
      </x:c>
      <x:c r="K432" s="2" t="n">
        <x:v>12</x:v>
      </x:c>
      <x:c r="L432" s="2" t="n">
        <x:v>2238</x:v>
      </x:c>
      <x:c r="M432" s="2" t="n">
        <x:v>345</x:v>
      </x:c>
      <x:c r="N432" s="2" t="n">
        <x:v>290</x:v>
      </x:c>
      <x:c r="O432" s="2" t="str">
        <x:v>R14 tervezői kiosztás; tényleges laphoz és csavarhoz próbafúrás</x:v>
      </x:c>
    </x:row>
    <x:row r="433" ht="34" customHeight="1">
      <x:c r="A433" s="2" t="str">
        <x:v>H0428</x:v>
      </x:c>
      <x:c r="B433" s="2" t="str">
        <x:v>KI12-TV02H2-03</x:v>
      </x:c>
      <x:c r="C433" s="2" t="str">
        <x:v>HATLAP_LEC / R14-J068</x:v>
      </x:c>
      <x:c r="D433" s="2" t="n">
        <x:v>644</x:v>
      </x:c>
      <x:c r="E433" s="2" t="n">
        <x:v>136</x:v>
      </x:c>
      <x:c r="F433" s="2" t="n">
        <x:v>0</x:v>
      </x:c>
      <x:c r="G433" s="2" t="n">
        <x:v>0</x:v>
      </x:c>
      <x:c r="H433" s="2" t="n">
        <x:v>0</x:v>
      </x:c>
      <x:c r="I433" s="2" t="n">
        <x:v>-1</x:v>
      </x:c>
      <x:c r="J433" s="2" t="n">
        <x:v>3.5</x:v>
      </x:c>
      <x:c r="K433" s="2" t="n">
        <x:v>8</x:v>
      </x:c>
      <x:c r="L433" s="2" t="n">
        <x:v>2247</x:v>
      </x:c>
      <x:c r="M433" s="2" t="n">
        <x:v>362</x:v>
      </x:c>
      <x:c r="N433" s="2" t="n">
        <x:v>305</x:v>
      </x:c>
      <x:c r="O433" s="2" t="str">
        <x:v>R14 tervezői kiosztás; tényleges laphoz és csavarhoz próbafúrás</x:v>
      </x:c>
    </x:row>
    <x:row r="434" ht="34" customHeight="1">
      <x:c r="A434" s="2" t="str">
        <x:v>H0429</x:v>
      </x:c>
      <x:c r="B434" s="2" t="str">
        <x:v>KI14-BAT-09</x:v>
      </x:c>
      <x:c r="C434" s="2" t="str">
        <x:v>HATLAP_LEC / R14-J068</x:v>
      </x:c>
      <x:c r="D434" s="2" t="n">
        <x:v>117</x:v>
      </x:c>
      <x:c r="E434" s="2" t="n">
        <x:v>18</x:v>
      </x:c>
      <x:c r="F434" s="2" t="n">
        <x:v>-9</x:v>
      </x:c>
      <x:c r="G434" s="2" t="n">
        <x:v>0</x:v>
      </x:c>
      <x:c r="H434" s="2" t="n">
        <x:v>-1</x:v>
      </x:c>
      <x:c r="I434" s="2" t="n">
        <x:v>0</x:v>
      </x:c>
      <x:c r="J434" s="2" t="n">
        <x:v>2.5</x:v>
      </x:c>
      <x:c r="K434" s="2" t="n">
        <x:v>12</x:v>
      </x:c>
      <x:c r="L434" s="2" t="n">
        <x:v>2247</x:v>
      </x:c>
      <x:c r="M434" s="2" t="n">
        <x:v>354</x:v>
      </x:c>
      <x:c r="N434" s="2" t="n">
        <x:v>305</x:v>
      </x:c>
      <x:c r="O434" s="2" t="str">
        <x:v>R14 tervezői kiosztás; tényleges laphoz és csavarhoz próbafúrás</x:v>
      </x:c>
    </x:row>
    <x:row r="435" ht="34" customHeight="1">
      <x:c r="A435" s="2" t="str">
        <x:v>H0430</x:v>
      </x:c>
      <x:c r="B435" s="2" t="str">
        <x:v>KI14-BAT-09</x:v>
      </x:c>
      <x:c r="C435" s="2" t="str">
        <x:v>LEC_OLDAL / R14-J069</x:v>
      </x:c>
      <x:c r="D435" s="2" t="n">
        <x:v>182</x:v>
      </x:c>
      <x:c r="E435" s="2" t="n">
        <x:v>9</x:v>
      </x:c>
      <x:c r="F435" s="2" t="n">
        <x:v>-18</x:v>
      </x:c>
      <x:c r="G435" s="2" t="n">
        <x:v>0</x:v>
      </x:c>
      <x:c r="H435" s="2" t="n">
        <x:v>0</x:v>
      </x:c>
      <x:c r="I435" s="2" t="n">
        <x:v>1</x:v>
      </x:c>
      <x:c r="J435" s="2" t="n">
        <x:v>4</x:v>
      </x:c>
      <x:c r="K435" s="2" t="n">
        <x:v>18</x:v>
      </x:c>
      <x:c r="L435" s="2" t="n">
        <x:v>2256</x:v>
      </x:c>
      <x:c r="M435" s="2" t="n">
        <x:v>345</x:v>
      </x:c>
      <x:c r="N435" s="2" t="n">
        <x:v>370</x:v>
      </x:c>
      <x:c r="O435" s="2" t="str">
        <x:v>R14 tervezői kiosztás; tényleges laphoz és csavarhoz próbafúrás</x:v>
      </x:c>
    </x:row>
    <x:row r="436" ht="34" customHeight="1">
      <x:c r="A436" s="2" t="str">
        <x:v>H0431</x:v>
      </x:c>
      <x:c r="B436" s="2" t="str">
        <x:v>KI12-TV02S-07</x:v>
      </x:c>
      <x:c r="C436" s="2" t="str">
        <x:v>LEC_OLDAL / R14-J069</x:v>
      </x:c>
      <x:c r="D436" s="2" t="n">
        <x:v>220</x:v>
      </x:c>
      <x:c r="E436" s="2" t="n">
        <x:v>345</x:v>
      </x:c>
      <x:c r="F436" s="2" t="n">
        <x:v>-18</x:v>
      </x:c>
      <x:c r="G436" s="2" t="n">
        <x:v>0</x:v>
      </x:c>
      <x:c r="H436" s="2" t="n">
        <x:v>0</x:v>
      </x:c>
      <x:c r="I436" s="2" t="n">
        <x:v>1</x:v>
      </x:c>
      <x:c r="J436" s="2" t="n">
        <x:v>2.5</x:v>
      </x:c>
      <x:c r="K436" s="2" t="n">
        <x:v>12</x:v>
      </x:c>
      <x:c r="L436" s="2" t="n">
        <x:v>2238</x:v>
      </x:c>
      <x:c r="M436" s="2" t="n">
        <x:v>345</x:v>
      </x:c>
      <x:c r="N436" s="2" t="n">
        <x:v>370</x:v>
      </x:c>
      <x:c r="O436" s="2" t="str">
        <x:v>R14 tervezői kiosztás; tényleges laphoz és csavarhoz próbafúrás</x:v>
      </x:c>
    </x:row>
    <x:row r="437" ht="34" customHeight="1">
      <x:c r="A437" s="2" t="str">
        <x:v>H0432</x:v>
      </x:c>
      <x:c r="B437" s="2" t="str">
        <x:v>KI12-TV02H2-03</x:v>
      </x:c>
      <x:c r="C437" s="2" t="str">
        <x:v>HATLAP_LEC / R14-J070</x:v>
      </x:c>
      <x:c r="D437" s="2" t="n">
        <x:v>644</x:v>
      </x:c>
      <x:c r="E437" s="2" t="n">
        <x:v>216</x:v>
      </x:c>
      <x:c r="F437" s="2" t="n">
        <x:v>0</x:v>
      </x:c>
      <x:c r="G437" s="2" t="n">
        <x:v>0</x:v>
      </x:c>
      <x:c r="H437" s="2" t="n">
        <x:v>0</x:v>
      </x:c>
      <x:c r="I437" s="2" t="n">
        <x:v>-1</x:v>
      </x:c>
      <x:c r="J437" s="2" t="n">
        <x:v>3.5</x:v>
      </x:c>
      <x:c r="K437" s="2" t="n">
        <x:v>8</x:v>
      </x:c>
      <x:c r="L437" s="2" t="n">
        <x:v>2247</x:v>
      </x:c>
      <x:c r="M437" s="2" t="n">
        <x:v>362</x:v>
      </x:c>
      <x:c r="N437" s="2" t="n">
        <x:v>385</x:v>
      </x:c>
      <x:c r="O437" s="2" t="str">
        <x:v>R14 tervezői kiosztás; tényleges laphoz és csavarhoz próbafúrás</x:v>
      </x:c>
    </x:row>
    <x:row r="438" ht="34" customHeight="1">
      <x:c r="A438" s="2" t="str">
        <x:v>H0433</x:v>
      </x:c>
      <x:c r="B438" s="2" t="str">
        <x:v>KI14-BAT-09</x:v>
      </x:c>
      <x:c r="C438" s="2" t="str">
        <x:v>HATLAP_LEC / R14-J070</x:v>
      </x:c>
      <x:c r="D438" s="2" t="n">
        <x:v>197</x:v>
      </x:c>
      <x:c r="E438" s="2" t="n">
        <x:v>18</x:v>
      </x:c>
      <x:c r="F438" s="2" t="n">
        <x:v>-9</x:v>
      </x:c>
      <x:c r="G438" s="2" t="n">
        <x:v>0</x:v>
      </x:c>
      <x:c r="H438" s="2" t="n">
        <x:v>-1</x:v>
      </x:c>
      <x:c r="I438" s="2" t="n">
        <x:v>0</x:v>
      </x:c>
      <x:c r="J438" s="2" t="n">
        <x:v>2.5</x:v>
      </x:c>
      <x:c r="K438" s="2" t="n">
        <x:v>12</x:v>
      </x:c>
      <x:c r="L438" s="2" t="n">
        <x:v>2247</x:v>
      </x:c>
      <x:c r="M438" s="2" t="n">
        <x:v>354</x:v>
      </x:c>
      <x:c r="N438" s="2" t="n">
        <x:v>385</x:v>
      </x:c>
      <x:c r="O438" s="2" t="str">
        <x:v>R14 tervezői kiosztás; tényleges laphoz és csavarhoz próbafúrás</x:v>
      </x:c>
    </x:row>
    <x:row r="439" ht="34" customHeight="1">
      <x:c r="A439" s="2" t="str">
        <x:v>H0434</x:v>
      </x:c>
      <x:c r="B439" s="2" t="str">
        <x:v>KI14-BAT-10</x:v>
      </x:c>
      <x:c r="C439" s="2" t="str">
        <x:v>LEC_OLDAL / R14-J071</x:v>
      </x:c>
      <x:c r="D439" s="2" t="n">
        <x:v>22</x:v>
      </x:c>
      <x:c r="E439" s="2" t="n">
        <x:v>9</x:v>
      </x:c>
      <x:c r="F439" s="2" t="n">
        <x:v>0</x:v>
      </x:c>
      <x:c r="G439" s="2" t="n">
        <x:v>0</x:v>
      </x:c>
      <x:c r="H439" s="2" t="n">
        <x:v>0</x:v>
      </x:c>
      <x:c r="I439" s="2" t="n">
        <x:v>-1</x:v>
      </x:c>
      <x:c r="J439" s="2" t="n">
        <x:v>4</x:v>
      </x:c>
      <x:c r="K439" s="2" t="n">
        <x:v>18</x:v>
      </x:c>
      <x:c r="L439" s="2" t="n">
        <x:v>2874</x:v>
      </x:c>
      <x:c r="M439" s="2" t="n">
        <x:v>345</x:v>
      </x:c>
      <x:c r="N439" s="2" t="n">
        <x:v>210</x:v>
      </x:c>
      <x:c r="O439" s="2" t="str">
        <x:v>R14 tervezői kiosztás; tényleges laphoz és csavarhoz próbafúrás</x:v>
      </x:c>
    </x:row>
    <x:row r="440" ht="34" customHeight="1">
      <x:c r="A440" s="2" t="str">
        <x:v>H0435</x:v>
      </x:c>
      <x:c r="B440" s="2" t="str">
        <x:v>KI12-TV02S-08</x:v>
      </x:c>
      <x:c r="C440" s="2" t="str">
        <x:v>LEC_OLDAL / R14-J071</x:v>
      </x:c>
      <x:c r="D440" s="2" t="n">
        <x:v>60</x:v>
      </x:c>
      <x:c r="E440" s="2" t="n">
        <x:v>345</x:v>
      </x:c>
      <x:c r="F440" s="2" t="n">
        <x:v>0</x:v>
      </x:c>
      <x:c r="G440" s="2" t="n">
        <x:v>0</x:v>
      </x:c>
      <x:c r="H440" s="2" t="n">
        <x:v>0</x:v>
      </x:c>
      <x:c r="I440" s="2" t="n">
        <x:v>-1</x:v>
      </x:c>
      <x:c r="J440" s="2" t="n">
        <x:v>2.5</x:v>
      </x:c>
      <x:c r="K440" s="2" t="n">
        <x:v>12</x:v>
      </x:c>
      <x:c r="L440" s="2" t="n">
        <x:v>2892</x:v>
      </x:c>
      <x:c r="M440" s="2" t="n">
        <x:v>345</x:v>
      </x:c>
      <x:c r="N440" s="2" t="n">
        <x:v>210</x:v>
      </x:c>
      <x:c r="O440" s="2" t="str">
        <x:v>R14 tervezői kiosztás; tényleges laphoz és csavarhoz próbafúrás</x:v>
      </x:c>
    </x:row>
    <x:row r="441" ht="34" customHeight="1">
      <x:c r="A441" s="2" t="str">
        <x:v>H0436</x:v>
      </x:c>
      <x:c r="B441" s="2" t="str">
        <x:v>KI12-TV02H2-03</x:v>
      </x:c>
      <x:c r="C441" s="2" t="str">
        <x:v>HATLAP_LEC / R14-J072</x:v>
      </x:c>
      <x:c r="D441" s="2" t="n">
        <x:v>8</x:v>
      </x:c>
      <x:c r="E441" s="2" t="n">
        <x:v>56</x:v>
      </x:c>
      <x:c r="F441" s="2" t="n">
        <x:v>0</x:v>
      </x:c>
      <x:c r="G441" s="2" t="n">
        <x:v>0</x:v>
      </x:c>
      <x:c r="H441" s="2" t="n">
        <x:v>0</x:v>
      </x:c>
      <x:c r="I441" s="2" t="n">
        <x:v>-1</x:v>
      </x:c>
      <x:c r="J441" s="2" t="n">
        <x:v>3.5</x:v>
      </x:c>
      <x:c r="K441" s="2" t="n">
        <x:v>8</x:v>
      </x:c>
      <x:c r="L441" s="2" t="n">
        <x:v>2883</x:v>
      </x:c>
      <x:c r="M441" s="2" t="n">
        <x:v>362</x:v>
      </x:c>
      <x:c r="N441" s="2" t="n">
        <x:v>225</x:v>
      </x:c>
      <x:c r="O441" s="2" t="str">
        <x:v>R14 tervezői kiosztás; tényleges laphoz és csavarhoz próbafúrás</x:v>
      </x:c>
    </x:row>
    <x:row r="442" ht="34" customHeight="1">
      <x:c r="A442" s="2" t="str">
        <x:v>H0437</x:v>
      </x:c>
      <x:c r="B442" s="2" t="str">
        <x:v>KI14-BAT-10</x:v>
      </x:c>
      <x:c r="C442" s="2" t="str">
        <x:v>HATLAP_LEC / R14-J072</x:v>
      </x:c>
      <x:c r="D442" s="2" t="n">
        <x:v>37</x:v>
      </x:c>
      <x:c r="E442" s="2" t="n">
        <x:v>18</x:v>
      </x:c>
      <x:c r="F442" s="2" t="n">
        <x:v>-9</x:v>
      </x:c>
      <x:c r="G442" s="2" t="n">
        <x:v>0</x:v>
      </x:c>
      <x:c r="H442" s="2" t="n">
        <x:v>-1</x:v>
      </x:c>
      <x:c r="I442" s="2" t="n">
        <x:v>0</x:v>
      </x:c>
      <x:c r="J442" s="2" t="n">
        <x:v>2.5</x:v>
      </x:c>
      <x:c r="K442" s="2" t="n">
        <x:v>12</x:v>
      </x:c>
      <x:c r="L442" s="2" t="n">
        <x:v>2883</x:v>
      </x:c>
      <x:c r="M442" s="2" t="n">
        <x:v>354</x:v>
      </x:c>
      <x:c r="N442" s="2" t="n">
        <x:v>225</x:v>
      </x:c>
      <x:c r="O442" s="2" t="str">
        <x:v>R14 tervezői kiosztás; tényleges laphoz és csavarhoz próbafúrás</x:v>
      </x:c>
    </x:row>
    <x:row r="443" ht="34" customHeight="1">
      <x:c r="A443" s="2" t="str">
        <x:v>H0438</x:v>
      </x:c>
      <x:c r="B443" s="2" t="str">
        <x:v>KI14-BAT-10</x:v>
      </x:c>
      <x:c r="C443" s="2" t="str">
        <x:v>LEC_OLDAL / R14-J073</x:v>
      </x:c>
      <x:c r="D443" s="2" t="n">
        <x:v>102</x:v>
      </x:c>
      <x:c r="E443" s="2" t="n">
        <x:v>9</x:v>
      </x:c>
      <x:c r="F443" s="2" t="n">
        <x:v>0</x:v>
      </x:c>
      <x:c r="G443" s="2" t="n">
        <x:v>0</x:v>
      </x:c>
      <x:c r="H443" s="2" t="n">
        <x:v>0</x:v>
      </x:c>
      <x:c r="I443" s="2" t="n">
        <x:v>-1</x:v>
      </x:c>
      <x:c r="J443" s="2" t="n">
        <x:v>4</x:v>
      </x:c>
      <x:c r="K443" s="2" t="n">
        <x:v>18</x:v>
      </x:c>
      <x:c r="L443" s="2" t="n">
        <x:v>2874</x:v>
      </x:c>
      <x:c r="M443" s="2" t="n">
        <x:v>345</x:v>
      </x:c>
      <x:c r="N443" s="2" t="n">
        <x:v>290</x:v>
      </x:c>
      <x:c r="O443" s="2" t="str">
        <x:v>R14 tervezői kiosztás; tényleges laphoz és csavarhoz próbafúrás</x:v>
      </x:c>
    </x:row>
    <x:row r="444" ht="34" customHeight="1">
      <x:c r="A444" s="2" t="str">
        <x:v>H0439</x:v>
      </x:c>
      <x:c r="B444" s="2" t="str">
        <x:v>KI12-TV02S-08</x:v>
      </x:c>
      <x:c r="C444" s="2" t="str">
        <x:v>LEC_OLDAL / R14-J073</x:v>
      </x:c>
      <x:c r="D444" s="2" t="n">
        <x:v>140</x:v>
      </x:c>
      <x:c r="E444" s="2" t="n">
        <x:v>345</x:v>
      </x:c>
      <x:c r="F444" s="2" t="n">
        <x:v>0</x:v>
      </x:c>
      <x:c r="G444" s="2" t="n">
        <x:v>0</x:v>
      </x:c>
      <x:c r="H444" s="2" t="n">
        <x:v>0</x:v>
      </x:c>
      <x:c r="I444" s="2" t="n">
        <x:v>-1</x:v>
      </x:c>
      <x:c r="J444" s="2" t="n">
        <x:v>2.5</x:v>
      </x:c>
      <x:c r="K444" s="2" t="n">
        <x:v>12</x:v>
      </x:c>
      <x:c r="L444" s="2" t="n">
        <x:v>2892</x:v>
      </x:c>
      <x:c r="M444" s="2" t="n">
        <x:v>345</x:v>
      </x:c>
      <x:c r="N444" s="2" t="n">
        <x:v>290</x:v>
      </x:c>
      <x:c r="O444" s="2" t="str">
        <x:v>R14 tervezői kiosztás; tényleges laphoz és csavarhoz próbafúrás</x:v>
      </x:c>
    </x:row>
    <x:row r="445" ht="34" customHeight="1">
      <x:c r="A445" s="2" t="str">
        <x:v>H0440</x:v>
      </x:c>
      <x:c r="B445" s="2" t="str">
        <x:v>KI12-TV02H2-03</x:v>
      </x:c>
      <x:c r="C445" s="2" t="str">
        <x:v>HATLAP_LEC / R14-J074</x:v>
      </x:c>
      <x:c r="D445" s="2" t="n">
        <x:v>8</x:v>
      </x:c>
      <x:c r="E445" s="2" t="n">
        <x:v>136</x:v>
      </x:c>
      <x:c r="F445" s="2" t="n">
        <x:v>0</x:v>
      </x:c>
      <x:c r="G445" s="2" t="n">
        <x:v>0</x:v>
      </x:c>
      <x:c r="H445" s="2" t="n">
        <x:v>0</x:v>
      </x:c>
      <x:c r="I445" s="2" t="n">
        <x:v>-1</x:v>
      </x:c>
      <x:c r="J445" s="2" t="n">
        <x:v>3.5</x:v>
      </x:c>
      <x:c r="K445" s="2" t="n">
        <x:v>8</x:v>
      </x:c>
      <x:c r="L445" s="2" t="n">
        <x:v>2883</x:v>
      </x:c>
      <x:c r="M445" s="2" t="n">
        <x:v>362</x:v>
      </x:c>
      <x:c r="N445" s="2" t="n">
        <x:v>305</x:v>
      </x:c>
      <x:c r="O445" s="2" t="str">
        <x:v>R14 tervezői kiosztás; tényleges laphoz és csavarhoz próbafúrás</x:v>
      </x:c>
    </x:row>
    <x:row r="446" ht="34" customHeight="1">
      <x:c r="A446" s="2" t="str">
        <x:v>H0441</x:v>
      </x:c>
      <x:c r="B446" s="2" t="str">
        <x:v>KI14-BAT-10</x:v>
      </x:c>
      <x:c r="C446" s="2" t="str">
        <x:v>HATLAP_LEC / R14-J074</x:v>
      </x:c>
      <x:c r="D446" s="2" t="n">
        <x:v>117</x:v>
      </x:c>
      <x:c r="E446" s="2" t="n">
        <x:v>18</x:v>
      </x:c>
      <x:c r="F446" s="2" t="n">
        <x:v>-9</x:v>
      </x:c>
      <x:c r="G446" s="2" t="n">
        <x:v>0</x:v>
      </x:c>
      <x:c r="H446" s="2" t="n">
        <x:v>-1</x:v>
      </x:c>
      <x:c r="I446" s="2" t="n">
        <x:v>0</x:v>
      </x:c>
      <x:c r="J446" s="2" t="n">
        <x:v>2.5</x:v>
      </x:c>
      <x:c r="K446" s="2" t="n">
        <x:v>12</x:v>
      </x:c>
      <x:c r="L446" s="2" t="n">
        <x:v>2883</x:v>
      </x:c>
      <x:c r="M446" s="2" t="n">
        <x:v>354</x:v>
      </x:c>
      <x:c r="N446" s="2" t="n">
        <x:v>305</x:v>
      </x:c>
      <x:c r="O446" s="2" t="str">
        <x:v>R14 tervezői kiosztás; tényleges laphoz és csavarhoz próbafúrás</x:v>
      </x:c>
    </x:row>
    <x:row r="447" ht="34" customHeight="1">
      <x:c r="A447" s="2" t="str">
        <x:v>H0442</x:v>
      </x:c>
      <x:c r="B447" s="2" t="str">
        <x:v>KI14-BAT-10</x:v>
      </x:c>
      <x:c r="C447" s="2" t="str">
        <x:v>LEC_OLDAL / R14-J075</x:v>
      </x:c>
      <x:c r="D447" s="2" t="n">
        <x:v>182</x:v>
      </x:c>
      <x:c r="E447" s="2" t="n">
        <x:v>9</x:v>
      </x:c>
      <x:c r="F447" s="2" t="n">
        <x:v>0</x:v>
      </x:c>
      <x:c r="G447" s="2" t="n">
        <x:v>0</x:v>
      </x:c>
      <x:c r="H447" s="2" t="n">
        <x:v>0</x:v>
      </x:c>
      <x:c r="I447" s="2" t="n">
        <x:v>-1</x:v>
      </x:c>
      <x:c r="J447" s="2" t="n">
        <x:v>4</x:v>
      </x:c>
      <x:c r="K447" s="2" t="n">
        <x:v>18</x:v>
      </x:c>
      <x:c r="L447" s="2" t="n">
        <x:v>2874</x:v>
      </x:c>
      <x:c r="M447" s="2" t="n">
        <x:v>345</x:v>
      </x:c>
      <x:c r="N447" s="2" t="n">
        <x:v>370</x:v>
      </x:c>
      <x:c r="O447" s="2" t="str">
        <x:v>R14 tervezői kiosztás; tényleges laphoz és csavarhoz próbafúrás</x:v>
      </x:c>
    </x:row>
    <x:row r="448" ht="34" customHeight="1">
      <x:c r="A448" s="2" t="str">
        <x:v>H0443</x:v>
      </x:c>
      <x:c r="B448" s="2" t="str">
        <x:v>KI12-TV02S-08</x:v>
      </x:c>
      <x:c r="C448" s="2" t="str">
        <x:v>LEC_OLDAL / R14-J075</x:v>
      </x:c>
      <x:c r="D448" s="2" t="n">
        <x:v>220</x:v>
      </x:c>
      <x:c r="E448" s="2" t="n">
        <x:v>345</x:v>
      </x:c>
      <x:c r="F448" s="2" t="n">
        <x:v>0</x:v>
      </x:c>
      <x:c r="G448" s="2" t="n">
        <x:v>0</x:v>
      </x:c>
      <x:c r="H448" s="2" t="n">
        <x:v>0</x:v>
      </x:c>
      <x:c r="I448" s="2" t="n">
        <x:v>-1</x:v>
      </x:c>
      <x:c r="J448" s="2" t="n">
        <x:v>2.5</x:v>
      </x:c>
      <x:c r="K448" s="2" t="n">
        <x:v>12</x:v>
      </x:c>
      <x:c r="L448" s="2" t="n">
        <x:v>2892</x:v>
      </x:c>
      <x:c r="M448" s="2" t="n">
        <x:v>345</x:v>
      </x:c>
      <x:c r="N448" s="2" t="n">
        <x:v>370</x:v>
      </x:c>
      <x:c r="O448" s="2" t="str">
        <x:v>R14 tervezői kiosztás; tényleges laphoz és csavarhoz próbafúrás</x:v>
      </x:c>
    </x:row>
    <x:row r="449" ht="34" customHeight="1">
      <x:c r="A449" s="2" t="str">
        <x:v>H0444</x:v>
      </x:c>
      <x:c r="B449" s="2" t="str">
        <x:v>KI12-TV02H2-03</x:v>
      </x:c>
      <x:c r="C449" s="2" t="str">
        <x:v>HATLAP_LEC / R14-J076</x:v>
      </x:c>
      <x:c r="D449" s="2" t="n">
        <x:v>8</x:v>
      </x:c>
      <x:c r="E449" s="2" t="n">
        <x:v>216</x:v>
      </x:c>
      <x:c r="F449" s="2" t="n">
        <x:v>0</x:v>
      </x:c>
      <x:c r="G449" s="2" t="n">
        <x:v>0</x:v>
      </x:c>
      <x:c r="H449" s="2" t="n">
        <x:v>0</x:v>
      </x:c>
      <x:c r="I449" s="2" t="n">
        <x:v>-1</x:v>
      </x:c>
      <x:c r="J449" s="2" t="n">
        <x:v>3.5</x:v>
      </x:c>
      <x:c r="K449" s="2" t="n">
        <x:v>8</x:v>
      </x:c>
      <x:c r="L449" s="2" t="n">
        <x:v>2883</x:v>
      </x:c>
      <x:c r="M449" s="2" t="n">
        <x:v>362</x:v>
      </x:c>
      <x:c r="N449" s="2" t="n">
        <x:v>385</x:v>
      </x:c>
      <x:c r="O449" s="2" t="str">
        <x:v>R14 tervezői kiosztás; tényleges laphoz és csavarhoz próbafúrás</x:v>
      </x:c>
    </x:row>
    <x:row r="450" ht="34" customHeight="1">
      <x:c r="A450" s="2" t="str">
        <x:v>H0445</x:v>
      </x:c>
      <x:c r="B450" s="2" t="str">
        <x:v>KI14-BAT-10</x:v>
      </x:c>
      <x:c r="C450" s="2" t="str">
        <x:v>HATLAP_LEC / R14-J076</x:v>
      </x:c>
      <x:c r="D450" s="2" t="n">
        <x:v>197</x:v>
      </x:c>
      <x:c r="E450" s="2" t="n">
        <x:v>18</x:v>
      </x:c>
      <x:c r="F450" s="2" t="n">
        <x:v>-9</x:v>
      </x:c>
      <x:c r="G450" s="2" t="n">
        <x:v>0</x:v>
      </x:c>
      <x:c r="H450" s="2" t="n">
        <x:v>-1</x:v>
      </x:c>
      <x:c r="I450" s="2" t="n">
        <x:v>0</x:v>
      </x:c>
      <x:c r="J450" s="2" t="n">
        <x:v>2.5</x:v>
      </x:c>
      <x:c r="K450" s="2" t="n">
        <x:v>12</x:v>
      </x:c>
      <x:c r="L450" s="2" t="n">
        <x:v>2883</x:v>
      </x:c>
      <x:c r="M450" s="2" t="n">
        <x:v>354</x:v>
      </x:c>
      <x:c r="N450" s="2" t="n">
        <x:v>385</x:v>
      </x:c>
      <x:c r="O450" s="2" t="str">
        <x:v>R14 tervezői kiosztás; tényleges laphoz és csavarhoz próbafúrás</x:v>
      </x:c>
    </x:row>
    <x:row r="451" ht="34" customHeight="1">
      <x:c r="A451" s="2" t="str">
        <x:v>H0446</x:v>
      </x:c>
      <x:c r="B451" s="2" t="str">
        <x:v>KI14-BAT-11</x:v>
      </x:c>
      <x:c r="C451" s="2" t="str">
        <x:v>LEC_OLDAL / R14-J077</x:v>
      </x:c>
      <x:c r="D451" s="2" t="n">
        <x:v>22</x:v>
      </x:c>
      <x:c r="E451" s="2" t="n">
        <x:v>9</x:v>
      </x:c>
      <x:c r="F451" s="2" t="n">
        <x:v>-18</x:v>
      </x:c>
      <x:c r="G451" s="2" t="n">
        <x:v>0</x:v>
      </x:c>
      <x:c r="H451" s="2" t="n">
        <x:v>0</x:v>
      </x:c>
      <x:c r="I451" s="2" t="n">
        <x:v>1</x:v>
      </x:c>
      <x:c r="J451" s="2" t="n">
        <x:v>4</x:v>
      </x:c>
      <x:c r="K451" s="2" t="n">
        <x:v>18</x:v>
      </x:c>
      <x:c r="L451" s="2" t="n">
        <x:v>2946</x:v>
      </x:c>
      <x:c r="M451" s="2" t="n">
        <x:v>345</x:v>
      </x:c>
      <x:c r="N451" s="2" t="n">
        <x:v>210</x:v>
      </x:c>
      <x:c r="O451" s="2" t="str">
        <x:v>R14 tervezői kiosztás; tényleges laphoz és csavarhoz próbafúrás</x:v>
      </x:c>
    </x:row>
    <x:row r="452" ht="34" customHeight="1">
      <x:c r="A452" s="2" t="str">
        <x:v>H0447</x:v>
      </x:c>
      <x:c r="B452" s="2" t="str">
        <x:v>KI12-TV02S-09</x:v>
      </x:c>
      <x:c r="C452" s="2" t="str">
        <x:v>LEC_OLDAL / R14-J077</x:v>
      </x:c>
      <x:c r="D452" s="2" t="n">
        <x:v>60</x:v>
      </x:c>
      <x:c r="E452" s="2" t="n">
        <x:v>345</x:v>
      </x:c>
      <x:c r="F452" s="2" t="n">
        <x:v>-18</x:v>
      </x:c>
      <x:c r="G452" s="2" t="n">
        <x:v>0</x:v>
      </x:c>
      <x:c r="H452" s="2" t="n">
        <x:v>0</x:v>
      </x:c>
      <x:c r="I452" s="2" t="n">
        <x:v>1</x:v>
      </x:c>
      <x:c r="J452" s="2" t="n">
        <x:v>2.5</x:v>
      </x:c>
      <x:c r="K452" s="2" t="n">
        <x:v>12</x:v>
      </x:c>
      <x:c r="L452" s="2" t="n">
        <x:v>2928</x:v>
      </x:c>
      <x:c r="M452" s="2" t="n">
        <x:v>345</x:v>
      </x:c>
      <x:c r="N452" s="2" t="n">
        <x:v>210</x:v>
      </x:c>
      <x:c r="O452" s="2" t="str">
        <x:v>R14 tervezői kiosztás; tényleges laphoz és csavarhoz próbafúrás</x:v>
      </x:c>
    </x:row>
    <x:row r="453" ht="34" customHeight="1">
      <x:c r="A453" s="2" t="str">
        <x:v>H0448</x:v>
      </x:c>
      <x:c r="B453" s="2" t="str">
        <x:v>KI12-TV02H2-04</x:v>
      </x:c>
      <x:c r="C453" s="2" t="str">
        <x:v>HATLAP_LEC / R14-J078</x:v>
      </x:c>
      <x:c r="D453" s="2" t="n">
        <x:v>644</x:v>
      </x:c>
      <x:c r="E453" s="2" t="n">
        <x:v>56</x:v>
      </x:c>
      <x:c r="F453" s="2" t="n">
        <x:v>0</x:v>
      </x:c>
      <x:c r="G453" s="2" t="n">
        <x:v>0</x:v>
      </x:c>
      <x:c r="H453" s="2" t="n">
        <x:v>0</x:v>
      </x:c>
      <x:c r="I453" s="2" t="n">
        <x:v>-1</x:v>
      </x:c>
      <x:c r="J453" s="2" t="n">
        <x:v>3.5</x:v>
      </x:c>
      <x:c r="K453" s="2" t="n">
        <x:v>8</x:v>
      </x:c>
      <x:c r="L453" s="2" t="n">
        <x:v>2937</x:v>
      </x:c>
      <x:c r="M453" s="2" t="n">
        <x:v>362</x:v>
      </x:c>
      <x:c r="N453" s="2" t="n">
        <x:v>225</x:v>
      </x:c>
      <x:c r="O453" s="2" t="str">
        <x:v>R14 tervezői kiosztás; tényleges laphoz és csavarhoz próbafúrás</x:v>
      </x:c>
    </x:row>
    <x:row r="454" ht="34" customHeight="1">
      <x:c r="A454" s="2" t="str">
        <x:v>H0449</x:v>
      </x:c>
      <x:c r="B454" s="2" t="str">
        <x:v>KI14-BAT-11</x:v>
      </x:c>
      <x:c r="C454" s="2" t="str">
        <x:v>HATLAP_LEC / R14-J078</x:v>
      </x:c>
      <x:c r="D454" s="2" t="n">
        <x:v>37</x:v>
      </x:c>
      <x:c r="E454" s="2" t="n">
        <x:v>18</x:v>
      </x:c>
      <x:c r="F454" s="2" t="n">
        <x:v>-9</x:v>
      </x:c>
      <x:c r="G454" s="2" t="n">
        <x:v>0</x:v>
      </x:c>
      <x:c r="H454" s="2" t="n">
        <x:v>-1</x:v>
      </x:c>
      <x:c r="I454" s="2" t="n">
        <x:v>0</x:v>
      </x:c>
      <x:c r="J454" s="2" t="n">
        <x:v>2.5</x:v>
      </x:c>
      <x:c r="K454" s="2" t="n">
        <x:v>12</x:v>
      </x:c>
      <x:c r="L454" s="2" t="n">
        <x:v>2937</x:v>
      </x:c>
      <x:c r="M454" s="2" t="n">
        <x:v>354</x:v>
      </x:c>
      <x:c r="N454" s="2" t="n">
        <x:v>225</x:v>
      </x:c>
      <x:c r="O454" s="2" t="str">
        <x:v>R14 tervezői kiosztás; tényleges laphoz és csavarhoz próbafúrás</x:v>
      </x:c>
    </x:row>
    <x:row r="455" ht="34" customHeight="1">
      <x:c r="A455" s="2" t="str">
        <x:v>H0450</x:v>
      </x:c>
      <x:c r="B455" s="2" t="str">
        <x:v>KI14-BAT-11</x:v>
      </x:c>
      <x:c r="C455" s="2" t="str">
        <x:v>LEC_OLDAL / R14-J079</x:v>
      </x:c>
      <x:c r="D455" s="2" t="n">
        <x:v>102</x:v>
      </x:c>
      <x:c r="E455" s="2" t="n">
        <x:v>9</x:v>
      </x:c>
      <x:c r="F455" s="2" t="n">
        <x:v>-18</x:v>
      </x:c>
      <x:c r="G455" s="2" t="n">
        <x:v>0</x:v>
      </x:c>
      <x:c r="H455" s="2" t="n">
        <x:v>0</x:v>
      </x:c>
      <x:c r="I455" s="2" t="n">
        <x:v>1</x:v>
      </x:c>
      <x:c r="J455" s="2" t="n">
        <x:v>4</x:v>
      </x:c>
      <x:c r="K455" s="2" t="n">
        <x:v>18</x:v>
      </x:c>
      <x:c r="L455" s="2" t="n">
        <x:v>2946</x:v>
      </x:c>
      <x:c r="M455" s="2" t="n">
        <x:v>345</x:v>
      </x:c>
      <x:c r="N455" s="2" t="n">
        <x:v>290</x:v>
      </x:c>
      <x:c r="O455" s="2" t="str">
        <x:v>R14 tervezői kiosztás; tényleges laphoz és csavarhoz próbafúrás</x:v>
      </x:c>
    </x:row>
    <x:row r="456" ht="34" customHeight="1">
      <x:c r="A456" s="2" t="str">
        <x:v>H0451</x:v>
      </x:c>
      <x:c r="B456" s="2" t="str">
        <x:v>KI12-TV02S-09</x:v>
      </x:c>
      <x:c r="C456" s="2" t="str">
        <x:v>LEC_OLDAL / R14-J079</x:v>
      </x:c>
      <x:c r="D456" s="2" t="n">
        <x:v>140</x:v>
      </x:c>
      <x:c r="E456" s="2" t="n">
        <x:v>345</x:v>
      </x:c>
      <x:c r="F456" s="2" t="n">
        <x:v>-18</x:v>
      </x:c>
      <x:c r="G456" s="2" t="n">
        <x:v>0</x:v>
      </x:c>
      <x:c r="H456" s="2" t="n">
        <x:v>0</x:v>
      </x:c>
      <x:c r="I456" s="2" t="n">
        <x:v>1</x:v>
      </x:c>
      <x:c r="J456" s="2" t="n">
        <x:v>2.5</x:v>
      </x:c>
      <x:c r="K456" s="2" t="n">
        <x:v>12</x:v>
      </x:c>
      <x:c r="L456" s="2" t="n">
        <x:v>2928</x:v>
      </x:c>
      <x:c r="M456" s="2" t="n">
        <x:v>345</x:v>
      </x:c>
      <x:c r="N456" s="2" t="n">
        <x:v>290</x:v>
      </x:c>
      <x:c r="O456" s="2" t="str">
        <x:v>R14 tervezői kiosztás; tényleges laphoz és csavarhoz próbafúrás</x:v>
      </x:c>
    </x:row>
    <x:row r="457" ht="34" customHeight="1">
      <x:c r="A457" s="2" t="str">
        <x:v>H0452</x:v>
      </x:c>
      <x:c r="B457" s="2" t="str">
        <x:v>KI12-TV02H2-04</x:v>
      </x:c>
      <x:c r="C457" s="2" t="str">
        <x:v>HATLAP_LEC / R14-J080</x:v>
      </x:c>
      <x:c r="D457" s="2" t="n">
        <x:v>644</x:v>
      </x:c>
      <x:c r="E457" s="2" t="n">
        <x:v>136</x:v>
      </x:c>
      <x:c r="F457" s="2" t="n">
        <x:v>0</x:v>
      </x:c>
      <x:c r="G457" s="2" t="n">
        <x:v>0</x:v>
      </x:c>
      <x:c r="H457" s="2" t="n">
        <x:v>0</x:v>
      </x:c>
      <x:c r="I457" s="2" t="n">
        <x:v>-1</x:v>
      </x:c>
      <x:c r="J457" s="2" t="n">
        <x:v>3.5</x:v>
      </x:c>
      <x:c r="K457" s="2" t="n">
        <x:v>8</x:v>
      </x:c>
      <x:c r="L457" s="2" t="n">
        <x:v>2937</x:v>
      </x:c>
      <x:c r="M457" s="2" t="n">
        <x:v>362</x:v>
      </x:c>
      <x:c r="N457" s="2" t="n">
        <x:v>305</x:v>
      </x:c>
      <x:c r="O457" s="2" t="str">
        <x:v>R14 tervezői kiosztás; tényleges laphoz és csavarhoz próbafúrás</x:v>
      </x:c>
    </x:row>
    <x:row r="458" ht="34" customHeight="1">
      <x:c r="A458" s="2" t="str">
        <x:v>H0453</x:v>
      </x:c>
      <x:c r="B458" s="2" t="str">
        <x:v>KI14-BAT-11</x:v>
      </x:c>
      <x:c r="C458" s="2" t="str">
        <x:v>HATLAP_LEC / R14-J080</x:v>
      </x:c>
      <x:c r="D458" s="2" t="n">
        <x:v>117</x:v>
      </x:c>
      <x:c r="E458" s="2" t="n">
        <x:v>18</x:v>
      </x:c>
      <x:c r="F458" s="2" t="n">
        <x:v>-9</x:v>
      </x:c>
      <x:c r="G458" s="2" t="n">
        <x:v>0</x:v>
      </x:c>
      <x:c r="H458" s="2" t="n">
        <x:v>-1</x:v>
      </x:c>
      <x:c r="I458" s="2" t="n">
        <x:v>0</x:v>
      </x:c>
      <x:c r="J458" s="2" t="n">
        <x:v>2.5</x:v>
      </x:c>
      <x:c r="K458" s="2" t="n">
        <x:v>12</x:v>
      </x:c>
      <x:c r="L458" s="2" t="n">
        <x:v>2937</x:v>
      </x:c>
      <x:c r="M458" s="2" t="n">
        <x:v>354</x:v>
      </x:c>
      <x:c r="N458" s="2" t="n">
        <x:v>305</x:v>
      </x:c>
      <x:c r="O458" s="2" t="str">
        <x:v>R14 tervezői kiosztás; tényleges laphoz és csavarhoz próbafúrás</x:v>
      </x:c>
    </x:row>
    <x:row r="459" ht="34" customHeight="1">
      <x:c r="A459" s="2" t="str">
        <x:v>H0454</x:v>
      </x:c>
      <x:c r="B459" s="2" t="str">
        <x:v>KI14-BAT-11</x:v>
      </x:c>
      <x:c r="C459" s="2" t="str">
        <x:v>LEC_OLDAL / R14-J081</x:v>
      </x:c>
      <x:c r="D459" s="2" t="n">
        <x:v>182</x:v>
      </x:c>
      <x:c r="E459" s="2" t="n">
        <x:v>9</x:v>
      </x:c>
      <x:c r="F459" s="2" t="n">
        <x:v>-18</x:v>
      </x:c>
      <x:c r="G459" s="2" t="n">
        <x:v>0</x:v>
      </x:c>
      <x:c r="H459" s="2" t="n">
        <x:v>0</x:v>
      </x:c>
      <x:c r="I459" s="2" t="n">
        <x:v>1</x:v>
      </x:c>
      <x:c r="J459" s="2" t="n">
        <x:v>4</x:v>
      </x:c>
      <x:c r="K459" s="2" t="n">
        <x:v>18</x:v>
      </x:c>
      <x:c r="L459" s="2" t="n">
        <x:v>2946</x:v>
      </x:c>
      <x:c r="M459" s="2" t="n">
        <x:v>345</x:v>
      </x:c>
      <x:c r="N459" s="2" t="n">
        <x:v>370</x:v>
      </x:c>
      <x:c r="O459" s="2" t="str">
        <x:v>R14 tervezői kiosztás; tényleges laphoz és csavarhoz próbafúrás</x:v>
      </x:c>
    </x:row>
    <x:row r="460" ht="34" customHeight="1">
      <x:c r="A460" s="2" t="str">
        <x:v>H0455</x:v>
      </x:c>
      <x:c r="B460" s="2" t="str">
        <x:v>KI12-TV02S-09</x:v>
      </x:c>
      <x:c r="C460" s="2" t="str">
        <x:v>LEC_OLDAL / R14-J081</x:v>
      </x:c>
      <x:c r="D460" s="2" t="n">
        <x:v>220</x:v>
      </x:c>
      <x:c r="E460" s="2" t="n">
        <x:v>345</x:v>
      </x:c>
      <x:c r="F460" s="2" t="n">
        <x:v>-18</x:v>
      </x:c>
      <x:c r="G460" s="2" t="n">
        <x:v>0</x:v>
      </x:c>
      <x:c r="H460" s="2" t="n">
        <x:v>0</x:v>
      </x:c>
      <x:c r="I460" s="2" t="n">
        <x:v>1</x:v>
      </x:c>
      <x:c r="J460" s="2" t="n">
        <x:v>2.5</x:v>
      </x:c>
      <x:c r="K460" s="2" t="n">
        <x:v>12</x:v>
      </x:c>
      <x:c r="L460" s="2" t="n">
        <x:v>2928</x:v>
      </x:c>
      <x:c r="M460" s="2" t="n">
        <x:v>345</x:v>
      </x:c>
      <x:c r="N460" s="2" t="n">
        <x:v>370</x:v>
      </x:c>
      <x:c r="O460" s="2" t="str">
        <x:v>R14 tervezői kiosztás; tényleges laphoz és csavarhoz próbafúrás</x:v>
      </x:c>
    </x:row>
    <x:row r="461" ht="34" customHeight="1">
      <x:c r="A461" s="2" t="str">
        <x:v>H0456</x:v>
      </x:c>
      <x:c r="B461" s="2" t="str">
        <x:v>KI12-TV02H2-04</x:v>
      </x:c>
      <x:c r="C461" s="2" t="str">
        <x:v>HATLAP_LEC / R14-J082</x:v>
      </x:c>
      <x:c r="D461" s="2" t="n">
        <x:v>644</x:v>
      </x:c>
      <x:c r="E461" s="2" t="n">
        <x:v>216</x:v>
      </x:c>
      <x:c r="F461" s="2" t="n">
        <x:v>0</x:v>
      </x:c>
      <x:c r="G461" s="2" t="n">
        <x:v>0</x:v>
      </x:c>
      <x:c r="H461" s="2" t="n">
        <x:v>0</x:v>
      </x:c>
      <x:c r="I461" s="2" t="n">
        <x:v>-1</x:v>
      </x:c>
      <x:c r="J461" s="2" t="n">
        <x:v>3.5</x:v>
      </x:c>
      <x:c r="K461" s="2" t="n">
        <x:v>8</x:v>
      </x:c>
      <x:c r="L461" s="2" t="n">
        <x:v>2937</x:v>
      </x:c>
      <x:c r="M461" s="2" t="n">
        <x:v>362</x:v>
      </x:c>
      <x:c r="N461" s="2" t="n">
        <x:v>385</x:v>
      </x:c>
      <x:c r="O461" s="2" t="str">
        <x:v>R14 tervezői kiosztás; tényleges laphoz és csavarhoz próbafúrás</x:v>
      </x:c>
    </x:row>
    <x:row r="462" ht="34" customHeight="1">
      <x:c r="A462" s="2" t="str">
        <x:v>H0457</x:v>
      </x:c>
      <x:c r="B462" s="2" t="str">
        <x:v>KI14-BAT-11</x:v>
      </x:c>
      <x:c r="C462" s="2" t="str">
        <x:v>HATLAP_LEC / R14-J082</x:v>
      </x:c>
      <x:c r="D462" s="2" t="n">
        <x:v>197</x:v>
      </x:c>
      <x:c r="E462" s="2" t="n">
        <x:v>18</x:v>
      </x:c>
      <x:c r="F462" s="2" t="n">
        <x:v>-9</x:v>
      </x:c>
      <x:c r="G462" s="2" t="n">
        <x:v>0</x:v>
      </x:c>
      <x:c r="H462" s="2" t="n">
        <x:v>-1</x:v>
      </x:c>
      <x:c r="I462" s="2" t="n">
        <x:v>0</x:v>
      </x:c>
      <x:c r="J462" s="2" t="n">
        <x:v>2.5</x:v>
      </x:c>
      <x:c r="K462" s="2" t="n">
        <x:v>12</x:v>
      </x:c>
      <x:c r="L462" s="2" t="n">
        <x:v>2937</x:v>
      </x:c>
      <x:c r="M462" s="2" t="n">
        <x:v>354</x:v>
      </x:c>
      <x:c r="N462" s="2" t="n">
        <x:v>385</x:v>
      </x:c>
      <x:c r="O462" s="2" t="str">
        <x:v>R14 tervezői kiosztás; tényleges laphoz és csavarhoz próbafúrás</x:v>
      </x:c>
    </x:row>
    <x:row r="463" ht="34" customHeight="1">
      <x:c r="A463" s="2" t="str">
        <x:v>H0458</x:v>
      </x:c>
      <x:c r="B463" s="2" t="str">
        <x:v>KI14-BAT-12</x:v>
      </x:c>
      <x:c r="C463" s="2" t="str">
        <x:v>LEC_OLDAL / R14-J083</x:v>
      </x:c>
      <x:c r="D463" s="2" t="n">
        <x:v>22</x:v>
      </x:c>
      <x:c r="E463" s="2" t="n">
        <x:v>9</x:v>
      </x:c>
      <x:c r="F463" s="2" t="n">
        <x:v>0</x:v>
      </x:c>
      <x:c r="G463" s="2" t="n">
        <x:v>0</x:v>
      </x:c>
      <x:c r="H463" s="2" t="n">
        <x:v>0</x:v>
      </x:c>
      <x:c r="I463" s="2" t="n">
        <x:v>-1</x:v>
      </x:c>
      <x:c r="J463" s="2" t="n">
        <x:v>4</x:v>
      </x:c>
      <x:c r="K463" s="2" t="n">
        <x:v>18</x:v>
      </x:c>
      <x:c r="L463" s="2" t="n">
        <x:v>3564</x:v>
      </x:c>
      <x:c r="M463" s="2" t="n">
        <x:v>345</x:v>
      </x:c>
      <x:c r="N463" s="2" t="n">
        <x:v>210</x:v>
      </x:c>
      <x:c r="O463" s="2" t="str">
        <x:v>R14 tervezői kiosztás; tényleges laphoz és csavarhoz próbafúrás</x:v>
      </x:c>
    </x:row>
    <x:row r="464" ht="34" customHeight="1">
      <x:c r="A464" s="2" t="str">
        <x:v>H0459</x:v>
      </x:c>
      <x:c r="B464" s="2" t="str">
        <x:v>KI12-TV02S-10</x:v>
      </x:c>
      <x:c r="C464" s="2" t="str">
        <x:v>LEC_OLDAL / R14-J083</x:v>
      </x:c>
      <x:c r="D464" s="2" t="n">
        <x:v>60</x:v>
      </x:c>
      <x:c r="E464" s="2" t="n">
        <x:v>345</x:v>
      </x:c>
      <x:c r="F464" s="2" t="n">
        <x:v>0</x:v>
      </x:c>
      <x:c r="G464" s="2" t="n">
        <x:v>0</x:v>
      </x:c>
      <x:c r="H464" s="2" t="n">
        <x:v>0</x:v>
      </x:c>
      <x:c r="I464" s="2" t="n">
        <x:v>-1</x:v>
      </x:c>
      <x:c r="J464" s="2" t="n">
        <x:v>2.5</x:v>
      </x:c>
      <x:c r="K464" s="2" t="n">
        <x:v>12</x:v>
      </x:c>
      <x:c r="L464" s="2" t="n">
        <x:v>3582</x:v>
      </x:c>
      <x:c r="M464" s="2" t="n">
        <x:v>345</x:v>
      </x:c>
      <x:c r="N464" s="2" t="n">
        <x:v>210</x:v>
      </x:c>
      <x:c r="O464" s="2" t="str">
        <x:v>R14 tervezői kiosztás; tényleges laphoz és csavarhoz próbafúrás</x:v>
      </x:c>
    </x:row>
    <x:row r="465" ht="34" customHeight="1">
      <x:c r="A465" s="2" t="str">
        <x:v>H0460</x:v>
      </x:c>
      <x:c r="B465" s="2" t="str">
        <x:v>KI12-TV02H2-04</x:v>
      </x:c>
      <x:c r="C465" s="2" t="str">
        <x:v>HATLAP_LEC / R14-J084</x:v>
      </x:c>
      <x:c r="D465" s="2" t="n">
        <x:v>8</x:v>
      </x:c>
      <x:c r="E465" s="2" t="n">
        <x:v>56</x:v>
      </x:c>
      <x:c r="F465" s="2" t="n">
        <x:v>0</x:v>
      </x:c>
      <x:c r="G465" s="2" t="n">
        <x:v>0</x:v>
      </x:c>
      <x:c r="H465" s="2" t="n">
        <x:v>0</x:v>
      </x:c>
      <x:c r="I465" s="2" t="n">
        <x:v>-1</x:v>
      </x:c>
      <x:c r="J465" s="2" t="n">
        <x:v>3.5</x:v>
      </x:c>
      <x:c r="K465" s="2" t="n">
        <x:v>8</x:v>
      </x:c>
      <x:c r="L465" s="2" t="n">
        <x:v>3573</x:v>
      </x:c>
      <x:c r="M465" s="2" t="n">
        <x:v>362</x:v>
      </x:c>
      <x:c r="N465" s="2" t="n">
        <x:v>225</x:v>
      </x:c>
      <x:c r="O465" s="2" t="str">
        <x:v>R14 tervezői kiosztás; tényleges laphoz és csavarhoz próbafúrás</x:v>
      </x:c>
    </x:row>
    <x:row r="466" ht="34" customHeight="1">
      <x:c r="A466" s="2" t="str">
        <x:v>H0461</x:v>
      </x:c>
      <x:c r="B466" s="2" t="str">
        <x:v>KI14-BAT-12</x:v>
      </x:c>
      <x:c r="C466" s="2" t="str">
        <x:v>HATLAP_LEC / R14-J084</x:v>
      </x:c>
      <x:c r="D466" s="2" t="n">
        <x:v>37</x:v>
      </x:c>
      <x:c r="E466" s="2" t="n">
        <x:v>18</x:v>
      </x:c>
      <x:c r="F466" s="2" t="n">
        <x:v>-9</x:v>
      </x:c>
      <x:c r="G466" s="2" t="n">
        <x:v>0</x:v>
      </x:c>
      <x:c r="H466" s="2" t="n">
        <x:v>-1</x:v>
      </x:c>
      <x:c r="I466" s="2" t="n">
        <x:v>0</x:v>
      </x:c>
      <x:c r="J466" s="2" t="n">
        <x:v>2.5</x:v>
      </x:c>
      <x:c r="K466" s="2" t="n">
        <x:v>12</x:v>
      </x:c>
      <x:c r="L466" s="2" t="n">
        <x:v>3573</x:v>
      </x:c>
      <x:c r="M466" s="2" t="n">
        <x:v>354</x:v>
      </x:c>
      <x:c r="N466" s="2" t="n">
        <x:v>225</x:v>
      </x:c>
      <x:c r="O466" s="2" t="str">
        <x:v>R14 tervezői kiosztás; tényleges laphoz és csavarhoz próbafúrás</x:v>
      </x:c>
    </x:row>
    <x:row r="467" ht="34" customHeight="1">
      <x:c r="A467" s="2" t="str">
        <x:v>H0462</x:v>
      </x:c>
      <x:c r="B467" s="2" t="str">
        <x:v>KI14-BAT-12</x:v>
      </x:c>
      <x:c r="C467" s="2" t="str">
        <x:v>LEC_OLDAL / R14-J085</x:v>
      </x:c>
      <x:c r="D467" s="2" t="n">
        <x:v>102</x:v>
      </x:c>
      <x:c r="E467" s="2" t="n">
        <x:v>9</x:v>
      </x:c>
      <x:c r="F467" s="2" t="n">
        <x:v>0</x:v>
      </x:c>
      <x:c r="G467" s="2" t="n">
        <x:v>0</x:v>
      </x:c>
      <x:c r="H467" s="2" t="n">
        <x:v>0</x:v>
      </x:c>
      <x:c r="I467" s="2" t="n">
        <x:v>-1</x:v>
      </x:c>
      <x:c r="J467" s="2" t="n">
        <x:v>4</x:v>
      </x:c>
      <x:c r="K467" s="2" t="n">
        <x:v>18</x:v>
      </x:c>
      <x:c r="L467" s="2" t="n">
        <x:v>3564</x:v>
      </x:c>
      <x:c r="M467" s="2" t="n">
        <x:v>345</x:v>
      </x:c>
      <x:c r="N467" s="2" t="n">
        <x:v>290</x:v>
      </x:c>
      <x:c r="O467" s="2" t="str">
        <x:v>R14 tervezői kiosztás; tényleges laphoz és csavarhoz próbafúrás</x:v>
      </x:c>
    </x:row>
    <x:row r="468" ht="34" customHeight="1">
      <x:c r="A468" s="2" t="str">
        <x:v>H0463</x:v>
      </x:c>
      <x:c r="B468" s="2" t="str">
        <x:v>KI12-TV02S-10</x:v>
      </x:c>
      <x:c r="C468" s="2" t="str">
        <x:v>LEC_OLDAL / R14-J085</x:v>
      </x:c>
      <x:c r="D468" s="2" t="n">
        <x:v>140</x:v>
      </x:c>
      <x:c r="E468" s="2" t="n">
        <x:v>345</x:v>
      </x:c>
      <x:c r="F468" s="2" t="n">
        <x:v>0</x:v>
      </x:c>
      <x:c r="G468" s="2" t="n">
        <x:v>0</x:v>
      </x:c>
      <x:c r="H468" s="2" t="n">
        <x:v>0</x:v>
      </x:c>
      <x:c r="I468" s="2" t="n">
        <x:v>-1</x:v>
      </x:c>
      <x:c r="J468" s="2" t="n">
        <x:v>2.5</x:v>
      </x:c>
      <x:c r="K468" s="2" t="n">
        <x:v>12</x:v>
      </x:c>
      <x:c r="L468" s="2" t="n">
        <x:v>3582</x:v>
      </x:c>
      <x:c r="M468" s="2" t="n">
        <x:v>345</x:v>
      </x:c>
      <x:c r="N468" s="2" t="n">
        <x:v>290</x:v>
      </x:c>
      <x:c r="O468" s="2" t="str">
        <x:v>R14 tervezői kiosztás; tényleges laphoz és csavarhoz próbafúrás</x:v>
      </x:c>
    </x:row>
    <x:row r="469" ht="34" customHeight="1">
      <x:c r="A469" s="2" t="str">
        <x:v>H0464</x:v>
      </x:c>
      <x:c r="B469" s="2" t="str">
        <x:v>KI12-TV02H2-04</x:v>
      </x:c>
      <x:c r="C469" s="2" t="str">
        <x:v>HATLAP_LEC / R14-J086</x:v>
      </x:c>
      <x:c r="D469" s="2" t="n">
        <x:v>8</x:v>
      </x:c>
      <x:c r="E469" s="2" t="n">
        <x:v>136</x:v>
      </x:c>
      <x:c r="F469" s="2" t="n">
        <x:v>0</x:v>
      </x:c>
      <x:c r="G469" s="2" t="n">
        <x:v>0</x:v>
      </x:c>
      <x:c r="H469" s="2" t="n">
        <x:v>0</x:v>
      </x:c>
      <x:c r="I469" s="2" t="n">
        <x:v>-1</x:v>
      </x:c>
      <x:c r="J469" s="2" t="n">
        <x:v>3.5</x:v>
      </x:c>
      <x:c r="K469" s="2" t="n">
        <x:v>8</x:v>
      </x:c>
      <x:c r="L469" s="2" t="n">
        <x:v>3573</x:v>
      </x:c>
      <x:c r="M469" s="2" t="n">
        <x:v>362</x:v>
      </x:c>
      <x:c r="N469" s="2" t="n">
        <x:v>305</x:v>
      </x:c>
      <x:c r="O469" s="2" t="str">
        <x:v>R14 tervezői kiosztás; tényleges laphoz és csavarhoz próbafúrás</x:v>
      </x:c>
    </x:row>
    <x:row r="470" ht="34" customHeight="1">
      <x:c r="A470" s="2" t="str">
        <x:v>H0465</x:v>
      </x:c>
      <x:c r="B470" s="2" t="str">
        <x:v>KI14-BAT-12</x:v>
      </x:c>
      <x:c r="C470" s="2" t="str">
        <x:v>HATLAP_LEC / R14-J086</x:v>
      </x:c>
      <x:c r="D470" s="2" t="n">
        <x:v>117</x:v>
      </x:c>
      <x:c r="E470" s="2" t="n">
        <x:v>18</x:v>
      </x:c>
      <x:c r="F470" s="2" t="n">
        <x:v>-9</x:v>
      </x:c>
      <x:c r="G470" s="2" t="n">
        <x:v>0</x:v>
      </x:c>
      <x:c r="H470" s="2" t="n">
        <x:v>-1</x:v>
      </x:c>
      <x:c r="I470" s="2" t="n">
        <x:v>0</x:v>
      </x:c>
      <x:c r="J470" s="2" t="n">
        <x:v>2.5</x:v>
      </x:c>
      <x:c r="K470" s="2" t="n">
        <x:v>12</x:v>
      </x:c>
      <x:c r="L470" s="2" t="n">
        <x:v>3573</x:v>
      </x:c>
      <x:c r="M470" s="2" t="n">
        <x:v>354</x:v>
      </x:c>
      <x:c r="N470" s="2" t="n">
        <x:v>305</x:v>
      </x:c>
      <x:c r="O470" s="2" t="str">
        <x:v>R14 tervezői kiosztás; tényleges laphoz és csavarhoz próbafúrás</x:v>
      </x:c>
    </x:row>
    <x:row r="471" ht="34" customHeight="1">
      <x:c r="A471" s="2" t="str">
        <x:v>H0466</x:v>
      </x:c>
      <x:c r="B471" s="2" t="str">
        <x:v>KI14-BAT-12</x:v>
      </x:c>
      <x:c r="C471" s="2" t="str">
        <x:v>LEC_OLDAL / R14-J087</x:v>
      </x:c>
      <x:c r="D471" s="2" t="n">
        <x:v>182</x:v>
      </x:c>
      <x:c r="E471" s="2" t="n">
        <x:v>9</x:v>
      </x:c>
      <x:c r="F471" s="2" t="n">
        <x:v>0</x:v>
      </x:c>
      <x:c r="G471" s="2" t="n">
        <x:v>0</x:v>
      </x:c>
      <x:c r="H471" s="2" t="n">
        <x:v>0</x:v>
      </x:c>
      <x:c r="I471" s="2" t="n">
        <x:v>-1</x:v>
      </x:c>
      <x:c r="J471" s="2" t="n">
        <x:v>4</x:v>
      </x:c>
      <x:c r="K471" s="2" t="n">
        <x:v>18</x:v>
      </x:c>
      <x:c r="L471" s="2" t="n">
        <x:v>3564</x:v>
      </x:c>
      <x:c r="M471" s="2" t="n">
        <x:v>345</x:v>
      </x:c>
      <x:c r="N471" s="2" t="n">
        <x:v>370</x:v>
      </x:c>
      <x:c r="O471" s="2" t="str">
        <x:v>R14 tervezői kiosztás; tényleges laphoz és csavarhoz próbafúrás</x:v>
      </x:c>
    </x:row>
    <x:row r="472" ht="34" customHeight="1">
      <x:c r="A472" s="2" t="str">
        <x:v>H0467</x:v>
      </x:c>
      <x:c r="B472" s="2" t="str">
        <x:v>KI12-TV02S-10</x:v>
      </x:c>
      <x:c r="C472" s="2" t="str">
        <x:v>LEC_OLDAL / R14-J087</x:v>
      </x:c>
      <x:c r="D472" s="2" t="n">
        <x:v>220</x:v>
      </x:c>
      <x:c r="E472" s="2" t="n">
        <x:v>345</x:v>
      </x:c>
      <x:c r="F472" s="2" t="n">
        <x:v>0</x:v>
      </x:c>
      <x:c r="G472" s="2" t="n">
        <x:v>0</x:v>
      </x:c>
      <x:c r="H472" s="2" t="n">
        <x:v>0</x:v>
      </x:c>
      <x:c r="I472" s="2" t="n">
        <x:v>-1</x:v>
      </x:c>
      <x:c r="J472" s="2" t="n">
        <x:v>2.5</x:v>
      </x:c>
      <x:c r="K472" s="2" t="n">
        <x:v>12</x:v>
      </x:c>
      <x:c r="L472" s="2" t="n">
        <x:v>3582</x:v>
      </x:c>
      <x:c r="M472" s="2" t="n">
        <x:v>345</x:v>
      </x:c>
      <x:c r="N472" s="2" t="n">
        <x:v>370</x:v>
      </x:c>
      <x:c r="O472" s="2" t="str">
        <x:v>R14 tervezői kiosztás; tényleges laphoz és csavarhoz próbafúrás</x:v>
      </x:c>
    </x:row>
    <x:row r="473" ht="34" customHeight="1">
      <x:c r="A473" s="2" t="str">
        <x:v>H0468</x:v>
      </x:c>
      <x:c r="B473" s="2" t="str">
        <x:v>KI12-TV02H2-04</x:v>
      </x:c>
      <x:c r="C473" s="2" t="str">
        <x:v>HATLAP_LEC / R14-J088</x:v>
      </x:c>
      <x:c r="D473" s="2" t="n">
        <x:v>8</x:v>
      </x:c>
      <x:c r="E473" s="2" t="n">
        <x:v>216</x:v>
      </x:c>
      <x:c r="F473" s="2" t="n">
        <x:v>0</x:v>
      </x:c>
      <x:c r="G473" s="2" t="n">
        <x:v>0</x:v>
      </x:c>
      <x:c r="H473" s="2" t="n">
        <x:v>0</x:v>
      </x:c>
      <x:c r="I473" s="2" t="n">
        <x:v>-1</x:v>
      </x:c>
      <x:c r="J473" s="2" t="n">
        <x:v>3.5</x:v>
      </x:c>
      <x:c r="K473" s="2" t="n">
        <x:v>8</x:v>
      </x:c>
      <x:c r="L473" s="2" t="n">
        <x:v>3573</x:v>
      </x:c>
      <x:c r="M473" s="2" t="n">
        <x:v>362</x:v>
      </x:c>
      <x:c r="N473" s="2" t="n">
        <x:v>385</x:v>
      </x:c>
      <x:c r="O473" s="2" t="str">
        <x:v>R14 tervezői kiosztás; tényleges laphoz és csavarhoz próbafúrás</x:v>
      </x:c>
    </x:row>
    <x:row r="474" ht="34" customHeight="1">
      <x:c r="A474" s="2" t="str">
        <x:v>H0469</x:v>
      </x:c>
      <x:c r="B474" s="2" t="str">
        <x:v>KI14-BAT-12</x:v>
      </x:c>
      <x:c r="C474" s="2" t="str">
        <x:v>HATLAP_LEC / R14-J088</x:v>
      </x:c>
      <x:c r="D474" s="2" t="n">
        <x:v>197</x:v>
      </x:c>
      <x:c r="E474" s="2" t="n">
        <x:v>18</x:v>
      </x:c>
      <x:c r="F474" s="2" t="n">
        <x:v>-9</x:v>
      </x:c>
      <x:c r="G474" s="2" t="n">
        <x:v>0</x:v>
      </x:c>
      <x:c r="H474" s="2" t="n">
        <x:v>-1</x:v>
      </x:c>
      <x:c r="I474" s="2" t="n">
        <x:v>0</x:v>
      </x:c>
      <x:c r="J474" s="2" t="n">
        <x:v>2.5</x:v>
      </x:c>
      <x:c r="K474" s="2" t="n">
        <x:v>12</x:v>
      </x:c>
      <x:c r="L474" s="2" t="n">
        <x:v>3573</x:v>
      </x:c>
      <x:c r="M474" s="2" t="n">
        <x:v>354</x:v>
      </x:c>
      <x:c r="N474" s="2" t="n">
        <x:v>385</x:v>
      </x:c>
      <x:c r="O474" s="2" t="str">
        <x:v>R14 tervezői kiosztás; tényleges laphoz és csavarhoz próbafúrás</x:v>
      </x:c>
    </x:row>
    <x:row r="475" ht="34" customHeight="1">
      <x:c r="A475" s="2" t="str">
        <x:v>H0470</x:v>
      </x:c>
      <x:c r="B475" s="2" t="str">
        <x:v>KI14-GAPBAT-01</x:v>
      </x:c>
      <x:c r="C475" s="2" t="str">
        <x:v>BETET_OLDAL / R14-J089</x:v>
      </x:c>
      <x:c r="D475" s="2" t="n">
        <x:v>20</x:v>
      </x:c>
      <x:c r="E475" s="2" t="n">
        <x:v>9</x:v>
      </x:c>
      <x:c r="F475" s="2" t="n">
        <x:v>-18</x:v>
      </x:c>
      <x:c r="G475" s="2" t="n">
        <x:v>0</x:v>
      </x:c>
      <x:c r="H475" s="2" t="n">
        <x:v>0</x:v>
      </x:c>
      <x:c r="I475" s="2" t="n">
        <x:v>1</x:v>
      </x:c>
      <x:c r="J475" s="2" t="n">
        <x:v>4</x:v>
      </x:c>
      <x:c r="K475" s="2" t="n">
        <x:v>18</x:v>
      </x:c>
      <x:c r="L475" s="2" t="n">
        <x:v>738</x:v>
      </x:c>
      <x:c r="M475" s="2" t="n">
        <x:v>377</x:v>
      </x:c>
      <x:c r="N475" s="2" t="n">
        <x:v>210</x:v>
      </x:c>
      <x:c r="O475" s="2" t="str">
        <x:v>R14 tervezői kiosztás; tényleges laphoz és csavarhoz próbafúrás</x:v>
      </x:c>
    </x:row>
    <x:row r="476" ht="34" customHeight="1">
      <x:c r="A476" s="2" t="str">
        <x:v>H0471</x:v>
      </x:c>
      <x:c r="B476" s="2" t="str">
        <x:v>KI12-TV02S-02</x:v>
      </x:c>
      <x:c r="C476" s="2" t="str">
        <x:v>BETET_OLDAL / R14-J089</x:v>
      </x:c>
      <x:c r="D476" s="2" t="n">
        <x:v>60</x:v>
      </x:c>
      <x:c r="E476" s="2" t="n">
        <x:v>377</x:v>
      </x:c>
      <x:c r="F476" s="2" t="n">
        <x:v>-18</x:v>
      </x:c>
      <x:c r="G476" s="2" t="n">
        <x:v>0</x:v>
      </x:c>
      <x:c r="H476" s="2" t="n">
        <x:v>0</x:v>
      </x:c>
      <x:c r="I476" s="2" t="n">
        <x:v>1</x:v>
      </x:c>
      <x:c r="J476" s="2" t="n">
        <x:v>2.5</x:v>
      </x:c>
      <x:c r="K476" s="2" t="n">
        <x:v>12</x:v>
      </x:c>
      <x:c r="L476" s="2" t="n">
        <x:v>720</x:v>
      </x:c>
      <x:c r="M476" s="2" t="n">
        <x:v>377</x:v>
      </x:c>
      <x:c r="N476" s="2" t="n">
        <x:v>210</x:v>
      </x:c>
      <x:c r="O476" s="2" t="str">
        <x:v>R14 tervezői kiosztás; tényleges laphoz és csavarhoz próbafúrás</x:v>
      </x:c>
    </x:row>
    <x:row r="477" ht="34" customHeight="1">
      <x:c r="A477" s="2" t="str">
        <x:v>H0472</x:v>
      </x:c>
      <x:c r="B477" s="2" t="str">
        <x:v>KI14-GAPBAT-01</x:v>
      </x:c>
      <x:c r="C477" s="2" t="str">
        <x:v>BETET_OLDAL / R14-J090</x:v>
      </x:c>
      <x:c r="D477" s="2" t="n">
        <x:v>300</x:v>
      </x:c>
      <x:c r="E477" s="2" t="n">
        <x:v>9</x:v>
      </x:c>
      <x:c r="F477" s="2" t="n">
        <x:v>-18</x:v>
      </x:c>
      <x:c r="G477" s="2" t="n">
        <x:v>0</x:v>
      </x:c>
      <x:c r="H477" s="2" t="n">
        <x:v>0</x:v>
      </x:c>
      <x:c r="I477" s="2" t="n">
        <x:v>1</x:v>
      </x:c>
      <x:c r="J477" s="2" t="n">
        <x:v>4</x:v>
      </x:c>
      <x:c r="K477" s="2" t="n">
        <x:v>18</x:v>
      </x:c>
      <x:c r="L477" s="2" t="n">
        <x:v>738</x:v>
      </x:c>
      <x:c r="M477" s="2" t="n">
        <x:v>377</x:v>
      </x:c>
      <x:c r="N477" s="2" t="n">
        <x:v>490</x:v>
      </x:c>
      <x:c r="O477" s="2" t="str">
        <x:v>R14 tervezői kiosztás; tényleges laphoz és csavarhoz próbafúrás</x:v>
      </x:c>
    </x:row>
    <x:row r="478" ht="34" customHeight="1">
      <x:c r="A478" s="2" t="str">
        <x:v>H0473</x:v>
      </x:c>
      <x:c r="B478" s="2" t="str">
        <x:v>KI12-TV02S-02</x:v>
      </x:c>
      <x:c r="C478" s="2" t="str">
        <x:v>BETET_OLDAL / R14-J090</x:v>
      </x:c>
      <x:c r="D478" s="2" t="n">
        <x:v>340</x:v>
      </x:c>
      <x:c r="E478" s="2" t="n">
        <x:v>377</x:v>
      </x:c>
      <x:c r="F478" s="2" t="n">
        <x:v>-18</x:v>
      </x:c>
      <x:c r="G478" s="2" t="n">
        <x:v>0</x:v>
      </x:c>
      <x:c r="H478" s="2" t="n">
        <x:v>0</x:v>
      </x:c>
      <x:c r="I478" s="2" t="n">
        <x:v>1</x:v>
      </x:c>
      <x:c r="J478" s="2" t="n">
        <x:v>2.5</x:v>
      </x:c>
      <x:c r="K478" s="2" t="n">
        <x:v>12</x:v>
      </x:c>
      <x:c r="L478" s="2" t="n">
        <x:v>720</x:v>
      </x:c>
      <x:c r="M478" s="2" t="n">
        <x:v>377</x:v>
      </x:c>
      <x:c r="N478" s="2" t="n">
        <x:v>490</x:v>
      </x:c>
      <x:c r="O478" s="2" t="str">
        <x:v>R14 tervezői kiosztás; tényleges laphoz és csavarhoz próbafúrás</x:v>
      </x:c>
    </x:row>
    <x:row r="479" ht="34" customHeight="1">
      <x:c r="A479" s="2" t="str">
        <x:v>H0474</x:v>
      </x:c>
      <x:c r="B479" s="2" t="str">
        <x:v>KI14-GAPBAT-01</x:v>
      </x:c>
      <x:c r="C479" s="2" t="str">
        <x:v>BETET_HATUL / R14-J091</x:v>
      </x:c>
      <x:c r="D479" s="2" t="n">
        <x:v>80</x:v>
      </x:c>
      <x:c r="E479" s="2" t="n">
        <x:v>18</x:v>
      </x:c>
      <x:c r="F479" s="2" t="n">
        <x:v>-9</x:v>
      </x:c>
      <x:c r="G479" s="2" t="n">
        <x:v>0</x:v>
      </x:c>
      <x:c r="H479" s="2" t="n">
        <x:v>-1</x:v>
      </x:c>
      <x:c r="I479" s="2" t="n">
        <x:v>0</x:v>
      </x:c>
      <x:c r="J479" s="2" t="n">
        <x:v>4</x:v>
      </x:c>
      <x:c r="K479" s="2" t="n">
        <x:v>18</x:v>
      </x:c>
      <x:c r="L479" s="2" t="n">
        <x:v>729</x:v>
      </x:c>
      <x:c r="M479" s="2" t="n">
        <x:v>386</x:v>
      </x:c>
      <x:c r="N479" s="2" t="n">
        <x:v>270</x:v>
      </x:c>
      <x:c r="O479" s="2" t="str">
        <x:v>R14 tervezői kiosztás; tényleges laphoz és csavarhoz próbafúrás</x:v>
      </x:c>
    </x:row>
    <x:row r="480" ht="34" customHeight="1">
      <x:c r="A480" s="2" t="str">
        <x:v>H0475</x:v>
      </x:c>
      <x:c r="B480" s="2" t="str">
        <x:v>KI13-GAP-LOW-01</x:v>
      </x:c>
      <x:c r="C480" s="2" t="str">
        <x:v>BETET_HATUL / R14-J091</x:v>
      </x:c>
      <x:c r="D480" s="2" t="n">
        <x:v>118.5</x:v>
      </x:c>
      <x:c r="E480" s="2" t="n">
        <x:v>7.5</x:v>
      </x:c>
      <x:c r="F480" s="2" t="n">
        <x:v>0</x:v>
      </x:c>
      <x:c r="G480" s="2" t="n">
        <x:v>0</x:v>
      </x:c>
      <x:c r="H480" s="2" t="n">
        <x:v>0</x:v>
      </x:c>
      <x:c r="I480" s="2" t="n">
        <x:v>-1</x:v>
      </x:c>
      <x:c r="J480" s="2" t="n">
        <x:v>2.5</x:v>
      </x:c>
      <x:c r="K480" s="2" t="n">
        <x:v>12</x:v>
      </x:c>
      <x:c r="L480" s="2" t="n">
        <x:v>729</x:v>
      </x:c>
      <x:c r="M480" s="2" t="n">
        <x:v>368</x:v>
      </x:c>
      <x:c r="N480" s="2" t="n">
        <x:v>270</x:v>
      </x:c>
      <x:c r="O480" s="2" t="str">
        <x:v>R14 tervezői kiosztás; tényleges laphoz és csavarhoz próbafúrás</x:v>
      </x:c>
    </x:row>
    <x:row r="481" ht="34" customHeight="1">
      <x:c r="A481" s="2" t="str">
        <x:v>H0476</x:v>
      </x:c>
      <x:c r="B481" s="2" t="str">
        <x:v>KI14-GAPBAT-01</x:v>
      </x:c>
      <x:c r="C481" s="2" t="str">
        <x:v>BETET_HATUL / R14-J092</x:v>
      </x:c>
      <x:c r="D481" s="2" t="n">
        <x:v>240</x:v>
      </x:c>
      <x:c r="E481" s="2" t="n">
        <x:v>18</x:v>
      </x:c>
      <x:c r="F481" s="2" t="n">
        <x:v>-9</x:v>
      </x:c>
      <x:c r="G481" s="2" t="n">
        <x:v>0</x:v>
      </x:c>
      <x:c r="H481" s="2" t="n">
        <x:v>-1</x:v>
      </x:c>
      <x:c r="I481" s="2" t="n">
        <x:v>0</x:v>
      </x:c>
      <x:c r="J481" s="2" t="n">
        <x:v>4</x:v>
      </x:c>
      <x:c r="K481" s="2" t="n">
        <x:v>18</x:v>
      </x:c>
      <x:c r="L481" s="2" t="n">
        <x:v>729</x:v>
      </x:c>
      <x:c r="M481" s="2" t="n">
        <x:v>386</x:v>
      </x:c>
      <x:c r="N481" s="2" t="n">
        <x:v>430</x:v>
      </x:c>
      <x:c r="O481" s="2" t="str">
        <x:v>R14 tervezői kiosztás; tényleges laphoz és csavarhoz próbafúrás</x:v>
      </x:c>
    </x:row>
    <x:row r="482" ht="34" customHeight="1">
      <x:c r="A482" s="2" t="str">
        <x:v>H0477</x:v>
      </x:c>
      <x:c r="B482" s="2" t="str">
        <x:v>KI13-GAP-LOW-01</x:v>
      </x:c>
      <x:c r="C482" s="2" t="str">
        <x:v>BETET_HATUL / R14-J092</x:v>
      </x:c>
      <x:c r="D482" s="2" t="n">
        <x:v>278.5</x:v>
      </x:c>
      <x:c r="E482" s="2" t="n">
        <x:v>7.5</x:v>
      </x:c>
      <x:c r="F482" s="2" t="n">
        <x:v>0</x:v>
      </x:c>
      <x:c r="G482" s="2" t="n">
        <x:v>0</x:v>
      </x:c>
      <x:c r="H482" s="2" t="n">
        <x:v>0</x:v>
      </x:c>
      <x:c r="I482" s="2" t="n">
        <x:v>-1</x:v>
      </x:c>
      <x:c r="J482" s="2" t="n">
        <x:v>2.5</x:v>
      </x:c>
      <x:c r="K482" s="2" t="n">
        <x:v>12</x:v>
      </x:c>
      <x:c r="L482" s="2" t="n">
        <x:v>729</x:v>
      </x:c>
      <x:c r="M482" s="2" t="n">
        <x:v>368</x:v>
      </x:c>
      <x:c r="N482" s="2" t="n">
        <x:v>430</x:v>
      </x:c>
      <x:c r="O482" s="2" t="str">
        <x:v>R14 tervezői kiosztás; tényleges laphoz és csavarhoz próbafúrás</x:v>
      </x:c>
    </x:row>
    <x:row r="483" ht="34" customHeight="1">
      <x:c r="A483" s="2" t="str">
        <x:v>H0478</x:v>
      </x:c>
      <x:c r="B483" s="2" t="str">
        <x:v>KI14-GAPBAT-02</x:v>
      </x:c>
      <x:c r="C483" s="2" t="str">
        <x:v>BETET_OLDAL / R14-J093</x:v>
      </x:c>
      <x:c r="D483" s="2" t="n">
        <x:v>20</x:v>
      </x:c>
      <x:c r="E483" s="2" t="n">
        <x:v>9</x:v>
      </x:c>
      <x:c r="F483" s="2" t="n">
        <x:v>0</x:v>
      </x:c>
      <x:c r="G483" s="2" t="n">
        <x:v>0</x:v>
      </x:c>
      <x:c r="H483" s="2" t="n">
        <x:v>0</x:v>
      </x:c>
      <x:c r="I483" s="2" t="n">
        <x:v>-1</x:v>
      </x:c>
      <x:c r="J483" s="2" t="n">
        <x:v>4</x:v>
      </x:c>
      <x:c r="K483" s="2" t="n">
        <x:v>18</x:v>
      </x:c>
      <x:c r="L483" s="2" t="n">
        <x:v>822</x:v>
      </x:c>
      <x:c r="M483" s="2" t="n">
        <x:v>377</x:v>
      </x:c>
      <x:c r="N483" s="2" t="n">
        <x:v>210</x:v>
      </x:c>
      <x:c r="O483" s="2" t="str">
        <x:v>R14 tervezői kiosztás; tényleges laphoz és csavarhoz próbafúrás</x:v>
      </x:c>
    </x:row>
    <x:row r="484" ht="34" customHeight="1">
      <x:c r="A484" s="2" t="str">
        <x:v>H0479</x:v>
      </x:c>
      <x:c r="B484" s="2" t="str">
        <x:v>KI12-TV02S-03</x:v>
      </x:c>
      <x:c r="C484" s="2" t="str">
        <x:v>BETET_OLDAL / R14-J093</x:v>
      </x:c>
      <x:c r="D484" s="2" t="n">
        <x:v>60</x:v>
      </x:c>
      <x:c r="E484" s="2" t="n">
        <x:v>377</x:v>
      </x:c>
      <x:c r="F484" s="2" t="n">
        <x:v>0</x:v>
      </x:c>
      <x:c r="G484" s="2" t="n">
        <x:v>0</x:v>
      </x:c>
      <x:c r="H484" s="2" t="n">
        <x:v>0</x:v>
      </x:c>
      <x:c r="I484" s="2" t="n">
        <x:v>-1</x:v>
      </x:c>
      <x:c r="J484" s="2" t="n">
        <x:v>2.5</x:v>
      </x:c>
      <x:c r="K484" s="2" t="n">
        <x:v>12</x:v>
      </x:c>
      <x:c r="L484" s="2" t="n">
        <x:v>840</x:v>
      </x:c>
      <x:c r="M484" s="2" t="n">
        <x:v>377</x:v>
      </x:c>
      <x:c r="N484" s="2" t="n">
        <x:v>210</x:v>
      </x:c>
      <x:c r="O484" s="2" t="str">
        <x:v>R14 tervezői kiosztás; tényleges laphoz és csavarhoz próbafúrás</x:v>
      </x:c>
    </x:row>
    <x:row r="485" ht="34" customHeight="1">
      <x:c r="A485" s="2" t="str">
        <x:v>H0480</x:v>
      </x:c>
      <x:c r="B485" s="2" t="str">
        <x:v>KI14-GAPBAT-02</x:v>
      </x:c>
      <x:c r="C485" s="2" t="str">
        <x:v>BETET_OLDAL / R14-J094</x:v>
      </x:c>
      <x:c r="D485" s="2" t="n">
        <x:v>300</x:v>
      </x:c>
      <x:c r="E485" s="2" t="n">
        <x:v>9</x:v>
      </x:c>
      <x:c r="F485" s="2" t="n">
        <x:v>0</x:v>
      </x:c>
      <x:c r="G485" s="2" t="n">
        <x:v>0</x:v>
      </x:c>
      <x:c r="H485" s="2" t="n">
        <x:v>0</x:v>
      </x:c>
      <x:c r="I485" s="2" t="n">
        <x:v>-1</x:v>
      </x:c>
      <x:c r="J485" s="2" t="n">
        <x:v>4</x:v>
      </x:c>
      <x:c r="K485" s="2" t="n">
        <x:v>18</x:v>
      </x:c>
      <x:c r="L485" s="2" t="n">
        <x:v>822</x:v>
      </x:c>
      <x:c r="M485" s="2" t="n">
        <x:v>377</x:v>
      </x:c>
      <x:c r="N485" s="2" t="n">
        <x:v>490</x:v>
      </x:c>
      <x:c r="O485" s="2" t="str">
        <x:v>R14 tervezői kiosztás; tényleges laphoz és csavarhoz próbafúrás</x:v>
      </x:c>
    </x:row>
    <x:row r="486" ht="34" customHeight="1">
      <x:c r="A486" s="2" t="str">
        <x:v>H0481</x:v>
      </x:c>
      <x:c r="B486" s="2" t="str">
        <x:v>KI12-TV02S-03</x:v>
      </x:c>
      <x:c r="C486" s="2" t="str">
        <x:v>BETET_OLDAL / R14-J094</x:v>
      </x:c>
      <x:c r="D486" s="2" t="n">
        <x:v>340</x:v>
      </x:c>
      <x:c r="E486" s="2" t="n">
        <x:v>377</x:v>
      </x:c>
      <x:c r="F486" s="2" t="n">
        <x:v>0</x:v>
      </x:c>
      <x:c r="G486" s="2" t="n">
        <x:v>0</x:v>
      </x:c>
      <x:c r="H486" s="2" t="n">
        <x:v>0</x:v>
      </x:c>
      <x:c r="I486" s="2" t="n">
        <x:v>-1</x:v>
      </x:c>
      <x:c r="J486" s="2" t="n">
        <x:v>2.5</x:v>
      </x:c>
      <x:c r="K486" s="2" t="n">
        <x:v>12</x:v>
      </x:c>
      <x:c r="L486" s="2" t="n">
        <x:v>840</x:v>
      </x:c>
      <x:c r="M486" s="2" t="n">
        <x:v>377</x:v>
      </x:c>
      <x:c r="N486" s="2" t="n">
        <x:v>490</x:v>
      </x:c>
      <x:c r="O486" s="2" t="str">
        <x:v>R14 tervezői kiosztás; tényleges laphoz és csavarhoz próbafúrás</x:v>
      </x:c>
    </x:row>
    <x:row r="487" ht="34" customHeight="1">
      <x:c r="A487" s="2" t="str">
        <x:v>H0482</x:v>
      </x:c>
      <x:c r="B487" s="2" t="str">
        <x:v>KI14-GAPBAT-02</x:v>
      </x:c>
      <x:c r="C487" s="2" t="str">
        <x:v>BETET_HATUL / R14-J095</x:v>
      </x:c>
      <x:c r="D487" s="2" t="n">
        <x:v>80</x:v>
      </x:c>
      <x:c r="E487" s="2" t="n">
        <x:v>18</x:v>
      </x:c>
      <x:c r="F487" s="2" t="n">
        <x:v>-9</x:v>
      </x:c>
      <x:c r="G487" s="2" t="n">
        <x:v>0</x:v>
      </x:c>
      <x:c r="H487" s="2" t="n">
        <x:v>-1</x:v>
      </x:c>
      <x:c r="I487" s="2" t="n">
        <x:v>0</x:v>
      </x:c>
      <x:c r="J487" s="2" t="n">
        <x:v>4</x:v>
      </x:c>
      <x:c r="K487" s="2" t="n">
        <x:v>18</x:v>
      </x:c>
      <x:c r="L487" s="2" t="n">
        <x:v>831</x:v>
      </x:c>
      <x:c r="M487" s="2" t="n">
        <x:v>386</x:v>
      </x:c>
      <x:c r="N487" s="2" t="n">
        <x:v>270</x:v>
      </x:c>
      <x:c r="O487" s="2" t="str">
        <x:v>R14 tervezői kiosztás; tényleges laphoz és csavarhoz próbafúrás</x:v>
      </x:c>
    </x:row>
    <x:row r="488" ht="34" customHeight="1">
      <x:c r="A488" s="2" t="str">
        <x:v>H0483</x:v>
      </x:c>
      <x:c r="B488" s="2" t="str">
        <x:v>KI13-GAP-LOW-01</x:v>
      </x:c>
      <x:c r="C488" s="2" t="str">
        <x:v>BETET_HATUL / R14-J095</x:v>
      </x:c>
      <x:c r="D488" s="2" t="n">
        <x:v>118.5</x:v>
      </x:c>
      <x:c r="E488" s="2" t="n">
        <x:v>109.5</x:v>
      </x:c>
      <x:c r="F488" s="2" t="n">
        <x:v>0</x:v>
      </x:c>
      <x:c r="G488" s="2" t="n">
        <x:v>0</x:v>
      </x:c>
      <x:c r="H488" s="2" t="n">
        <x:v>0</x:v>
      </x:c>
      <x:c r="I488" s="2" t="n">
        <x:v>-1</x:v>
      </x:c>
      <x:c r="J488" s="2" t="n">
        <x:v>2.5</x:v>
      </x:c>
      <x:c r="K488" s="2" t="n">
        <x:v>12</x:v>
      </x:c>
      <x:c r="L488" s="2" t="n">
        <x:v>831</x:v>
      </x:c>
      <x:c r="M488" s="2" t="n">
        <x:v>368</x:v>
      </x:c>
      <x:c r="N488" s="2" t="n">
        <x:v>270</x:v>
      </x:c>
      <x:c r="O488" s="2" t="str">
        <x:v>R14 tervezői kiosztás; tényleges laphoz és csavarhoz próbafúrás</x:v>
      </x:c>
    </x:row>
    <x:row r="489" ht="34" customHeight="1">
      <x:c r="A489" s="2" t="str">
        <x:v>H0484</x:v>
      </x:c>
      <x:c r="B489" s="2" t="str">
        <x:v>KI14-GAPBAT-02</x:v>
      </x:c>
      <x:c r="C489" s="2" t="str">
        <x:v>BETET_HATUL / R14-J096</x:v>
      </x:c>
      <x:c r="D489" s="2" t="n">
        <x:v>240</x:v>
      </x:c>
      <x:c r="E489" s="2" t="n">
        <x:v>18</x:v>
      </x:c>
      <x:c r="F489" s="2" t="n">
        <x:v>-9</x:v>
      </x:c>
      <x:c r="G489" s="2" t="n">
        <x:v>0</x:v>
      </x:c>
      <x:c r="H489" s="2" t="n">
        <x:v>-1</x:v>
      </x:c>
      <x:c r="I489" s="2" t="n">
        <x:v>0</x:v>
      </x:c>
      <x:c r="J489" s="2" t="n">
        <x:v>4</x:v>
      </x:c>
      <x:c r="K489" s="2" t="n">
        <x:v>18</x:v>
      </x:c>
      <x:c r="L489" s="2" t="n">
        <x:v>831</x:v>
      </x:c>
      <x:c r="M489" s="2" t="n">
        <x:v>386</x:v>
      </x:c>
      <x:c r="N489" s="2" t="n">
        <x:v>430</x:v>
      </x:c>
      <x:c r="O489" s="2" t="str">
        <x:v>R14 tervezői kiosztás; tényleges laphoz és csavarhoz próbafúrás</x:v>
      </x:c>
    </x:row>
    <x:row r="490" ht="34" customHeight="1">
      <x:c r="A490" s="2" t="str">
        <x:v>H0485</x:v>
      </x:c>
      <x:c r="B490" s="2" t="str">
        <x:v>KI13-GAP-LOW-01</x:v>
      </x:c>
      <x:c r="C490" s="2" t="str">
        <x:v>BETET_HATUL / R14-J096</x:v>
      </x:c>
      <x:c r="D490" s="2" t="n">
        <x:v>278.5</x:v>
      </x:c>
      <x:c r="E490" s="2" t="n">
        <x:v>109.5</x:v>
      </x:c>
      <x:c r="F490" s="2" t="n">
        <x:v>0</x:v>
      </x:c>
      <x:c r="G490" s="2" t="n">
        <x:v>0</x:v>
      </x:c>
      <x:c r="H490" s="2" t="n">
        <x:v>0</x:v>
      </x:c>
      <x:c r="I490" s="2" t="n">
        <x:v>-1</x:v>
      </x:c>
      <x:c r="J490" s="2" t="n">
        <x:v>2.5</x:v>
      </x:c>
      <x:c r="K490" s="2" t="n">
        <x:v>12</x:v>
      </x:c>
      <x:c r="L490" s="2" t="n">
        <x:v>831</x:v>
      </x:c>
      <x:c r="M490" s="2" t="n">
        <x:v>368</x:v>
      </x:c>
      <x:c r="N490" s="2" t="n">
        <x:v>430</x:v>
      </x:c>
      <x:c r="O490" s="2" t="str">
        <x:v>R14 tervezői kiosztás; tényleges laphoz és csavarhoz próbafúrás</x:v>
      </x:c>
    </x:row>
    <x:row r="491" ht="34" customHeight="1">
      <x:c r="A491" s="2" t="str">
        <x:v>H0486</x:v>
      </x:c>
      <x:c r="B491" s="2" t="str">
        <x:v>KI14-RAIL-01</x:v>
      </x:c>
      <x:c r="C491" s="2" t="str">
        <x:v>MEREVITO_CSAP / R14-J097</x:v>
      </x:c>
      <x:c r="D491" s="2" t="n">
        <x:v>684</x:v>
      </x:c>
      <x:c r="E491" s="2" t="n">
        <x:v>20</x:v>
      </x:c>
      <x:c r="F491" s="2" t="n">
        <x:v>-9</x:v>
      </x:c>
      <x:c r="G491" s="2" t="n">
        <x:v>-1</x:v>
      </x:c>
      <x:c r="H491" s="2" t="n">
        <x:v>0</x:v>
      </x:c>
      <x:c r="I491" s="2" t="n">
        <x:v>0</x:v>
      </x:c>
      <x:c r="J491" s="2" t="n">
        <x:v>8</x:v>
      </x:c>
      <x:c r="K491" s="2" t="n">
        <x:v>22</x:v>
      </x:c>
      <x:c r="L491" s="2" t="n">
        <x:v>18</x:v>
      </x:c>
      <x:c r="M491" s="2" t="n">
        <x:v>327</x:v>
      </x:c>
      <x:c r="N491" s="2" t="n">
        <x:v>320</x:v>
      </x:c>
      <x:c r="O491" s="2" t="str">
        <x:v>R14 Ø8x30 bükk csap, 22+12 mélység; ragasztott próbakötés</x:v>
      </x:c>
    </x:row>
    <x:row r="492" ht="34" customHeight="1">
      <x:c r="A492" s="2" t="str">
        <x:v>H0487</x:v>
      </x:c>
      <x:c r="B492" s="2" t="str">
        <x:v>KI12-TV02S-01</x:v>
      </x:c>
      <x:c r="C492" s="2" t="str">
        <x:v>MEREVITO_CSAP / R14-J097</x:v>
      </x:c>
      <x:c r="D492" s="2" t="n">
        <x:v>170</x:v>
      </x:c>
      <x:c r="E492" s="2" t="n">
        <x:v>327</x:v>
      </x:c>
      <x:c r="F492" s="2" t="n">
        <x:v>-18</x:v>
      </x:c>
      <x:c r="G492" s="2" t="n">
        <x:v>0</x:v>
      </x:c>
      <x:c r="H492" s="2" t="n">
        <x:v>0</x:v>
      </x:c>
      <x:c r="I492" s="2" t="n">
        <x:v>1</x:v>
      </x:c>
      <x:c r="J492" s="2" t="n">
        <x:v>8</x:v>
      </x:c>
      <x:c r="K492" s="2" t="n">
        <x:v>12</x:v>
      </x:c>
      <x:c r="L492" s="2" t="n">
        <x:v>18</x:v>
      </x:c>
      <x:c r="M492" s="2" t="n">
        <x:v>327</x:v>
      </x:c>
      <x:c r="N492" s="2" t="n">
        <x:v>320</x:v>
      </x:c>
      <x:c r="O492" s="2" t="str">
        <x:v>R14 Ø8x30 bükk csap, 22+12 mélység; középosztón 10 mm eltolt tengely</x:v>
      </x:c>
    </x:row>
    <x:row r="493" ht="34" customHeight="1">
      <x:c r="A493" s="2" t="str">
        <x:v>H0488</x:v>
      </x:c>
      <x:c r="B493" s="2" t="str">
        <x:v>KI14-RAIL-01</x:v>
      </x:c>
      <x:c r="C493" s="2" t="str">
        <x:v>MEREVITO_CSAP / R14-J098</x:v>
      </x:c>
      <x:c r="D493" s="2" t="n">
        <x:v>684</x:v>
      </x:c>
      <x:c r="E493" s="2" t="n">
        <x:v>50</x:v>
      </x:c>
      <x:c r="F493" s="2" t="n">
        <x:v>-9</x:v>
      </x:c>
      <x:c r="G493" s="2" t="n">
        <x:v>-1</x:v>
      </x:c>
      <x:c r="H493" s="2" t="n">
        <x:v>0</x:v>
      </x:c>
      <x:c r="I493" s="2" t="n">
        <x:v>0</x:v>
      </x:c>
      <x:c r="J493" s="2" t="n">
        <x:v>8</x:v>
      </x:c>
      <x:c r="K493" s="2" t="n">
        <x:v>22</x:v>
      </x:c>
      <x:c r="L493" s="2" t="n">
        <x:v>18</x:v>
      </x:c>
      <x:c r="M493" s="2" t="n">
        <x:v>327</x:v>
      </x:c>
      <x:c r="N493" s="2" t="n">
        <x:v>350</x:v>
      </x:c>
      <x:c r="O493" s="2" t="str">
        <x:v>R14 Ø8x30 bükk csap, 22+12 mélység; ragasztott próbakötés</x:v>
      </x:c>
    </x:row>
    <x:row r="494" ht="34" customHeight="1">
      <x:c r="A494" s="2" t="str">
        <x:v>H0489</x:v>
      </x:c>
      <x:c r="B494" s="2" t="str">
        <x:v>KI12-TV02S-01</x:v>
      </x:c>
      <x:c r="C494" s="2" t="str">
        <x:v>MEREVITO_CSAP / R14-J098</x:v>
      </x:c>
      <x:c r="D494" s="2" t="n">
        <x:v>200</x:v>
      </x:c>
      <x:c r="E494" s="2" t="n">
        <x:v>327</x:v>
      </x:c>
      <x:c r="F494" s="2" t="n">
        <x:v>-18</x:v>
      </x:c>
      <x:c r="G494" s="2" t="n">
        <x:v>0</x:v>
      </x:c>
      <x:c r="H494" s="2" t="n">
        <x:v>0</x:v>
      </x:c>
      <x:c r="I494" s="2" t="n">
        <x:v>1</x:v>
      </x:c>
      <x:c r="J494" s="2" t="n">
        <x:v>8</x:v>
      </x:c>
      <x:c r="K494" s="2" t="n">
        <x:v>12</x:v>
      </x:c>
      <x:c r="L494" s="2" t="n">
        <x:v>18</x:v>
      </x:c>
      <x:c r="M494" s="2" t="n">
        <x:v>327</x:v>
      </x:c>
      <x:c r="N494" s="2" t="n">
        <x:v>350</x:v>
      </x:c>
      <x:c r="O494" s="2" t="str">
        <x:v>R14 Ø8x30 bükk csap, 22+12 mélység; középosztón 10 mm eltolt tengely</x:v>
      </x:c>
    </x:row>
    <x:row r="495" ht="34" customHeight="1">
      <x:c r="A495" s="2" t="str">
        <x:v>H0490</x:v>
      </x:c>
      <x:c r="B495" s="2" t="str">
        <x:v>KI14-RAIL-01</x:v>
      </x:c>
      <x:c r="C495" s="2" t="str">
        <x:v>MEREVITO_CSAP / R14-J099</x:v>
      </x:c>
      <x:c r="D495" s="2" t="n">
        <x:v>684</x:v>
      </x:c>
      <x:c r="E495" s="2" t="n">
        <x:v>80</x:v>
      </x:c>
      <x:c r="F495" s="2" t="n">
        <x:v>-9</x:v>
      </x:c>
      <x:c r="G495" s="2" t="n">
        <x:v>-1</x:v>
      </x:c>
      <x:c r="H495" s="2" t="n">
        <x:v>0</x:v>
      </x:c>
      <x:c r="I495" s="2" t="n">
        <x:v>0</x:v>
      </x:c>
      <x:c r="J495" s="2" t="n">
        <x:v>8</x:v>
      </x:c>
      <x:c r="K495" s="2" t="n">
        <x:v>22</x:v>
      </x:c>
      <x:c r="L495" s="2" t="n">
        <x:v>18</x:v>
      </x:c>
      <x:c r="M495" s="2" t="n">
        <x:v>327</x:v>
      </x:c>
      <x:c r="N495" s="2" t="n">
        <x:v>380</x:v>
      </x:c>
      <x:c r="O495" s="2" t="str">
        <x:v>R14 Ø8x30 bükk csap, 22+12 mélység; ragasztott próbakötés</x:v>
      </x:c>
    </x:row>
    <x:row r="496" ht="34" customHeight="1">
      <x:c r="A496" s="2" t="str">
        <x:v>H0491</x:v>
      </x:c>
      <x:c r="B496" s="2" t="str">
        <x:v>KI12-TV02S-01</x:v>
      </x:c>
      <x:c r="C496" s="2" t="str">
        <x:v>MEREVITO_CSAP / R14-J099</x:v>
      </x:c>
      <x:c r="D496" s="2" t="n">
        <x:v>230</x:v>
      </x:c>
      <x:c r="E496" s="2" t="n">
        <x:v>327</x:v>
      </x:c>
      <x:c r="F496" s="2" t="n">
        <x:v>-18</x:v>
      </x:c>
      <x:c r="G496" s="2" t="n">
        <x:v>0</x:v>
      </x:c>
      <x:c r="H496" s="2" t="n">
        <x:v>0</x:v>
      </x:c>
      <x:c r="I496" s="2" t="n">
        <x:v>1</x:v>
      </x:c>
      <x:c r="J496" s="2" t="n">
        <x:v>8</x:v>
      </x:c>
      <x:c r="K496" s="2" t="n">
        <x:v>12</x:v>
      </x:c>
      <x:c r="L496" s="2" t="n">
        <x:v>18</x:v>
      </x:c>
      <x:c r="M496" s="2" t="n">
        <x:v>327</x:v>
      </x:c>
      <x:c r="N496" s="2" t="n">
        <x:v>380</x:v>
      </x:c>
      <x:c r="O496" s="2" t="str">
        <x:v>R14 Ø8x30 bükk csap, 22+12 mélység; középosztón 10 mm eltolt tengely</x:v>
      </x:c>
    </x:row>
    <x:row r="497" ht="34" customHeight="1">
      <x:c r="A497" s="2" t="str">
        <x:v>H0492</x:v>
      </x:c>
      <x:c r="B497" s="2" t="str">
        <x:v>KI14-RAIL-01</x:v>
      </x:c>
      <x:c r="C497" s="2" t="str">
        <x:v>MEREVITO_CSAP / R14-J100</x:v>
      </x:c>
      <x:c r="D497" s="2" t="n">
        <x:v>0</x:v>
      </x:c>
      <x:c r="E497" s="2" t="n">
        <x:v>20</x:v>
      </x:c>
      <x:c r="F497" s="2" t="n">
        <x:v>-9</x:v>
      </x:c>
      <x:c r="G497" s="2" t="n">
        <x:v>1</x:v>
      </x:c>
      <x:c r="H497" s="2" t="n">
        <x:v>0</x:v>
      </x:c>
      <x:c r="I497" s="2" t="n">
        <x:v>0</x:v>
      </x:c>
      <x:c r="J497" s="2" t="n">
        <x:v>8</x:v>
      </x:c>
      <x:c r="K497" s="2" t="n">
        <x:v>22</x:v>
      </x:c>
      <x:c r="L497" s="2" t="n">
        <x:v>702</x:v>
      </x:c>
      <x:c r="M497" s="2" t="n">
        <x:v>327</x:v>
      </x:c>
      <x:c r="N497" s="2" t="n">
        <x:v>320</x:v>
      </x:c>
      <x:c r="O497" s="2" t="str">
        <x:v>R14 Ø8x30 bükk csap, 22+12 mélység; ragasztott próbakötés</x:v>
      </x:c>
    </x:row>
    <x:row r="498" ht="34" customHeight="1">
      <x:c r="A498" s="2" t="str">
        <x:v>H0493</x:v>
      </x:c>
      <x:c r="B498" s="2" t="str">
        <x:v>KI12-TV02S-02</x:v>
      </x:c>
      <x:c r="C498" s="2" t="str">
        <x:v>MEREVITO_CSAP / R14-J100</x:v>
      </x:c>
      <x:c r="D498" s="2" t="n">
        <x:v>170</x:v>
      </x:c>
      <x:c r="E498" s="2" t="n">
        <x:v>327</x:v>
      </x:c>
      <x:c r="F498" s="2" t="n">
        <x:v>0</x:v>
      </x:c>
      <x:c r="G498" s="2" t="n">
        <x:v>0</x:v>
      </x:c>
      <x:c r="H498" s="2" t="n">
        <x:v>0</x:v>
      </x:c>
      <x:c r="I498" s="2" t="n">
        <x:v>-1</x:v>
      </x:c>
      <x:c r="J498" s="2" t="n">
        <x:v>8</x:v>
      </x:c>
      <x:c r="K498" s="2" t="n">
        <x:v>12</x:v>
      </x:c>
      <x:c r="L498" s="2" t="n">
        <x:v>702</x:v>
      </x:c>
      <x:c r="M498" s="2" t="n">
        <x:v>327</x:v>
      </x:c>
      <x:c r="N498" s="2" t="n">
        <x:v>320</x:v>
      </x:c>
      <x:c r="O498" s="2" t="str">
        <x:v>R14 Ø8x30 bükk csap, 22+12 mélység; középosztón 10 mm eltolt tengely</x:v>
      </x:c>
    </x:row>
    <x:row r="499" ht="34" customHeight="1">
      <x:c r="A499" s="2" t="str">
        <x:v>H0494</x:v>
      </x:c>
      <x:c r="B499" s="2" t="str">
        <x:v>KI14-RAIL-01</x:v>
      </x:c>
      <x:c r="C499" s="2" t="str">
        <x:v>MEREVITO_CSAP / R14-J101</x:v>
      </x:c>
      <x:c r="D499" s="2" t="n">
        <x:v>0</x:v>
      </x:c>
      <x:c r="E499" s="2" t="n">
        <x:v>50</x:v>
      </x:c>
      <x:c r="F499" s="2" t="n">
        <x:v>-9</x:v>
      </x:c>
      <x:c r="G499" s="2" t="n">
        <x:v>1</x:v>
      </x:c>
      <x:c r="H499" s="2" t="n">
        <x:v>0</x:v>
      </x:c>
      <x:c r="I499" s="2" t="n">
        <x:v>0</x:v>
      </x:c>
      <x:c r="J499" s="2" t="n">
        <x:v>8</x:v>
      </x:c>
      <x:c r="K499" s="2" t="n">
        <x:v>22</x:v>
      </x:c>
      <x:c r="L499" s="2" t="n">
        <x:v>702</x:v>
      </x:c>
      <x:c r="M499" s="2" t="n">
        <x:v>327</x:v>
      </x:c>
      <x:c r="N499" s="2" t="n">
        <x:v>350</x:v>
      </x:c>
      <x:c r="O499" s="2" t="str">
        <x:v>R14 Ø8x30 bükk csap, 22+12 mélység; ragasztott próbakötés</x:v>
      </x:c>
    </x:row>
    <x:row r="500" ht="34" customHeight="1">
      <x:c r="A500" s="2" t="str">
        <x:v>H0495</x:v>
      </x:c>
      <x:c r="B500" s="2" t="str">
        <x:v>KI12-TV02S-02</x:v>
      </x:c>
      <x:c r="C500" s="2" t="str">
        <x:v>MEREVITO_CSAP / R14-J101</x:v>
      </x:c>
      <x:c r="D500" s="2" t="n">
        <x:v>200</x:v>
      </x:c>
      <x:c r="E500" s="2" t="n">
        <x:v>327</x:v>
      </x:c>
      <x:c r="F500" s="2" t="n">
        <x:v>0</x:v>
      </x:c>
      <x:c r="G500" s="2" t="n">
        <x:v>0</x:v>
      </x:c>
      <x:c r="H500" s="2" t="n">
        <x:v>0</x:v>
      </x:c>
      <x:c r="I500" s="2" t="n">
        <x:v>-1</x:v>
      </x:c>
      <x:c r="J500" s="2" t="n">
        <x:v>8</x:v>
      </x:c>
      <x:c r="K500" s="2" t="n">
        <x:v>12</x:v>
      </x:c>
      <x:c r="L500" s="2" t="n">
        <x:v>702</x:v>
      </x:c>
      <x:c r="M500" s="2" t="n">
        <x:v>327</x:v>
      </x:c>
      <x:c r="N500" s="2" t="n">
        <x:v>350</x:v>
      </x:c>
      <x:c r="O500" s="2" t="str">
        <x:v>R14 Ø8x30 bükk csap, 22+12 mélység; középosztón 10 mm eltolt tengely</x:v>
      </x:c>
    </x:row>
    <x:row r="501" ht="34" customHeight="1">
      <x:c r="A501" s="2" t="str">
        <x:v>H0496</x:v>
      </x:c>
      <x:c r="B501" s="2" t="str">
        <x:v>KI14-RAIL-01</x:v>
      </x:c>
      <x:c r="C501" s="2" t="str">
        <x:v>MEREVITO_CSAP / R14-J102</x:v>
      </x:c>
      <x:c r="D501" s="2" t="n">
        <x:v>0</x:v>
      </x:c>
      <x:c r="E501" s="2" t="n">
        <x:v>80</x:v>
      </x:c>
      <x:c r="F501" s="2" t="n">
        <x:v>-9</x:v>
      </x:c>
      <x:c r="G501" s="2" t="n">
        <x:v>1</x:v>
      </x:c>
      <x:c r="H501" s="2" t="n">
        <x:v>0</x:v>
      </x:c>
      <x:c r="I501" s="2" t="n">
        <x:v>0</x:v>
      </x:c>
      <x:c r="J501" s="2" t="n">
        <x:v>8</x:v>
      </x:c>
      <x:c r="K501" s="2" t="n">
        <x:v>22</x:v>
      </x:c>
      <x:c r="L501" s="2" t="n">
        <x:v>702</x:v>
      </x:c>
      <x:c r="M501" s="2" t="n">
        <x:v>327</x:v>
      </x:c>
      <x:c r="N501" s="2" t="n">
        <x:v>380</x:v>
      </x:c>
      <x:c r="O501" s="2" t="str">
        <x:v>R14 Ø8x30 bükk csap, 22+12 mélység; ragasztott próbakötés</x:v>
      </x:c>
    </x:row>
    <x:row r="502" ht="34" customHeight="1">
      <x:c r="A502" s="2" t="str">
        <x:v>H0497</x:v>
      </x:c>
      <x:c r="B502" s="2" t="str">
        <x:v>KI12-TV02S-02</x:v>
      </x:c>
      <x:c r="C502" s="2" t="str">
        <x:v>MEREVITO_CSAP / R14-J102</x:v>
      </x:c>
      <x:c r="D502" s="2" t="n">
        <x:v>230</x:v>
      </x:c>
      <x:c r="E502" s="2" t="n">
        <x:v>327</x:v>
      </x:c>
      <x:c r="F502" s="2" t="n">
        <x:v>0</x:v>
      </x:c>
      <x:c r="G502" s="2" t="n">
        <x:v>0</x:v>
      </x:c>
      <x:c r="H502" s="2" t="n">
        <x:v>0</x:v>
      </x:c>
      <x:c r="I502" s="2" t="n">
        <x:v>-1</x:v>
      </x:c>
      <x:c r="J502" s="2" t="n">
        <x:v>8</x:v>
      </x:c>
      <x:c r="K502" s="2" t="n">
        <x:v>12</x:v>
      </x:c>
      <x:c r="L502" s="2" t="n">
        <x:v>702</x:v>
      </x:c>
      <x:c r="M502" s="2" t="n">
        <x:v>327</x:v>
      </x:c>
      <x:c r="N502" s="2" t="n">
        <x:v>380</x:v>
      </x:c>
      <x:c r="O502" s="2" t="str">
        <x:v>R14 Ø8x30 bükk csap, 22+12 mélység; középosztón 10 mm eltolt tengely</x:v>
      </x:c>
    </x:row>
    <x:row r="503" ht="34" customHeight="1">
      <x:c r="A503" s="2" t="str">
        <x:v>H0498</x:v>
      </x:c>
      <x:c r="B503" s="2" t="str">
        <x:v>KI14-RAIL-02</x:v>
      </x:c>
      <x:c r="C503" s="2" t="str">
        <x:v>MEREVITO_CSAP / R14-J103</x:v>
      </x:c>
      <x:c r="D503" s="2" t="n">
        <x:v>654</x:v>
      </x:c>
      <x:c r="E503" s="2" t="n">
        <x:v>20</x:v>
      </x:c>
      <x:c r="F503" s="2" t="n">
        <x:v>-9</x:v>
      </x:c>
      <x:c r="G503" s="2" t="n">
        <x:v>-1</x:v>
      </x:c>
      <x:c r="H503" s="2" t="n">
        <x:v>0</x:v>
      </x:c>
      <x:c r="I503" s="2" t="n">
        <x:v>0</x:v>
      </x:c>
      <x:c r="J503" s="2" t="n">
        <x:v>8</x:v>
      </x:c>
      <x:c r="K503" s="2" t="n">
        <x:v>22</x:v>
      </x:c>
      <x:c r="L503" s="2" t="n">
        <x:v>858</x:v>
      </x:c>
      <x:c r="M503" s="2" t="n">
        <x:v>327</x:v>
      </x:c>
      <x:c r="N503" s="2" t="n">
        <x:v>320</x:v>
      </x:c>
      <x:c r="O503" s="2" t="str">
        <x:v>R14 Ø8x30 bükk csap, 22+12 mélység; ragasztott próbakötés</x:v>
      </x:c>
    </x:row>
    <x:row r="504" ht="34" customHeight="1">
      <x:c r="A504" s="2" t="str">
        <x:v>H0499</x:v>
      </x:c>
      <x:c r="B504" s="2" t="str">
        <x:v>KI12-TV02S-03</x:v>
      </x:c>
      <x:c r="C504" s="2" t="str">
        <x:v>MEREVITO_CSAP / R14-J103</x:v>
      </x:c>
      <x:c r="D504" s="2" t="n">
        <x:v>170</x:v>
      </x:c>
      <x:c r="E504" s="2" t="n">
        <x:v>327</x:v>
      </x:c>
      <x:c r="F504" s="2" t="n">
        <x:v>-18</x:v>
      </x:c>
      <x:c r="G504" s="2" t="n">
        <x:v>0</x:v>
      </x:c>
      <x:c r="H504" s="2" t="n">
        <x:v>0</x:v>
      </x:c>
      <x:c r="I504" s="2" t="n">
        <x:v>1</x:v>
      </x:c>
      <x:c r="J504" s="2" t="n">
        <x:v>8</x:v>
      </x:c>
      <x:c r="K504" s="2" t="n">
        <x:v>12</x:v>
      </x:c>
      <x:c r="L504" s="2" t="n">
        <x:v>858</x:v>
      </x:c>
      <x:c r="M504" s="2" t="n">
        <x:v>327</x:v>
      </x:c>
      <x:c r="N504" s="2" t="n">
        <x:v>320</x:v>
      </x:c>
      <x:c r="O504" s="2" t="str">
        <x:v>R14 Ø8x30 bükk csap, 22+12 mélység; középosztón 10 mm eltolt tengely</x:v>
      </x:c>
    </x:row>
    <x:row r="505" ht="34" customHeight="1">
      <x:c r="A505" s="2" t="str">
        <x:v>H0500</x:v>
      </x:c>
      <x:c r="B505" s="2" t="str">
        <x:v>KI14-RAIL-02</x:v>
      </x:c>
      <x:c r="C505" s="2" t="str">
        <x:v>MEREVITO_CSAP / R14-J104</x:v>
      </x:c>
      <x:c r="D505" s="2" t="n">
        <x:v>654</x:v>
      </x:c>
      <x:c r="E505" s="2" t="n">
        <x:v>50</x:v>
      </x:c>
      <x:c r="F505" s="2" t="n">
        <x:v>-9</x:v>
      </x:c>
      <x:c r="G505" s="2" t="n">
        <x:v>-1</x:v>
      </x:c>
      <x:c r="H505" s="2" t="n">
        <x:v>0</x:v>
      </x:c>
      <x:c r="I505" s="2" t="n">
        <x:v>0</x:v>
      </x:c>
      <x:c r="J505" s="2" t="n">
        <x:v>8</x:v>
      </x:c>
      <x:c r="K505" s="2" t="n">
        <x:v>22</x:v>
      </x:c>
      <x:c r="L505" s="2" t="n">
        <x:v>858</x:v>
      </x:c>
      <x:c r="M505" s="2" t="n">
        <x:v>327</x:v>
      </x:c>
      <x:c r="N505" s="2" t="n">
        <x:v>350</x:v>
      </x:c>
      <x:c r="O505" s="2" t="str">
        <x:v>R14 Ø8x30 bükk csap, 22+12 mélység; ragasztott próbakötés</x:v>
      </x:c>
    </x:row>
    <x:row r="506" ht="34" customHeight="1">
      <x:c r="A506" s="2" t="str">
        <x:v>H0501</x:v>
      </x:c>
      <x:c r="B506" s="2" t="str">
        <x:v>KI12-TV02S-03</x:v>
      </x:c>
      <x:c r="C506" s="2" t="str">
        <x:v>MEREVITO_CSAP / R14-J104</x:v>
      </x:c>
      <x:c r="D506" s="2" t="n">
        <x:v>200</x:v>
      </x:c>
      <x:c r="E506" s="2" t="n">
        <x:v>327</x:v>
      </x:c>
      <x:c r="F506" s="2" t="n">
        <x:v>-18</x:v>
      </x:c>
      <x:c r="G506" s="2" t="n">
        <x:v>0</x:v>
      </x:c>
      <x:c r="H506" s="2" t="n">
        <x:v>0</x:v>
      </x:c>
      <x:c r="I506" s="2" t="n">
        <x:v>1</x:v>
      </x:c>
      <x:c r="J506" s="2" t="n">
        <x:v>8</x:v>
      </x:c>
      <x:c r="K506" s="2" t="n">
        <x:v>12</x:v>
      </x:c>
      <x:c r="L506" s="2" t="n">
        <x:v>858</x:v>
      </x:c>
      <x:c r="M506" s="2" t="n">
        <x:v>327</x:v>
      </x:c>
      <x:c r="N506" s="2" t="n">
        <x:v>350</x:v>
      </x:c>
      <x:c r="O506" s="2" t="str">
        <x:v>R14 Ø8x30 bükk csap, 22+12 mélység; középosztón 10 mm eltolt tengely</x:v>
      </x:c>
    </x:row>
    <x:row r="507" ht="34" customHeight="1">
      <x:c r="A507" s="2" t="str">
        <x:v>H0502</x:v>
      </x:c>
      <x:c r="B507" s="2" t="str">
        <x:v>KI14-RAIL-02</x:v>
      </x:c>
      <x:c r="C507" s="2" t="str">
        <x:v>MEREVITO_CSAP / R14-J105</x:v>
      </x:c>
      <x:c r="D507" s="2" t="n">
        <x:v>654</x:v>
      </x:c>
      <x:c r="E507" s="2" t="n">
        <x:v>80</x:v>
      </x:c>
      <x:c r="F507" s="2" t="n">
        <x:v>-9</x:v>
      </x:c>
      <x:c r="G507" s="2" t="n">
        <x:v>-1</x:v>
      </x:c>
      <x:c r="H507" s="2" t="n">
        <x:v>0</x:v>
      </x:c>
      <x:c r="I507" s="2" t="n">
        <x:v>0</x:v>
      </x:c>
      <x:c r="J507" s="2" t="n">
        <x:v>8</x:v>
      </x:c>
      <x:c r="K507" s="2" t="n">
        <x:v>22</x:v>
      </x:c>
      <x:c r="L507" s="2" t="n">
        <x:v>858</x:v>
      </x:c>
      <x:c r="M507" s="2" t="n">
        <x:v>327</x:v>
      </x:c>
      <x:c r="N507" s="2" t="n">
        <x:v>380</x:v>
      </x:c>
      <x:c r="O507" s="2" t="str">
        <x:v>R14 Ø8x30 bükk csap, 22+12 mélység; ragasztott próbakötés</x:v>
      </x:c>
    </x:row>
    <x:row r="508" ht="34" customHeight="1">
      <x:c r="A508" s="2" t="str">
        <x:v>H0503</x:v>
      </x:c>
      <x:c r="B508" s="2" t="str">
        <x:v>KI12-TV02S-03</x:v>
      </x:c>
      <x:c r="C508" s="2" t="str">
        <x:v>MEREVITO_CSAP / R14-J105</x:v>
      </x:c>
      <x:c r="D508" s="2" t="n">
        <x:v>230</x:v>
      </x:c>
      <x:c r="E508" s="2" t="n">
        <x:v>327</x:v>
      </x:c>
      <x:c r="F508" s="2" t="n">
        <x:v>-18</x:v>
      </x:c>
      <x:c r="G508" s="2" t="n">
        <x:v>0</x:v>
      </x:c>
      <x:c r="H508" s="2" t="n">
        <x:v>0</x:v>
      </x:c>
      <x:c r="I508" s="2" t="n">
        <x:v>1</x:v>
      </x:c>
      <x:c r="J508" s="2" t="n">
        <x:v>8</x:v>
      </x:c>
      <x:c r="K508" s="2" t="n">
        <x:v>12</x:v>
      </x:c>
      <x:c r="L508" s="2" t="n">
        <x:v>858</x:v>
      </x:c>
      <x:c r="M508" s="2" t="n">
        <x:v>327</x:v>
      </x:c>
      <x:c r="N508" s="2" t="n">
        <x:v>380</x:v>
      </x:c>
      <x:c r="O508" s="2" t="str">
        <x:v>R14 Ø8x30 bükk csap, 22+12 mélység; középosztón 10 mm eltolt tengely</x:v>
      </x:c>
    </x:row>
    <x:row r="509" ht="34" customHeight="1">
      <x:c r="A509" s="2" t="str">
        <x:v>H0504</x:v>
      </x:c>
      <x:c r="B509" s="2" t="str">
        <x:v>KI14-RAIL-02</x:v>
      </x:c>
      <x:c r="C509" s="2" t="str">
        <x:v>MEREVITO_CSAP / R14-J106</x:v>
      </x:c>
      <x:c r="D509" s="2" t="n">
        <x:v>0</x:v>
      </x:c>
      <x:c r="E509" s="2" t="n">
        <x:v>20</x:v>
      </x:c>
      <x:c r="F509" s="2" t="n">
        <x:v>-9</x:v>
      </x:c>
      <x:c r="G509" s="2" t="n">
        <x:v>1</x:v>
      </x:c>
      <x:c r="H509" s="2" t="n">
        <x:v>0</x:v>
      </x:c>
      <x:c r="I509" s="2" t="n">
        <x:v>0</x:v>
      </x:c>
      <x:c r="J509" s="2" t="n">
        <x:v>8</x:v>
      </x:c>
      <x:c r="K509" s="2" t="n">
        <x:v>22</x:v>
      </x:c>
      <x:c r="L509" s="2" t="n">
        <x:v>1512</x:v>
      </x:c>
      <x:c r="M509" s="2" t="n">
        <x:v>327</x:v>
      </x:c>
      <x:c r="N509" s="2" t="n">
        <x:v>320</x:v>
      </x:c>
      <x:c r="O509" s="2" t="str">
        <x:v>R14 Ø8x30 bükk csap, 22+12 mélység; ragasztott próbakötés</x:v>
      </x:c>
    </x:row>
    <x:row r="510" ht="34" customHeight="1">
      <x:c r="A510" s="2" t="str">
        <x:v>H0505</x:v>
      </x:c>
      <x:c r="B510" s="2" t="str">
        <x:v>KI12-TV02S-04</x:v>
      </x:c>
      <x:c r="C510" s="2" t="str">
        <x:v>MEREVITO_CSAP / R14-J106</x:v>
      </x:c>
      <x:c r="D510" s="2" t="n">
        <x:v>170</x:v>
      </x:c>
      <x:c r="E510" s="2" t="n">
        <x:v>327</x:v>
      </x:c>
      <x:c r="F510" s="2" t="n">
        <x:v>0</x:v>
      </x:c>
      <x:c r="G510" s="2" t="n">
        <x:v>0</x:v>
      </x:c>
      <x:c r="H510" s="2" t="n">
        <x:v>0</x:v>
      </x:c>
      <x:c r="I510" s="2" t="n">
        <x:v>-1</x:v>
      </x:c>
      <x:c r="J510" s="2" t="n">
        <x:v>8</x:v>
      </x:c>
      <x:c r="K510" s="2" t="n">
        <x:v>12</x:v>
      </x:c>
      <x:c r="L510" s="2" t="n">
        <x:v>1512</x:v>
      </x:c>
      <x:c r="M510" s="2" t="n">
        <x:v>327</x:v>
      </x:c>
      <x:c r="N510" s="2" t="n">
        <x:v>320</x:v>
      </x:c>
      <x:c r="O510" s="2" t="str">
        <x:v>R14 Ø8x30 bükk csap, 22+12 mélység; középosztón 10 mm eltolt tengely</x:v>
      </x:c>
    </x:row>
    <x:row r="511" ht="34" customHeight="1">
      <x:c r="A511" s="2" t="str">
        <x:v>H0506</x:v>
      </x:c>
      <x:c r="B511" s="2" t="str">
        <x:v>KI14-RAIL-02</x:v>
      </x:c>
      <x:c r="C511" s="2" t="str">
        <x:v>MEREVITO_CSAP / R14-J107</x:v>
      </x:c>
      <x:c r="D511" s="2" t="n">
        <x:v>0</x:v>
      </x:c>
      <x:c r="E511" s="2" t="n">
        <x:v>50</x:v>
      </x:c>
      <x:c r="F511" s="2" t="n">
        <x:v>-9</x:v>
      </x:c>
      <x:c r="G511" s="2" t="n">
        <x:v>1</x:v>
      </x:c>
      <x:c r="H511" s="2" t="n">
        <x:v>0</x:v>
      </x:c>
      <x:c r="I511" s="2" t="n">
        <x:v>0</x:v>
      </x:c>
      <x:c r="J511" s="2" t="n">
        <x:v>8</x:v>
      </x:c>
      <x:c r="K511" s="2" t="n">
        <x:v>22</x:v>
      </x:c>
      <x:c r="L511" s="2" t="n">
        <x:v>1512</x:v>
      </x:c>
      <x:c r="M511" s="2" t="n">
        <x:v>327</x:v>
      </x:c>
      <x:c r="N511" s="2" t="n">
        <x:v>350</x:v>
      </x:c>
      <x:c r="O511" s="2" t="str">
        <x:v>R14 Ø8x30 bükk csap, 22+12 mélység; ragasztott próbakötés</x:v>
      </x:c>
    </x:row>
    <x:row r="512" ht="34" customHeight="1">
      <x:c r="A512" s="2" t="str">
        <x:v>H0507</x:v>
      </x:c>
      <x:c r="B512" s="2" t="str">
        <x:v>KI12-TV02S-04</x:v>
      </x:c>
      <x:c r="C512" s="2" t="str">
        <x:v>MEREVITO_CSAP / R14-J107</x:v>
      </x:c>
      <x:c r="D512" s="2" t="n">
        <x:v>200</x:v>
      </x:c>
      <x:c r="E512" s="2" t="n">
        <x:v>327</x:v>
      </x:c>
      <x:c r="F512" s="2" t="n">
        <x:v>0</x:v>
      </x:c>
      <x:c r="G512" s="2" t="n">
        <x:v>0</x:v>
      </x:c>
      <x:c r="H512" s="2" t="n">
        <x:v>0</x:v>
      </x:c>
      <x:c r="I512" s="2" t="n">
        <x:v>-1</x:v>
      </x:c>
      <x:c r="J512" s="2" t="n">
        <x:v>8</x:v>
      </x:c>
      <x:c r="K512" s="2" t="n">
        <x:v>12</x:v>
      </x:c>
      <x:c r="L512" s="2" t="n">
        <x:v>1512</x:v>
      </x:c>
      <x:c r="M512" s="2" t="n">
        <x:v>327</x:v>
      </x:c>
      <x:c r="N512" s="2" t="n">
        <x:v>350</x:v>
      </x:c>
      <x:c r="O512" s="2" t="str">
        <x:v>R14 Ø8x30 bükk csap, 22+12 mélység; középosztón 10 mm eltolt tengely</x:v>
      </x:c>
    </x:row>
    <x:row r="513" ht="34" customHeight="1">
      <x:c r="A513" s="2" t="str">
        <x:v>H0508</x:v>
      </x:c>
      <x:c r="B513" s="2" t="str">
        <x:v>KI14-RAIL-02</x:v>
      </x:c>
      <x:c r="C513" s="2" t="str">
        <x:v>MEREVITO_CSAP / R14-J108</x:v>
      </x:c>
      <x:c r="D513" s="2" t="n">
        <x:v>0</x:v>
      </x:c>
      <x:c r="E513" s="2" t="n">
        <x:v>80</x:v>
      </x:c>
      <x:c r="F513" s="2" t="n">
        <x:v>-9</x:v>
      </x:c>
      <x:c r="G513" s="2" t="n">
        <x:v>1</x:v>
      </x:c>
      <x:c r="H513" s="2" t="n">
        <x:v>0</x:v>
      </x:c>
      <x:c r="I513" s="2" t="n">
        <x:v>0</x:v>
      </x:c>
      <x:c r="J513" s="2" t="n">
        <x:v>8</x:v>
      </x:c>
      <x:c r="K513" s="2" t="n">
        <x:v>22</x:v>
      </x:c>
      <x:c r="L513" s="2" t="n">
        <x:v>1512</x:v>
      </x:c>
      <x:c r="M513" s="2" t="n">
        <x:v>327</x:v>
      </x:c>
      <x:c r="N513" s="2" t="n">
        <x:v>380</x:v>
      </x:c>
      <x:c r="O513" s="2" t="str">
        <x:v>R14 Ø8x30 bükk csap, 22+12 mélység; ragasztott próbakötés</x:v>
      </x:c>
    </x:row>
    <x:row r="514" ht="34" customHeight="1">
      <x:c r="A514" s="2" t="str">
        <x:v>H0509</x:v>
      </x:c>
      <x:c r="B514" s="2" t="str">
        <x:v>KI12-TV02S-04</x:v>
      </x:c>
      <x:c r="C514" s="2" t="str">
        <x:v>MEREVITO_CSAP / R14-J108</x:v>
      </x:c>
      <x:c r="D514" s="2" t="n">
        <x:v>230</x:v>
      </x:c>
      <x:c r="E514" s="2" t="n">
        <x:v>327</x:v>
      </x:c>
      <x:c r="F514" s="2" t="n">
        <x:v>0</x:v>
      </x:c>
      <x:c r="G514" s="2" t="n">
        <x:v>0</x:v>
      </x:c>
      <x:c r="H514" s="2" t="n">
        <x:v>0</x:v>
      </x:c>
      <x:c r="I514" s="2" t="n">
        <x:v>-1</x:v>
      </x:c>
      <x:c r="J514" s="2" t="n">
        <x:v>8</x:v>
      </x:c>
      <x:c r="K514" s="2" t="n">
        <x:v>12</x:v>
      </x:c>
      <x:c r="L514" s="2" t="n">
        <x:v>1512</x:v>
      </x:c>
      <x:c r="M514" s="2" t="n">
        <x:v>327</x:v>
      </x:c>
      <x:c r="N514" s="2" t="n">
        <x:v>380</x:v>
      </x:c>
      <x:c r="O514" s="2" t="str">
        <x:v>R14 Ø8x30 bükk csap, 22+12 mélység; középosztón 10 mm eltolt tengely</x:v>
      </x:c>
    </x:row>
    <x:row r="515" ht="34" customHeight="1">
      <x:c r="A515" s="2" t="str">
        <x:v>H0510</x:v>
      </x:c>
      <x:c r="B515" s="2" t="str">
        <x:v>KI14-RAIL-03</x:v>
      </x:c>
      <x:c r="C515" s="2" t="str">
        <x:v>MEREVITO_CSAP / R14-J109</x:v>
      </x:c>
      <x:c r="D515" s="2" t="n">
        <x:v>654</x:v>
      </x:c>
      <x:c r="E515" s="2" t="n">
        <x:v>20</x:v>
      </x:c>
      <x:c r="F515" s="2" t="n">
        <x:v>-9</x:v>
      </x:c>
      <x:c r="G515" s="2" t="n">
        <x:v>-1</x:v>
      </x:c>
      <x:c r="H515" s="2" t="n">
        <x:v>0</x:v>
      </x:c>
      <x:c r="I515" s="2" t="n">
        <x:v>0</x:v>
      </x:c>
      <x:c r="J515" s="2" t="n">
        <x:v>8</x:v>
      </x:c>
      <x:c r="K515" s="2" t="n">
        <x:v>22</x:v>
      </x:c>
      <x:c r="L515" s="2" t="n">
        <x:v>1548</x:v>
      </x:c>
      <x:c r="M515" s="2" t="n">
        <x:v>327</x:v>
      </x:c>
      <x:c r="N515" s="2" t="n">
        <x:v>320</x:v>
      </x:c>
      <x:c r="O515" s="2" t="str">
        <x:v>R14 Ø8x30 bükk csap, 22+12 mélység; ragasztott próbakötés</x:v>
      </x:c>
    </x:row>
    <x:row r="516" ht="34" customHeight="1">
      <x:c r="A516" s="2" t="str">
        <x:v>H0511</x:v>
      </x:c>
      <x:c r="B516" s="2" t="str">
        <x:v>KI12-TV02S-05</x:v>
      </x:c>
      <x:c r="C516" s="2" t="str">
        <x:v>MEREVITO_CSAP / R14-J109</x:v>
      </x:c>
      <x:c r="D516" s="2" t="n">
        <x:v>170</x:v>
      </x:c>
      <x:c r="E516" s="2" t="n">
        <x:v>327</x:v>
      </x:c>
      <x:c r="F516" s="2" t="n">
        <x:v>-18</x:v>
      </x:c>
      <x:c r="G516" s="2" t="n">
        <x:v>0</x:v>
      </x:c>
      <x:c r="H516" s="2" t="n">
        <x:v>0</x:v>
      </x:c>
      <x:c r="I516" s="2" t="n">
        <x:v>1</x:v>
      </x:c>
      <x:c r="J516" s="2" t="n">
        <x:v>8</x:v>
      </x:c>
      <x:c r="K516" s="2" t="n">
        <x:v>12</x:v>
      </x:c>
      <x:c r="L516" s="2" t="n">
        <x:v>1548</x:v>
      </x:c>
      <x:c r="M516" s="2" t="n">
        <x:v>327</x:v>
      </x:c>
      <x:c r="N516" s="2" t="n">
        <x:v>320</x:v>
      </x:c>
      <x:c r="O516" s="2" t="str">
        <x:v>R14 Ø8x30 bükk csap, 22+12 mélység; középosztón 10 mm eltolt tengely</x:v>
      </x:c>
    </x:row>
    <x:row r="517" ht="34" customHeight="1">
      <x:c r="A517" s="2" t="str">
        <x:v>H0512</x:v>
      </x:c>
      <x:c r="B517" s="2" t="str">
        <x:v>KI14-RAIL-03</x:v>
      </x:c>
      <x:c r="C517" s="2" t="str">
        <x:v>MEREVITO_CSAP / R14-J110</x:v>
      </x:c>
      <x:c r="D517" s="2" t="n">
        <x:v>654</x:v>
      </x:c>
      <x:c r="E517" s="2" t="n">
        <x:v>50</x:v>
      </x:c>
      <x:c r="F517" s="2" t="n">
        <x:v>-9</x:v>
      </x:c>
      <x:c r="G517" s="2" t="n">
        <x:v>-1</x:v>
      </x:c>
      <x:c r="H517" s="2" t="n">
        <x:v>0</x:v>
      </x:c>
      <x:c r="I517" s="2" t="n">
        <x:v>0</x:v>
      </x:c>
      <x:c r="J517" s="2" t="n">
        <x:v>8</x:v>
      </x:c>
      <x:c r="K517" s="2" t="n">
        <x:v>22</x:v>
      </x:c>
      <x:c r="L517" s="2" t="n">
        <x:v>1548</x:v>
      </x:c>
      <x:c r="M517" s="2" t="n">
        <x:v>327</x:v>
      </x:c>
      <x:c r="N517" s="2" t="n">
        <x:v>350</x:v>
      </x:c>
      <x:c r="O517" s="2" t="str">
        <x:v>R14 Ø8x30 bükk csap, 22+12 mélység; ragasztott próbakötés</x:v>
      </x:c>
    </x:row>
    <x:row r="518" ht="34" customHeight="1">
      <x:c r="A518" s="2" t="str">
        <x:v>H0513</x:v>
      </x:c>
      <x:c r="B518" s="2" t="str">
        <x:v>KI12-TV02S-05</x:v>
      </x:c>
      <x:c r="C518" s="2" t="str">
        <x:v>MEREVITO_CSAP / R14-J110</x:v>
      </x:c>
      <x:c r="D518" s="2" t="n">
        <x:v>200</x:v>
      </x:c>
      <x:c r="E518" s="2" t="n">
        <x:v>327</x:v>
      </x:c>
      <x:c r="F518" s="2" t="n">
        <x:v>-18</x:v>
      </x:c>
      <x:c r="G518" s="2" t="n">
        <x:v>0</x:v>
      </x:c>
      <x:c r="H518" s="2" t="n">
        <x:v>0</x:v>
      </x:c>
      <x:c r="I518" s="2" t="n">
        <x:v>1</x:v>
      </x:c>
      <x:c r="J518" s="2" t="n">
        <x:v>8</x:v>
      </x:c>
      <x:c r="K518" s="2" t="n">
        <x:v>12</x:v>
      </x:c>
      <x:c r="L518" s="2" t="n">
        <x:v>1548</x:v>
      </x:c>
      <x:c r="M518" s="2" t="n">
        <x:v>327</x:v>
      </x:c>
      <x:c r="N518" s="2" t="n">
        <x:v>350</x:v>
      </x:c>
      <x:c r="O518" s="2" t="str">
        <x:v>R14 Ø8x30 bükk csap, 22+12 mélység; középosztón 10 mm eltolt tengely</x:v>
      </x:c>
    </x:row>
    <x:row r="519" ht="34" customHeight="1">
      <x:c r="A519" s="2" t="str">
        <x:v>H0514</x:v>
      </x:c>
      <x:c r="B519" s="2" t="str">
        <x:v>KI14-RAIL-03</x:v>
      </x:c>
      <x:c r="C519" s="2" t="str">
        <x:v>MEREVITO_CSAP / R14-J111</x:v>
      </x:c>
      <x:c r="D519" s="2" t="n">
        <x:v>654</x:v>
      </x:c>
      <x:c r="E519" s="2" t="n">
        <x:v>80</x:v>
      </x:c>
      <x:c r="F519" s="2" t="n">
        <x:v>-9</x:v>
      </x:c>
      <x:c r="G519" s="2" t="n">
        <x:v>-1</x:v>
      </x:c>
      <x:c r="H519" s="2" t="n">
        <x:v>0</x:v>
      </x:c>
      <x:c r="I519" s="2" t="n">
        <x:v>0</x:v>
      </x:c>
      <x:c r="J519" s="2" t="n">
        <x:v>8</x:v>
      </x:c>
      <x:c r="K519" s="2" t="n">
        <x:v>22</x:v>
      </x:c>
      <x:c r="L519" s="2" t="n">
        <x:v>1548</x:v>
      </x:c>
      <x:c r="M519" s="2" t="n">
        <x:v>327</x:v>
      </x:c>
      <x:c r="N519" s="2" t="n">
        <x:v>380</x:v>
      </x:c>
      <x:c r="O519" s="2" t="str">
        <x:v>R14 Ø8x30 bükk csap, 22+12 mélység; ragasztott próbakötés</x:v>
      </x:c>
    </x:row>
    <x:row r="520" ht="34" customHeight="1">
      <x:c r="A520" s="2" t="str">
        <x:v>H0515</x:v>
      </x:c>
      <x:c r="B520" s="2" t="str">
        <x:v>KI12-TV02S-05</x:v>
      </x:c>
      <x:c r="C520" s="2" t="str">
        <x:v>MEREVITO_CSAP / R14-J111</x:v>
      </x:c>
      <x:c r="D520" s="2" t="n">
        <x:v>230</x:v>
      </x:c>
      <x:c r="E520" s="2" t="n">
        <x:v>327</x:v>
      </x:c>
      <x:c r="F520" s="2" t="n">
        <x:v>-18</x:v>
      </x:c>
      <x:c r="G520" s="2" t="n">
        <x:v>0</x:v>
      </x:c>
      <x:c r="H520" s="2" t="n">
        <x:v>0</x:v>
      </x:c>
      <x:c r="I520" s="2" t="n">
        <x:v>1</x:v>
      </x:c>
      <x:c r="J520" s="2" t="n">
        <x:v>8</x:v>
      </x:c>
      <x:c r="K520" s="2" t="n">
        <x:v>12</x:v>
      </x:c>
      <x:c r="L520" s="2" t="n">
        <x:v>1548</x:v>
      </x:c>
      <x:c r="M520" s="2" t="n">
        <x:v>327</x:v>
      </x:c>
      <x:c r="N520" s="2" t="n">
        <x:v>380</x:v>
      </x:c>
      <x:c r="O520" s="2" t="str">
        <x:v>R14 Ø8x30 bükk csap, 22+12 mélység; középosztón 10 mm eltolt tengely</x:v>
      </x:c>
    </x:row>
    <x:row r="521" ht="34" customHeight="1">
      <x:c r="A521" s="2" t="str">
        <x:v>H0516</x:v>
      </x:c>
      <x:c r="B521" s="2" t="str">
        <x:v>KI14-RAIL-03</x:v>
      </x:c>
      <x:c r="C521" s="2" t="str">
        <x:v>MEREVITO_CSAP / R14-J112</x:v>
      </x:c>
      <x:c r="D521" s="2" t="n">
        <x:v>0</x:v>
      </x:c>
      <x:c r="E521" s="2" t="n">
        <x:v>20</x:v>
      </x:c>
      <x:c r="F521" s="2" t="n">
        <x:v>-9</x:v>
      </x:c>
      <x:c r="G521" s="2" t="n">
        <x:v>1</x:v>
      </x:c>
      <x:c r="H521" s="2" t="n">
        <x:v>0</x:v>
      </x:c>
      <x:c r="I521" s="2" t="n">
        <x:v>0</x:v>
      </x:c>
      <x:c r="J521" s="2" t="n">
        <x:v>8</x:v>
      </x:c>
      <x:c r="K521" s="2" t="n">
        <x:v>22</x:v>
      </x:c>
      <x:c r="L521" s="2" t="n">
        <x:v>2202</x:v>
      </x:c>
      <x:c r="M521" s="2" t="n">
        <x:v>327</x:v>
      </x:c>
      <x:c r="N521" s="2" t="n">
        <x:v>320</x:v>
      </x:c>
      <x:c r="O521" s="2" t="str">
        <x:v>R14 Ø8x30 bükk csap, 22+12 mélység; ragasztott próbakötés</x:v>
      </x:c>
    </x:row>
    <x:row r="522" ht="34" customHeight="1">
      <x:c r="A522" s="2" t="str">
        <x:v>H0517</x:v>
      </x:c>
      <x:c r="B522" s="2" t="str">
        <x:v>KI12-TV02S-06</x:v>
      </x:c>
      <x:c r="C522" s="2" t="str">
        <x:v>MEREVITO_CSAP / R14-J112</x:v>
      </x:c>
      <x:c r="D522" s="2" t="n">
        <x:v>170</x:v>
      </x:c>
      <x:c r="E522" s="2" t="n">
        <x:v>327</x:v>
      </x:c>
      <x:c r="F522" s="2" t="n">
        <x:v>0</x:v>
      </x:c>
      <x:c r="G522" s="2" t="n">
        <x:v>0</x:v>
      </x:c>
      <x:c r="H522" s="2" t="n">
        <x:v>0</x:v>
      </x:c>
      <x:c r="I522" s="2" t="n">
        <x:v>-1</x:v>
      </x:c>
      <x:c r="J522" s="2" t="n">
        <x:v>8</x:v>
      </x:c>
      <x:c r="K522" s="2" t="n">
        <x:v>12</x:v>
      </x:c>
      <x:c r="L522" s="2" t="n">
        <x:v>2202</x:v>
      </x:c>
      <x:c r="M522" s="2" t="n">
        <x:v>327</x:v>
      </x:c>
      <x:c r="N522" s="2" t="n">
        <x:v>320</x:v>
      </x:c>
      <x:c r="O522" s="2" t="str">
        <x:v>R14 Ø8x30 bükk csap, 22+12 mélység; középosztón 10 mm eltolt tengely</x:v>
      </x:c>
    </x:row>
    <x:row r="523" ht="34" customHeight="1">
      <x:c r="A523" s="2" t="str">
        <x:v>H0518</x:v>
      </x:c>
      <x:c r="B523" s="2" t="str">
        <x:v>KI14-RAIL-03</x:v>
      </x:c>
      <x:c r="C523" s="2" t="str">
        <x:v>MEREVITO_CSAP / R14-J113</x:v>
      </x:c>
      <x:c r="D523" s="2" t="n">
        <x:v>0</x:v>
      </x:c>
      <x:c r="E523" s="2" t="n">
        <x:v>50</x:v>
      </x:c>
      <x:c r="F523" s="2" t="n">
        <x:v>-9</x:v>
      </x:c>
      <x:c r="G523" s="2" t="n">
        <x:v>1</x:v>
      </x:c>
      <x:c r="H523" s="2" t="n">
        <x:v>0</x:v>
      </x:c>
      <x:c r="I523" s="2" t="n">
        <x:v>0</x:v>
      </x:c>
      <x:c r="J523" s="2" t="n">
        <x:v>8</x:v>
      </x:c>
      <x:c r="K523" s="2" t="n">
        <x:v>22</x:v>
      </x:c>
      <x:c r="L523" s="2" t="n">
        <x:v>2202</x:v>
      </x:c>
      <x:c r="M523" s="2" t="n">
        <x:v>327</x:v>
      </x:c>
      <x:c r="N523" s="2" t="n">
        <x:v>350</x:v>
      </x:c>
      <x:c r="O523" s="2" t="str">
        <x:v>R14 Ø8x30 bükk csap, 22+12 mélység; ragasztott próbakötés</x:v>
      </x:c>
    </x:row>
    <x:row r="524" ht="34" customHeight="1">
      <x:c r="A524" s="2" t="str">
        <x:v>H0519</x:v>
      </x:c>
      <x:c r="B524" s="2" t="str">
        <x:v>KI12-TV02S-06</x:v>
      </x:c>
      <x:c r="C524" s="2" t="str">
        <x:v>MEREVITO_CSAP / R14-J113</x:v>
      </x:c>
      <x:c r="D524" s="2" t="n">
        <x:v>200</x:v>
      </x:c>
      <x:c r="E524" s="2" t="n">
        <x:v>327</x:v>
      </x:c>
      <x:c r="F524" s="2" t="n">
        <x:v>0</x:v>
      </x:c>
      <x:c r="G524" s="2" t="n">
        <x:v>0</x:v>
      </x:c>
      <x:c r="H524" s="2" t="n">
        <x:v>0</x:v>
      </x:c>
      <x:c r="I524" s="2" t="n">
        <x:v>-1</x:v>
      </x:c>
      <x:c r="J524" s="2" t="n">
        <x:v>8</x:v>
      </x:c>
      <x:c r="K524" s="2" t="n">
        <x:v>12</x:v>
      </x:c>
      <x:c r="L524" s="2" t="n">
        <x:v>2202</x:v>
      </x:c>
      <x:c r="M524" s="2" t="n">
        <x:v>327</x:v>
      </x:c>
      <x:c r="N524" s="2" t="n">
        <x:v>350</x:v>
      </x:c>
      <x:c r="O524" s="2" t="str">
        <x:v>R14 Ø8x30 bükk csap, 22+12 mélység; középosztón 10 mm eltolt tengely</x:v>
      </x:c>
    </x:row>
    <x:row r="525" ht="34" customHeight="1">
      <x:c r="A525" s="2" t="str">
        <x:v>H0520</x:v>
      </x:c>
      <x:c r="B525" s="2" t="str">
        <x:v>KI14-RAIL-03</x:v>
      </x:c>
      <x:c r="C525" s="2" t="str">
        <x:v>MEREVITO_CSAP / R14-J114</x:v>
      </x:c>
      <x:c r="D525" s="2" t="n">
        <x:v>0</x:v>
      </x:c>
      <x:c r="E525" s="2" t="n">
        <x:v>80</x:v>
      </x:c>
      <x:c r="F525" s="2" t="n">
        <x:v>-9</x:v>
      </x:c>
      <x:c r="G525" s="2" t="n">
        <x:v>1</x:v>
      </x:c>
      <x:c r="H525" s="2" t="n">
        <x:v>0</x:v>
      </x:c>
      <x:c r="I525" s="2" t="n">
        <x:v>0</x:v>
      </x:c>
      <x:c r="J525" s="2" t="n">
        <x:v>8</x:v>
      </x:c>
      <x:c r="K525" s="2" t="n">
        <x:v>22</x:v>
      </x:c>
      <x:c r="L525" s="2" t="n">
        <x:v>2202</x:v>
      </x:c>
      <x:c r="M525" s="2" t="n">
        <x:v>327</x:v>
      </x:c>
      <x:c r="N525" s="2" t="n">
        <x:v>380</x:v>
      </x:c>
      <x:c r="O525" s="2" t="str">
        <x:v>R14 Ø8x30 bükk csap, 22+12 mélység; ragasztott próbakötés</x:v>
      </x:c>
    </x:row>
    <x:row r="526" ht="34" customHeight="1">
      <x:c r="A526" s="2" t="str">
        <x:v>H0521</x:v>
      </x:c>
      <x:c r="B526" s="2" t="str">
        <x:v>KI12-TV02S-06</x:v>
      </x:c>
      <x:c r="C526" s="2" t="str">
        <x:v>MEREVITO_CSAP / R14-J114</x:v>
      </x:c>
      <x:c r="D526" s="2" t="n">
        <x:v>230</x:v>
      </x:c>
      <x:c r="E526" s="2" t="n">
        <x:v>327</x:v>
      </x:c>
      <x:c r="F526" s="2" t="n">
        <x:v>0</x:v>
      </x:c>
      <x:c r="G526" s="2" t="n">
        <x:v>0</x:v>
      </x:c>
      <x:c r="H526" s="2" t="n">
        <x:v>0</x:v>
      </x:c>
      <x:c r="I526" s="2" t="n">
        <x:v>-1</x:v>
      </x:c>
      <x:c r="J526" s="2" t="n">
        <x:v>8</x:v>
      </x:c>
      <x:c r="K526" s="2" t="n">
        <x:v>12</x:v>
      </x:c>
      <x:c r="L526" s="2" t="n">
        <x:v>2202</x:v>
      </x:c>
      <x:c r="M526" s="2" t="n">
        <x:v>327</x:v>
      </x:c>
      <x:c r="N526" s="2" t="n">
        <x:v>380</x:v>
      </x:c>
      <x:c r="O526" s="2" t="str">
        <x:v>R14 Ø8x30 bükk csap, 22+12 mélység; középosztón 10 mm eltolt tengely</x:v>
      </x:c>
    </x:row>
    <x:row r="527" ht="34" customHeight="1">
      <x:c r="A527" s="2" t="str">
        <x:v>H0522</x:v>
      </x:c>
      <x:c r="B527" s="2" t="str">
        <x:v>KI14-RAIL-04</x:v>
      </x:c>
      <x:c r="C527" s="2" t="str">
        <x:v>MEREVITO_CSAP / R14-J115</x:v>
      </x:c>
      <x:c r="D527" s="2" t="n">
        <x:v>654</x:v>
      </x:c>
      <x:c r="E527" s="2" t="n">
        <x:v>20</x:v>
      </x:c>
      <x:c r="F527" s="2" t="n">
        <x:v>-9</x:v>
      </x:c>
      <x:c r="G527" s="2" t="n">
        <x:v>-1</x:v>
      </x:c>
      <x:c r="H527" s="2" t="n">
        <x:v>0</x:v>
      </x:c>
      <x:c r="I527" s="2" t="n">
        <x:v>0</x:v>
      </x:c>
      <x:c r="J527" s="2" t="n">
        <x:v>8</x:v>
      </x:c>
      <x:c r="K527" s="2" t="n">
        <x:v>22</x:v>
      </x:c>
      <x:c r="L527" s="2" t="n">
        <x:v>2238</x:v>
      </x:c>
      <x:c r="M527" s="2" t="n">
        <x:v>327</x:v>
      </x:c>
      <x:c r="N527" s="2" t="n">
        <x:v>320</x:v>
      </x:c>
      <x:c r="O527" s="2" t="str">
        <x:v>R14 Ø8x30 bükk csap, 22+12 mélység; ragasztott próbakötés</x:v>
      </x:c>
    </x:row>
    <x:row r="528" ht="34" customHeight="1">
      <x:c r="A528" s="2" t="str">
        <x:v>H0523</x:v>
      </x:c>
      <x:c r="B528" s="2" t="str">
        <x:v>KI12-TV02S-07</x:v>
      </x:c>
      <x:c r="C528" s="2" t="str">
        <x:v>MEREVITO_CSAP / R14-J115</x:v>
      </x:c>
      <x:c r="D528" s="2" t="n">
        <x:v>170</x:v>
      </x:c>
      <x:c r="E528" s="2" t="n">
        <x:v>327</x:v>
      </x:c>
      <x:c r="F528" s="2" t="n">
        <x:v>-18</x:v>
      </x:c>
      <x:c r="G528" s="2" t="n">
        <x:v>0</x:v>
      </x:c>
      <x:c r="H528" s="2" t="n">
        <x:v>0</x:v>
      </x:c>
      <x:c r="I528" s="2" t="n">
        <x:v>1</x:v>
      </x:c>
      <x:c r="J528" s="2" t="n">
        <x:v>8</x:v>
      </x:c>
      <x:c r="K528" s="2" t="n">
        <x:v>12</x:v>
      </x:c>
      <x:c r="L528" s="2" t="n">
        <x:v>2238</x:v>
      </x:c>
      <x:c r="M528" s="2" t="n">
        <x:v>327</x:v>
      </x:c>
      <x:c r="N528" s="2" t="n">
        <x:v>320</x:v>
      </x:c>
      <x:c r="O528" s="2" t="str">
        <x:v>R14 Ø8x30 bükk csap, 22+12 mélység; középosztón 10 mm eltolt tengely</x:v>
      </x:c>
    </x:row>
    <x:row r="529" ht="34" customHeight="1">
      <x:c r="A529" s="2" t="str">
        <x:v>H0524</x:v>
      </x:c>
      <x:c r="B529" s="2" t="str">
        <x:v>KI14-RAIL-04</x:v>
      </x:c>
      <x:c r="C529" s="2" t="str">
        <x:v>MEREVITO_CSAP / R14-J116</x:v>
      </x:c>
      <x:c r="D529" s="2" t="n">
        <x:v>654</x:v>
      </x:c>
      <x:c r="E529" s="2" t="n">
        <x:v>50</x:v>
      </x:c>
      <x:c r="F529" s="2" t="n">
        <x:v>-9</x:v>
      </x:c>
      <x:c r="G529" s="2" t="n">
        <x:v>-1</x:v>
      </x:c>
      <x:c r="H529" s="2" t="n">
        <x:v>0</x:v>
      </x:c>
      <x:c r="I529" s="2" t="n">
        <x:v>0</x:v>
      </x:c>
      <x:c r="J529" s="2" t="n">
        <x:v>8</x:v>
      </x:c>
      <x:c r="K529" s="2" t="n">
        <x:v>22</x:v>
      </x:c>
      <x:c r="L529" s="2" t="n">
        <x:v>2238</x:v>
      </x:c>
      <x:c r="M529" s="2" t="n">
        <x:v>327</x:v>
      </x:c>
      <x:c r="N529" s="2" t="n">
        <x:v>350</x:v>
      </x:c>
      <x:c r="O529" s="2" t="str">
        <x:v>R14 Ø8x30 bükk csap, 22+12 mélység; ragasztott próbakötés</x:v>
      </x:c>
    </x:row>
    <x:row r="530" ht="34" customHeight="1">
      <x:c r="A530" s="2" t="str">
        <x:v>H0525</x:v>
      </x:c>
      <x:c r="B530" s="2" t="str">
        <x:v>KI12-TV02S-07</x:v>
      </x:c>
      <x:c r="C530" s="2" t="str">
        <x:v>MEREVITO_CSAP / R14-J116</x:v>
      </x:c>
      <x:c r="D530" s="2" t="n">
        <x:v>200</x:v>
      </x:c>
      <x:c r="E530" s="2" t="n">
        <x:v>327</x:v>
      </x:c>
      <x:c r="F530" s="2" t="n">
        <x:v>-18</x:v>
      </x:c>
      <x:c r="G530" s="2" t="n">
        <x:v>0</x:v>
      </x:c>
      <x:c r="H530" s="2" t="n">
        <x:v>0</x:v>
      </x:c>
      <x:c r="I530" s="2" t="n">
        <x:v>1</x:v>
      </x:c>
      <x:c r="J530" s="2" t="n">
        <x:v>8</x:v>
      </x:c>
      <x:c r="K530" s="2" t="n">
        <x:v>12</x:v>
      </x:c>
      <x:c r="L530" s="2" t="n">
        <x:v>2238</x:v>
      </x:c>
      <x:c r="M530" s="2" t="n">
        <x:v>327</x:v>
      </x:c>
      <x:c r="N530" s="2" t="n">
        <x:v>350</x:v>
      </x:c>
      <x:c r="O530" s="2" t="str">
        <x:v>R14 Ø8x30 bükk csap, 22+12 mélység; középosztón 10 mm eltolt tengely</x:v>
      </x:c>
    </x:row>
    <x:row r="531" ht="34" customHeight="1">
      <x:c r="A531" s="2" t="str">
        <x:v>H0526</x:v>
      </x:c>
      <x:c r="B531" s="2" t="str">
        <x:v>KI14-RAIL-04</x:v>
      </x:c>
      <x:c r="C531" s="2" t="str">
        <x:v>MEREVITO_CSAP / R14-J117</x:v>
      </x:c>
      <x:c r="D531" s="2" t="n">
        <x:v>654</x:v>
      </x:c>
      <x:c r="E531" s="2" t="n">
        <x:v>80</x:v>
      </x:c>
      <x:c r="F531" s="2" t="n">
        <x:v>-9</x:v>
      </x:c>
      <x:c r="G531" s="2" t="n">
        <x:v>-1</x:v>
      </x:c>
      <x:c r="H531" s="2" t="n">
        <x:v>0</x:v>
      </x:c>
      <x:c r="I531" s="2" t="n">
        <x:v>0</x:v>
      </x:c>
      <x:c r="J531" s="2" t="n">
        <x:v>8</x:v>
      </x:c>
      <x:c r="K531" s="2" t="n">
        <x:v>22</x:v>
      </x:c>
      <x:c r="L531" s="2" t="n">
        <x:v>2238</x:v>
      </x:c>
      <x:c r="M531" s="2" t="n">
        <x:v>327</x:v>
      </x:c>
      <x:c r="N531" s="2" t="n">
        <x:v>380</x:v>
      </x:c>
      <x:c r="O531" s="2" t="str">
        <x:v>R14 Ø8x30 bükk csap, 22+12 mélység; ragasztott próbakötés</x:v>
      </x:c>
    </x:row>
    <x:row r="532" ht="34" customHeight="1">
      <x:c r="A532" s="2" t="str">
        <x:v>H0527</x:v>
      </x:c>
      <x:c r="B532" s="2" t="str">
        <x:v>KI12-TV02S-07</x:v>
      </x:c>
      <x:c r="C532" s="2" t="str">
        <x:v>MEREVITO_CSAP / R14-J117</x:v>
      </x:c>
      <x:c r="D532" s="2" t="n">
        <x:v>230</x:v>
      </x:c>
      <x:c r="E532" s="2" t="n">
        <x:v>327</x:v>
      </x:c>
      <x:c r="F532" s="2" t="n">
        <x:v>-18</x:v>
      </x:c>
      <x:c r="G532" s="2" t="n">
        <x:v>0</x:v>
      </x:c>
      <x:c r="H532" s="2" t="n">
        <x:v>0</x:v>
      </x:c>
      <x:c r="I532" s="2" t="n">
        <x:v>1</x:v>
      </x:c>
      <x:c r="J532" s="2" t="n">
        <x:v>8</x:v>
      </x:c>
      <x:c r="K532" s="2" t="n">
        <x:v>12</x:v>
      </x:c>
      <x:c r="L532" s="2" t="n">
        <x:v>2238</x:v>
      </x:c>
      <x:c r="M532" s="2" t="n">
        <x:v>327</x:v>
      </x:c>
      <x:c r="N532" s="2" t="n">
        <x:v>380</x:v>
      </x:c>
      <x:c r="O532" s="2" t="str">
        <x:v>R14 Ø8x30 bükk csap, 22+12 mélység; középosztón 10 mm eltolt tengely</x:v>
      </x:c>
    </x:row>
    <x:row r="533" ht="34" customHeight="1">
      <x:c r="A533" s="2" t="str">
        <x:v>H0528</x:v>
      </x:c>
      <x:c r="B533" s="2" t="str">
        <x:v>KI14-RAIL-04</x:v>
      </x:c>
      <x:c r="C533" s="2" t="str">
        <x:v>MEREVITO_CSAP / R14-J118</x:v>
      </x:c>
      <x:c r="D533" s="2" t="n">
        <x:v>0</x:v>
      </x:c>
      <x:c r="E533" s="2" t="n">
        <x:v>20</x:v>
      </x:c>
      <x:c r="F533" s="2" t="n">
        <x:v>-9</x:v>
      </x:c>
      <x:c r="G533" s="2" t="n">
        <x:v>1</x:v>
      </x:c>
      <x:c r="H533" s="2" t="n">
        <x:v>0</x:v>
      </x:c>
      <x:c r="I533" s="2" t="n">
        <x:v>0</x:v>
      </x:c>
      <x:c r="J533" s="2" t="n">
        <x:v>8</x:v>
      </x:c>
      <x:c r="K533" s="2" t="n">
        <x:v>22</x:v>
      </x:c>
      <x:c r="L533" s="2" t="n">
        <x:v>2892</x:v>
      </x:c>
      <x:c r="M533" s="2" t="n">
        <x:v>327</x:v>
      </x:c>
      <x:c r="N533" s="2" t="n">
        <x:v>320</x:v>
      </x:c>
      <x:c r="O533" s="2" t="str">
        <x:v>R14 Ø8x30 bükk csap, 22+12 mélység; ragasztott próbakötés</x:v>
      </x:c>
    </x:row>
    <x:row r="534" ht="34" customHeight="1">
      <x:c r="A534" s="2" t="str">
        <x:v>H0529</x:v>
      </x:c>
      <x:c r="B534" s="2" t="str">
        <x:v>KI12-TV02S-08</x:v>
      </x:c>
      <x:c r="C534" s="2" t="str">
        <x:v>MEREVITO_CSAP / R14-J118</x:v>
      </x:c>
      <x:c r="D534" s="2" t="n">
        <x:v>170</x:v>
      </x:c>
      <x:c r="E534" s="2" t="n">
        <x:v>327</x:v>
      </x:c>
      <x:c r="F534" s="2" t="n">
        <x:v>0</x:v>
      </x:c>
      <x:c r="G534" s="2" t="n">
        <x:v>0</x:v>
      </x:c>
      <x:c r="H534" s="2" t="n">
        <x:v>0</x:v>
      </x:c>
      <x:c r="I534" s="2" t="n">
        <x:v>-1</x:v>
      </x:c>
      <x:c r="J534" s="2" t="n">
        <x:v>8</x:v>
      </x:c>
      <x:c r="K534" s="2" t="n">
        <x:v>12</x:v>
      </x:c>
      <x:c r="L534" s="2" t="n">
        <x:v>2892</x:v>
      </x:c>
      <x:c r="M534" s="2" t="n">
        <x:v>327</x:v>
      </x:c>
      <x:c r="N534" s="2" t="n">
        <x:v>320</x:v>
      </x:c>
      <x:c r="O534" s="2" t="str">
        <x:v>R14 Ø8x30 bükk csap, 22+12 mélység; középosztón 10 mm eltolt tengely</x:v>
      </x:c>
    </x:row>
    <x:row r="535" ht="34" customHeight="1">
      <x:c r="A535" s="2" t="str">
        <x:v>H0530</x:v>
      </x:c>
      <x:c r="B535" s="2" t="str">
        <x:v>KI14-RAIL-04</x:v>
      </x:c>
      <x:c r="C535" s="2" t="str">
        <x:v>MEREVITO_CSAP / R14-J119</x:v>
      </x:c>
      <x:c r="D535" s="2" t="n">
        <x:v>0</x:v>
      </x:c>
      <x:c r="E535" s="2" t="n">
        <x:v>50</x:v>
      </x:c>
      <x:c r="F535" s="2" t="n">
        <x:v>-9</x:v>
      </x:c>
      <x:c r="G535" s="2" t="n">
        <x:v>1</x:v>
      </x:c>
      <x:c r="H535" s="2" t="n">
        <x:v>0</x:v>
      </x:c>
      <x:c r="I535" s="2" t="n">
        <x:v>0</x:v>
      </x:c>
      <x:c r="J535" s="2" t="n">
        <x:v>8</x:v>
      </x:c>
      <x:c r="K535" s="2" t="n">
        <x:v>22</x:v>
      </x:c>
      <x:c r="L535" s="2" t="n">
        <x:v>2892</x:v>
      </x:c>
      <x:c r="M535" s="2" t="n">
        <x:v>327</x:v>
      </x:c>
      <x:c r="N535" s="2" t="n">
        <x:v>350</x:v>
      </x:c>
      <x:c r="O535" s="2" t="str">
        <x:v>R14 Ø8x30 bükk csap, 22+12 mélység; ragasztott próbakötés</x:v>
      </x:c>
    </x:row>
    <x:row r="536" ht="34" customHeight="1">
      <x:c r="A536" s="2" t="str">
        <x:v>H0531</x:v>
      </x:c>
      <x:c r="B536" s="2" t="str">
        <x:v>KI12-TV02S-08</x:v>
      </x:c>
      <x:c r="C536" s="2" t="str">
        <x:v>MEREVITO_CSAP / R14-J119</x:v>
      </x:c>
      <x:c r="D536" s="2" t="n">
        <x:v>200</x:v>
      </x:c>
      <x:c r="E536" s="2" t="n">
        <x:v>327</x:v>
      </x:c>
      <x:c r="F536" s="2" t="n">
        <x:v>0</x:v>
      </x:c>
      <x:c r="G536" s="2" t="n">
        <x:v>0</x:v>
      </x:c>
      <x:c r="H536" s="2" t="n">
        <x:v>0</x:v>
      </x:c>
      <x:c r="I536" s="2" t="n">
        <x:v>-1</x:v>
      </x:c>
      <x:c r="J536" s="2" t="n">
        <x:v>8</x:v>
      </x:c>
      <x:c r="K536" s="2" t="n">
        <x:v>12</x:v>
      </x:c>
      <x:c r="L536" s="2" t="n">
        <x:v>2892</x:v>
      </x:c>
      <x:c r="M536" s="2" t="n">
        <x:v>327</x:v>
      </x:c>
      <x:c r="N536" s="2" t="n">
        <x:v>350</x:v>
      </x:c>
      <x:c r="O536" s="2" t="str">
        <x:v>R14 Ø8x30 bükk csap, 22+12 mélység; középosztón 10 mm eltolt tengely</x:v>
      </x:c>
    </x:row>
    <x:row r="537" ht="34" customHeight="1">
      <x:c r="A537" s="2" t="str">
        <x:v>H0532</x:v>
      </x:c>
      <x:c r="B537" s="2" t="str">
        <x:v>KI14-RAIL-04</x:v>
      </x:c>
      <x:c r="C537" s="2" t="str">
        <x:v>MEREVITO_CSAP / R14-J120</x:v>
      </x:c>
      <x:c r="D537" s="2" t="n">
        <x:v>0</x:v>
      </x:c>
      <x:c r="E537" s="2" t="n">
        <x:v>80</x:v>
      </x:c>
      <x:c r="F537" s="2" t="n">
        <x:v>-9</x:v>
      </x:c>
      <x:c r="G537" s="2" t="n">
        <x:v>1</x:v>
      </x:c>
      <x:c r="H537" s="2" t="n">
        <x:v>0</x:v>
      </x:c>
      <x:c r="I537" s="2" t="n">
        <x:v>0</x:v>
      </x:c>
      <x:c r="J537" s="2" t="n">
        <x:v>8</x:v>
      </x:c>
      <x:c r="K537" s="2" t="n">
        <x:v>22</x:v>
      </x:c>
      <x:c r="L537" s="2" t="n">
        <x:v>2892</x:v>
      </x:c>
      <x:c r="M537" s="2" t="n">
        <x:v>327</x:v>
      </x:c>
      <x:c r="N537" s="2" t="n">
        <x:v>380</x:v>
      </x:c>
      <x:c r="O537" s="2" t="str">
        <x:v>R14 Ø8x30 bükk csap, 22+12 mélység; ragasztott próbakötés</x:v>
      </x:c>
    </x:row>
    <x:row r="538" ht="34" customHeight="1">
      <x:c r="A538" s="2" t="str">
        <x:v>H0533</x:v>
      </x:c>
      <x:c r="B538" s="2" t="str">
        <x:v>KI12-TV02S-08</x:v>
      </x:c>
      <x:c r="C538" s="2" t="str">
        <x:v>MEREVITO_CSAP / R14-J120</x:v>
      </x:c>
      <x:c r="D538" s="2" t="n">
        <x:v>230</x:v>
      </x:c>
      <x:c r="E538" s="2" t="n">
        <x:v>327</x:v>
      </x:c>
      <x:c r="F538" s="2" t="n">
        <x:v>0</x:v>
      </x:c>
      <x:c r="G538" s="2" t="n">
        <x:v>0</x:v>
      </x:c>
      <x:c r="H538" s="2" t="n">
        <x:v>0</x:v>
      </x:c>
      <x:c r="I538" s="2" t="n">
        <x:v>-1</x:v>
      </x:c>
      <x:c r="J538" s="2" t="n">
        <x:v>8</x:v>
      </x:c>
      <x:c r="K538" s="2" t="n">
        <x:v>12</x:v>
      </x:c>
      <x:c r="L538" s="2" t="n">
        <x:v>2892</x:v>
      </x:c>
      <x:c r="M538" s="2" t="n">
        <x:v>327</x:v>
      </x:c>
      <x:c r="N538" s="2" t="n">
        <x:v>380</x:v>
      </x:c>
      <x:c r="O538" s="2" t="str">
        <x:v>R14 Ø8x30 bükk csap, 22+12 mélység; középosztón 10 mm eltolt tengely</x:v>
      </x:c>
    </x:row>
    <x:row r="539" ht="34" customHeight="1">
      <x:c r="A539" s="2" t="str">
        <x:v>H0534</x:v>
      </x:c>
      <x:c r="B539" s="2" t="str">
        <x:v>KI14-RAIL-05</x:v>
      </x:c>
      <x:c r="C539" s="2" t="str">
        <x:v>MEREVITO_CSAP / R14-J121</x:v>
      </x:c>
      <x:c r="D539" s="2" t="n">
        <x:v>654</x:v>
      </x:c>
      <x:c r="E539" s="2" t="n">
        <x:v>20</x:v>
      </x:c>
      <x:c r="F539" s="2" t="n">
        <x:v>-9</x:v>
      </x:c>
      <x:c r="G539" s="2" t="n">
        <x:v>-1</x:v>
      </x:c>
      <x:c r="H539" s="2" t="n">
        <x:v>0</x:v>
      </x:c>
      <x:c r="I539" s="2" t="n">
        <x:v>0</x:v>
      </x:c>
      <x:c r="J539" s="2" t="n">
        <x:v>8</x:v>
      </x:c>
      <x:c r="K539" s="2" t="n">
        <x:v>22</x:v>
      </x:c>
      <x:c r="L539" s="2" t="n">
        <x:v>2928</x:v>
      </x:c>
      <x:c r="M539" s="2" t="n">
        <x:v>327</x:v>
      </x:c>
      <x:c r="N539" s="2" t="n">
        <x:v>320</x:v>
      </x:c>
      <x:c r="O539" s="2" t="str">
        <x:v>R14 Ø8x30 bükk csap, 22+12 mélység; ragasztott próbakötés</x:v>
      </x:c>
    </x:row>
    <x:row r="540" ht="34" customHeight="1">
      <x:c r="A540" s="2" t="str">
        <x:v>H0535</x:v>
      </x:c>
      <x:c r="B540" s="2" t="str">
        <x:v>KI12-TV02S-09</x:v>
      </x:c>
      <x:c r="C540" s="2" t="str">
        <x:v>MEREVITO_CSAP / R14-J121</x:v>
      </x:c>
      <x:c r="D540" s="2" t="n">
        <x:v>170</x:v>
      </x:c>
      <x:c r="E540" s="2" t="n">
        <x:v>327</x:v>
      </x:c>
      <x:c r="F540" s="2" t="n">
        <x:v>-18</x:v>
      </x:c>
      <x:c r="G540" s="2" t="n">
        <x:v>0</x:v>
      </x:c>
      <x:c r="H540" s="2" t="n">
        <x:v>0</x:v>
      </x:c>
      <x:c r="I540" s="2" t="n">
        <x:v>1</x:v>
      </x:c>
      <x:c r="J540" s="2" t="n">
        <x:v>8</x:v>
      </x:c>
      <x:c r="K540" s="2" t="n">
        <x:v>12</x:v>
      </x:c>
      <x:c r="L540" s="2" t="n">
        <x:v>2928</x:v>
      </x:c>
      <x:c r="M540" s="2" t="n">
        <x:v>327</x:v>
      </x:c>
      <x:c r="N540" s="2" t="n">
        <x:v>320</x:v>
      </x:c>
      <x:c r="O540" s="2" t="str">
        <x:v>R14 Ø8x30 bükk csap, 22+12 mélység; középosztón 10 mm eltolt tengely</x:v>
      </x:c>
    </x:row>
    <x:row r="541" ht="34" customHeight="1">
      <x:c r="A541" s="2" t="str">
        <x:v>H0536</x:v>
      </x:c>
      <x:c r="B541" s="2" t="str">
        <x:v>KI14-RAIL-05</x:v>
      </x:c>
      <x:c r="C541" s="2" t="str">
        <x:v>MEREVITO_CSAP / R14-J122</x:v>
      </x:c>
      <x:c r="D541" s="2" t="n">
        <x:v>654</x:v>
      </x:c>
      <x:c r="E541" s="2" t="n">
        <x:v>50</x:v>
      </x:c>
      <x:c r="F541" s="2" t="n">
        <x:v>-9</x:v>
      </x:c>
      <x:c r="G541" s="2" t="n">
        <x:v>-1</x:v>
      </x:c>
      <x:c r="H541" s="2" t="n">
        <x:v>0</x:v>
      </x:c>
      <x:c r="I541" s="2" t="n">
        <x:v>0</x:v>
      </x:c>
      <x:c r="J541" s="2" t="n">
        <x:v>8</x:v>
      </x:c>
      <x:c r="K541" s="2" t="n">
        <x:v>22</x:v>
      </x:c>
      <x:c r="L541" s="2" t="n">
        <x:v>2928</x:v>
      </x:c>
      <x:c r="M541" s="2" t="n">
        <x:v>327</x:v>
      </x:c>
      <x:c r="N541" s="2" t="n">
        <x:v>350</x:v>
      </x:c>
      <x:c r="O541" s="2" t="str">
        <x:v>R14 Ø8x30 bükk csap, 22+12 mélység; ragasztott próbakötés</x:v>
      </x:c>
    </x:row>
    <x:row r="542" ht="34" customHeight="1">
      <x:c r="A542" s="2" t="str">
        <x:v>H0537</x:v>
      </x:c>
      <x:c r="B542" s="2" t="str">
        <x:v>KI12-TV02S-09</x:v>
      </x:c>
      <x:c r="C542" s="2" t="str">
        <x:v>MEREVITO_CSAP / R14-J122</x:v>
      </x:c>
      <x:c r="D542" s="2" t="n">
        <x:v>200</x:v>
      </x:c>
      <x:c r="E542" s="2" t="n">
        <x:v>327</x:v>
      </x:c>
      <x:c r="F542" s="2" t="n">
        <x:v>-18</x:v>
      </x:c>
      <x:c r="G542" s="2" t="n">
        <x:v>0</x:v>
      </x:c>
      <x:c r="H542" s="2" t="n">
        <x:v>0</x:v>
      </x:c>
      <x:c r="I542" s="2" t="n">
        <x:v>1</x:v>
      </x:c>
      <x:c r="J542" s="2" t="n">
        <x:v>8</x:v>
      </x:c>
      <x:c r="K542" s="2" t="n">
        <x:v>12</x:v>
      </x:c>
      <x:c r="L542" s="2" t="n">
        <x:v>2928</x:v>
      </x:c>
      <x:c r="M542" s="2" t="n">
        <x:v>327</x:v>
      </x:c>
      <x:c r="N542" s="2" t="n">
        <x:v>350</x:v>
      </x:c>
      <x:c r="O542" s="2" t="str">
        <x:v>R14 Ø8x30 bükk csap, 22+12 mélység; középosztón 10 mm eltolt tengely</x:v>
      </x:c>
    </x:row>
    <x:row r="543" ht="34" customHeight="1">
      <x:c r="A543" s="2" t="str">
        <x:v>H0538</x:v>
      </x:c>
      <x:c r="B543" s="2" t="str">
        <x:v>KI14-RAIL-05</x:v>
      </x:c>
      <x:c r="C543" s="2" t="str">
        <x:v>MEREVITO_CSAP / R14-J123</x:v>
      </x:c>
      <x:c r="D543" s="2" t="n">
        <x:v>654</x:v>
      </x:c>
      <x:c r="E543" s="2" t="n">
        <x:v>80</x:v>
      </x:c>
      <x:c r="F543" s="2" t="n">
        <x:v>-9</x:v>
      </x:c>
      <x:c r="G543" s="2" t="n">
        <x:v>-1</x:v>
      </x:c>
      <x:c r="H543" s="2" t="n">
        <x:v>0</x:v>
      </x:c>
      <x:c r="I543" s="2" t="n">
        <x:v>0</x:v>
      </x:c>
      <x:c r="J543" s="2" t="n">
        <x:v>8</x:v>
      </x:c>
      <x:c r="K543" s="2" t="n">
        <x:v>22</x:v>
      </x:c>
      <x:c r="L543" s="2" t="n">
        <x:v>2928</x:v>
      </x:c>
      <x:c r="M543" s="2" t="n">
        <x:v>327</x:v>
      </x:c>
      <x:c r="N543" s="2" t="n">
        <x:v>380</x:v>
      </x:c>
      <x:c r="O543" s="2" t="str">
        <x:v>R14 Ø8x30 bükk csap, 22+12 mélység; ragasztott próbakötés</x:v>
      </x:c>
    </x:row>
    <x:row r="544" ht="34" customHeight="1">
      <x:c r="A544" s="2" t="str">
        <x:v>H0539</x:v>
      </x:c>
      <x:c r="B544" s="2" t="str">
        <x:v>KI12-TV02S-09</x:v>
      </x:c>
      <x:c r="C544" s="2" t="str">
        <x:v>MEREVITO_CSAP / R14-J123</x:v>
      </x:c>
      <x:c r="D544" s="2" t="n">
        <x:v>230</x:v>
      </x:c>
      <x:c r="E544" s="2" t="n">
        <x:v>327</x:v>
      </x:c>
      <x:c r="F544" s="2" t="n">
        <x:v>-18</x:v>
      </x:c>
      <x:c r="G544" s="2" t="n">
        <x:v>0</x:v>
      </x:c>
      <x:c r="H544" s="2" t="n">
        <x:v>0</x:v>
      </x:c>
      <x:c r="I544" s="2" t="n">
        <x:v>1</x:v>
      </x:c>
      <x:c r="J544" s="2" t="n">
        <x:v>8</x:v>
      </x:c>
      <x:c r="K544" s="2" t="n">
        <x:v>12</x:v>
      </x:c>
      <x:c r="L544" s="2" t="n">
        <x:v>2928</x:v>
      </x:c>
      <x:c r="M544" s="2" t="n">
        <x:v>327</x:v>
      </x:c>
      <x:c r="N544" s="2" t="n">
        <x:v>380</x:v>
      </x:c>
      <x:c r="O544" s="2" t="str">
        <x:v>R14 Ø8x30 bükk csap, 22+12 mélység; középosztón 10 mm eltolt tengely</x:v>
      </x:c>
    </x:row>
    <x:row r="545" ht="34" customHeight="1">
      <x:c r="A545" s="2" t="str">
        <x:v>H0540</x:v>
      </x:c>
      <x:c r="B545" s="2" t="str">
        <x:v>KI14-RAIL-05</x:v>
      </x:c>
      <x:c r="C545" s="2" t="str">
        <x:v>MEREVITO_CSAP / R14-J124</x:v>
      </x:c>
      <x:c r="D545" s="2" t="n">
        <x:v>0</x:v>
      </x:c>
      <x:c r="E545" s="2" t="n">
        <x:v>20</x:v>
      </x:c>
      <x:c r="F545" s="2" t="n">
        <x:v>-9</x:v>
      </x:c>
      <x:c r="G545" s="2" t="n">
        <x:v>1</x:v>
      </x:c>
      <x:c r="H545" s="2" t="n">
        <x:v>0</x:v>
      </x:c>
      <x:c r="I545" s="2" t="n">
        <x:v>0</x:v>
      </x:c>
      <x:c r="J545" s="2" t="n">
        <x:v>8</x:v>
      </x:c>
      <x:c r="K545" s="2" t="n">
        <x:v>22</x:v>
      </x:c>
      <x:c r="L545" s="2" t="n">
        <x:v>3582</x:v>
      </x:c>
      <x:c r="M545" s="2" t="n">
        <x:v>327</x:v>
      </x:c>
      <x:c r="N545" s="2" t="n">
        <x:v>320</x:v>
      </x:c>
      <x:c r="O545" s="2" t="str">
        <x:v>R14 Ø8x30 bükk csap, 22+12 mélység; ragasztott próbakötés</x:v>
      </x:c>
    </x:row>
    <x:row r="546" ht="34" customHeight="1">
      <x:c r="A546" s="2" t="str">
        <x:v>H0541</x:v>
      </x:c>
      <x:c r="B546" s="2" t="str">
        <x:v>KI12-TV02S-10</x:v>
      </x:c>
      <x:c r="C546" s="2" t="str">
        <x:v>MEREVITO_CSAP / R14-J124</x:v>
      </x:c>
      <x:c r="D546" s="2" t="n">
        <x:v>170</x:v>
      </x:c>
      <x:c r="E546" s="2" t="n">
        <x:v>327</x:v>
      </x:c>
      <x:c r="F546" s="2" t="n">
        <x:v>0</x:v>
      </x:c>
      <x:c r="G546" s="2" t="n">
        <x:v>0</x:v>
      </x:c>
      <x:c r="H546" s="2" t="n">
        <x:v>0</x:v>
      </x:c>
      <x:c r="I546" s="2" t="n">
        <x:v>-1</x:v>
      </x:c>
      <x:c r="J546" s="2" t="n">
        <x:v>8</x:v>
      </x:c>
      <x:c r="K546" s="2" t="n">
        <x:v>12</x:v>
      </x:c>
      <x:c r="L546" s="2" t="n">
        <x:v>3582</x:v>
      </x:c>
      <x:c r="M546" s="2" t="n">
        <x:v>327</x:v>
      </x:c>
      <x:c r="N546" s="2" t="n">
        <x:v>320</x:v>
      </x:c>
      <x:c r="O546" s="2" t="str">
        <x:v>R14 Ø8x30 bükk csap, 22+12 mélység; középosztón 10 mm eltolt tengely</x:v>
      </x:c>
    </x:row>
    <x:row r="547" ht="34" customHeight="1">
      <x:c r="A547" s="2" t="str">
        <x:v>H0542</x:v>
      </x:c>
      <x:c r="B547" s="2" t="str">
        <x:v>KI14-RAIL-05</x:v>
      </x:c>
      <x:c r="C547" s="2" t="str">
        <x:v>MEREVITO_CSAP / R14-J125</x:v>
      </x:c>
      <x:c r="D547" s="2" t="n">
        <x:v>0</x:v>
      </x:c>
      <x:c r="E547" s="2" t="n">
        <x:v>50</x:v>
      </x:c>
      <x:c r="F547" s="2" t="n">
        <x:v>-9</x:v>
      </x:c>
      <x:c r="G547" s="2" t="n">
        <x:v>1</x:v>
      </x:c>
      <x:c r="H547" s="2" t="n">
        <x:v>0</x:v>
      </x:c>
      <x:c r="I547" s="2" t="n">
        <x:v>0</x:v>
      </x:c>
      <x:c r="J547" s="2" t="n">
        <x:v>8</x:v>
      </x:c>
      <x:c r="K547" s="2" t="n">
        <x:v>22</x:v>
      </x:c>
      <x:c r="L547" s="2" t="n">
        <x:v>3582</x:v>
      </x:c>
      <x:c r="M547" s="2" t="n">
        <x:v>327</x:v>
      </x:c>
      <x:c r="N547" s="2" t="n">
        <x:v>350</x:v>
      </x:c>
      <x:c r="O547" s="2" t="str">
        <x:v>R14 Ø8x30 bükk csap, 22+12 mélység; ragasztott próbakötés</x:v>
      </x:c>
    </x:row>
    <x:row r="548" ht="34" customHeight="1">
      <x:c r="A548" s="2" t="str">
        <x:v>H0543</x:v>
      </x:c>
      <x:c r="B548" s="2" t="str">
        <x:v>KI12-TV02S-10</x:v>
      </x:c>
      <x:c r="C548" s="2" t="str">
        <x:v>MEREVITO_CSAP / R14-J125</x:v>
      </x:c>
      <x:c r="D548" s="2" t="n">
        <x:v>200</x:v>
      </x:c>
      <x:c r="E548" s="2" t="n">
        <x:v>327</x:v>
      </x:c>
      <x:c r="F548" s="2" t="n">
        <x:v>0</x:v>
      </x:c>
      <x:c r="G548" s="2" t="n">
        <x:v>0</x:v>
      </x:c>
      <x:c r="H548" s="2" t="n">
        <x:v>0</x:v>
      </x:c>
      <x:c r="I548" s="2" t="n">
        <x:v>-1</x:v>
      </x:c>
      <x:c r="J548" s="2" t="n">
        <x:v>8</x:v>
      </x:c>
      <x:c r="K548" s="2" t="n">
        <x:v>12</x:v>
      </x:c>
      <x:c r="L548" s="2" t="n">
        <x:v>3582</x:v>
      </x:c>
      <x:c r="M548" s="2" t="n">
        <x:v>327</x:v>
      </x:c>
      <x:c r="N548" s="2" t="n">
        <x:v>350</x:v>
      </x:c>
      <x:c r="O548" s="2" t="str">
        <x:v>R14 Ø8x30 bükk csap, 22+12 mélység; középosztón 10 mm eltolt tengely</x:v>
      </x:c>
    </x:row>
    <x:row r="549" ht="34" customHeight="1">
      <x:c r="A549" s="2" t="str">
        <x:v>H0544</x:v>
      </x:c>
      <x:c r="B549" s="2" t="str">
        <x:v>KI14-RAIL-05</x:v>
      </x:c>
      <x:c r="C549" s="2" t="str">
        <x:v>MEREVITO_CSAP / R14-J126</x:v>
      </x:c>
      <x:c r="D549" s="2" t="n">
        <x:v>0</x:v>
      </x:c>
      <x:c r="E549" s="2" t="n">
        <x:v>80</x:v>
      </x:c>
      <x:c r="F549" s="2" t="n">
        <x:v>-9</x:v>
      </x:c>
      <x:c r="G549" s="2" t="n">
        <x:v>1</x:v>
      </x:c>
      <x:c r="H549" s="2" t="n">
        <x:v>0</x:v>
      </x:c>
      <x:c r="I549" s="2" t="n">
        <x:v>0</x:v>
      </x:c>
      <x:c r="J549" s="2" t="n">
        <x:v>8</x:v>
      </x:c>
      <x:c r="K549" s="2" t="n">
        <x:v>22</x:v>
      </x:c>
      <x:c r="L549" s="2" t="n">
        <x:v>3582</x:v>
      </x:c>
      <x:c r="M549" s="2" t="n">
        <x:v>327</x:v>
      </x:c>
      <x:c r="N549" s="2" t="n">
        <x:v>380</x:v>
      </x:c>
      <x:c r="O549" s="2" t="str">
        <x:v>R14 Ø8x30 bükk csap, 22+12 mélység; ragasztott próbakötés</x:v>
      </x:c>
    </x:row>
    <x:row r="550" ht="34" customHeight="1">
      <x:c r="A550" s="2" t="str">
        <x:v>H0545</x:v>
      </x:c>
      <x:c r="B550" s="2" t="str">
        <x:v>KI12-TV02S-10</x:v>
      </x:c>
      <x:c r="C550" s="2" t="str">
        <x:v>MEREVITO_CSAP / R14-J126</x:v>
      </x:c>
      <x:c r="D550" s="2" t="n">
        <x:v>230</x:v>
      </x:c>
      <x:c r="E550" s="2" t="n">
        <x:v>327</x:v>
      </x:c>
      <x:c r="F550" s="2" t="n">
        <x:v>0</x:v>
      </x:c>
      <x:c r="G550" s="2" t="n">
        <x:v>0</x:v>
      </x:c>
      <x:c r="H550" s="2" t="n">
        <x:v>0</x:v>
      </x:c>
      <x:c r="I550" s="2" t="n">
        <x:v>-1</x:v>
      </x:c>
      <x:c r="J550" s="2" t="n">
        <x:v>8</x:v>
      </x:c>
      <x:c r="K550" s="2" t="n">
        <x:v>12</x:v>
      </x:c>
      <x:c r="L550" s="2" t="n">
        <x:v>3582</x:v>
      </x:c>
      <x:c r="M550" s="2" t="n">
        <x:v>327</x:v>
      </x:c>
      <x:c r="N550" s="2" t="n">
        <x:v>380</x:v>
      </x:c>
      <x:c r="O550" s="2" t="str">
        <x:v>R14 Ø8x30 bükk csap, 22+12 mélység; középosztón 10 mm eltolt tengely</x:v>
      </x:c>
    </x:row>
    <x:row r="551" ht="34" customHeight="1">
      <x:c r="A551" s="2" t="str">
        <x:v>H0546</x:v>
      </x:c>
      <x:c r="B551" s="2" t="str">
        <x:v>KI14-RAIL-06</x:v>
      </x:c>
      <x:c r="C551" s="2" t="str">
        <x:v>MEREVITO_CSAP / R14-J127</x:v>
      </x:c>
      <x:c r="D551" s="2" t="n">
        <x:v>333</x:v>
      </x:c>
      <x:c r="E551" s="2" t="n">
        <x:v>20</x:v>
      </x:c>
      <x:c r="F551" s="2" t="n">
        <x:v>-9</x:v>
      </x:c>
      <x:c r="G551" s="2" t="n">
        <x:v>-1</x:v>
      </x:c>
      <x:c r="H551" s="2" t="n">
        <x:v>0</x:v>
      </x:c>
      <x:c r="I551" s="2" t="n">
        <x:v>0</x:v>
      </x:c>
      <x:c r="J551" s="2" t="n">
        <x:v>8</x:v>
      </x:c>
      <x:c r="K551" s="2" t="n">
        <x:v>22</x:v>
      </x:c>
      <x:c r="L551" s="2" t="n">
        <x:v>18</x:v>
      </x:c>
      <x:c r="M551" s="2" t="n">
        <x:v>327</x:v>
      </x:c>
      <x:c r="N551" s="2" t="n">
        <x:v>2652</x:v>
      </x:c>
      <x:c r="O551" s="2" t="str">
        <x:v>R14 Ø8x30 bükk csap, 22+12 mélység; ragasztott próbakötés</x:v>
      </x:c>
    </x:row>
    <x:row r="552" ht="34" customHeight="1">
      <x:c r="A552" s="2" t="str">
        <x:v>H0547</x:v>
      </x:c>
      <x:c r="B552" s="2" t="str">
        <x:v>KI12-TV01S-01</x:v>
      </x:c>
      <x:c r="C552" s="2" t="str">
        <x:v>MEREVITO_CSAP / R14-J127</x:v>
      </x:c>
      <x:c r="D552" s="2" t="n">
        <x:v>2102</x:v>
      </x:c>
      <x:c r="E552" s="2" t="n">
        <x:v>327</x:v>
      </x:c>
      <x:c r="F552" s="2" t="n">
        <x:v>-18</x:v>
      </x:c>
      <x:c r="G552" s="2" t="n">
        <x:v>0</x:v>
      </x:c>
      <x:c r="H552" s="2" t="n">
        <x:v>0</x:v>
      </x:c>
      <x:c r="I552" s="2" t="n">
        <x:v>1</x:v>
      </x:c>
      <x:c r="J552" s="2" t="n">
        <x:v>8</x:v>
      </x:c>
      <x:c r="K552" s="2" t="n">
        <x:v>12</x:v>
      </x:c>
      <x:c r="L552" s="2" t="n">
        <x:v>18</x:v>
      </x:c>
      <x:c r="M552" s="2" t="n">
        <x:v>327</x:v>
      </x:c>
      <x:c r="N552" s="2" t="n">
        <x:v>2652</x:v>
      </x:c>
      <x:c r="O552" s="2" t="str">
        <x:v>R14 Ø8x30 bükk csap, 22+12 mélység; középosztón 10 mm eltolt tengely</x:v>
      </x:c>
    </x:row>
    <x:row r="553" ht="34" customHeight="1">
      <x:c r="A553" s="2" t="str">
        <x:v>H0548</x:v>
      </x:c>
      <x:c r="B553" s="2" t="str">
        <x:v>KI14-RAIL-06</x:v>
      </x:c>
      <x:c r="C553" s="2" t="str">
        <x:v>MEREVITO_CSAP / R14-J128</x:v>
      </x:c>
      <x:c r="D553" s="2" t="n">
        <x:v>333</x:v>
      </x:c>
      <x:c r="E553" s="2" t="n">
        <x:v>50</x:v>
      </x:c>
      <x:c r="F553" s="2" t="n">
        <x:v>-9</x:v>
      </x:c>
      <x:c r="G553" s="2" t="n">
        <x:v>-1</x:v>
      </x:c>
      <x:c r="H553" s="2" t="n">
        <x:v>0</x:v>
      </x:c>
      <x:c r="I553" s="2" t="n">
        <x:v>0</x:v>
      </x:c>
      <x:c r="J553" s="2" t="n">
        <x:v>8</x:v>
      </x:c>
      <x:c r="K553" s="2" t="n">
        <x:v>22</x:v>
      </x:c>
      <x:c r="L553" s="2" t="n">
        <x:v>18</x:v>
      </x:c>
      <x:c r="M553" s="2" t="n">
        <x:v>327</x:v>
      </x:c>
      <x:c r="N553" s="2" t="n">
        <x:v>2682</x:v>
      </x:c>
      <x:c r="O553" s="2" t="str">
        <x:v>R14 Ø8x30 bükk csap, 22+12 mélység; ragasztott próbakötés</x:v>
      </x:c>
    </x:row>
    <x:row r="554" ht="34" customHeight="1">
      <x:c r="A554" s="2" t="str">
        <x:v>H0549</x:v>
      </x:c>
      <x:c r="B554" s="2" t="str">
        <x:v>KI12-TV01S-01</x:v>
      </x:c>
      <x:c r="C554" s="2" t="str">
        <x:v>MEREVITO_CSAP / R14-J128</x:v>
      </x:c>
      <x:c r="D554" s="2" t="n">
        <x:v>2132</x:v>
      </x:c>
      <x:c r="E554" s="2" t="n">
        <x:v>327</x:v>
      </x:c>
      <x:c r="F554" s="2" t="n">
        <x:v>-18</x:v>
      </x:c>
      <x:c r="G554" s="2" t="n">
        <x:v>0</x:v>
      </x:c>
      <x:c r="H554" s="2" t="n">
        <x:v>0</x:v>
      </x:c>
      <x:c r="I554" s="2" t="n">
        <x:v>1</x:v>
      </x:c>
      <x:c r="J554" s="2" t="n">
        <x:v>8</x:v>
      </x:c>
      <x:c r="K554" s="2" t="n">
        <x:v>12</x:v>
      </x:c>
      <x:c r="L554" s="2" t="n">
        <x:v>18</x:v>
      </x:c>
      <x:c r="M554" s="2" t="n">
        <x:v>327</x:v>
      </x:c>
      <x:c r="N554" s="2" t="n">
        <x:v>2682</x:v>
      </x:c>
      <x:c r="O554" s="2" t="str">
        <x:v>R14 Ø8x30 bükk csap, 22+12 mélység; középosztón 10 mm eltolt tengely</x:v>
      </x:c>
    </x:row>
    <x:row r="555" ht="34" customHeight="1">
      <x:c r="A555" s="2" t="str">
        <x:v>H0550</x:v>
      </x:c>
      <x:c r="B555" s="2" t="str">
        <x:v>KI14-RAIL-06</x:v>
      </x:c>
      <x:c r="C555" s="2" t="str">
        <x:v>MEREVITO_CSAP / R14-J129</x:v>
      </x:c>
      <x:c r="D555" s="2" t="n">
        <x:v>333</x:v>
      </x:c>
      <x:c r="E555" s="2" t="n">
        <x:v>80</x:v>
      </x:c>
      <x:c r="F555" s="2" t="n">
        <x:v>-9</x:v>
      </x:c>
      <x:c r="G555" s="2" t="n">
        <x:v>-1</x:v>
      </x:c>
      <x:c r="H555" s="2" t="n">
        <x:v>0</x:v>
      </x:c>
      <x:c r="I555" s="2" t="n">
        <x:v>0</x:v>
      </x:c>
      <x:c r="J555" s="2" t="n">
        <x:v>8</x:v>
      </x:c>
      <x:c r="K555" s="2" t="n">
        <x:v>22</x:v>
      </x:c>
      <x:c r="L555" s="2" t="n">
        <x:v>18</x:v>
      </x:c>
      <x:c r="M555" s="2" t="n">
        <x:v>327</x:v>
      </x:c>
      <x:c r="N555" s="2" t="n">
        <x:v>2712</x:v>
      </x:c>
      <x:c r="O555" s="2" t="str">
        <x:v>R14 Ø8x30 bükk csap, 22+12 mélység; ragasztott próbakötés</x:v>
      </x:c>
    </x:row>
    <x:row r="556" ht="34" customHeight="1">
      <x:c r="A556" s="2" t="str">
        <x:v>H0551</x:v>
      </x:c>
      <x:c r="B556" s="2" t="str">
        <x:v>KI12-TV01S-01</x:v>
      </x:c>
      <x:c r="C556" s="2" t="str">
        <x:v>MEREVITO_CSAP / R14-J129</x:v>
      </x:c>
      <x:c r="D556" s="2" t="n">
        <x:v>2162</x:v>
      </x:c>
      <x:c r="E556" s="2" t="n">
        <x:v>327</x:v>
      </x:c>
      <x:c r="F556" s="2" t="n">
        <x:v>-18</x:v>
      </x:c>
      <x:c r="G556" s="2" t="n">
        <x:v>0</x:v>
      </x:c>
      <x:c r="H556" s="2" t="n">
        <x:v>0</x:v>
      </x:c>
      <x:c r="I556" s="2" t="n">
        <x:v>1</x:v>
      </x:c>
      <x:c r="J556" s="2" t="n">
        <x:v>8</x:v>
      </x:c>
      <x:c r="K556" s="2" t="n">
        <x:v>12</x:v>
      </x:c>
      <x:c r="L556" s="2" t="n">
        <x:v>18</x:v>
      </x:c>
      <x:c r="M556" s="2" t="n">
        <x:v>327</x:v>
      </x:c>
      <x:c r="N556" s="2" t="n">
        <x:v>2712</x:v>
      </x:c>
      <x:c r="O556" s="2" t="str">
        <x:v>R14 Ø8x30 bükk csap, 22+12 mélység; középosztón 10 mm eltolt tengely</x:v>
      </x:c>
    </x:row>
    <x:row r="557" ht="34" customHeight="1">
      <x:c r="A557" s="2" t="str">
        <x:v>H0552</x:v>
      </x:c>
      <x:c r="B557" s="2" t="str">
        <x:v>KI14-RAIL-06</x:v>
      </x:c>
      <x:c r="C557" s="2" t="str">
        <x:v>MEREVITO_CSAP / R14-J130</x:v>
      </x:c>
      <x:c r="D557" s="2" t="n">
        <x:v>0</x:v>
      </x:c>
      <x:c r="E557" s="2" t="n">
        <x:v>20</x:v>
      </x:c>
      <x:c r="F557" s="2" t="n">
        <x:v>-9</x:v>
      </x:c>
      <x:c r="G557" s="2" t="n">
        <x:v>1</x:v>
      </x:c>
      <x:c r="H557" s="2" t="n">
        <x:v>0</x:v>
      </x:c>
      <x:c r="I557" s="2" t="n">
        <x:v>0</x:v>
      </x:c>
      <x:c r="J557" s="2" t="n">
        <x:v>8</x:v>
      </x:c>
      <x:c r="K557" s="2" t="n">
        <x:v>22</x:v>
      </x:c>
      <x:c r="L557" s="2" t="n">
        <x:v>351</x:v>
      </x:c>
      <x:c r="M557" s="2" t="n">
        <x:v>327</x:v>
      </x:c>
      <x:c r="N557" s="2" t="n">
        <x:v>2652</x:v>
      </x:c>
      <x:c r="O557" s="2" t="str">
        <x:v>R14 Ø8x30 bükk csap, 22+12 mélység; ragasztott próbakötés</x:v>
      </x:c>
    </x:row>
    <x:row r="558" ht="34" customHeight="1">
      <x:c r="A558" s="2" t="str">
        <x:v>H0553</x:v>
      </x:c>
      <x:c r="B558" s="2" t="str">
        <x:v>KI12-TV01C-01</x:v>
      </x:c>
      <x:c r="C558" s="2" t="str">
        <x:v>MEREVITO_CSAP / R14-J130</x:v>
      </x:c>
      <x:c r="D558" s="2" t="n">
        <x:v>2084</x:v>
      </x:c>
      <x:c r="E558" s="2" t="n">
        <x:v>327</x:v>
      </x:c>
      <x:c r="F558" s="2" t="n">
        <x:v>0</x:v>
      </x:c>
      <x:c r="G558" s="2" t="n">
        <x:v>0</x:v>
      </x:c>
      <x:c r="H558" s="2" t="n">
        <x:v>0</x:v>
      </x:c>
      <x:c r="I558" s="2" t="n">
        <x:v>-1</x:v>
      </x:c>
      <x:c r="J558" s="2" t="n">
        <x:v>8</x:v>
      </x:c>
      <x:c r="K558" s="2" t="n">
        <x:v>12</x:v>
      </x:c>
      <x:c r="L558" s="2" t="n">
        <x:v>351</x:v>
      </x:c>
      <x:c r="M558" s="2" t="n">
        <x:v>327</x:v>
      </x:c>
      <x:c r="N558" s="2" t="n">
        <x:v>2652</x:v>
      </x:c>
      <x:c r="O558" s="2" t="str">
        <x:v>R14 Ø8x30 bükk csap, 22+12 mélység; középosztón 10 mm eltolt tengely</x:v>
      </x:c>
    </x:row>
    <x:row r="559" ht="34" customHeight="1">
      <x:c r="A559" s="2" t="str">
        <x:v>H0554</x:v>
      </x:c>
      <x:c r="B559" s="2" t="str">
        <x:v>KI14-RAIL-06</x:v>
      </x:c>
      <x:c r="C559" s="2" t="str">
        <x:v>MEREVITO_CSAP / R14-J131</x:v>
      </x:c>
      <x:c r="D559" s="2" t="n">
        <x:v>0</x:v>
      </x:c>
      <x:c r="E559" s="2" t="n">
        <x:v>50</x:v>
      </x:c>
      <x:c r="F559" s="2" t="n">
        <x:v>-9</x:v>
      </x:c>
      <x:c r="G559" s="2" t="n">
        <x:v>1</x:v>
      </x:c>
      <x:c r="H559" s="2" t="n">
        <x:v>0</x:v>
      </x:c>
      <x:c r="I559" s="2" t="n">
        <x:v>0</x:v>
      </x:c>
      <x:c r="J559" s="2" t="n">
        <x:v>8</x:v>
      </x:c>
      <x:c r="K559" s="2" t="n">
        <x:v>22</x:v>
      </x:c>
      <x:c r="L559" s="2" t="n">
        <x:v>351</x:v>
      </x:c>
      <x:c r="M559" s="2" t="n">
        <x:v>327</x:v>
      </x:c>
      <x:c r="N559" s="2" t="n">
        <x:v>2682</x:v>
      </x:c>
      <x:c r="O559" s="2" t="str">
        <x:v>R14 Ø8x30 bükk csap, 22+12 mélység; ragasztott próbakötés</x:v>
      </x:c>
    </x:row>
    <x:row r="560" ht="34" customHeight="1">
      <x:c r="A560" s="2" t="str">
        <x:v>H0555</x:v>
      </x:c>
      <x:c r="B560" s="2" t="str">
        <x:v>KI12-TV01C-01</x:v>
      </x:c>
      <x:c r="C560" s="2" t="str">
        <x:v>MEREVITO_CSAP / R14-J131</x:v>
      </x:c>
      <x:c r="D560" s="2" t="n">
        <x:v>2114</x:v>
      </x:c>
      <x:c r="E560" s="2" t="n">
        <x:v>327</x:v>
      </x:c>
      <x:c r="F560" s="2" t="n">
        <x:v>0</x:v>
      </x:c>
      <x:c r="G560" s="2" t="n">
        <x:v>0</x:v>
      </x:c>
      <x:c r="H560" s="2" t="n">
        <x:v>0</x:v>
      </x:c>
      <x:c r="I560" s="2" t="n">
        <x:v>-1</x:v>
      </x:c>
      <x:c r="J560" s="2" t="n">
        <x:v>8</x:v>
      </x:c>
      <x:c r="K560" s="2" t="n">
        <x:v>12</x:v>
      </x:c>
      <x:c r="L560" s="2" t="n">
        <x:v>351</x:v>
      </x:c>
      <x:c r="M560" s="2" t="n">
        <x:v>327</x:v>
      </x:c>
      <x:c r="N560" s="2" t="n">
        <x:v>2682</x:v>
      </x:c>
      <x:c r="O560" s="2" t="str">
        <x:v>R14 Ø8x30 bükk csap, 22+12 mélység; középosztón 10 mm eltolt tengely</x:v>
      </x:c>
    </x:row>
    <x:row r="561" ht="34" customHeight="1">
      <x:c r="A561" s="2" t="str">
        <x:v>H0556</x:v>
      </x:c>
      <x:c r="B561" s="2" t="str">
        <x:v>KI14-RAIL-06</x:v>
      </x:c>
      <x:c r="C561" s="2" t="str">
        <x:v>MEREVITO_CSAP / R14-J132</x:v>
      </x:c>
      <x:c r="D561" s="2" t="n">
        <x:v>0</x:v>
      </x:c>
      <x:c r="E561" s="2" t="n">
        <x:v>80</x:v>
      </x:c>
      <x:c r="F561" s="2" t="n">
        <x:v>-9</x:v>
      </x:c>
      <x:c r="G561" s="2" t="n">
        <x:v>1</x:v>
      </x:c>
      <x:c r="H561" s="2" t="n">
        <x:v>0</x:v>
      </x:c>
      <x:c r="I561" s="2" t="n">
        <x:v>0</x:v>
      </x:c>
      <x:c r="J561" s="2" t="n">
        <x:v>8</x:v>
      </x:c>
      <x:c r="K561" s="2" t="n">
        <x:v>22</x:v>
      </x:c>
      <x:c r="L561" s="2" t="n">
        <x:v>351</x:v>
      </x:c>
      <x:c r="M561" s="2" t="n">
        <x:v>327</x:v>
      </x:c>
      <x:c r="N561" s="2" t="n">
        <x:v>2712</x:v>
      </x:c>
      <x:c r="O561" s="2" t="str">
        <x:v>R14 Ø8x30 bükk csap, 22+12 mélység; ragasztott próbakötés</x:v>
      </x:c>
    </x:row>
    <x:row r="562" ht="34" customHeight="1">
      <x:c r="A562" s="2" t="str">
        <x:v>H0557</x:v>
      </x:c>
      <x:c r="B562" s="2" t="str">
        <x:v>KI12-TV01C-01</x:v>
      </x:c>
      <x:c r="C562" s="2" t="str">
        <x:v>MEREVITO_CSAP / R14-J132</x:v>
      </x:c>
      <x:c r="D562" s="2" t="n">
        <x:v>2144</x:v>
      </x:c>
      <x:c r="E562" s="2" t="n">
        <x:v>327</x:v>
      </x:c>
      <x:c r="F562" s="2" t="n">
        <x:v>0</x:v>
      </x:c>
      <x:c r="G562" s="2" t="n">
        <x:v>0</x:v>
      </x:c>
      <x:c r="H562" s="2" t="n">
        <x:v>0</x:v>
      </x:c>
      <x:c r="I562" s="2" t="n">
        <x:v>-1</x:v>
      </x:c>
      <x:c r="J562" s="2" t="n">
        <x:v>8</x:v>
      </x:c>
      <x:c r="K562" s="2" t="n">
        <x:v>12</x:v>
      </x:c>
      <x:c r="L562" s="2" t="n">
        <x:v>351</x:v>
      </x:c>
      <x:c r="M562" s="2" t="n">
        <x:v>327</x:v>
      </x:c>
      <x:c r="N562" s="2" t="n">
        <x:v>2712</x:v>
      </x:c>
      <x:c r="O562" s="2" t="str">
        <x:v>R14 Ø8x30 bükk csap, 22+12 mélység; középosztón 10 mm eltolt tengely</x:v>
      </x:c>
    </x:row>
    <x:row r="563" ht="34" customHeight="1">
      <x:c r="A563" s="2" t="str">
        <x:v>H0558</x:v>
      </x:c>
      <x:c r="B563" s="2" t="str">
        <x:v>KI14-RAIL-07</x:v>
      </x:c>
      <x:c r="C563" s="2" t="str">
        <x:v>MEREVITO_CSAP / R14-J133</x:v>
      </x:c>
      <x:c r="D563" s="2" t="n">
        <x:v>333</x:v>
      </x:c>
      <x:c r="E563" s="2" t="n">
        <x:v>30</x:v>
      </x:c>
      <x:c r="F563" s="2" t="n">
        <x:v>-9</x:v>
      </x:c>
      <x:c r="G563" s="2" t="n">
        <x:v>-1</x:v>
      </x:c>
      <x:c r="H563" s="2" t="n">
        <x:v>0</x:v>
      </x:c>
      <x:c r="I563" s="2" t="n">
        <x:v>0</x:v>
      </x:c>
      <x:c r="J563" s="2" t="n">
        <x:v>8</x:v>
      </x:c>
      <x:c r="K563" s="2" t="n">
        <x:v>22</x:v>
      </x:c>
      <x:c r="L563" s="2" t="n">
        <x:v>369</x:v>
      </x:c>
      <x:c r="M563" s="2" t="n">
        <x:v>327</x:v>
      </x:c>
      <x:c r="N563" s="2" t="n">
        <x:v>2662</x:v>
      </x:c>
      <x:c r="O563" s="2" t="str">
        <x:v>R14 Ø8x30 bükk csap, 22+12 mélység; ragasztott próbakötés</x:v>
      </x:c>
    </x:row>
    <x:row r="564" ht="34" customHeight="1">
      <x:c r="A564" s="2" t="str">
        <x:v>H0559</x:v>
      </x:c>
      <x:c r="B564" s="2" t="str">
        <x:v>KI12-TV01C-01</x:v>
      </x:c>
      <x:c r="C564" s="2" t="str">
        <x:v>MEREVITO_CSAP / R14-J133</x:v>
      </x:c>
      <x:c r="D564" s="2" t="n">
        <x:v>2094</x:v>
      </x:c>
      <x:c r="E564" s="2" t="n">
        <x:v>327</x:v>
      </x:c>
      <x:c r="F564" s="2" t="n">
        <x:v>-18</x:v>
      </x:c>
      <x:c r="G564" s="2" t="n">
        <x:v>0</x:v>
      </x:c>
      <x:c r="H564" s="2" t="n">
        <x:v>0</x:v>
      </x:c>
      <x:c r="I564" s="2" t="n">
        <x:v>1</x:v>
      </x:c>
      <x:c r="J564" s="2" t="n">
        <x:v>8</x:v>
      </x:c>
      <x:c r="K564" s="2" t="n">
        <x:v>12</x:v>
      </x:c>
      <x:c r="L564" s="2" t="n">
        <x:v>369</x:v>
      </x:c>
      <x:c r="M564" s="2" t="n">
        <x:v>327</x:v>
      </x:c>
      <x:c r="N564" s="2" t="n">
        <x:v>2662</x:v>
      </x:c>
      <x:c r="O564" s="2" t="str">
        <x:v>R14 Ø8x30 bükk csap, 22+12 mélység; középosztón 10 mm eltolt tengely</x:v>
      </x:c>
    </x:row>
    <x:row r="565" ht="34" customHeight="1">
      <x:c r="A565" s="2" t="str">
        <x:v>H0560</x:v>
      </x:c>
      <x:c r="B565" s="2" t="str">
        <x:v>KI14-RAIL-07</x:v>
      </x:c>
      <x:c r="C565" s="2" t="str">
        <x:v>MEREVITO_CSAP / R14-J134</x:v>
      </x:c>
      <x:c r="D565" s="2" t="n">
        <x:v>333</x:v>
      </x:c>
      <x:c r="E565" s="2" t="n">
        <x:v>60</x:v>
      </x:c>
      <x:c r="F565" s="2" t="n">
        <x:v>-9</x:v>
      </x:c>
      <x:c r="G565" s="2" t="n">
        <x:v>-1</x:v>
      </x:c>
      <x:c r="H565" s="2" t="n">
        <x:v>0</x:v>
      </x:c>
      <x:c r="I565" s="2" t="n">
        <x:v>0</x:v>
      </x:c>
      <x:c r="J565" s="2" t="n">
        <x:v>8</x:v>
      </x:c>
      <x:c r="K565" s="2" t="n">
        <x:v>22</x:v>
      </x:c>
      <x:c r="L565" s="2" t="n">
        <x:v>369</x:v>
      </x:c>
      <x:c r="M565" s="2" t="n">
        <x:v>327</x:v>
      </x:c>
      <x:c r="N565" s="2" t="n">
        <x:v>2692</x:v>
      </x:c>
      <x:c r="O565" s="2" t="str">
        <x:v>R14 Ø8x30 bükk csap, 22+12 mélység; ragasztott próbakötés</x:v>
      </x:c>
    </x:row>
    <x:row r="566" ht="34" customHeight="1">
      <x:c r="A566" s="2" t="str">
        <x:v>H0561</x:v>
      </x:c>
      <x:c r="B566" s="2" t="str">
        <x:v>KI12-TV01C-01</x:v>
      </x:c>
      <x:c r="C566" s="2" t="str">
        <x:v>MEREVITO_CSAP / R14-J134</x:v>
      </x:c>
      <x:c r="D566" s="2" t="n">
        <x:v>2124</x:v>
      </x:c>
      <x:c r="E566" s="2" t="n">
        <x:v>327</x:v>
      </x:c>
      <x:c r="F566" s="2" t="n">
        <x:v>-18</x:v>
      </x:c>
      <x:c r="G566" s="2" t="n">
        <x:v>0</x:v>
      </x:c>
      <x:c r="H566" s="2" t="n">
        <x:v>0</x:v>
      </x:c>
      <x:c r="I566" s="2" t="n">
        <x:v>1</x:v>
      </x:c>
      <x:c r="J566" s="2" t="n">
        <x:v>8</x:v>
      </x:c>
      <x:c r="K566" s="2" t="n">
        <x:v>12</x:v>
      </x:c>
      <x:c r="L566" s="2" t="n">
        <x:v>369</x:v>
      </x:c>
      <x:c r="M566" s="2" t="n">
        <x:v>327</x:v>
      </x:c>
      <x:c r="N566" s="2" t="n">
        <x:v>2692</x:v>
      </x:c>
      <x:c r="O566" s="2" t="str">
        <x:v>R14 Ø8x30 bükk csap, 22+12 mélység; középosztón 10 mm eltolt tengely</x:v>
      </x:c>
    </x:row>
    <x:row r="567" ht="34" customHeight="1">
      <x:c r="A567" s="2" t="str">
        <x:v>H0562</x:v>
      </x:c>
      <x:c r="B567" s="2" t="str">
        <x:v>KI14-RAIL-07</x:v>
      </x:c>
      <x:c r="C567" s="2" t="str">
        <x:v>MEREVITO_CSAP / R14-J135</x:v>
      </x:c>
      <x:c r="D567" s="2" t="n">
        <x:v>333</x:v>
      </x:c>
      <x:c r="E567" s="2" t="n">
        <x:v>90</x:v>
      </x:c>
      <x:c r="F567" s="2" t="n">
        <x:v>-9</x:v>
      </x:c>
      <x:c r="G567" s="2" t="n">
        <x:v>-1</x:v>
      </x:c>
      <x:c r="H567" s="2" t="n">
        <x:v>0</x:v>
      </x:c>
      <x:c r="I567" s="2" t="n">
        <x:v>0</x:v>
      </x:c>
      <x:c r="J567" s="2" t="n">
        <x:v>8</x:v>
      </x:c>
      <x:c r="K567" s="2" t="n">
        <x:v>22</x:v>
      </x:c>
      <x:c r="L567" s="2" t="n">
        <x:v>369</x:v>
      </x:c>
      <x:c r="M567" s="2" t="n">
        <x:v>327</x:v>
      </x:c>
      <x:c r="N567" s="2" t="n">
        <x:v>2722</x:v>
      </x:c>
      <x:c r="O567" s="2" t="str">
        <x:v>R14 Ø8x30 bükk csap, 22+12 mélység; ragasztott próbakötés</x:v>
      </x:c>
    </x:row>
    <x:row r="568" ht="34" customHeight="1">
      <x:c r="A568" s="2" t="str">
        <x:v>H0563</x:v>
      </x:c>
      <x:c r="B568" s="2" t="str">
        <x:v>KI12-TV01C-01</x:v>
      </x:c>
      <x:c r="C568" s="2" t="str">
        <x:v>MEREVITO_CSAP / R14-J135</x:v>
      </x:c>
      <x:c r="D568" s="2" t="n">
        <x:v>2154</x:v>
      </x:c>
      <x:c r="E568" s="2" t="n">
        <x:v>327</x:v>
      </x:c>
      <x:c r="F568" s="2" t="n">
        <x:v>-18</x:v>
      </x:c>
      <x:c r="G568" s="2" t="n">
        <x:v>0</x:v>
      </x:c>
      <x:c r="H568" s="2" t="n">
        <x:v>0</x:v>
      </x:c>
      <x:c r="I568" s="2" t="n">
        <x:v>1</x:v>
      </x:c>
      <x:c r="J568" s="2" t="n">
        <x:v>8</x:v>
      </x:c>
      <x:c r="K568" s="2" t="n">
        <x:v>12</x:v>
      </x:c>
      <x:c r="L568" s="2" t="n">
        <x:v>369</x:v>
      </x:c>
      <x:c r="M568" s="2" t="n">
        <x:v>327</x:v>
      </x:c>
      <x:c r="N568" s="2" t="n">
        <x:v>2722</x:v>
      </x:c>
      <x:c r="O568" s="2" t="str">
        <x:v>R14 Ø8x30 bükk csap, 22+12 mélység; középosztón 10 mm eltolt tengely</x:v>
      </x:c>
    </x:row>
    <x:row r="569" ht="34" customHeight="1">
      <x:c r="A569" s="2" t="str">
        <x:v>H0564</x:v>
      </x:c>
      <x:c r="B569" s="2" t="str">
        <x:v>KI14-RAIL-07</x:v>
      </x:c>
      <x:c r="C569" s="2" t="str">
        <x:v>MEREVITO_CSAP / R14-J136</x:v>
      </x:c>
      <x:c r="D569" s="2" t="n">
        <x:v>0</x:v>
      </x:c>
      <x:c r="E569" s="2" t="n">
        <x:v>30</x:v>
      </x:c>
      <x:c r="F569" s="2" t="n">
        <x:v>-9</x:v>
      </x:c>
      <x:c r="G569" s="2" t="n">
        <x:v>1</x:v>
      </x:c>
      <x:c r="H569" s="2" t="n">
        <x:v>0</x:v>
      </x:c>
      <x:c r="I569" s="2" t="n">
        <x:v>0</x:v>
      </x:c>
      <x:c r="J569" s="2" t="n">
        <x:v>8</x:v>
      </x:c>
      <x:c r="K569" s="2" t="n">
        <x:v>22</x:v>
      </x:c>
      <x:c r="L569" s="2" t="n">
        <x:v>702</x:v>
      </x:c>
      <x:c r="M569" s="2" t="n">
        <x:v>327</x:v>
      </x:c>
      <x:c r="N569" s="2" t="n">
        <x:v>2662</x:v>
      </x:c>
      <x:c r="O569" s="2" t="str">
        <x:v>R14 Ø8x30 bükk csap, 22+12 mélység; ragasztott próbakötés</x:v>
      </x:c>
    </x:row>
    <x:row r="570" ht="34" customHeight="1">
      <x:c r="A570" s="2" t="str">
        <x:v>H0565</x:v>
      </x:c>
      <x:c r="B570" s="2" t="str">
        <x:v>KI12-TV01S-02</x:v>
      </x:c>
      <x:c r="C570" s="2" t="str">
        <x:v>MEREVITO_CSAP / R14-J136</x:v>
      </x:c>
      <x:c r="D570" s="2" t="n">
        <x:v>2112</x:v>
      </x:c>
      <x:c r="E570" s="2" t="n">
        <x:v>327</x:v>
      </x:c>
      <x:c r="F570" s="2" t="n">
        <x:v>0</x:v>
      </x:c>
      <x:c r="G570" s="2" t="n">
        <x:v>0</x:v>
      </x:c>
      <x:c r="H570" s="2" t="n">
        <x:v>0</x:v>
      </x:c>
      <x:c r="I570" s="2" t="n">
        <x:v>-1</x:v>
      </x:c>
      <x:c r="J570" s="2" t="n">
        <x:v>8</x:v>
      </x:c>
      <x:c r="K570" s="2" t="n">
        <x:v>12</x:v>
      </x:c>
      <x:c r="L570" s="2" t="n">
        <x:v>702</x:v>
      </x:c>
      <x:c r="M570" s="2" t="n">
        <x:v>327</x:v>
      </x:c>
      <x:c r="N570" s="2" t="n">
        <x:v>2662</x:v>
      </x:c>
      <x:c r="O570" s="2" t="str">
        <x:v>R14 Ø8x30 bükk csap, 22+12 mélység; középosztón 10 mm eltolt tengely</x:v>
      </x:c>
    </x:row>
    <x:row r="571" ht="34" customHeight="1">
      <x:c r="A571" s="2" t="str">
        <x:v>H0566</x:v>
      </x:c>
      <x:c r="B571" s="2" t="str">
        <x:v>KI14-RAIL-07</x:v>
      </x:c>
      <x:c r="C571" s="2" t="str">
        <x:v>MEREVITO_CSAP / R14-J137</x:v>
      </x:c>
      <x:c r="D571" s="2" t="n">
        <x:v>0</x:v>
      </x:c>
      <x:c r="E571" s="2" t="n">
        <x:v>60</x:v>
      </x:c>
      <x:c r="F571" s="2" t="n">
        <x:v>-9</x:v>
      </x:c>
      <x:c r="G571" s="2" t="n">
        <x:v>1</x:v>
      </x:c>
      <x:c r="H571" s="2" t="n">
        <x:v>0</x:v>
      </x:c>
      <x:c r="I571" s="2" t="n">
        <x:v>0</x:v>
      </x:c>
      <x:c r="J571" s="2" t="n">
        <x:v>8</x:v>
      </x:c>
      <x:c r="K571" s="2" t="n">
        <x:v>22</x:v>
      </x:c>
      <x:c r="L571" s="2" t="n">
        <x:v>702</x:v>
      </x:c>
      <x:c r="M571" s="2" t="n">
        <x:v>327</x:v>
      </x:c>
      <x:c r="N571" s="2" t="n">
        <x:v>2692</x:v>
      </x:c>
      <x:c r="O571" s="2" t="str">
        <x:v>R14 Ø8x30 bükk csap, 22+12 mélység; ragasztott próbakötés</x:v>
      </x:c>
    </x:row>
    <x:row r="572" ht="34" customHeight="1">
      <x:c r="A572" s="2" t="str">
        <x:v>H0567</x:v>
      </x:c>
      <x:c r="B572" s="2" t="str">
        <x:v>KI12-TV01S-02</x:v>
      </x:c>
      <x:c r="C572" s="2" t="str">
        <x:v>MEREVITO_CSAP / R14-J137</x:v>
      </x:c>
      <x:c r="D572" s="2" t="n">
        <x:v>2142</x:v>
      </x:c>
      <x:c r="E572" s="2" t="n">
        <x:v>327</x:v>
      </x:c>
      <x:c r="F572" s="2" t="n">
        <x:v>0</x:v>
      </x:c>
      <x:c r="G572" s="2" t="n">
        <x:v>0</x:v>
      </x:c>
      <x:c r="H572" s="2" t="n">
        <x:v>0</x:v>
      </x:c>
      <x:c r="I572" s="2" t="n">
        <x:v>-1</x:v>
      </x:c>
      <x:c r="J572" s="2" t="n">
        <x:v>8</x:v>
      </x:c>
      <x:c r="K572" s="2" t="n">
        <x:v>12</x:v>
      </x:c>
      <x:c r="L572" s="2" t="n">
        <x:v>702</x:v>
      </x:c>
      <x:c r="M572" s="2" t="n">
        <x:v>327</x:v>
      </x:c>
      <x:c r="N572" s="2" t="n">
        <x:v>2692</x:v>
      </x:c>
      <x:c r="O572" s="2" t="str">
        <x:v>R14 Ø8x30 bükk csap, 22+12 mélység; középosztón 10 mm eltolt tengely</x:v>
      </x:c>
    </x:row>
    <x:row r="573" ht="34" customHeight="1">
      <x:c r="A573" s="2" t="str">
        <x:v>H0568</x:v>
      </x:c>
      <x:c r="B573" s="2" t="str">
        <x:v>KI14-RAIL-07</x:v>
      </x:c>
      <x:c r="C573" s="2" t="str">
        <x:v>MEREVITO_CSAP / R14-J138</x:v>
      </x:c>
      <x:c r="D573" s="2" t="n">
        <x:v>0</x:v>
      </x:c>
      <x:c r="E573" s="2" t="n">
        <x:v>90</x:v>
      </x:c>
      <x:c r="F573" s="2" t="n">
        <x:v>-9</x:v>
      </x:c>
      <x:c r="G573" s="2" t="n">
        <x:v>1</x:v>
      </x:c>
      <x:c r="H573" s="2" t="n">
        <x:v>0</x:v>
      </x:c>
      <x:c r="I573" s="2" t="n">
        <x:v>0</x:v>
      </x:c>
      <x:c r="J573" s="2" t="n">
        <x:v>8</x:v>
      </x:c>
      <x:c r="K573" s="2" t="n">
        <x:v>22</x:v>
      </x:c>
      <x:c r="L573" s="2" t="n">
        <x:v>702</x:v>
      </x:c>
      <x:c r="M573" s="2" t="n">
        <x:v>327</x:v>
      </x:c>
      <x:c r="N573" s="2" t="n">
        <x:v>2722</x:v>
      </x:c>
      <x:c r="O573" s="2" t="str">
        <x:v>R14 Ø8x30 bükk csap, 22+12 mélység; ragasztott próbakötés</x:v>
      </x:c>
    </x:row>
    <x:row r="574" ht="34" customHeight="1">
      <x:c r="A574" s="2" t="str">
        <x:v>H0569</x:v>
      </x:c>
      <x:c r="B574" s="2" t="str">
        <x:v>KI12-TV01S-02</x:v>
      </x:c>
      <x:c r="C574" s="2" t="str">
        <x:v>MEREVITO_CSAP / R14-J138</x:v>
      </x:c>
      <x:c r="D574" s="2" t="n">
        <x:v>2172</x:v>
      </x:c>
      <x:c r="E574" s="2" t="n">
        <x:v>327</x:v>
      </x:c>
      <x:c r="F574" s="2" t="n">
        <x:v>0</x:v>
      </x:c>
      <x:c r="G574" s="2" t="n">
        <x:v>0</x:v>
      </x:c>
      <x:c r="H574" s="2" t="n">
        <x:v>0</x:v>
      </x:c>
      <x:c r="I574" s="2" t="n">
        <x:v>-1</x:v>
      </x:c>
      <x:c r="J574" s="2" t="n">
        <x:v>8</x:v>
      </x:c>
      <x:c r="K574" s="2" t="n">
        <x:v>12</x:v>
      </x:c>
      <x:c r="L574" s="2" t="n">
        <x:v>702</x:v>
      </x:c>
      <x:c r="M574" s="2" t="n">
        <x:v>327</x:v>
      </x:c>
      <x:c r="N574" s="2" t="n">
        <x:v>2722</x:v>
      </x:c>
      <x:c r="O574" s="2" t="str">
        <x:v>R14 Ø8x30 bükk csap, 22+12 mélység; középosztón 10 mm eltolt tengely</x:v>
      </x:c>
    </x:row>
    <x:row r="575" ht="34" customHeight="1">
      <x:c r="A575" s="2" t="str">
        <x:v>H0570</x:v>
      </x:c>
      <x:c r="B575" s="2" t="str">
        <x:v>KI12-TV01C-01</x:v>
      </x:c>
      <x:c r="C575" s="2" t="str">
        <x:v>TIPON_ADAPTER</x:v>
      </x:c>
      <x:c r="D575" s="2" t="n">
        <x:v>632</x:v>
      </x:c>
      <x:c r="E575" s="2" t="n">
        <x:v>20</x:v>
      </x:c>
      <x:c r="F575" s="2" t="n">
        <x:v>0</x:v>
      </x:c>
      <x:c r="G575" s="2" t="n">
        <x:v>0</x:v>
      </x:c>
      <x:c r="H575" s="2" t="n">
        <x:v>0</x:v>
      </x:c>
      <x:c r="I575" s="2" t="n">
        <x:v>-1</x:v>
      </x:c>
      <x:c r="J575" s="2" t="n">
        <x:v>2.5</x:v>
      </x:c>
      <x:c r="K575" s="2" t="n">
        <x:v>10</x:v>
      </x:c>
      <x:c r="L575" s="2" t="n">
        <x:v>351</x:v>
      </x:c>
      <x:c r="M575" s="2" t="n">
        <x:v>20</x:v>
      </x:c>
      <x:c r="N575" s="2" t="n">
        <x:v>1200</x:v>
      </x:c>
      <x:c r="O575" s="2" t="str">
        <x:v>Blum LIT.HNG4700.06.17 p2: setback20/spacing32; Ø2.5x10 designer pilot, trial required</x:v>
      </x:c>
    </x:row>
    <x:row r="576" ht="34" customHeight="1">
      <x:c r="A576" s="2" t="str">
        <x:v>H0571</x:v>
      </x:c>
      <x:c r="B576" s="2" t="str">
        <x:v>KI12-TV01C-01</x:v>
      </x:c>
      <x:c r="C576" s="2" t="str">
        <x:v>TIPON_ADAPTER</x:v>
      </x:c>
      <x:c r="D576" s="2" t="n">
        <x:v>632</x:v>
      </x:c>
      <x:c r="E576" s="2" t="n">
        <x:v>52</x:v>
      </x:c>
      <x:c r="F576" s="2" t="n">
        <x:v>0</x:v>
      </x:c>
      <x:c r="G576" s="2" t="n">
        <x:v>0</x:v>
      </x:c>
      <x:c r="H576" s="2" t="n">
        <x:v>0</x:v>
      </x:c>
      <x:c r="I576" s="2" t="n">
        <x:v>-1</x:v>
      </x:c>
      <x:c r="J576" s="2" t="n">
        <x:v>2.5</x:v>
      </x:c>
      <x:c r="K576" s="2" t="n">
        <x:v>10</x:v>
      </x:c>
      <x:c r="L576" s="2" t="n">
        <x:v>351</x:v>
      </x:c>
      <x:c r="M576" s="2" t="n">
        <x:v>52</x:v>
      </x:c>
      <x:c r="N576" s="2" t="n">
        <x:v>1200</x:v>
      </x:c>
      <x:c r="O576" s="2" t="str">
        <x:v>Blum LIT.HNG4700.06.17 p2: setback20/spacing32; Ø2.5x10 designer pilot, trial required</x:v>
      </x:c>
    </x:row>
    <x:row r="577" ht="34" customHeight="1">
      <x:c r="A577" s="2" t="str">
        <x:v>H0572</x:v>
      </x:c>
      <x:c r="B577" s="2" t="str">
        <x:v>KI12-TV01C-01</x:v>
      </x:c>
      <x:c r="C577" s="2" t="str">
        <x:v>TIPON_ADAPTER</x:v>
      </x:c>
      <x:c r="D577" s="2" t="n">
        <x:v>682</x:v>
      </x:c>
      <x:c r="E577" s="2" t="n">
        <x:v>20</x:v>
      </x:c>
      <x:c r="F577" s="2" t="n">
        <x:v>-18</x:v>
      </x:c>
      <x:c r="G577" s="2" t="n">
        <x:v>0</x:v>
      </x:c>
      <x:c r="H577" s="2" t="n">
        <x:v>0</x:v>
      </x:c>
      <x:c r="I577" s="2" t="n">
        <x:v>1</x:v>
      </x:c>
      <x:c r="J577" s="2" t="n">
        <x:v>2.5</x:v>
      </x:c>
      <x:c r="K577" s="2" t="n">
        <x:v>10</x:v>
      </x:c>
      <x:c r="L577" s="2" t="n">
        <x:v>369</x:v>
      </x:c>
      <x:c r="M577" s="2" t="n">
        <x:v>20</x:v>
      </x:c>
      <x:c r="N577" s="2" t="n">
        <x:v>1250</x:v>
      </x:c>
      <x:c r="O577" s="2" t="str">
        <x:v>Blum LIT.HNG4700.06.17 p2: setback20/spacing32; Ø2.5x10 designer pilot, trial required</x:v>
      </x:c>
    </x:row>
    <x:row r="578" ht="34" customHeight="1">
      <x:c r="A578" s="2" t="str">
        <x:v>H0573</x:v>
      </x:c>
      <x:c r="B578" s="2" t="str">
        <x:v>KI12-TV01C-01</x:v>
      </x:c>
      <x:c r="C578" s="2" t="str">
        <x:v>TIPON_ADAPTER</x:v>
      </x:c>
      <x:c r="D578" s="2" t="n">
        <x:v>682</x:v>
      </x:c>
      <x:c r="E578" s="2" t="n">
        <x:v>52</x:v>
      </x:c>
      <x:c r="F578" s="2" t="n">
        <x:v>-18</x:v>
      </x:c>
      <x:c r="G578" s="2" t="n">
        <x:v>0</x:v>
      </x:c>
      <x:c r="H578" s="2" t="n">
        <x:v>0</x:v>
      </x:c>
      <x:c r="I578" s="2" t="n">
        <x:v>1</x:v>
      </x:c>
      <x:c r="J578" s="2" t="n">
        <x:v>2.5</x:v>
      </x:c>
      <x:c r="K578" s="2" t="n">
        <x:v>10</x:v>
      </x:c>
      <x:c r="L578" s="2" t="n">
        <x:v>369</x:v>
      </x:c>
      <x:c r="M578" s="2" t="n">
        <x:v>52</x:v>
      </x:c>
      <x:c r="N578" s="2" t="n">
        <x:v>1250</x:v>
      </x:c>
      <x:c r="O578" s="2" t="str">
        <x:v>Blum LIT.HNG4700.06.17 p2: setback20/spacing32; Ø2.5x10 designer pilot, trial required</x:v>
      </x:c>
    </x:row>
    <x:row r="579" ht="34" customHeight="1">
      <x:c r="A579" s="2" t="str">
        <x:v>H0574</x:v>
      </x:c>
      <x:c r="B579" s="2" t="str">
        <x:v>KI12-TV02S-02</x:v>
      </x:c>
      <x:c r="C579" s="2" t="str">
        <x:v>TIPON_ADAPTER</x:v>
      </x:c>
      <x:c r="D579" s="2" t="n">
        <x:v>300</x:v>
      </x:c>
      <x:c r="E579" s="2" t="n">
        <x:v>20</x:v>
      </x:c>
      <x:c r="F579" s="2" t="n">
        <x:v>0</x:v>
      </x:c>
      <x:c r="G579" s="2" t="n">
        <x:v>0</x:v>
      </x:c>
      <x:c r="H579" s="2" t="n">
        <x:v>0</x:v>
      </x:c>
      <x:c r="I579" s="2" t="n">
        <x:v>-1</x:v>
      </x:c>
      <x:c r="J579" s="2" t="n">
        <x:v>2.5</x:v>
      </x:c>
      <x:c r="K579" s="2" t="n">
        <x:v>10</x:v>
      </x:c>
      <x:c r="L579" s="2" t="n">
        <x:v>702</x:v>
      </x:c>
      <x:c r="M579" s="2" t="n">
        <x:v>20</x:v>
      </x:c>
      <x:c r="N579" s="2" t="n">
        <x:v>450</x:v>
      </x:c>
      <x:c r="O579" s="2" t="str">
        <x:v>Blum LIT.HNG4700.06.17 p2: setback20/spacing17; Ø2.5x10 designer pilot, trial required</x:v>
      </x:c>
    </x:row>
    <x:row r="580" ht="34" customHeight="1">
      <x:c r="A580" s="2" t="str">
        <x:v>H0575</x:v>
      </x:c>
      <x:c r="B580" s="2" t="str">
        <x:v>KI12-TV02S-02</x:v>
      </x:c>
      <x:c r="C580" s="2" t="str">
        <x:v>TIPON_ADAPTER</x:v>
      </x:c>
      <x:c r="D580" s="2" t="n">
        <x:v>300</x:v>
      </x:c>
      <x:c r="E580" s="2" t="n">
        <x:v>37</x:v>
      </x:c>
      <x:c r="F580" s="2" t="n">
        <x:v>0</x:v>
      </x:c>
      <x:c r="G580" s="2" t="n">
        <x:v>0</x:v>
      </x:c>
      <x:c r="H580" s="2" t="n">
        <x:v>0</x:v>
      </x:c>
      <x:c r="I580" s="2" t="n">
        <x:v>-1</x:v>
      </x:c>
      <x:c r="J580" s="2" t="n">
        <x:v>2.5</x:v>
      </x:c>
      <x:c r="K580" s="2" t="n">
        <x:v>10</x:v>
      </x:c>
      <x:c r="L580" s="2" t="n">
        <x:v>702</x:v>
      </x:c>
      <x:c r="M580" s="2" t="n">
        <x:v>37</x:v>
      </x:c>
      <x:c r="N580" s="2" t="n">
        <x:v>450</x:v>
      </x:c>
      <x:c r="O580" s="2" t="str">
        <x:v>Blum LIT.HNG4700.06.17 p2: setback20/spacing17; Ø2.5x10 designer pilot, trial required</x:v>
      </x:c>
    </x:row>
    <x:row r="581" ht="34" customHeight="1">
      <x:c r="A581" s="2" t="str">
        <x:v>H0576</x:v>
      </x:c>
      <x:c r="B581" s="2" t="str">
        <x:v>KI12-TV02S-04</x:v>
      </x:c>
      <x:c r="C581" s="2" t="str">
        <x:v>TIPON_ADAPTER</x:v>
      </x:c>
      <x:c r="D581" s="2" t="n">
        <x:v>300</x:v>
      </x:c>
      <x:c r="E581" s="2" t="n">
        <x:v>20</x:v>
      </x:c>
      <x:c r="F581" s="2" t="n">
        <x:v>0</x:v>
      </x:c>
      <x:c r="G581" s="2" t="n">
        <x:v>0</x:v>
      </x:c>
      <x:c r="H581" s="2" t="n">
        <x:v>0</x:v>
      </x:c>
      <x:c r="I581" s="2" t="n">
        <x:v>-1</x:v>
      </x:c>
      <x:c r="J581" s="2" t="n">
        <x:v>2.5</x:v>
      </x:c>
      <x:c r="K581" s="2" t="n">
        <x:v>10</x:v>
      </x:c>
      <x:c r="L581" s="2" t="n">
        <x:v>1512</x:v>
      </x:c>
      <x:c r="M581" s="2" t="n">
        <x:v>20</x:v>
      </x:c>
      <x:c r="N581" s="2" t="n">
        <x:v>450</x:v>
      </x:c>
      <x:c r="O581" s="2" t="str">
        <x:v>Blum LIT.HNG4700.06.17 p2: setback20/spacing17; Ø2.5x10 designer pilot, trial required</x:v>
      </x:c>
    </x:row>
    <x:row r="582" ht="34" customHeight="1">
      <x:c r="A582" s="2" t="str">
        <x:v>H0577</x:v>
      </x:c>
      <x:c r="B582" s="2" t="str">
        <x:v>KI12-TV02S-04</x:v>
      </x:c>
      <x:c r="C582" s="2" t="str">
        <x:v>TIPON_ADAPTER</x:v>
      </x:c>
      <x:c r="D582" s="2" t="n">
        <x:v>300</x:v>
      </x:c>
      <x:c r="E582" s="2" t="n">
        <x:v>37</x:v>
      </x:c>
      <x:c r="F582" s="2" t="n">
        <x:v>0</x:v>
      </x:c>
      <x:c r="G582" s="2" t="n">
        <x:v>0</x:v>
      </x:c>
      <x:c r="H582" s="2" t="n">
        <x:v>0</x:v>
      </x:c>
      <x:c r="I582" s="2" t="n">
        <x:v>-1</x:v>
      </x:c>
      <x:c r="J582" s="2" t="n">
        <x:v>2.5</x:v>
      </x:c>
      <x:c r="K582" s="2" t="n">
        <x:v>10</x:v>
      </x:c>
      <x:c r="L582" s="2" t="n">
        <x:v>1512</x:v>
      </x:c>
      <x:c r="M582" s="2" t="n">
        <x:v>37</x:v>
      </x:c>
      <x:c r="N582" s="2" t="n">
        <x:v>450</x:v>
      </x:c>
      <x:c r="O582" s="2" t="str">
        <x:v>Blum LIT.HNG4700.06.17 p2: setback20/spacing17; Ø2.5x10 designer pilot, trial required</x:v>
      </x:c>
    </x:row>
    <x:row r="583" ht="34" customHeight="1">
      <x:c r="A583" s="2" t="str">
        <x:v>H0578</x:v>
      </x:c>
      <x:c r="B583" s="2" t="str">
        <x:v>KI12-TV02S-10</x:v>
      </x:c>
      <x:c r="C583" s="2" t="str">
        <x:v>TIPON_ADAPTER</x:v>
      </x:c>
      <x:c r="D583" s="2" t="n">
        <x:v>300</x:v>
      </x:c>
      <x:c r="E583" s="2" t="n">
        <x:v>20</x:v>
      </x:c>
      <x:c r="F583" s="2" t="n">
        <x:v>0</x:v>
      </x:c>
      <x:c r="G583" s="2" t="n">
        <x:v>0</x:v>
      </x:c>
      <x:c r="H583" s="2" t="n">
        <x:v>0</x:v>
      </x:c>
      <x:c r="I583" s="2" t="n">
        <x:v>-1</x:v>
      </x:c>
      <x:c r="J583" s="2" t="n">
        <x:v>2.5</x:v>
      </x:c>
      <x:c r="K583" s="2" t="n">
        <x:v>10</x:v>
      </x:c>
      <x:c r="L583" s="2" t="n">
        <x:v>3582</x:v>
      </x:c>
      <x:c r="M583" s="2" t="n">
        <x:v>20</x:v>
      </x:c>
      <x:c r="N583" s="2" t="n">
        <x:v>450</x:v>
      </x:c>
      <x:c r="O583" s="2" t="str">
        <x:v>Blum LIT.HNG4700.06.17 p2: setback20/spacing17; Ø2.5x10 designer pilot, trial required</x:v>
      </x:c>
    </x:row>
    <x:row r="584" ht="34" customHeight="1">
      <x:c r="A584" s="2" t="str">
        <x:v>H0579</x:v>
      </x:c>
      <x:c r="B584" s="2" t="str">
        <x:v>KI12-TV02S-10</x:v>
      </x:c>
      <x:c r="C584" s="2" t="str">
        <x:v>TIPON_ADAPTER</x:v>
      </x:c>
      <x:c r="D584" s="2" t="n">
        <x:v>300</x:v>
      </x:c>
      <x:c r="E584" s="2" t="n">
        <x:v>37</x:v>
      </x:c>
      <x:c r="F584" s="2" t="n">
        <x:v>0</x:v>
      </x:c>
      <x:c r="G584" s="2" t="n">
        <x:v>0</x:v>
      </x:c>
      <x:c r="H584" s="2" t="n">
        <x:v>0</x:v>
      </x:c>
      <x:c r="I584" s="2" t="n">
        <x:v>-1</x:v>
      </x:c>
      <x:c r="J584" s="2" t="n">
        <x:v>2.5</x:v>
      </x:c>
      <x:c r="K584" s="2" t="n">
        <x:v>10</x:v>
      </x:c>
      <x:c r="L584" s="2" t="n">
        <x:v>3582</x:v>
      </x:c>
      <x:c r="M584" s="2" t="n">
        <x:v>37</x:v>
      </x:c>
      <x:c r="N584" s="2" t="n">
        <x:v>450</x:v>
      </x:c>
      <x:c r="O584" s="2" t="str">
        <x:v>Blum LIT.HNG4700.06.17 p2: setback20/spacing17; Ø2.5x10 designer pilot, trial required</x:v>
      </x:c>
    </x:row>
    <x:row r="585" ht="34" customHeight="1">
      <x:c r="A585" s="2" t="str">
        <x:v>H0580</x:v>
      </x:c>
      <x:c r="B585" s="2" t="str">
        <x:v>KI12-TV01S-01</x:v>
      </x:c>
      <x:c r="C585" s="2" t="str">
        <x:v>CAMAR807_DUBEL</x:v>
      </x:c>
      <x:c r="D585" s="2" t="n">
        <x:v>2282</x:v>
      </x:c>
      <x:c r="E585" s="2" t="n">
        <x:v>330</x:v>
      </x:c>
      <x:c r="F585" s="2" t="n">
        <x:v>-18</x:v>
      </x:c>
      <x:c r="G585" s="2" t="n">
        <x:v>0</x:v>
      </x:c>
      <x:c r="H585" s="2" t="n">
        <x:v>0</x:v>
      </x:c>
      <x:c r="I585" s="2" t="n">
        <x:v>1</x:v>
      </x:c>
      <x:c r="J585" s="2" t="n">
        <x:v>10</x:v>
      </x:c>
      <x:c r="K585" s="2" t="n">
        <x:v>12</x:v>
      </x:c>
      <x:c r="L585" s="2" t="n">
        <x:v>18</x:v>
      </x:c>
      <x:c r="M585" s="2" t="n">
        <x:v>330</x:v>
      </x:c>
      <x:c r="N585" s="2" t="n">
        <x:v>2832</x:v>
      </x:c>
      <x:c r="O585" s="2" t="str">
        <x:v>Camar807_IN.pdf F1: Ø10/12,32x64;30mm felső visszaállás; új vasalat/oldallap próba és alkalmazás jóváhagyandó</x:v>
      </x:c>
    </x:row>
    <x:row r="586" ht="34" customHeight="1">
      <x:c r="A586" s="2" t="str">
        <x:v>H0581</x:v>
      </x:c>
      <x:c r="B586" s="2" t="str">
        <x:v>KI12-TV01S-01</x:v>
      </x:c>
      <x:c r="C586" s="2" t="str">
        <x:v>CAMAR807_DUBEL</x:v>
      </x:c>
      <x:c r="D586" s="2" t="n">
        <x:v>2218</x:v>
      </x:c>
      <x:c r="E586" s="2" t="n">
        <x:v>330</x:v>
      </x:c>
      <x:c r="F586" s="2" t="n">
        <x:v>-18</x:v>
      </x:c>
      <x:c r="G586" s="2" t="n">
        <x:v>0</x:v>
      </x:c>
      <x:c r="H586" s="2" t="n">
        <x:v>0</x:v>
      </x:c>
      <x:c r="I586" s="2" t="n">
        <x:v>1</x:v>
      </x:c>
      <x:c r="J586" s="2" t="n">
        <x:v>10</x:v>
      </x:c>
      <x:c r="K586" s="2" t="n">
        <x:v>12</x:v>
      </x:c>
      <x:c r="L586" s="2" t="n">
        <x:v>18</x:v>
      </x:c>
      <x:c r="M586" s="2" t="n">
        <x:v>330</x:v>
      </x:c>
      <x:c r="N586" s="2" t="n">
        <x:v>2768</x:v>
      </x:c>
      <x:c r="O586" s="2" t="str">
        <x:v>Camar807_IN.pdf F1: Ø10/12,32x64;30mm felső visszaállás; új vasalat/oldallap próba és alkalmazás jóváhagyandó</x:v>
      </x:c>
    </x:row>
    <x:row r="587" ht="34" customHeight="1">
      <x:c r="A587" s="2" t="str">
        <x:v>H0582</x:v>
      </x:c>
      <x:c r="B587" s="2" t="str">
        <x:v>KI12-TV01S-01</x:v>
      </x:c>
      <x:c r="C587" s="2" t="str">
        <x:v>CAMAR807_DUBEL</x:v>
      </x:c>
      <x:c r="D587" s="2" t="n">
        <x:v>2282</x:v>
      </x:c>
      <x:c r="E587" s="2" t="n">
        <x:v>362</x:v>
      </x:c>
      <x:c r="F587" s="2" t="n">
        <x:v>-18</x:v>
      </x:c>
      <x:c r="G587" s="2" t="n">
        <x:v>0</x:v>
      </x:c>
      <x:c r="H587" s="2" t="n">
        <x:v>0</x:v>
      </x:c>
      <x:c r="I587" s="2" t="n">
        <x:v>1</x:v>
      </x:c>
      <x:c r="J587" s="2" t="n">
        <x:v>10</x:v>
      </x:c>
      <x:c r="K587" s="2" t="n">
        <x:v>12</x:v>
      </x:c>
      <x:c r="L587" s="2" t="n">
        <x:v>18</x:v>
      </x:c>
      <x:c r="M587" s="2" t="n">
        <x:v>362</x:v>
      </x:c>
      <x:c r="N587" s="2" t="n">
        <x:v>2832</x:v>
      </x:c>
      <x:c r="O587" s="2" t="str">
        <x:v>Camar807_IN.pdf F1: Ø10/12,32x64;30mm felső visszaállás; új vasalat/oldallap próba és alkalmazás jóváhagyandó</x:v>
      </x:c>
    </x:row>
    <x:row r="588" ht="34" customHeight="1">
      <x:c r="A588" s="2" t="str">
        <x:v>H0583</x:v>
      </x:c>
      <x:c r="B588" s="2" t="str">
        <x:v>KI12-TV01S-01</x:v>
      </x:c>
      <x:c r="C588" s="2" t="str">
        <x:v>CAMAR807_DUBEL</x:v>
      </x:c>
      <x:c r="D588" s="2" t="n">
        <x:v>2218</x:v>
      </x:c>
      <x:c r="E588" s="2" t="n">
        <x:v>362</x:v>
      </x:c>
      <x:c r="F588" s="2" t="n">
        <x:v>-18</x:v>
      </x:c>
      <x:c r="G588" s="2" t="n">
        <x:v>0</x:v>
      </x:c>
      <x:c r="H588" s="2" t="n">
        <x:v>0</x:v>
      </x:c>
      <x:c r="I588" s="2" t="n">
        <x:v>1</x:v>
      </x:c>
      <x:c r="J588" s="2" t="n">
        <x:v>10</x:v>
      </x:c>
      <x:c r="K588" s="2" t="n">
        <x:v>12</x:v>
      </x:c>
      <x:c r="L588" s="2" t="n">
        <x:v>18</x:v>
      </x:c>
      <x:c r="M588" s="2" t="n">
        <x:v>362</x:v>
      </x:c>
      <x:c r="N588" s="2" t="n">
        <x:v>2768</x:v>
      </x:c>
      <x:c r="O588" s="2" t="str">
        <x:v>Camar807_IN.pdf F1: Ø10/12,32x64;30mm felső visszaállás; új vasalat/oldallap próba és alkalmazás jóváhagyandó</x:v>
      </x:c>
    </x:row>
    <x:row r="589" ht="34" customHeight="1">
      <x:c r="A589" s="2" t="str">
        <x:v>H0584</x:v>
      </x:c>
      <x:c r="B589" s="2" t="str">
        <x:v>KI12-TV01S-02</x:v>
      </x:c>
      <x:c r="C589" s="2" t="str">
        <x:v>CAMAR807_DUBEL</x:v>
      </x:c>
      <x:c r="D589" s="2" t="n">
        <x:v>2282</x:v>
      </x:c>
      <x:c r="E589" s="2" t="n">
        <x:v>330</x:v>
      </x:c>
      <x:c r="F589" s="2" t="n">
        <x:v>0</x:v>
      </x:c>
      <x:c r="G589" s="2" t="n">
        <x:v>0</x:v>
      </x:c>
      <x:c r="H589" s="2" t="n">
        <x:v>0</x:v>
      </x:c>
      <x:c r="I589" s="2" t="n">
        <x:v>-1</x:v>
      </x:c>
      <x:c r="J589" s="2" t="n">
        <x:v>10</x:v>
      </x:c>
      <x:c r="K589" s="2" t="n">
        <x:v>12</x:v>
      </x:c>
      <x:c r="L589" s="2" t="n">
        <x:v>702</x:v>
      </x:c>
      <x:c r="M589" s="2" t="n">
        <x:v>330</x:v>
      </x:c>
      <x:c r="N589" s="2" t="n">
        <x:v>2832</x:v>
      </x:c>
      <x:c r="O589" s="2" t="str">
        <x:v>Camar807_IN.pdf F1: Ø10/12,32x64;30mm felső visszaállás; új vasalat/oldallap próba és alkalmazás jóváhagyandó</x:v>
      </x:c>
    </x:row>
    <x:row r="590" ht="34" customHeight="1">
      <x:c r="A590" s="2" t="str">
        <x:v>H0585</x:v>
      </x:c>
      <x:c r="B590" s="2" t="str">
        <x:v>KI12-TV01S-02</x:v>
      </x:c>
      <x:c r="C590" s="2" t="str">
        <x:v>CAMAR807_DUBEL</x:v>
      </x:c>
      <x:c r="D590" s="2" t="n">
        <x:v>2218</x:v>
      </x:c>
      <x:c r="E590" s="2" t="n">
        <x:v>330</x:v>
      </x:c>
      <x:c r="F590" s="2" t="n">
        <x:v>0</x:v>
      </x:c>
      <x:c r="G590" s="2" t="n">
        <x:v>0</x:v>
      </x:c>
      <x:c r="H590" s="2" t="n">
        <x:v>0</x:v>
      </x:c>
      <x:c r="I590" s="2" t="n">
        <x:v>-1</x:v>
      </x:c>
      <x:c r="J590" s="2" t="n">
        <x:v>10</x:v>
      </x:c>
      <x:c r="K590" s="2" t="n">
        <x:v>12</x:v>
      </x:c>
      <x:c r="L590" s="2" t="n">
        <x:v>702</x:v>
      </x:c>
      <x:c r="M590" s="2" t="n">
        <x:v>330</x:v>
      </x:c>
      <x:c r="N590" s="2" t="n">
        <x:v>2768</x:v>
      </x:c>
      <x:c r="O590" s="2" t="str">
        <x:v>Camar807_IN.pdf F1: Ø10/12,32x64;30mm felső visszaállás; új vasalat/oldallap próba és alkalmazás jóváhagyandó</x:v>
      </x:c>
    </x:row>
    <x:row r="591" ht="34" customHeight="1">
      <x:c r="A591" s="2" t="str">
        <x:v>H0586</x:v>
      </x:c>
      <x:c r="B591" s="2" t="str">
        <x:v>KI12-TV01S-02</x:v>
      </x:c>
      <x:c r="C591" s="2" t="str">
        <x:v>CAMAR807_DUBEL</x:v>
      </x:c>
      <x:c r="D591" s="2" t="n">
        <x:v>2282</x:v>
      </x:c>
      <x:c r="E591" s="2" t="n">
        <x:v>362</x:v>
      </x:c>
      <x:c r="F591" s="2" t="n">
        <x:v>0</x:v>
      </x:c>
      <x:c r="G591" s="2" t="n">
        <x:v>0</x:v>
      </x:c>
      <x:c r="H591" s="2" t="n">
        <x:v>0</x:v>
      </x:c>
      <x:c r="I591" s="2" t="n">
        <x:v>-1</x:v>
      </x:c>
      <x:c r="J591" s="2" t="n">
        <x:v>10</x:v>
      </x:c>
      <x:c r="K591" s="2" t="n">
        <x:v>12</x:v>
      </x:c>
      <x:c r="L591" s="2" t="n">
        <x:v>702</x:v>
      </x:c>
      <x:c r="M591" s="2" t="n">
        <x:v>362</x:v>
      </x:c>
      <x:c r="N591" s="2" t="n">
        <x:v>2832</x:v>
      </x:c>
      <x:c r="O591" s="2" t="str">
        <x:v>Camar807_IN.pdf F1: Ø10/12,32x64;30mm felső visszaállás; új vasalat/oldallap próba és alkalmazás jóváhagyandó</x:v>
      </x:c>
    </x:row>
    <x:row r="592" ht="34" customHeight="1">
      <x:c r="A592" s="2" t="str">
        <x:v>H0587</x:v>
      </x:c>
      <x:c r="B592" s="2" t="str">
        <x:v>KI12-TV01S-02</x:v>
      </x:c>
      <x:c r="C592" s="2" t="str">
        <x:v>CAMAR807_DUBEL</x:v>
      </x:c>
      <x:c r="D592" s="2" t="n">
        <x:v>2218</x:v>
      </x:c>
      <x:c r="E592" s="2" t="n">
        <x:v>362</x:v>
      </x:c>
      <x:c r="F592" s="2" t="n">
        <x:v>0</x:v>
      </x:c>
      <x:c r="G592" s="2" t="n">
        <x:v>0</x:v>
      </x:c>
      <x:c r="H592" s="2" t="n">
        <x:v>0</x:v>
      </x:c>
      <x:c r="I592" s="2" t="n">
        <x:v>-1</x:v>
      </x:c>
      <x:c r="J592" s="2" t="n">
        <x:v>10</x:v>
      </x:c>
      <x:c r="K592" s="2" t="n">
        <x:v>12</x:v>
      </x:c>
      <x:c r="L592" s="2" t="n">
        <x:v>702</x:v>
      </x:c>
      <x:c r="M592" s="2" t="n">
        <x:v>362</x:v>
      </x:c>
      <x:c r="N592" s="2" t="n">
        <x:v>2768</x:v>
      </x:c>
      <x:c r="O592" s="2" t="str">
        <x:v>Camar807_IN.pdf F1: Ø10/12,32x64;30mm felső visszaállás; új vasalat/oldallap próba és alkalmazás jóváhagyandó</x:v>
      </x:c>
    </x:row>
    <x:row r="593" ht="34" customHeight="1">
      <x:c r="A593" s="2" t="str">
        <x:v>H0588</x:v>
      </x:c>
      <x:c r="B593" s="2" t="str">
        <x:v>KI12-TV02S-01</x:v>
      </x:c>
      <x:c r="C593" s="2" t="str">
        <x:v>CAMAR807_DUBEL</x:v>
      </x:c>
      <x:c r="D593" s="2" t="n">
        <x:v>352</x:v>
      </x:c>
      <x:c r="E593" s="2" t="n">
        <x:v>330</x:v>
      </x:c>
      <x:c r="F593" s="2" t="n">
        <x:v>-18</x:v>
      </x:c>
      <x:c r="G593" s="2" t="n">
        <x:v>0</x:v>
      </x:c>
      <x:c r="H593" s="2" t="n">
        <x:v>0</x:v>
      </x:c>
      <x:c r="I593" s="2" t="n">
        <x:v>1</x:v>
      </x:c>
      <x:c r="J593" s="2" t="n">
        <x:v>10</x:v>
      </x:c>
      <x:c r="K593" s="2" t="n">
        <x:v>12</x:v>
      </x:c>
      <x:c r="L593" s="2" t="n">
        <x:v>18</x:v>
      </x:c>
      <x:c r="M593" s="2" t="n">
        <x:v>330</x:v>
      </x:c>
      <x:c r="N593" s="2" t="n">
        <x:v>502</x:v>
      </x:c>
      <x:c r="O593" s="2" t="str">
        <x:v>Camar807_IN.pdf F1: Ø10/12,32x64;30mm felső visszaállás; új vasalat/oldallap próba és alkalmazás jóváhagyandó</x:v>
      </x:c>
    </x:row>
    <x:row r="594" ht="34" customHeight="1">
      <x:c r="A594" s="2" t="str">
        <x:v>H0589</x:v>
      </x:c>
      <x:c r="B594" s="2" t="str">
        <x:v>KI12-TV02S-01</x:v>
      </x:c>
      <x:c r="C594" s="2" t="str">
        <x:v>CAMAR807_DUBEL</x:v>
      </x:c>
      <x:c r="D594" s="2" t="n">
        <x:v>288</x:v>
      </x:c>
      <x:c r="E594" s="2" t="n">
        <x:v>330</x:v>
      </x:c>
      <x:c r="F594" s="2" t="n">
        <x:v>-18</x:v>
      </x:c>
      <x:c r="G594" s="2" t="n">
        <x:v>0</x:v>
      </x:c>
      <x:c r="H594" s="2" t="n">
        <x:v>0</x:v>
      </x:c>
      <x:c r="I594" s="2" t="n">
        <x:v>1</x:v>
      </x:c>
      <x:c r="J594" s="2" t="n">
        <x:v>10</x:v>
      </x:c>
      <x:c r="K594" s="2" t="n">
        <x:v>12</x:v>
      </x:c>
      <x:c r="L594" s="2" t="n">
        <x:v>18</x:v>
      </x:c>
      <x:c r="M594" s="2" t="n">
        <x:v>330</x:v>
      </x:c>
      <x:c r="N594" s="2" t="n">
        <x:v>438</x:v>
      </x:c>
      <x:c r="O594" s="2" t="str">
        <x:v>Camar807_IN.pdf F1: Ø10/12,32x64;30mm felső visszaállás; új vasalat/oldallap próba és alkalmazás jóváhagyandó</x:v>
      </x:c>
    </x:row>
    <x:row r="595" ht="34" customHeight="1">
      <x:c r="A595" s="2" t="str">
        <x:v>H0590</x:v>
      </x:c>
      <x:c r="B595" s="2" t="str">
        <x:v>KI12-TV02S-01</x:v>
      </x:c>
      <x:c r="C595" s="2" t="str">
        <x:v>CAMAR807_DUBEL</x:v>
      </x:c>
      <x:c r="D595" s="2" t="n">
        <x:v>352</x:v>
      </x:c>
      <x:c r="E595" s="2" t="n">
        <x:v>362</x:v>
      </x:c>
      <x:c r="F595" s="2" t="n">
        <x:v>-18</x:v>
      </x:c>
      <x:c r="G595" s="2" t="n">
        <x:v>0</x:v>
      </x:c>
      <x:c r="H595" s="2" t="n">
        <x:v>0</x:v>
      </x:c>
      <x:c r="I595" s="2" t="n">
        <x:v>1</x:v>
      </x:c>
      <x:c r="J595" s="2" t="n">
        <x:v>10</x:v>
      </x:c>
      <x:c r="K595" s="2" t="n">
        <x:v>12</x:v>
      </x:c>
      <x:c r="L595" s="2" t="n">
        <x:v>18</x:v>
      </x:c>
      <x:c r="M595" s="2" t="n">
        <x:v>362</x:v>
      </x:c>
      <x:c r="N595" s="2" t="n">
        <x:v>502</x:v>
      </x:c>
      <x:c r="O595" s="2" t="str">
        <x:v>Camar807_IN.pdf F1: Ø10/12,32x64;30mm felső visszaállás; új vasalat/oldallap próba és alkalmazás jóváhagyandó</x:v>
      </x:c>
    </x:row>
    <x:row r="596" ht="34" customHeight="1">
      <x:c r="A596" s="2" t="str">
        <x:v>H0591</x:v>
      </x:c>
      <x:c r="B596" s="2" t="str">
        <x:v>KI12-TV02S-01</x:v>
      </x:c>
      <x:c r="C596" s="2" t="str">
        <x:v>CAMAR807_DUBEL</x:v>
      </x:c>
      <x:c r="D596" s="2" t="n">
        <x:v>288</x:v>
      </x:c>
      <x:c r="E596" s="2" t="n">
        <x:v>362</x:v>
      </x:c>
      <x:c r="F596" s="2" t="n">
        <x:v>-18</x:v>
      </x:c>
      <x:c r="G596" s="2" t="n">
        <x:v>0</x:v>
      </x:c>
      <x:c r="H596" s="2" t="n">
        <x:v>0</x:v>
      </x:c>
      <x:c r="I596" s="2" t="n">
        <x:v>1</x:v>
      </x:c>
      <x:c r="J596" s="2" t="n">
        <x:v>10</x:v>
      </x:c>
      <x:c r="K596" s="2" t="n">
        <x:v>12</x:v>
      </x:c>
      <x:c r="L596" s="2" t="n">
        <x:v>18</x:v>
      </x:c>
      <x:c r="M596" s="2" t="n">
        <x:v>362</x:v>
      </x:c>
      <x:c r="N596" s="2" t="n">
        <x:v>438</x:v>
      </x:c>
      <x:c r="O596" s="2" t="str">
        <x:v>Camar807_IN.pdf F1: Ø10/12,32x64;30mm felső visszaállás; új vasalat/oldallap próba és alkalmazás jóváhagyandó</x:v>
      </x:c>
    </x:row>
    <x:row r="597" ht="34" customHeight="1">
      <x:c r="A597" s="2" t="str">
        <x:v>H0592</x:v>
      </x:c>
      <x:c r="B597" s="2" t="str">
        <x:v>KI12-TV02S-02</x:v>
      </x:c>
      <x:c r="C597" s="2" t="str">
        <x:v>CAMAR807_DUBEL</x:v>
      </x:c>
      <x:c r="D597" s="2" t="n">
        <x:v>352</x:v>
      </x:c>
      <x:c r="E597" s="2" t="n">
        <x:v>330</x:v>
      </x:c>
      <x:c r="F597" s="2" t="n">
        <x:v>0</x:v>
      </x:c>
      <x:c r="G597" s="2" t="n">
        <x:v>0</x:v>
      </x:c>
      <x:c r="H597" s="2" t="n">
        <x:v>0</x:v>
      </x:c>
      <x:c r="I597" s="2" t="n">
        <x:v>-1</x:v>
      </x:c>
      <x:c r="J597" s="2" t="n">
        <x:v>10</x:v>
      </x:c>
      <x:c r="K597" s="2" t="n">
        <x:v>12</x:v>
      </x:c>
      <x:c r="L597" s="2" t="n">
        <x:v>702</x:v>
      </x:c>
      <x:c r="M597" s="2" t="n">
        <x:v>330</x:v>
      </x:c>
      <x:c r="N597" s="2" t="n">
        <x:v>502</x:v>
      </x:c>
      <x:c r="O597" s="2" t="str">
        <x:v>Camar807_IN.pdf F1: Ø10/12,32x64;30mm felső visszaállás; új vasalat/oldallap próba és alkalmazás jóváhagyandó</x:v>
      </x:c>
    </x:row>
    <x:row r="598" ht="34" customHeight="1">
      <x:c r="A598" s="2" t="str">
        <x:v>H0593</x:v>
      </x:c>
      <x:c r="B598" s="2" t="str">
        <x:v>KI12-TV02S-02</x:v>
      </x:c>
      <x:c r="C598" s="2" t="str">
        <x:v>CAMAR807_DUBEL</x:v>
      </x:c>
      <x:c r="D598" s="2" t="n">
        <x:v>288</x:v>
      </x:c>
      <x:c r="E598" s="2" t="n">
        <x:v>330</x:v>
      </x:c>
      <x:c r="F598" s="2" t="n">
        <x:v>0</x:v>
      </x:c>
      <x:c r="G598" s="2" t="n">
        <x:v>0</x:v>
      </x:c>
      <x:c r="H598" s="2" t="n">
        <x:v>0</x:v>
      </x:c>
      <x:c r="I598" s="2" t="n">
        <x:v>-1</x:v>
      </x:c>
      <x:c r="J598" s="2" t="n">
        <x:v>10</x:v>
      </x:c>
      <x:c r="K598" s="2" t="n">
        <x:v>12</x:v>
      </x:c>
      <x:c r="L598" s="2" t="n">
        <x:v>702</x:v>
      </x:c>
      <x:c r="M598" s="2" t="n">
        <x:v>330</x:v>
      </x:c>
      <x:c r="N598" s="2" t="n">
        <x:v>438</x:v>
      </x:c>
      <x:c r="O598" s="2" t="str">
        <x:v>Camar807_IN.pdf F1: Ø10/12,32x64;30mm felső visszaállás; új vasalat/oldallap próba és alkalmazás jóváhagyandó</x:v>
      </x:c>
    </x:row>
    <x:row r="599" ht="34" customHeight="1">
      <x:c r="A599" s="2" t="str">
        <x:v>H0594</x:v>
      </x:c>
      <x:c r="B599" s="2" t="str">
        <x:v>KI12-TV02S-02</x:v>
      </x:c>
      <x:c r="C599" s="2" t="str">
        <x:v>CAMAR807_DUBEL</x:v>
      </x:c>
      <x:c r="D599" s="2" t="n">
        <x:v>352</x:v>
      </x:c>
      <x:c r="E599" s="2" t="n">
        <x:v>362</x:v>
      </x:c>
      <x:c r="F599" s="2" t="n">
        <x:v>0</x:v>
      </x:c>
      <x:c r="G599" s="2" t="n">
        <x:v>0</x:v>
      </x:c>
      <x:c r="H599" s="2" t="n">
        <x:v>0</x:v>
      </x:c>
      <x:c r="I599" s="2" t="n">
        <x:v>-1</x:v>
      </x:c>
      <x:c r="J599" s="2" t="n">
        <x:v>10</x:v>
      </x:c>
      <x:c r="K599" s="2" t="n">
        <x:v>12</x:v>
      </x:c>
      <x:c r="L599" s="2" t="n">
        <x:v>702</x:v>
      </x:c>
      <x:c r="M599" s="2" t="n">
        <x:v>362</x:v>
      </x:c>
      <x:c r="N599" s="2" t="n">
        <x:v>502</x:v>
      </x:c>
      <x:c r="O599" s="2" t="str">
        <x:v>Camar807_IN.pdf F1: Ø10/12,32x64;30mm felső visszaállás; új vasalat/oldallap próba és alkalmazás jóváhagyandó</x:v>
      </x:c>
    </x:row>
    <x:row r="600" ht="34" customHeight="1">
      <x:c r="A600" s="2" t="str">
        <x:v>H0595</x:v>
      </x:c>
      <x:c r="B600" s="2" t="str">
        <x:v>KI12-TV02S-02</x:v>
      </x:c>
      <x:c r="C600" s="2" t="str">
        <x:v>CAMAR807_DUBEL</x:v>
      </x:c>
      <x:c r="D600" s="2" t="n">
        <x:v>288</x:v>
      </x:c>
      <x:c r="E600" s="2" t="n">
        <x:v>362</x:v>
      </x:c>
      <x:c r="F600" s="2" t="n">
        <x:v>0</x:v>
      </x:c>
      <x:c r="G600" s="2" t="n">
        <x:v>0</x:v>
      </x:c>
      <x:c r="H600" s="2" t="n">
        <x:v>0</x:v>
      </x:c>
      <x:c r="I600" s="2" t="n">
        <x:v>-1</x:v>
      </x:c>
      <x:c r="J600" s="2" t="n">
        <x:v>10</x:v>
      </x:c>
      <x:c r="K600" s="2" t="n">
        <x:v>12</x:v>
      </x:c>
      <x:c r="L600" s="2" t="n">
        <x:v>702</x:v>
      </x:c>
      <x:c r="M600" s="2" t="n">
        <x:v>362</x:v>
      </x:c>
      <x:c r="N600" s="2" t="n">
        <x:v>438</x:v>
      </x:c>
      <x:c r="O600" s="2" t="str">
        <x:v>Camar807_IN.pdf F1: Ø10/12,32x64;30mm felső visszaállás; új vasalat/oldallap próba és alkalmazás jóváhagyandó</x:v>
      </x:c>
    </x:row>
    <x:row r="601" ht="34" customHeight="1">
      <x:c r="A601" s="2" t="str">
        <x:v>H0596</x:v>
      </x:c>
      <x:c r="B601" s="2" t="str">
        <x:v>KI12-TV02S-03</x:v>
      </x:c>
      <x:c r="C601" s="2" t="str">
        <x:v>CAMAR807_DUBEL</x:v>
      </x:c>
      <x:c r="D601" s="2" t="n">
        <x:v>352</x:v>
      </x:c>
      <x:c r="E601" s="2" t="n">
        <x:v>330</x:v>
      </x:c>
      <x:c r="F601" s="2" t="n">
        <x:v>-18</x:v>
      </x:c>
      <x:c r="G601" s="2" t="n">
        <x:v>0</x:v>
      </x:c>
      <x:c r="H601" s="2" t="n">
        <x:v>0</x:v>
      </x:c>
      <x:c r="I601" s="2" t="n">
        <x:v>1</x:v>
      </x:c>
      <x:c r="J601" s="2" t="n">
        <x:v>10</x:v>
      </x:c>
      <x:c r="K601" s="2" t="n">
        <x:v>12</x:v>
      </x:c>
      <x:c r="L601" s="2" t="n">
        <x:v>858</x:v>
      </x:c>
      <x:c r="M601" s="2" t="n">
        <x:v>330</x:v>
      </x:c>
      <x:c r="N601" s="2" t="n">
        <x:v>502</x:v>
      </x:c>
      <x:c r="O601" s="2" t="str">
        <x:v>Camar807_IN.pdf F1: Ø10/12,32x64;30mm felső visszaállás; új vasalat/oldallap próba és alkalmazás jóváhagyandó</x:v>
      </x:c>
    </x:row>
    <x:row r="602" ht="34" customHeight="1">
      <x:c r="A602" s="2" t="str">
        <x:v>H0597</x:v>
      </x:c>
      <x:c r="B602" s="2" t="str">
        <x:v>KI12-TV02S-03</x:v>
      </x:c>
      <x:c r="C602" s="2" t="str">
        <x:v>CAMAR807_DUBEL</x:v>
      </x:c>
      <x:c r="D602" s="2" t="n">
        <x:v>288</x:v>
      </x:c>
      <x:c r="E602" s="2" t="n">
        <x:v>330</x:v>
      </x:c>
      <x:c r="F602" s="2" t="n">
        <x:v>-18</x:v>
      </x:c>
      <x:c r="G602" s="2" t="n">
        <x:v>0</x:v>
      </x:c>
      <x:c r="H602" s="2" t="n">
        <x:v>0</x:v>
      </x:c>
      <x:c r="I602" s="2" t="n">
        <x:v>1</x:v>
      </x:c>
      <x:c r="J602" s="2" t="n">
        <x:v>10</x:v>
      </x:c>
      <x:c r="K602" s="2" t="n">
        <x:v>12</x:v>
      </x:c>
      <x:c r="L602" s="2" t="n">
        <x:v>858</x:v>
      </x:c>
      <x:c r="M602" s="2" t="n">
        <x:v>330</x:v>
      </x:c>
      <x:c r="N602" s="2" t="n">
        <x:v>438</x:v>
      </x:c>
      <x:c r="O602" s="2" t="str">
        <x:v>Camar807_IN.pdf F1: Ø10/12,32x64;30mm felső visszaállás; új vasalat/oldallap próba és alkalmazás jóváhagyandó</x:v>
      </x:c>
    </x:row>
    <x:row r="603" ht="34" customHeight="1">
      <x:c r="A603" s="2" t="str">
        <x:v>H0598</x:v>
      </x:c>
      <x:c r="B603" s="2" t="str">
        <x:v>KI12-TV02S-03</x:v>
      </x:c>
      <x:c r="C603" s="2" t="str">
        <x:v>CAMAR807_DUBEL</x:v>
      </x:c>
      <x:c r="D603" s="2" t="n">
        <x:v>352</x:v>
      </x:c>
      <x:c r="E603" s="2" t="n">
        <x:v>362</x:v>
      </x:c>
      <x:c r="F603" s="2" t="n">
        <x:v>-18</x:v>
      </x:c>
      <x:c r="G603" s="2" t="n">
        <x:v>0</x:v>
      </x:c>
      <x:c r="H603" s="2" t="n">
        <x:v>0</x:v>
      </x:c>
      <x:c r="I603" s="2" t="n">
        <x:v>1</x:v>
      </x:c>
      <x:c r="J603" s="2" t="n">
        <x:v>10</x:v>
      </x:c>
      <x:c r="K603" s="2" t="n">
        <x:v>12</x:v>
      </x:c>
      <x:c r="L603" s="2" t="n">
        <x:v>858</x:v>
      </x:c>
      <x:c r="M603" s="2" t="n">
        <x:v>362</x:v>
      </x:c>
      <x:c r="N603" s="2" t="n">
        <x:v>502</x:v>
      </x:c>
      <x:c r="O603" s="2" t="str">
        <x:v>Camar807_IN.pdf F1: Ø10/12,32x64;30mm felső visszaállás; új vasalat/oldallap próba és alkalmazás jóváhagyandó</x:v>
      </x:c>
    </x:row>
    <x:row r="604" ht="34" customHeight="1">
      <x:c r="A604" s="2" t="str">
        <x:v>H0599</x:v>
      </x:c>
      <x:c r="B604" s="2" t="str">
        <x:v>KI12-TV02S-03</x:v>
      </x:c>
      <x:c r="C604" s="2" t="str">
        <x:v>CAMAR807_DUBEL</x:v>
      </x:c>
      <x:c r="D604" s="2" t="n">
        <x:v>288</x:v>
      </x:c>
      <x:c r="E604" s="2" t="n">
        <x:v>362</x:v>
      </x:c>
      <x:c r="F604" s="2" t="n">
        <x:v>-18</x:v>
      </x:c>
      <x:c r="G604" s="2" t="n">
        <x:v>0</x:v>
      </x:c>
      <x:c r="H604" s="2" t="n">
        <x:v>0</x:v>
      </x:c>
      <x:c r="I604" s="2" t="n">
        <x:v>1</x:v>
      </x:c>
      <x:c r="J604" s="2" t="n">
        <x:v>10</x:v>
      </x:c>
      <x:c r="K604" s="2" t="n">
        <x:v>12</x:v>
      </x:c>
      <x:c r="L604" s="2" t="n">
        <x:v>858</x:v>
      </x:c>
      <x:c r="M604" s="2" t="n">
        <x:v>362</x:v>
      </x:c>
      <x:c r="N604" s="2" t="n">
        <x:v>438</x:v>
      </x:c>
      <x:c r="O604" s="2" t="str">
        <x:v>Camar807_IN.pdf F1: Ø10/12,32x64;30mm felső visszaállás; új vasalat/oldallap próba és alkalmazás jóváhagyandó</x:v>
      </x:c>
    </x:row>
    <x:row r="605" ht="34" customHeight="1">
      <x:c r="A605" s="2" t="str">
        <x:v>H0600</x:v>
      </x:c>
      <x:c r="B605" s="2" t="str">
        <x:v>KI12-TV02S-04</x:v>
      </x:c>
      <x:c r="C605" s="2" t="str">
        <x:v>CAMAR807_DUBEL</x:v>
      </x:c>
      <x:c r="D605" s="2" t="n">
        <x:v>352</x:v>
      </x:c>
      <x:c r="E605" s="2" t="n">
        <x:v>330</x:v>
      </x:c>
      <x:c r="F605" s="2" t="n">
        <x:v>0</x:v>
      </x:c>
      <x:c r="G605" s="2" t="n">
        <x:v>0</x:v>
      </x:c>
      <x:c r="H605" s="2" t="n">
        <x:v>0</x:v>
      </x:c>
      <x:c r="I605" s="2" t="n">
        <x:v>-1</x:v>
      </x:c>
      <x:c r="J605" s="2" t="n">
        <x:v>10</x:v>
      </x:c>
      <x:c r="K605" s="2" t="n">
        <x:v>12</x:v>
      </x:c>
      <x:c r="L605" s="2" t="n">
        <x:v>1512</x:v>
      </x:c>
      <x:c r="M605" s="2" t="n">
        <x:v>330</x:v>
      </x:c>
      <x:c r="N605" s="2" t="n">
        <x:v>502</x:v>
      </x:c>
      <x:c r="O605" s="2" t="str">
        <x:v>Camar807_IN.pdf F1: Ø10/12,32x64;30mm felső visszaállás; új vasalat/oldallap próba és alkalmazás jóváhagyandó</x:v>
      </x:c>
    </x:row>
    <x:row r="606" ht="34" customHeight="1">
      <x:c r="A606" s="2" t="str">
        <x:v>H0601</x:v>
      </x:c>
      <x:c r="B606" s="2" t="str">
        <x:v>KI12-TV02S-04</x:v>
      </x:c>
      <x:c r="C606" s="2" t="str">
        <x:v>CAMAR807_DUBEL</x:v>
      </x:c>
      <x:c r="D606" s="2" t="n">
        <x:v>288</x:v>
      </x:c>
      <x:c r="E606" s="2" t="n">
        <x:v>330</x:v>
      </x:c>
      <x:c r="F606" s="2" t="n">
        <x:v>0</x:v>
      </x:c>
      <x:c r="G606" s="2" t="n">
        <x:v>0</x:v>
      </x:c>
      <x:c r="H606" s="2" t="n">
        <x:v>0</x:v>
      </x:c>
      <x:c r="I606" s="2" t="n">
        <x:v>-1</x:v>
      </x:c>
      <x:c r="J606" s="2" t="n">
        <x:v>10</x:v>
      </x:c>
      <x:c r="K606" s="2" t="n">
        <x:v>12</x:v>
      </x:c>
      <x:c r="L606" s="2" t="n">
        <x:v>1512</x:v>
      </x:c>
      <x:c r="M606" s="2" t="n">
        <x:v>330</x:v>
      </x:c>
      <x:c r="N606" s="2" t="n">
        <x:v>438</x:v>
      </x:c>
      <x:c r="O606" s="2" t="str">
        <x:v>Camar807_IN.pdf F1: Ø10/12,32x64;30mm felső visszaállás; új vasalat/oldallap próba és alkalmazás jóváhagyandó</x:v>
      </x:c>
    </x:row>
    <x:row r="607" ht="34" customHeight="1">
      <x:c r="A607" s="2" t="str">
        <x:v>H0602</x:v>
      </x:c>
      <x:c r="B607" s="2" t="str">
        <x:v>KI12-TV02S-04</x:v>
      </x:c>
      <x:c r="C607" s="2" t="str">
        <x:v>CAMAR807_DUBEL</x:v>
      </x:c>
      <x:c r="D607" s="2" t="n">
        <x:v>352</x:v>
      </x:c>
      <x:c r="E607" s="2" t="n">
        <x:v>362</x:v>
      </x:c>
      <x:c r="F607" s="2" t="n">
        <x:v>0</x:v>
      </x:c>
      <x:c r="G607" s="2" t="n">
        <x:v>0</x:v>
      </x:c>
      <x:c r="H607" s="2" t="n">
        <x:v>0</x:v>
      </x:c>
      <x:c r="I607" s="2" t="n">
        <x:v>-1</x:v>
      </x:c>
      <x:c r="J607" s="2" t="n">
        <x:v>10</x:v>
      </x:c>
      <x:c r="K607" s="2" t="n">
        <x:v>12</x:v>
      </x:c>
      <x:c r="L607" s="2" t="n">
        <x:v>1512</x:v>
      </x:c>
      <x:c r="M607" s="2" t="n">
        <x:v>362</x:v>
      </x:c>
      <x:c r="N607" s="2" t="n">
        <x:v>502</x:v>
      </x:c>
      <x:c r="O607" s="2" t="str">
        <x:v>Camar807_IN.pdf F1: Ø10/12,32x64;30mm felső visszaállás; új vasalat/oldallap próba és alkalmazás jóváhagyandó</x:v>
      </x:c>
    </x:row>
    <x:row r="608" ht="34" customHeight="1">
      <x:c r="A608" s="2" t="str">
        <x:v>H0603</x:v>
      </x:c>
      <x:c r="B608" s="2" t="str">
        <x:v>KI12-TV02S-04</x:v>
      </x:c>
      <x:c r="C608" s="2" t="str">
        <x:v>CAMAR807_DUBEL</x:v>
      </x:c>
      <x:c r="D608" s="2" t="n">
        <x:v>288</x:v>
      </x:c>
      <x:c r="E608" s="2" t="n">
        <x:v>362</x:v>
      </x:c>
      <x:c r="F608" s="2" t="n">
        <x:v>0</x:v>
      </x:c>
      <x:c r="G608" s="2" t="n">
        <x:v>0</x:v>
      </x:c>
      <x:c r="H608" s="2" t="n">
        <x:v>0</x:v>
      </x:c>
      <x:c r="I608" s="2" t="n">
        <x:v>-1</x:v>
      </x:c>
      <x:c r="J608" s="2" t="n">
        <x:v>10</x:v>
      </x:c>
      <x:c r="K608" s="2" t="n">
        <x:v>12</x:v>
      </x:c>
      <x:c r="L608" s="2" t="n">
        <x:v>1512</x:v>
      </x:c>
      <x:c r="M608" s="2" t="n">
        <x:v>362</x:v>
      </x:c>
      <x:c r="N608" s="2" t="n">
        <x:v>438</x:v>
      </x:c>
      <x:c r="O608" s="2" t="str">
        <x:v>Camar807_IN.pdf F1: Ø10/12,32x64;30mm felső visszaállás; új vasalat/oldallap próba és alkalmazás jóváhagyandó</x:v>
      </x:c>
    </x:row>
    <x:row r="609" ht="34" customHeight="1">
      <x:c r="A609" s="2" t="str">
        <x:v>H0604</x:v>
      </x:c>
      <x:c r="B609" s="2" t="str">
        <x:v>KI12-TV02S-05</x:v>
      </x:c>
      <x:c r="C609" s="2" t="str">
        <x:v>CAMAR807_DUBEL</x:v>
      </x:c>
      <x:c r="D609" s="2" t="n">
        <x:v>352</x:v>
      </x:c>
      <x:c r="E609" s="2" t="n">
        <x:v>330</x:v>
      </x:c>
      <x:c r="F609" s="2" t="n">
        <x:v>-18</x:v>
      </x:c>
      <x:c r="G609" s="2" t="n">
        <x:v>0</x:v>
      </x:c>
      <x:c r="H609" s="2" t="n">
        <x:v>0</x:v>
      </x:c>
      <x:c r="I609" s="2" t="n">
        <x:v>1</x:v>
      </x:c>
      <x:c r="J609" s="2" t="n">
        <x:v>10</x:v>
      </x:c>
      <x:c r="K609" s="2" t="n">
        <x:v>12</x:v>
      </x:c>
      <x:c r="L609" s="2" t="n">
        <x:v>1548</x:v>
      </x:c>
      <x:c r="M609" s="2" t="n">
        <x:v>330</x:v>
      </x:c>
      <x:c r="N609" s="2" t="n">
        <x:v>502</x:v>
      </x:c>
      <x:c r="O609" s="2" t="str">
        <x:v>Camar807_IN.pdf F1: Ø10/12,32x64;30mm felső visszaállás; új vasalat/oldallap próba és alkalmazás jóváhagyandó</x:v>
      </x:c>
    </x:row>
    <x:row r="610" ht="34" customHeight="1">
      <x:c r="A610" s="2" t="str">
        <x:v>H0605</x:v>
      </x:c>
      <x:c r="B610" s="2" t="str">
        <x:v>KI12-TV02S-05</x:v>
      </x:c>
      <x:c r="C610" s="2" t="str">
        <x:v>CAMAR807_DUBEL</x:v>
      </x:c>
      <x:c r="D610" s="2" t="n">
        <x:v>288</x:v>
      </x:c>
      <x:c r="E610" s="2" t="n">
        <x:v>330</x:v>
      </x:c>
      <x:c r="F610" s="2" t="n">
        <x:v>-18</x:v>
      </x:c>
      <x:c r="G610" s="2" t="n">
        <x:v>0</x:v>
      </x:c>
      <x:c r="H610" s="2" t="n">
        <x:v>0</x:v>
      </x:c>
      <x:c r="I610" s="2" t="n">
        <x:v>1</x:v>
      </x:c>
      <x:c r="J610" s="2" t="n">
        <x:v>10</x:v>
      </x:c>
      <x:c r="K610" s="2" t="n">
        <x:v>12</x:v>
      </x:c>
      <x:c r="L610" s="2" t="n">
        <x:v>1548</x:v>
      </x:c>
      <x:c r="M610" s="2" t="n">
        <x:v>330</x:v>
      </x:c>
      <x:c r="N610" s="2" t="n">
        <x:v>438</x:v>
      </x:c>
      <x:c r="O610" s="2" t="str">
        <x:v>Camar807_IN.pdf F1: Ø10/12,32x64;30mm felső visszaállás; új vasalat/oldallap próba és alkalmazás jóváhagyandó</x:v>
      </x:c>
    </x:row>
    <x:row r="611" ht="34" customHeight="1">
      <x:c r="A611" s="2" t="str">
        <x:v>H0606</x:v>
      </x:c>
      <x:c r="B611" s="2" t="str">
        <x:v>KI12-TV02S-05</x:v>
      </x:c>
      <x:c r="C611" s="2" t="str">
        <x:v>CAMAR807_DUBEL</x:v>
      </x:c>
      <x:c r="D611" s="2" t="n">
        <x:v>352</x:v>
      </x:c>
      <x:c r="E611" s="2" t="n">
        <x:v>362</x:v>
      </x:c>
      <x:c r="F611" s="2" t="n">
        <x:v>-18</x:v>
      </x:c>
      <x:c r="G611" s="2" t="n">
        <x:v>0</x:v>
      </x:c>
      <x:c r="H611" s="2" t="n">
        <x:v>0</x:v>
      </x:c>
      <x:c r="I611" s="2" t="n">
        <x:v>1</x:v>
      </x:c>
      <x:c r="J611" s="2" t="n">
        <x:v>10</x:v>
      </x:c>
      <x:c r="K611" s="2" t="n">
        <x:v>12</x:v>
      </x:c>
      <x:c r="L611" s="2" t="n">
        <x:v>1548</x:v>
      </x:c>
      <x:c r="M611" s="2" t="n">
        <x:v>362</x:v>
      </x:c>
      <x:c r="N611" s="2" t="n">
        <x:v>502</x:v>
      </x:c>
      <x:c r="O611" s="2" t="str">
        <x:v>Camar807_IN.pdf F1: Ø10/12,32x64;30mm felső visszaállás; új vasalat/oldallap próba és alkalmazás jóváhagyandó</x:v>
      </x:c>
    </x:row>
    <x:row r="612" ht="34" customHeight="1">
      <x:c r="A612" s="2" t="str">
        <x:v>H0607</x:v>
      </x:c>
      <x:c r="B612" s="2" t="str">
        <x:v>KI12-TV02S-05</x:v>
      </x:c>
      <x:c r="C612" s="2" t="str">
        <x:v>CAMAR807_DUBEL</x:v>
      </x:c>
      <x:c r="D612" s="2" t="n">
        <x:v>288</x:v>
      </x:c>
      <x:c r="E612" s="2" t="n">
        <x:v>362</x:v>
      </x:c>
      <x:c r="F612" s="2" t="n">
        <x:v>-18</x:v>
      </x:c>
      <x:c r="G612" s="2" t="n">
        <x:v>0</x:v>
      </x:c>
      <x:c r="H612" s="2" t="n">
        <x:v>0</x:v>
      </x:c>
      <x:c r="I612" s="2" t="n">
        <x:v>1</x:v>
      </x:c>
      <x:c r="J612" s="2" t="n">
        <x:v>10</x:v>
      </x:c>
      <x:c r="K612" s="2" t="n">
        <x:v>12</x:v>
      </x:c>
      <x:c r="L612" s="2" t="n">
        <x:v>1548</x:v>
      </x:c>
      <x:c r="M612" s="2" t="n">
        <x:v>362</x:v>
      </x:c>
      <x:c r="N612" s="2" t="n">
        <x:v>438</x:v>
      </x:c>
      <x:c r="O612" s="2" t="str">
        <x:v>Camar807_IN.pdf F1: Ø10/12,32x64;30mm felső visszaállás; új vasalat/oldallap próba és alkalmazás jóváhagyandó</x:v>
      </x:c>
    </x:row>
    <x:row r="613" ht="34" customHeight="1">
      <x:c r="A613" s="2" t="str">
        <x:v>H0608</x:v>
      </x:c>
      <x:c r="B613" s="2" t="str">
        <x:v>KI12-TV02S-06</x:v>
      </x:c>
      <x:c r="C613" s="2" t="str">
        <x:v>CAMAR807_DUBEL</x:v>
      </x:c>
      <x:c r="D613" s="2" t="n">
        <x:v>352</x:v>
      </x:c>
      <x:c r="E613" s="2" t="n">
        <x:v>330</x:v>
      </x:c>
      <x:c r="F613" s="2" t="n">
        <x:v>0</x:v>
      </x:c>
      <x:c r="G613" s="2" t="n">
        <x:v>0</x:v>
      </x:c>
      <x:c r="H613" s="2" t="n">
        <x:v>0</x:v>
      </x:c>
      <x:c r="I613" s="2" t="n">
        <x:v>-1</x:v>
      </x:c>
      <x:c r="J613" s="2" t="n">
        <x:v>10</x:v>
      </x:c>
      <x:c r="K613" s="2" t="n">
        <x:v>12</x:v>
      </x:c>
      <x:c r="L613" s="2" t="n">
        <x:v>2202</x:v>
      </x:c>
      <x:c r="M613" s="2" t="n">
        <x:v>330</x:v>
      </x:c>
      <x:c r="N613" s="2" t="n">
        <x:v>502</x:v>
      </x:c>
      <x:c r="O613" s="2" t="str">
        <x:v>Camar807_IN.pdf F1: Ø10/12,32x64;30mm felső visszaállás; új vasalat/oldallap próba és alkalmazás jóváhagyandó</x:v>
      </x:c>
    </x:row>
    <x:row r="614" ht="34" customHeight="1">
      <x:c r="A614" s="2" t="str">
        <x:v>H0609</x:v>
      </x:c>
      <x:c r="B614" s="2" t="str">
        <x:v>KI12-TV02S-06</x:v>
      </x:c>
      <x:c r="C614" s="2" t="str">
        <x:v>CAMAR807_DUBEL</x:v>
      </x:c>
      <x:c r="D614" s="2" t="n">
        <x:v>288</x:v>
      </x:c>
      <x:c r="E614" s="2" t="n">
        <x:v>330</x:v>
      </x:c>
      <x:c r="F614" s="2" t="n">
        <x:v>0</x:v>
      </x:c>
      <x:c r="G614" s="2" t="n">
        <x:v>0</x:v>
      </x:c>
      <x:c r="H614" s="2" t="n">
        <x:v>0</x:v>
      </x:c>
      <x:c r="I614" s="2" t="n">
        <x:v>-1</x:v>
      </x:c>
      <x:c r="J614" s="2" t="n">
        <x:v>10</x:v>
      </x:c>
      <x:c r="K614" s="2" t="n">
        <x:v>12</x:v>
      </x:c>
      <x:c r="L614" s="2" t="n">
        <x:v>2202</x:v>
      </x:c>
      <x:c r="M614" s="2" t="n">
        <x:v>330</x:v>
      </x:c>
      <x:c r="N614" s="2" t="n">
        <x:v>438</x:v>
      </x:c>
      <x:c r="O614" s="2" t="str">
        <x:v>Camar807_IN.pdf F1: Ø10/12,32x64;30mm felső visszaállás; új vasalat/oldallap próba és alkalmazás jóváhagyandó</x:v>
      </x:c>
    </x:row>
    <x:row r="615" ht="34" customHeight="1">
      <x:c r="A615" s="2" t="str">
        <x:v>H0610</x:v>
      </x:c>
      <x:c r="B615" s="2" t="str">
        <x:v>KI12-TV02S-06</x:v>
      </x:c>
      <x:c r="C615" s="2" t="str">
        <x:v>CAMAR807_DUBEL</x:v>
      </x:c>
      <x:c r="D615" s="2" t="n">
        <x:v>352</x:v>
      </x:c>
      <x:c r="E615" s="2" t="n">
        <x:v>362</x:v>
      </x:c>
      <x:c r="F615" s="2" t="n">
        <x:v>0</x:v>
      </x:c>
      <x:c r="G615" s="2" t="n">
        <x:v>0</x:v>
      </x:c>
      <x:c r="H615" s="2" t="n">
        <x:v>0</x:v>
      </x:c>
      <x:c r="I615" s="2" t="n">
        <x:v>-1</x:v>
      </x:c>
      <x:c r="J615" s="2" t="n">
        <x:v>10</x:v>
      </x:c>
      <x:c r="K615" s="2" t="n">
        <x:v>12</x:v>
      </x:c>
      <x:c r="L615" s="2" t="n">
        <x:v>2202</x:v>
      </x:c>
      <x:c r="M615" s="2" t="n">
        <x:v>362</x:v>
      </x:c>
      <x:c r="N615" s="2" t="n">
        <x:v>502</x:v>
      </x:c>
      <x:c r="O615" s="2" t="str">
        <x:v>Camar807_IN.pdf F1: Ø10/12,32x64;30mm felső visszaállás; új vasalat/oldallap próba és alkalmazás jóváhagyandó</x:v>
      </x:c>
    </x:row>
    <x:row r="616" ht="34" customHeight="1">
      <x:c r="A616" s="2" t="str">
        <x:v>H0611</x:v>
      </x:c>
      <x:c r="B616" s="2" t="str">
        <x:v>KI12-TV02S-06</x:v>
      </x:c>
      <x:c r="C616" s="2" t="str">
        <x:v>CAMAR807_DUBEL</x:v>
      </x:c>
      <x:c r="D616" s="2" t="n">
        <x:v>288</x:v>
      </x:c>
      <x:c r="E616" s="2" t="n">
        <x:v>362</x:v>
      </x:c>
      <x:c r="F616" s="2" t="n">
        <x:v>0</x:v>
      </x:c>
      <x:c r="G616" s="2" t="n">
        <x:v>0</x:v>
      </x:c>
      <x:c r="H616" s="2" t="n">
        <x:v>0</x:v>
      </x:c>
      <x:c r="I616" s="2" t="n">
        <x:v>-1</x:v>
      </x:c>
      <x:c r="J616" s="2" t="n">
        <x:v>10</x:v>
      </x:c>
      <x:c r="K616" s="2" t="n">
        <x:v>12</x:v>
      </x:c>
      <x:c r="L616" s="2" t="n">
        <x:v>2202</x:v>
      </x:c>
      <x:c r="M616" s="2" t="n">
        <x:v>362</x:v>
      </x:c>
      <x:c r="N616" s="2" t="n">
        <x:v>438</x:v>
      </x:c>
      <x:c r="O616" s="2" t="str">
        <x:v>Camar807_IN.pdf F1: Ø10/12,32x64;30mm felső visszaállás; új vasalat/oldallap próba és alkalmazás jóváhagyandó</x:v>
      </x:c>
    </x:row>
    <x:row r="617" ht="34" customHeight="1">
      <x:c r="A617" s="2" t="str">
        <x:v>H0612</x:v>
      </x:c>
      <x:c r="B617" s="2" t="str">
        <x:v>KI12-TV02S-07</x:v>
      </x:c>
      <x:c r="C617" s="2" t="str">
        <x:v>CAMAR807_DUBEL</x:v>
      </x:c>
      <x:c r="D617" s="2" t="n">
        <x:v>352</x:v>
      </x:c>
      <x:c r="E617" s="2" t="n">
        <x:v>330</x:v>
      </x:c>
      <x:c r="F617" s="2" t="n">
        <x:v>-18</x:v>
      </x:c>
      <x:c r="G617" s="2" t="n">
        <x:v>0</x:v>
      </x:c>
      <x:c r="H617" s="2" t="n">
        <x:v>0</x:v>
      </x:c>
      <x:c r="I617" s="2" t="n">
        <x:v>1</x:v>
      </x:c>
      <x:c r="J617" s="2" t="n">
        <x:v>10</x:v>
      </x:c>
      <x:c r="K617" s="2" t="n">
        <x:v>12</x:v>
      </x:c>
      <x:c r="L617" s="2" t="n">
        <x:v>2238</x:v>
      </x:c>
      <x:c r="M617" s="2" t="n">
        <x:v>330</x:v>
      </x:c>
      <x:c r="N617" s="2" t="n">
        <x:v>502</x:v>
      </x:c>
      <x:c r="O617" s="2" t="str">
        <x:v>Camar807_IN.pdf F1: Ø10/12,32x64;30mm felső visszaállás; új vasalat/oldallap próba és alkalmazás jóváhagyandó</x:v>
      </x:c>
    </x:row>
    <x:row r="618" ht="34" customHeight="1">
      <x:c r="A618" s="2" t="str">
        <x:v>H0613</x:v>
      </x:c>
      <x:c r="B618" s="2" t="str">
        <x:v>KI12-TV02S-07</x:v>
      </x:c>
      <x:c r="C618" s="2" t="str">
        <x:v>CAMAR807_DUBEL</x:v>
      </x:c>
      <x:c r="D618" s="2" t="n">
        <x:v>288</x:v>
      </x:c>
      <x:c r="E618" s="2" t="n">
        <x:v>330</x:v>
      </x:c>
      <x:c r="F618" s="2" t="n">
        <x:v>-18</x:v>
      </x:c>
      <x:c r="G618" s="2" t="n">
        <x:v>0</x:v>
      </x:c>
      <x:c r="H618" s="2" t="n">
        <x:v>0</x:v>
      </x:c>
      <x:c r="I618" s="2" t="n">
        <x:v>1</x:v>
      </x:c>
      <x:c r="J618" s="2" t="n">
        <x:v>10</x:v>
      </x:c>
      <x:c r="K618" s="2" t="n">
        <x:v>12</x:v>
      </x:c>
      <x:c r="L618" s="2" t="n">
        <x:v>2238</x:v>
      </x:c>
      <x:c r="M618" s="2" t="n">
        <x:v>330</x:v>
      </x:c>
      <x:c r="N618" s="2" t="n">
        <x:v>438</x:v>
      </x:c>
      <x:c r="O618" s="2" t="str">
        <x:v>Camar807_IN.pdf F1: Ø10/12,32x64;30mm felső visszaállás; új vasalat/oldallap próba és alkalmazás jóváhagyandó</x:v>
      </x:c>
    </x:row>
    <x:row r="619" ht="34" customHeight="1">
      <x:c r="A619" s="2" t="str">
        <x:v>H0614</x:v>
      </x:c>
      <x:c r="B619" s="2" t="str">
        <x:v>KI12-TV02S-07</x:v>
      </x:c>
      <x:c r="C619" s="2" t="str">
        <x:v>CAMAR807_DUBEL</x:v>
      </x:c>
      <x:c r="D619" s="2" t="n">
        <x:v>352</x:v>
      </x:c>
      <x:c r="E619" s="2" t="n">
        <x:v>362</x:v>
      </x:c>
      <x:c r="F619" s="2" t="n">
        <x:v>-18</x:v>
      </x:c>
      <x:c r="G619" s="2" t="n">
        <x:v>0</x:v>
      </x:c>
      <x:c r="H619" s="2" t="n">
        <x:v>0</x:v>
      </x:c>
      <x:c r="I619" s="2" t="n">
        <x:v>1</x:v>
      </x:c>
      <x:c r="J619" s="2" t="n">
        <x:v>10</x:v>
      </x:c>
      <x:c r="K619" s="2" t="n">
        <x:v>12</x:v>
      </x:c>
      <x:c r="L619" s="2" t="n">
        <x:v>2238</x:v>
      </x:c>
      <x:c r="M619" s="2" t="n">
        <x:v>362</x:v>
      </x:c>
      <x:c r="N619" s="2" t="n">
        <x:v>502</x:v>
      </x:c>
      <x:c r="O619" s="2" t="str">
        <x:v>Camar807_IN.pdf F1: Ø10/12,32x64;30mm felső visszaállás; új vasalat/oldallap próba és alkalmazás jóváhagyandó</x:v>
      </x:c>
    </x:row>
    <x:row r="620" ht="34" customHeight="1">
      <x:c r="A620" s="2" t="str">
        <x:v>H0615</x:v>
      </x:c>
      <x:c r="B620" s="2" t="str">
        <x:v>KI12-TV02S-07</x:v>
      </x:c>
      <x:c r="C620" s="2" t="str">
        <x:v>CAMAR807_DUBEL</x:v>
      </x:c>
      <x:c r="D620" s="2" t="n">
        <x:v>288</x:v>
      </x:c>
      <x:c r="E620" s="2" t="n">
        <x:v>362</x:v>
      </x:c>
      <x:c r="F620" s="2" t="n">
        <x:v>-18</x:v>
      </x:c>
      <x:c r="G620" s="2" t="n">
        <x:v>0</x:v>
      </x:c>
      <x:c r="H620" s="2" t="n">
        <x:v>0</x:v>
      </x:c>
      <x:c r="I620" s="2" t="n">
        <x:v>1</x:v>
      </x:c>
      <x:c r="J620" s="2" t="n">
        <x:v>10</x:v>
      </x:c>
      <x:c r="K620" s="2" t="n">
        <x:v>12</x:v>
      </x:c>
      <x:c r="L620" s="2" t="n">
        <x:v>2238</x:v>
      </x:c>
      <x:c r="M620" s="2" t="n">
        <x:v>362</x:v>
      </x:c>
      <x:c r="N620" s="2" t="n">
        <x:v>438</x:v>
      </x:c>
      <x:c r="O620" s="2" t="str">
        <x:v>Camar807_IN.pdf F1: Ø10/12,32x64;30mm felső visszaállás; új vasalat/oldallap próba és alkalmazás jóváhagyandó</x:v>
      </x:c>
    </x:row>
    <x:row r="621" ht="34" customHeight="1">
      <x:c r="A621" s="2" t="str">
        <x:v>H0616</x:v>
      </x:c>
      <x:c r="B621" s="2" t="str">
        <x:v>KI12-TV02S-08</x:v>
      </x:c>
      <x:c r="C621" s="2" t="str">
        <x:v>CAMAR807_DUBEL</x:v>
      </x:c>
      <x:c r="D621" s="2" t="n">
        <x:v>352</x:v>
      </x:c>
      <x:c r="E621" s="2" t="n">
        <x:v>330</x:v>
      </x:c>
      <x:c r="F621" s="2" t="n">
        <x:v>0</x:v>
      </x:c>
      <x:c r="G621" s="2" t="n">
        <x:v>0</x:v>
      </x:c>
      <x:c r="H621" s="2" t="n">
        <x:v>0</x:v>
      </x:c>
      <x:c r="I621" s="2" t="n">
        <x:v>-1</x:v>
      </x:c>
      <x:c r="J621" s="2" t="n">
        <x:v>10</x:v>
      </x:c>
      <x:c r="K621" s="2" t="n">
        <x:v>12</x:v>
      </x:c>
      <x:c r="L621" s="2" t="n">
        <x:v>2892</x:v>
      </x:c>
      <x:c r="M621" s="2" t="n">
        <x:v>330</x:v>
      </x:c>
      <x:c r="N621" s="2" t="n">
        <x:v>502</x:v>
      </x:c>
      <x:c r="O621" s="2" t="str">
        <x:v>Camar807_IN.pdf F1: Ø10/12,32x64;30mm felső visszaállás; új vasalat/oldallap próba és alkalmazás jóváhagyandó</x:v>
      </x:c>
    </x:row>
    <x:row r="622" ht="34" customHeight="1">
      <x:c r="A622" s="2" t="str">
        <x:v>H0617</x:v>
      </x:c>
      <x:c r="B622" s="2" t="str">
        <x:v>KI12-TV02S-08</x:v>
      </x:c>
      <x:c r="C622" s="2" t="str">
        <x:v>CAMAR807_DUBEL</x:v>
      </x:c>
      <x:c r="D622" s="2" t="n">
        <x:v>288</x:v>
      </x:c>
      <x:c r="E622" s="2" t="n">
        <x:v>330</x:v>
      </x:c>
      <x:c r="F622" s="2" t="n">
        <x:v>0</x:v>
      </x:c>
      <x:c r="G622" s="2" t="n">
        <x:v>0</x:v>
      </x:c>
      <x:c r="H622" s="2" t="n">
        <x:v>0</x:v>
      </x:c>
      <x:c r="I622" s="2" t="n">
        <x:v>-1</x:v>
      </x:c>
      <x:c r="J622" s="2" t="n">
        <x:v>10</x:v>
      </x:c>
      <x:c r="K622" s="2" t="n">
        <x:v>12</x:v>
      </x:c>
      <x:c r="L622" s="2" t="n">
        <x:v>2892</x:v>
      </x:c>
      <x:c r="M622" s="2" t="n">
        <x:v>330</x:v>
      </x:c>
      <x:c r="N622" s="2" t="n">
        <x:v>438</x:v>
      </x:c>
      <x:c r="O622" s="2" t="str">
        <x:v>Camar807_IN.pdf F1: Ø10/12,32x64;30mm felső visszaállás; új vasalat/oldallap próba és alkalmazás jóváhagyandó</x:v>
      </x:c>
    </x:row>
    <x:row r="623" ht="34" customHeight="1">
      <x:c r="A623" s="2" t="str">
        <x:v>H0618</x:v>
      </x:c>
      <x:c r="B623" s="2" t="str">
        <x:v>KI12-TV02S-08</x:v>
      </x:c>
      <x:c r="C623" s="2" t="str">
        <x:v>CAMAR807_DUBEL</x:v>
      </x:c>
      <x:c r="D623" s="2" t="n">
        <x:v>352</x:v>
      </x:c>
      <x:c r="E623" s="2" t="n">
        <x:v>362</x:v>
      </x:c>
      <x:c r="F623" s="2" t="n">
        <x:v>0</x:v>
      </x:c>
      <x:c r="G623" s="2" t="n">
        <x:v>0</x:v>
      </x:c>
      <x:c r="H623" s="2" t="n">
        <x:v>0</x:v>
      </x:c>
      <x:c r="I623" s="2" t="n">
        <x:v>-1</x:v>
      </x:c>
      <x:c r="J623" s="2" t="n">
        <x:v>10</x:v>
      </x:c>
      <x:c r="K623" s="2" t="n">
        <x:v>12</x:v>
      </x:c>
      <x:c r="L623" s="2" t="n">
        <x:v>2892</x:v>
      </x:c>
      <x:c r="M623" s="2" t="n">
        <x:v>362</x:v>
      </x:c>
      <x:c r="N623" s="2" t="n">
        <x:v>502</x:v>
      </x:c>
      <x:c r="O623" s="2" t="str">
        <x:v>Camar807_IN.pdf F1: Ø10/12,32x64;30mm felső visszaállás; új vasalat/oldallap próba és alkalmazás jóváhagyandó</x:v>
      </x:c>
    </x:row>
    <x:row r="624" ht="34" customHeight="1">
      <x:c r="A624" s="2" t="str">
        <x:v>H0619</x:v>
      </x:c>
      <x:c r="B624" s="2" t="str">
        <x:v>KI12-TV02S-08</x:v>
      </x:c>
      <x:c r="C624" s="2" t="str">
        <x:v>CAMAR807_DUBEL</x:v>
      </x:c>
      <x:c r="D624" s="2" t="n">
        <x:v>288</x:v>
      </x:c>
      <x:c r="E624" s="2" t="n">
        <x:v>362</x:v>
      </x:c>
      <x:c r="F624" s="2" t="n">
        <x:v>0</x:v>
      </x:c>
      <x:c r="G624" s="2" t="n">
        <x:v>0</x:v>
      </x:c>
      <x:c r="H624" s="2" t="n">
        <x:v>0</x:v>
      </x:c>
      <x:c r="I624" s="2" t="n">
        <x:v>-1</x:v>
      </x:c>
      <x:c r="J624" s="2" t="n">
        <x:v>10</x:v>
      </x:c>
      <x:c r="K624" s="2" t="n">
        <x:v>12</x:v>
      </x:c>
      <x:c r="L624" s="2" t="n">
        <x:v>2892</x:v>
      </x:c>
      <x:c r="M624" s="2" t="n">
        <x:v>362</x:v>
      </x:c>
      <x:c r="N624" s="2" t="n">
        <x:v>438</x:v>
      </x:c>
      <x:c r="O624" s="2" t="str">
        <x:v>Camar807_IN.pdf F1: Ø10/12,32x64;30mm felső visszaállás; új vasalat/oldallap próba és alkalmazás jóváhagyandó</x:v>
      </x:c>
    </x:row>
    <x:row r="625" ht="34" customHeight="1">
      <x:c r="A625" s="2" t="str">
        <x:v>H0620</x:v>
      </x:c>
      <x:c r="B625" s="2" t="str">
        <x:v>KI12-TV02S-09</x:v>
      </x:c>
      <x:c r="C625" s="2" t="str">
        <x:v>CAMAR807_DUBEL</x:v>
      </x:c>
      <x:c r="D625" s="2" t="n">
        <x:v>352</x:v>
      </x:c>
      <x:c r="E625" s="2" t="n">
        <x:v>330</x:v>
      </x:c>
      <x:c r="F625" s="2" t="n">
        <x:v>-18</x:v>
      </x:c>
      <x:c r="G625" s="2" t="n">
        <x:v>0</x:v>
      </x:c>
      <x:c r="H625" s="2" t="n">
        <x:v>0</x:v>
      </x:c>
      <x:c r="I625" s="2" t="n">
        <x:v>1</x:v>
      </x:c>
      <x:c r="J625" s="2" t="n">
        <x:v>10</x:v>
      </x:c>
      <x:c r="K625" s="2" t="n">
        <x:v>12</x:v>
      </x:c>
      <x:c r="L625" s="2" t="n">
        <x:v>2928</x:v>
      </x:c>
      <x:c r="M625" s="2" t="n">
        <x:v>330</x:v>
      </x:c>
      <x:c r="N625" s="2" t="n">
        <x:v>502</x:v>
      </x:c>
      <x:c r="O625" s="2" t="str">
        <x:v>Camar807_IN.pdf F1: Ø10/12,32x64;30mm felső visszaállás; új vasalat/oldallap próba és alkalmazás jóváhagyandó</x:v>
      </x:c>
    </x:row>
    <x:row r="626" ht="34" customHeight="1">
      <x:c r="A626" s="2" t="str">
        <x:v>H0621</x:v>
      </x:c>
      <x:c r="B626" s="2" t="str">
        <x:v>KI12-TV02S-09</x:v>
      </x:c>
      <x:c r="C626" s="2" t="str">
        <x:v>CAMAR807_DUBEL</x:v>
      </x:c>
      <x:c r="D626" s="2" t="n">
        <x:v>288</x:v>
      </x:c>
      <x:c r="E626" s="2" t="n">
        <x:v>330</x:v>
      </x:c>
      <x:c r="F626" s="2" t="n">
        <x:v>-18</x:v>
      </x:c>
      <x:c r="G626" s="2" t="n">
        <x:v>0</x:v>
      </x:c>
      <x:c r="H626" s="2" t="n">
        <x:v>0</x:v>
      </x:c>
      <x:c r="I626" s="2" t="n">
        <x:v>1</x:v>
      </x:c>
      <x:c r="J626" s="2" t="n">
        <x:v>10</x:v>
      </x:c>
      <x:c r="K626" s="2" t="n">
        <x:v>12</x:v>
      </x:c>
      <x:c r="L626" s="2" t="n">
        <x:v>2928</x:v>
      </x:c>
      <x:c r="M626" s="2" t="n">
        <x:v>330</x:v>
      </x:c>
      <x:c r="N626" s="2" t="n">
        <x:v>438</x:v>
      </x:c>
      <x:c r="O626" s="2" t="str">
        <x:v>Camar807_IN.pdf F1: Ø10/12,32x64;30mm felső visszaállás; új vasalat/oldallap próba és alkalmazás jóváhagyandó</x:v>
      </x:c>
    </x:row>
    <x:row r="627" ht="34" customHeight="1">
      <x:c r="A627" s="2" t="str">
        <x:v>H0622</x:v>
      </x:c>
      <x:c r="B627" s="2" t="str">
        <x:v>KI12-TV02S-09</x:v>
      </x:c>
      <x:c r="C627" s="2" t="str">
        <x:v>CAMAR807_DUBEL</x:v>
      </x:c>
      <x:c r="D627" s="2" t="n">
        <x:v>352</x:v>
      </x:c>
      <x:c r="E627" s="2" t="n">
        <x:v>362</x:v>
      </x:c>
      <x:c r="F627" s="2" t="n">
        <x:v>-18</x:v>
      </x:c>
      <x:c r="G627" s="2" t="n">
        <x:v>0</x:v>
      </x:c>
      <x:c r="H627" s="2" t="n">
        <x:v>0</x:v>
      </x:c>
      <x:c r="I627" s="2" t="n">
        <x:v>1</x:v>
      </x:c>
      <x:c r="J627" s="2" t="n">
        <x:v>10</x:v>
      </x:c>
      <x:c r="K627" s="2" t="n">
        <x:v>12</x:v>
      </x:c>
      <x:c r="L627" s="2" t="n">
        <x:v>2928</x:v>
      </x:c>
      <x:c r="M627" s="2" t="n">
        <x:v>362</x:v>
      </x:c>
      <x:c r="N627" s="2" t="n">
        <x:v>502</x:v>
      </x:c>
      <x:c r="O627" s="2" t="str">
        <x:v>Camar807_IN.pdf F1: Ø10/12,32x64;30mm felső visszaállás; új vasalat/oldallap próba és alkalmazás jóváhagyandó</x:v>
      </x:c>
    </x:row>
    <x:row r="628" ht="34" customHeight="1">
      <x:c r="A628" s="2" t="str">
        <x:v>H0623</x:v>
      </x:c>
      <x:c r="B628" s="2" t="str">
        <x:v>KI12-TV02S-09</x:v>
      </x:c>
      <x:c r="C628" s="2" t="str">
        <x:v>CAMAR807_DUBEL</x:v>
      </x:c>
      <x:c r="D628" s="2" t="n">
        <x:v>288</x:v>
      </x:c>
      <x:c r="E628" s="2" t="n">
        <x:v>362</x:v>
      </x:c>
      <x:c r="F628" s="2" t="n">
        <x:v>-18</x:v>
      </x:c>
      <x:c r="G628" s="2" t="n">
        <x:v>0</x:v>
      </x:c>
      <x:c r="H628" s="2" t="n">
        <x:v>0</x:v>
      </x:c>
      <x:c r="I628" s="2" t="n">
        <x:v>1</x:v>
      </x:c>
      <x:c r="J628" s="2" t="n">
        <x:v>10</x:v>
      </x:c>
      <x:c r="K628" s="2" t="n">
        <x:v>12</x:v>
      </x:c>
      <x:c r="L628" s="2" t="n">
        <x:v>2928</x:v>
      </x:c>
      <x:c r="M628" s="2" t="n">
        <x:v>362</x:v>
      </x:c>
      <x:c r="N628" s="2" t="n">
        <x:v>438</x:v>
      </x:c>
      <x:c r="O628" s="2" t="str">
        <x:v>Camar807_IN.pdf F1: Ø10/12,32x64;30mm felső visszaállás; új vasalat/oldallap próba és alkalmazás jóváhagyandó</x:v>
      </x:c>
    </x:row>
    <x:row r="629" ht="34" customHeight="1">
      <x:c r="A629" s="2" t="str">
        <x:v>H0624</x:v>
      </x:c>
      <x:c r="B629" s="2" t="str">
        <x:v>KI12-TV02S-10</x:v>
      </x:c>
      <x:c r="C629" s="2" t="str">
        <x:v>CAMAR807_DUBEL</x:v>
      </x:c>
      <x:c r="D629" s="2" t="n">
        <x:v>352</x:v>
      </x:c>
      <x:c r="E629" s="2" t="n">
        <x:v>330</x:v>
      </x:c>
      <x:c r="F629" s="2" t="n">
        <x:v>0</x:v>
      </x:c>
      <x:c r="G629" s="2" t="n">
        <x:v>0</x:v>
      </x:c>
      <x:c r="H629" s="2" t="n">
        <x:v>0</x:v>
      </x:c>
      <x:c r="I629" s="2" t="n">
        <x:v>-1</x:v>
      </x:c>
      <x:c r="J629" s="2" t="n">
        <x:v>10</x:v>
      </x:c>
      <x:c r="K629" s="2" t="n">
        <x:v>12</x:v>
      </x:c>
      <x:c r="L629" s="2" t="n">
        <x:v>3582</x:v>
      </x:c>
      <x:c r="M629" s="2" t="n">
        <x:v>330</x:v>
      </x:c>
      <x:c r="N629" s="2" t="n">
        <x:v>502</x:v>
      </x:c>
      <x:c r="O629" s="2" t="str">
        <x:v>Camar807_IN.pdf F1: Ø10/12,32x64;30mm felső visszaállás; új vasalat/oldallap próba és alkalmazás jóváhagyandó</x:v>
      </x:c>
    </x:row>
    <x:row r="630" ht="34" customHeight="1">
      <x:c r="A630" s="2" t="str">
        <x:v>H0625</x:v>
      </x:c>
      <x:c r="B630" s="2" t="str">
        <x:v>KI12-TV02S-10</x:v>
      </x:c>
      <x:c r="C630" s="2" t="str">
        <x:v>CAMAR807_DUBEL</x:v>
      </x:c>
      <x:c r="D630" s="2" t="n">
        <x:v>288</x:v>
      </x:c>
      <x:c r="E630" s="2" t="n">
        <x:v>330</x:v>
      </x:c>
      <x:c r="F630" s="2" t="n">
        <x:v>0</x:v>
      </x:c>
      <x:c r="G630" s="2" t="n">
        <x:v>0</x:v>
      </x:c>
      <x:c r="H630" s="2" t="n">
        <x:v>0</x:v>
      </x:c>
      <x:c r="I630" s="2" t="n">
        <x:v>-1</x:v>
      </x:c>
      <x:c r="J630" s="2" t="n">
        <x:v>10</x:v>
      </x:c>
      <x:c r="K630" s="2" t="n">
        <x:v>12</x:v>
      </x:c>
      <x:c r="L630" s="2" t="n">
        <x:v>3582</x:v>
      </x:c>
      <x:c r="M630" s="2" t="n">
        <x:v>330</x:v>
      </x:c>
      <x:c r="N630" s="2" t="n">
        <x:v>438</x:v>
      </x:c>
      <x:c r="O630" s="2" t="str">
        <x:v>Camar807_IN.pdf F1: Ø10/12,32x64;30mm felső visszaállás; új vasalat/oldallap próba és alkalmazás jóváhagyandó</x:v>
      </x:c>
    </x:row>
    <x:row r="631" ht="34" customHeight="1">
      <x:c r="A631" s="2" t="str">
        <x:v>H0626</x:v>
      </x:c>
      <x:c r="B631" s="2" t="str">
        <x:v>KI12-TV02S-10</x:v>
      </x:c>
      <x:c r="C631" s="2" t="str">
        <x:v>CAMAR807_DUBEL</x:v>
      </x:c>
      <x:c r="D631" s="2" t="n">
        <x:v>352</x:v>
      </x:c>
      <x:c r="E631" s="2" t="n">
        <x:v>362</x:v>
      </x:c>
      <x:c r="F631" s="2" t="n">
        <x:v>0</x:v>
      </x:c>
      <x:c r="G631" s="2" t="n">
        <x:v>0</x:v>
      </x:c>
      <x:c r="H631" s="2" t="n">
        <x:v>0</x:v>
      </x:c>
      <x:c r="I631" s="2" t="n">
        <x:v>-1</x:v>
      </x:c>
      <x:c r="J631" s="2" t="n">
        <x:v>10</x:v>
      </x:c>
      <x:c r="K631" s="2" t="n">
        <x:v>12</x:v>
      </x:c>
      <x:c r="L631" s="2" t="n">
        <x:v>3582</x:v>
      </x:c>
      <x:c r="M631" s="2" t="n">
        <x:v>362</x:v>
      </x:c>
      <x:c r="N631" s="2" t="n">
        <x:v>502</x:v>
      </x:c>
      <x:c r="O631" s="2" t="str">
        <x:v>Camar807_IN.pdf F1: Ø10/12,32x64;30mm felső visszaállás; új vasalat/oldallap próba és alkalmazás jóváhagyandó</x:v>
      </x:c>
    </x:row>
    <x:row r="632" ht="34" customHeight="1">
      <x:c r="A632" s="2" t="str">
        <x:v>H0627</x:v>
      </x:c>
      <x:c r="B632" s="2" t="str">
        <x:v>KI12-TV02S-10</x:v>
      </x:c>
      <x:c r="C632" s="2" t="str">
        <x:v>CAMAR807_DUBEL</x:v>
      </x:c>
      <x:c r="D632" s="2" t="n">
        <x:v>288</x:v>
      </x:c>
      <x:c r="E632" s="2" t="n">
        <x:v>362</x:v>
      </x:c>
      <x:c r="F632" s="2" t="n">
        <x:v>0</x:v>
      </x:c>
      <x:c r="G632" s="2" t="n">
        <x:v>0</x:v>
      </x:c>
      <x:c r="H632" s="2" t="n">
        <x:v>0</x:v>
      </x:c>
      <x:c r="I632" s="2" t="n">
        <x:v>-1</x:v>
      </x:c>
      <x:c r="J632" s="2" t="n">
        <x:v>10</x:v>
      </x:c>
      <x:c r="K632" s="2" t="n">
        <x:v>12</x:v>
      </x:c>
      <x:c r="L632" s="2" t="n">
        <x:v>3582</x:v>
      </x:c>
      <x:c r="M632" s="2" t="n">
        <x:v>362</x:v>
      </x:c>
      <x:c r="N632" s="2" t="n">
        <x:v>438</x:v>
      </x:c>
      <x:c r="O632" s="2" t="str">
        <x:v>Camar807_IN.pdf F1: Ø10/12,32x64;30mm felső visszaállás; új vasalat/oldallap próba és alkalmazás jóváhagyandó</x:v>
      </x:c>
    </x:row>
    <x:row r="633" ht="34" customHeight="1">
      <x:c r="A633" s="2" t="str">
        <x:v>H0628</x:v>
      </x:c>
      <x:c r="B633" s="2" t="str">
        <x:v>KI12-TV03P-01</x:v>
      </x:c>
      <x:c r="C633" s="2" t="str">
        <x:v>MF375_PANEL_CSAVAR</x:v>
      </x:c>
      <x:c r="D633" s="2" t="n">
        <x:v>100</x:v>
      </x:c>
      <x:c r="E633" s="2" t="n">
        <x:v>43.99800000000005</x:v>
      </x:c>
      <x:c r="F633" s="2" t="n">
        <x:v>0</x:v>
      </x:c>
      <x:c r="G633" s="2" t="n">
        <x:v>0</x:v>
      </x:c>
      <x:c r="H633" s="2" t="n">
        <x:v>0</x:v>
      </x:c>
      <x:c r="I633" s="2" t="n">
        <x:v>-1</x:v>
      </x:c>
      <x:c r="J633" s="2" t="n">
        <x:v>2.5</x:v>
      </x:c>
      <x:c r="K633" s="2" t="n">
        <x:v>12</x:v>
      </x:c>
      <x:c r="L633" s="2" t="n">
        <x:v>885.498</x:v>
      </x:c>
      <x:c r="M633" s="2" t="n">
        <x:v>400</x:v>
      </x:c>
      <x:c r="N633" s="2" t="n">
        <x:v>650</x:v>
      </x:c>
      <x:c r="O633" s="2" t="str">
        <x:v>MF375.pdf 32.004mm furatköz; Ø2.5x12 próbaérték 3.5x16 pan-head csavarhoz</x:v>
      </x:c>
    </x:row>
    <x:row r="634" ht="34" customHeight="1">
      <x:c r="A634" s="2" t="str">
        <x:v>H0629</x:v>
      </x:c>
      <x:c r="B634" s="2" t="str">
        <x:v>KI12-TV03P-01</x:v>
      </x:c>
      <x:c r="C634" s="2" t="str">
        <x:v>MF375_PANEL_CSAVAR</x:v>
      </x:c>
      <x:c r="D634" s="2" t="n">
        <x:v>100</x:v>
      </x:c>
      <x:c r="E634" s="2" t="n">
        <x:v>76.00199999999995</x:v>
      </x:c>
      <x:c r="F634" s="2" t="n">
        <x:v>0</x:v>
      </x:c>
      <x:c r="G634" s="2" t="n">
        <x:v>0</x:v>
      </x:c>
      <x:c r="H634" s="2" t="n">
        <x:v>0</x:v>
      </x:c>
      <x:c r="I634" s="2" t="n">
        <x:v>-1</x:v>
      </x:c>
      <x:c r="J634" s="2" t="n">
        <x:v>2.5</x:v>
      </x:c>
      <x:c r="K634" s="2" t="n">
        <x:v>12</x:v>
      </x:c>
      <x:c r="L634" s="2" t="n">
        <x:v>917.502</x:v>
      </x:c>
      <x:c r="M634" s="2" t="n">
        <x:v>400</x:v>
      </x:c>
      <x:c r="N634" s="2" t="n">
        <x:v>650</x:v>
      </x:c>
      <x:c r="O634" s="2" t="str">
        <x:v>MF375.pdf 32.004mm furatköz; Ø2.5x12 próbaérték 3.5x16 pan-head csavarhoz</x:v>
      </x:c>
    </x:row>
    <x:row r="635" ht="34" customHeight="1">
      <x:c r="A635" s="2" t="str">
        <x:v>H0630</x:v>
      </x:c>
      <x:c r="B635" s="2" t="str">
        <x:v>KI12-TV03P-01</x:v>
      </x:c>
      <x:c r="C635" s="2" t="str">
        <x:v>MF375_PANEL_CSAVAR</x:v>
      </x:c>
      <x:c r="D635" s="2" t="n">
        <x:v>100</x:v>
      </x:c>
      <x:c r="E635" s="2" t="n">
        <x:v>327.49800000000005</x:v>
      </x:c>
      <x:c r="F635" s="2" t="n">
        <x:v>0</x:v>
      </x:c>
      <x:c r="G635" s="2" t="n">
        <x:v>0</x:v>
      </x:c>
      <x:c r="H635" s="2" t="n">
        <x:v>0</x:v>
      </x:c>
      <x:c r="I635" s="2" t="n">
        <x:v>-1</x:v>
      </x:c>
      <x:c r="J635" s="2" t="n">
        <x:v>2.5</x:v>
      </x:c>
      <x:c r="K635" s="2" t="n">
        <x:v>12</x:v>
      </x:c>
      <x:c r="L635" s="2" t="n">
        <x:v>1168.998</x:v>
      </x:c>
      <x:c r="M635" s="2" t="n">
        <x:v>400</x:v>
      </x:c>
      <x:c r="N635" s="2" t="n">
        <x:v>650</x:v>
      </x:c>
      <x:c r="O635" s="2" t="str">
        <x:v>MF375.pdf 32.004mm furatköz; Ø2.5x12 próbaérték 3.5x16 pan-head csavarhoz</x:v>
      </x:c>
    </x:row>
    <x:row r="636" ht="34" customHeight="1">
      <x:c r="A636" s="2" t="str">
        <x:v>H0631</x:v>
      </x:c>
      <x:c r="B636" s="2" t="str">
        <x:v>KI12-TV03P-01</x:v>
      </x:c>
      <x:c r="C636" s="2" t="str">
        <x:v>MF375_PANEL_CSAVAR</x:v>
      </x:c>
      <x:c r="D636" s="2" t="n">
        <x:v>100</x:v>
      </x:c>
      <x:c r="E636" s="2" t="n">
        <x:v>359.50199999999995</x:v>
      </x:c>
      <x:c r="F636" s="2" t="n">
        <x:v>0</x:v>
      </x:c>
      <x:c r="G636" s="2" t="n">
        <x:v>0</x:v>
      </x:c>
      <x:c r="H636" s="2" t="n">
        <x:v>0</x:v>
      </x:c>
      <x:c r="I636" s="2" t="n">
        <x:v>-1</x:v>
      </x:c>
      <x:c r="J636" s="2" t="n">
        <x:v>2.5</x:v>
      </x:c>
      <x:c r="K636" s="2" t="n">
        <x:v>12</x:v>
      </x:c>
      <x:c r="L636" s="2" t="n">
        <x:v>1201.002</x:v>
      </x:c>
      <x:c r="M636" s="2" t="n">
        <x:v>400</x:v>
      </x:c>
      <x:c r="N636" s="2" t="n">
        <x:v>650</x:v>
      </x:c>
      <x:c r="O636" s="2" t="str">
        <x:v>MF375.pdf 32.004mm furatköz; Ø2.5x12 próbaérték 3.5x16 pan-head csavarhoz</x:v>
      </x:c>
    </x:row>
    <x:row r="637" ht="34" customHeight="1">
      <x:c r="A637" s="2" t="str">
        <x:v>H0632</x:v>
      </x:c>
      <x:c r="B637" s="2" t="str">
        <x:v>KI12-TV03P-01</x:v>
      </x:c>
      <x:c r="C637" s="2" t="str">
        <x:v>MF375_PANEL_CSAVAR</x:v>
      </x:c>
      <x:c r="D637" s="2" t="n">
        <x:v>100</x:v>
      </x:c>
      <x:c r="E637" s="2" t="n">
        <x:v>610.998</x:v>
      </x:c>
      <x:c r="F637" s="2" t="n">
        <x:v>0</x:v>
      </x:c>
      <x:c r="G637" s="2" t="n">
        <x:v>0</x:v>
      </x:c>
      <x:c r="H637" s="2" t="n">
        <x:v>0</x:v>
      </x:c>
      <x:c r="I637" s="2" t="n">
        <x:v>-1</x:v>
      </x:c>
      <x:c r="J637" s="2" t="n">
        <x:v>2.5</x:v>
      </x:c>
      <x:c r="K637" s="2" t="n">
        <x:v>12</x:v>
      </x:c>
      <x:c r="L637" s="2" t="n">
        <x:v>1452.498</x:v>
      </x:c>
      <x:c r="M637" s="2" t="n">
        <x:v>400</x:v>
      </x:c>
      <x:c r="N637" s="2" t="n">
        <x:v>650</x:v>
      </x:c>
      <x:c r="O637" s="2" t="str">
        <x:v>MF375.pdf 32.004mm furatköz; Ø2.5x12 próbaérték 3.5x16 pan-head csavarhoz</x:v>
      </x:c>
    </x:row>
    <x:row r="638" ht="34" customHeight="1">
      <x:c r="A638" s="2" t="str">
        <x:v>H0633</x:v>
      </x:c>
      <x:c r="B638" s="2" t="str">
        <x:v>KI12-TV03P-01</x:v>
      </x:c>
      <x:c r="C638" s="2" t="str">
        <x:v>MF375_PANEL_CSAVAR</x:v>
      </x:c>
      <x:c r="D638" s="2" t="n">
        <x:v>100</x:v>
      </x:c>
      <x:c r="E638" s="2" t="n">
        <x:v>643.002</x:v>
      </x:c>
      <x:c r="F638" s="2" t="n">
        <x:v>0</x:v>
      </x:c>
      <x:c r="G638" s="2" t="n">
        <x:v>0</x:v>
      </x:c>
      <x:c r="H638" s="2" t="n">
        <x:v>0</x:v>
      </x:c>
      <x:c r="I638" s="2" t="n">
        <x:v>-1</x:v>
      </x:c>
      <x:c r="J638" s="2" t="n">
        <x:v>2.5</x:v>
      </x:c>
      <x:c r="K638" s="2" t="n">
        <x:v>12</x:v>
      </x:c>
      <x:c r="L638" s="2" t="n">
        <x:v>1484.502</x:v>
      </x:c>
      <x:c r="M638" s="2" t="n">
        <x:v>400</x:v>
      </x:c>
      <x:c r="N638" s="2" t="n">
        <x:v>650</x:v>
      </x:c>
      <x:c r="O638" s="2" t="str">
        <x:v>MF375.pdf 32.004mm furatköz; Ø2.5x12 próbaérték 3.5x16 pan-head csavarhoz</x:v>
      </x:c>
    </x:row>
    <x:row r="639" ht="34" customHeight="1">
      <x:c r="A639" s="2" t="str">
        <x:v>H0634</x:v>
      </x:c>
      <x:c r="B639" s="2" t="str">
        <x:v>KI12-TV03P-01</x:v>
      </x:c>
      <x:c r="C639" s="2" t="str">
        <x:v>MF375_PANEL_CSAVAR</x:v>
      </x:c>
      <x:c r="D639" s="2" t="n">
        <x:v>800</x:v>
      </x:c>
      <x:c r="E639" s="2" t="n">
        <x:v>43.99800000000005</x:v>
      </x:c>
      <x:c r="F639" s="2" t="n">
        <x:v>0</x:v>
      </x:c>
      <x:c r="G639" s="2" t="n">
        <x:v>0</x:v>
      </x:c>
      <x:c r="H639" s="2" t="n">
        <x:v>0</x:v>
      </x:c>
      <x:c r="I639" s="2" t="n">
        <x:v>-1</x:v>
      </x:c>
      <x:c r="J639" s="2" t="n">
        <x:v>2.5</x:v>
      </x:c>
      <x:c r="K639" s="2" t="n">
        <x:v>12</x:v>
      </x:c>
      <x:c r="L639" s="2" t="n">
        <x:v>885.498</x:v>
      </x:c>
      <x:c r="M639" s="2" t="n">
        <x:v>400</x:v>
      </x:c>
      <x:c r="N639" s="2" t="n">
        <x:v>1350</x:v>
      </x:c>
      <x:c r="O639" s="2" t="str">
        <x:v>MF375.pdf 32.004mm furatköz; Ø2.5x12 próbaérték 3.5x16 pan-head csavarhoz</x:v>
      </x:c>
    </x:row>
    <x:row r="640" ht="34" customHeight="1">
      <x:c r="A640" s="2" t="str">
        <x:v>H0635</x:v>
      </x:c>
      <x:c r="B640" s="2" t="str">
        <x:v>KI12-TV03P-01</x:v>
      </x:c>
      <x:c r="C640" s="2" t="str">
        <x:v>MF375_PANEL_CSAVAR</x:v>
      </x:c>
      <x:c r="D640" s="2" t="n">
        <x:v>800</x:v>
      </x:c>
      <x:c r="E640" s="2" t="n">
        <x:v>76.00199999999995</x:v>
      </x:c>
      <x:c r="F640" s="2" t="n">
        <x:v>0</x:v>
      </x:c>
      <x:c r="G640" s="2" t="n">
        <x:v>0</x:v>
      </x:c>
      <x:c r="H640" s="2" t="n">
        <x:v>0</x:v>
      </x:c>
      <x:c r="I640" s="2" t="n">
        <x:v>-1</x:v>
      </x:c>
      <x:c r="J640" s="2" t="n">
        <x:v>2.5</x:v>
      </x:c>
      <x:c r="K640" s="2" t="n">
        <x:v>12</x:v>
      </x:c>
      <x:c r="L640" s="2" t="n">
        <x:v>917.502</x:v>
      </x:c>
      <x:c r="M640" s="2" t="n">
        <x:v>400</x:v>
      </x:c>
      <x:c r="N640" s="2" t="n">
        <x:v>1350</x:v>
      </x:c>
      <x:c r="O640" s="2" t="str">
        <x:v>MF375.pdf 32.004mm furatköz; Ø2.5x12 próbaérték 3.5x16 pan-head csavarhoz</x:v>
      </x:c>
    </x:row>
    <x:row r="641" ht="34" customHeight="1">
      <x:c r="A641" s="2" t="str">
        <x:v>H0636</x:v>
      </x:c>
      <x:c r="B641" s="2" t="str">
        <x:v>KI12-TV03P-01</x:v>
      </x:c>
      <x:c r="C641" s="2" t="str">
        <x:v>MF375_PANEL_CSAVAR</x:v>
      </x:c>
      <x:c r="D641" s="2" t="n">
        <x:v>800</x:v>
      </x:c>
      <x:c r="E641" s="2" t="n">
        <x:v>327.49800000000005</x:v>
      </x:c>
      <x:c r="F641" s="2" t="n">
        <x:v>0</x:v>
      </x:c>
      <x:c r="G641" s="2" t="n">
        <x:v>0</x:v>
      </x:c>
      <x:c r="H641" s="2" t="n">
        <x:v>0</x:v>
      </x:c>
      <x:c r="I641" s="2" t="n">
        <x:v>-1</x:v>
      </x:c>
      <x:c r="J641" s="2" t="n">
        <x:v>2.5</x:v>
      </x:c>
      <x:c r="K641" s="2" t="n">
        <x:v>12</x:v>
      </x:c>
      <x:c r="L641" s="2" t="n">
        <x:v>1168.998</x:v>
      </x:c>
      <x:c r="M641" s="2" t="n">
        <x:v>400</x:v>
      </x:c>
      <x:c r="N641" s="2" t="n">
        <x:v>1350</x:v>
      </x:c>
      <x:c r="O641" s="2" t="str">
        <x:v>MF375.pdf 32.004mm furatköz; Ø2.5x12 próbaérték 3.5x16 pan-head csavarhoz</x:v>
      </x:c>
    </x:row>
    <x:row r="642" ht="34" customHeight="1">
      <x:c r="A642" s="2" t="str">
        <x:v>H0637</x:v>
      </x:c>
      <x:c r="B642" s="2" t="str">
        <x:v>KI12-TV03P-01</x:v>
      </x:c>
      <x:c r="C642" s="2" t="str">
        <x:v>MF375_PANEL_CSAVAR</x:v>
      </x:c>
      <x:c r="D642" s="2" t="n">
        <x:v>800</x:v>
      </x:c>
      <x:c r="E642" s="2" t="n">
        <x:v>359.50199999999995</x:v>
      </x:c>
      <x:c r="F642" s="2" t="n">
        <x:v>0</x:v>
      </x:c>
      <x:c r="G642" s="2" t="n">
        <x:v>0</x:v>
      </x:c>
      <x:c r="H642" s="2" t="n">
        <x:v>0</x:v>
      </x:c>
      <x:c r="I642" s="2" t="n">
        <x:v>-1</x:v>
      </x:c>
      <x:c r="J642" s="2" t="n">
        <x:v>2.5</x:v>
      </x:c>
      <x:c r="K642" s="2" t="n">
        <x:v>12</x:v>
      </x:c>
      <x:c r="L642" s="2" t="n">
        <x:v>1201.002</x:v>
      </x:c>
      <x:c r="M642" s="2" t="n">
        <x:v>400</x:v>
      </x:c>
      <x:c r="N642" s="2" t="n">
        <x:v>1350</x:v>
      </x:c>
      <x:c r="O642" s="2" t="str">
        <x:v>MF375.pdf 32.004mm furatköz; Ø2.5x12 próbaérték 3.5x16 pan-head csavarhoz</x:v>
      </x:c>
    </x:row>
    <x:row r="643" ht="34" customHeight="1">
      <x:c r="A643" s="2" t="str">
        <x:v>H0638</x:v>
      </x:c>
      <x:c r="B643" s="2" t="str">
        <x:v>KI12-TV03P-01</x:v>
      </x:c>
      <x:c r="C643" s="2" t="str">
        <x:v>MF375_PANEL_CSAVAR</x:v>
      </x:c>
      <x:c r="D643" s="2" t="n">
        <x:v>800</x:v>
      </x:c>
      <x:c r="E643" s="2" t="n">
        <x:v>610.998</x:v>
      </x:c>
      <x:c r="F643" s="2" t="n">
        <x:v>0</x:v>
      </x:c>
      <x:c r="G643" s="2" t="n">
        <x:v>0</x:v>
      </x:c>
      <x:c r="H643" s="2" t="n">
        <x:v>0</x:v>
      </x:c>
      <x:c r="I643" s="2" t="n">
        <x:v>-1</x:v>
      </x:c>
      <x:c r="J643" s="2" t="n">
        <x:v>2.5</x:v>
      </x:c>
      <x:c r="K643" s="2" t="n">
        <x:v>12</x:v>
      </x:c>
      <x:c r="L643" s="2" t="n">
        <x:v>1452.498</x:v>
      </x:c>
      <x:c r="M643" s="2" t="n">
        <x:v>400</x:v>
      </x:c>
      <x:c r="N643" s="2" t="n">
        <x:v>1350</x:v>
      </x:c>
      <x:c r="O643" s="2" t="str">
        <x:v>MF375.pdf 32.004mm furatköz; Ø2.5x12 próbaérték 3.5x16 pan-head csavarhoz</x:v>
      </x:c>
    </x:row>
    <x:row r="644" ht="34" customHeight="1">
      <x:c r="A644" s="2" t="str">
        <x:v>H0639</x:v>
      </x:c>
      <x:c r="B644" s="2" t="str">
        <x:v>KI12-TV03P-01</x:v>
      </x:c>
      <x:c r="C644" s="2" t="str">
        <x:v>MF375_PANEL_CSAVAR</x:v>
      </x:c>
      <x:c r="D644" s="2" t="n">
        <x:v>800</x:v>
      </x:c>
      <x:c r="E644" s="2" t="n">
        <x:v>643.002</x:v>
      </x:c>
      <x:c r="F644" s="2" t="n">
        <x:v>0</x:v>
      </x:c>
      <x:c r="G644" s="2" t="n">
        <x:v>0</x:v>
      </x:c>
      <x:c r="H644" s="2" t="n">
        <x:v>0</x:v>
      </x:c>
      <x:c r="I644" s="2" t="n">
        <x:v>-1</x:v>
      </x:c>
      <x:c r="J644" s="2" t="n">
        <x:v>2.5</x:v>
      </x:c>
      <x:c r="K644" s="2" t="n">
        <x:v>12</x:v>
      </x:c>
      <x:c r="L644" s="2" t="n">
        <x:v>1484.502</x:v>
      </x:c>
      <x:c r="M644" s="2" t="n">
        <x:v>400</x:v>
      </x:c>
      <x:c r="N644" s="2" t="n">
        <x:v>1350</x:v>
      </x:c>
      <x:c r="O644" s="2" t="str">
        <x:v>MF375.pdf 32.004mm furatköz; Ø2.5x12 próbaérték 3.5x16 pan-head csavarhoz</x:v>
      </x:c>
    </x:row>
    <x:row r="645" ht="34" customHeight="1">
      <x:c r="A645" s="2" t="str">
        <x:v>H0640</x:v>
      </x:c>
      <x:c r="B645" s="2" t="str">
        <x:v>KI12-TV03P-01</x:v>
      </x:c>
      <x:c r="C645" s="2" t="str">
        <x:v>MF375_PANEL_CSAVAR</x:v>
      </x:c>
      <x:c r="D645" s="2" t="n">
        <x:v>1500</x:v>
      </x:c>
      <x:c r="E645" s="2" t="n">
        <x:v>43.99800000000005</x:v>
      </x:c>
      <x:c r="F645" s="2" t="n">
        <x:v>0</x:v>
      </x:c>
      <x:c r="G645" s="2" t="n">
        <x:v>0</x:v>
      </x:c>
      <x:c r="H645" s="2" t="n">
        <x:v>0</x:v>
      </x:c>
      <x:c r="I645" s="2" t="n">
        <x:v>-1</x:v>
      </x:c>
      <x:c r="J645" s="2" t="n">
        <x:v>2.5</x:v>
      </x:c>
      <x:c r="K645" s="2" t="n">
        <x:v>12</x:v>
      </x:c>
      <x:c r="L645" s="2" t="n">
        <x:v>885.498</x:v>
      </x:c>
      <x:c r="M645" s="2" t="n">
        <x:v>400</x:v>
      </x:c>
      <x:c r="N645" s="2" t="n">
        <x:v>2050</x:v>
      </x:c>
      <x:c r="O645" s="2" t="str">
        <x:v>MF375.pdf 32.004mm furatköz; Ø2.5x12 próbaérték 3.5x16 pan-head csavarhoz</x:v>
      </x:c>
    </x:row>
    <x:row r="646" ht="34" customHeight="1">
      <x:c r="A646" s="2" t="str">
        <x:v>H0641</x:v>
      </x:c>
      <x:c r="B646" s="2" t="str">
        <x:v>KI12-TV03P-01</x:v>
      </x:c>
      <x:c r="C646" s="2" t="str">
        <x:v>MF375_PANEL_CSAVAR</x:v>
      </x:c>
      <x:c r="D646" s="2" t="n">
        <x:v>1500</x:v>
      </x:c>
      <x:c r="E646" s="2" t="n">
        <x:v>76.00199999999995</x:v>
      </x:c>
      <x:c r="F646" s="2" t="n">
        <x:v>0</x:v>
      </x:c>
      <x:c r="G646" s="2" t="n">
        <x:v>0</x:v>
      </x:c>
      <x:c r="H646" s="2" t="n">
        <x:v>0</x:v>
      </x:c>
      <x:c r="I646" s="2" t="n">
        <x:v>-1</x:v>
      </x:c>
      <x:c r="J646" s="2" t="n">
        <x:v>2.5</x:v>
      </x:c>
      <x:c r="K646" s="2" t="n">
        <x:v>12</x:v>
      </x:c>
      <x:c r="L646" s="2" t="n">
        <x:v>917.502</x:v>
      </x:c>
      <x:c r="M646" s="2" t="n">
        <x:v>400</x:v>
      </x:c>
      <x:c r="N646" s="2" t="n">
        <x:v>2050</x:v>
      </x:c>
      <x:c r="O646" s="2" t="str">
        <x:v>MF375.pdf 32.004mm furatköz; Ø2.5x12 próbaérték 3.5x16 pan-head csavarhoz</x:v>
      </x:c>
    </x:row>
    <x:row r="647" ht="34" customHeight="1">
      <x:c r="A647" s="2" t="str">
        <x:v>H0642</x:v>
      </x:c>
      <x:c r="B647" s="2" t="str">
        <x:v>KI12-TV03P-01</x:v>
      </x:c>
      <x:c r="C647" s="2" t="str">
        <x:v>MF375_PANEL_CSAVAR</x:v>
      </x:c>
      <x:c r="D647" s="2" t="n">
        <x:v>1500</x:v>
      </x:c>
      <x:c r="E647" s="2" t="n">
        <x:v>327.49800000000005</x:v>
      </x:c>
      <x:c r="F647" s="2" t="n">
        <x:v>0</x:v>
      </x:c>
      <x:c r="G647" s="2" t="n">
        <x:v>0</x:v>
      </x:c>
      <x:c r="H647" s="2" t="n">
        <x:v>0</x:v>
      </x:c>
      <x:c r="I647" s="2" t="n">
        <x:v>-1</x:v>
      </x:c>
      <x:c r="J647" s="2" t="n">
        <x:v>2.5</x:v>
      </x:c>
      <x:c r="K647" s="2" t="n">
        <x:v>12</x:v>
      </x:c>
      <x:c r="L647" s="2" t="n">
        <x:v>1168.998</x:v>
      </x:c>
      <x:c r="M647" s="2" t="n">
        <x:v>400</x:v>
      </x:c>
      <x:c r="N647" s="2" t="n">
        <x:v>2050</x:v>
      </x:c>
      <x:c r="O647" s="2" t="str">
        <x:v>MF375.pdf 32.004mm furatköz; Ø2.5x12 próbaérték 3.5x16 pan-head csavarhoz</x:v>
      </x:c>
    </x:row>
    <x:row r="648" ht="34" customHeight="1">
      <x:c r="A648" s="2" t="str">
        <x:v>H0643</x:v>
      </x:c>
      <x:c r="B648" s="2" t="str">
        <x:v>KI12-TV03P-01</x:v>
      </x:c>
      <x:c r="C648" s="2" t="str">
        <x:v>MF375_PANEL_CSAVAR</x:v>
      </x:c>
      <x:c r="D648" s="2" t="n">
        <x:v>1500</x:v>
      </x:c>
      <x:c r="E648" s="2" t="n">
        <x:v>359.50199999999995</x:v>
      </x:c>
      <x:c r="F648" s="2" t="n">
        <x:v>0</x:v>
      </x:c>
      <x:c r="G648" s="2" t="n">
        <x:v>0</x:v>
      </x:c>
      <x:c r="H648" s="2" t="n">
        <x:v>0</x:v>
      </x:c>
      <x:c r="I648" s="2" t="n">
        <x:v>-1</x:v>
      </x:c>
      <x:c r="J648" s="2" t="n">
        <x:v>2.5</x:v>
      </x:c>
      <x:c r="K648" s="2" t="n">
        <x:v>12</x:v>
      </x:c>
      <x:c r="L648" s="2" t="n">
        <x:v>1201.002</x:v>
      </x:c>
      <x:c r="M648" s="2" t="n">
        <x:v>400</x:v>
      </x:c>
      <x:c r="N648" s="2" t="n">
        <x:v>2050</x:v>
      </x:c>
      <x:c r="O648" s="2" t="str">
        <x:v>MF375.pdf 32.004mm furatköz; Ø2.5x12 próbaérték 3.5x16 pan-head csavarhoz</x:v>
      </x:c>
    </x:row>
    <x:row r="649" ht="34" customHeight="1">
      <x:c r="A649" s="2" t="str">
        <x:v>H0644</x:v>
      </x:c>
      <x:c r="B649" s="2" t="str">
        <x:v>KI12-TV03P-01</x:v>
      </x:c>
      <x:c r="C649" s="2" t="str">
        <x:v>MF375_PANEL_CSAVAR</x:v>
      </x:c>
      <x:c r="D649" s="2" t="n">
        <x:v>1500</x:v>
      </x:c>
      <x:c r="E649" s="2" t="n">
        <x:v>610.998</x:v>
      </x:c>
      <x:c r="F649" s="2" t="n">
        <x:v>0</x:v>
      </x:c>
      <x:c r="G649" s="2" t="n">
        <x:v>0</x:v>
      </x:c>
      <x:c r="H649" s="2" t="n">
        <x:v>0</x:v>
      </x:c>
      <x:c r="I649" s="2" t="n">
        <x:v>-1</x:v>
      </x:c>
      <x:c r="J649" s="2" t="n">
        <x:v>2.5</x:v>
      </x:c>
      <x:c r="K649" s="2" t="n">
        <x:v>12</x:v>
      </x:c>
      <x:c r="L649" s="2" t="n">
        <x:v>1452.498</x:v>
      </x:c>
      <x:c r="M649" s="2" t="n">
        <x:v>400</x:v>
      </x:c>
      <x:c r="N649" s="2" t="n">
        <x:v>2050</x:v>
      </x:c>
      <x:c r="O649" s="2" t="str">
        <x:v>MF375.pdf 32.004mm furatköz; Ø2.5x12 próbaérték 3.5x16 pan-head csavarhoz</x:v>
      </x:c>
    </x:row>
    <x:row r="650" ht="34" customHeight="1">
      <x:c r="A650" s="2" t="str">
        <x:v>H0645</x:v>
      </x:c>
      <x:c r="B650" s="2" t="str">
        <x:v>KI12-TV03P-01</x:v>
      </x:c>
      <x:c r="C650" s="2" t="str">
        <x:v>MF375_PANEL_CSAVAR</x:v>
      </x:c>
      <x:c r="D650" s="2" t="n">
        <x:v>1500</x:v>
      </x:c>
      <x:c r="E650" s="2" t="n">
        <x:v>643.002</x:v>
      </x:c>
      <x:c r="F650" s="2" t="n">
        <x:v>0</x:v>
      </x:c>
      <x:c r="G650" s="2" t="n">
        <x:v>0</x:v>
      </x:c>
      <x:c r="H650" s="2" t="n">
        <x:v>0</x:v>
      </x:c>
      <x:c r="I650" s="2" t="n">
        <x:v>-1</x:v>
      </x:c>
      <x:c r="J650" s="2" t="n">
        <x:v>2.5</x:v>
      </x:c>
      <x:c r="K650" s="2" t="n">
        <x:v>12</x:v>
      </x:c>
      <x:c r="L650" s="2" t="n">
        <x:v>1484.502</x:v>
      </x:c>
      <x:c r="M650" s="2" t="n">
        <x:v>400</x:v>
      </x:c>
      <x:c r="N650" s="2" t="n">
        <x:v>2050</x:v>
      </x:c>
      <x:c r="O650" s="2" t="str">
        <x:v>MF375.pdf 32.004mm furatköz; Ø2.5x12 próbaérték 3.5x16 pan-head csavarhoz</x:v>
      </x:c>
    </x:row>
    <x:row r="651" ht="34" customHeight="1">
      <x:c r="A651" s="2" t="str">
        <x:v>H0646</x:v>
      </x:c>
      <x:c r="B651" s="2" t="str">
        <x:v>KI12-TV03P-01</x:v>
      </x:c>
      <x:c r="C651" s="2" t="str">
        <x:v>MF375_PANEL_CSAVAR</x:v>
      </x:c>
      <x:c r="D651" s="2" t="n">
        <x:v>2200</x:v>
      </x:c>
      <x:c r="E651" s="2" t="n">
        <x:v>43.99800000000005</x:v>
      </x:c>
      <x:c r="F651" s="2" t="n">
        <x:v>0</x:v>
      </x:c>
      <x:c r="G651" s="2" t="n">
        <x:v>0</x:v>
      </x:c>
      <x:c r="H651" s="2" t="n">
        <x:v>0</x:v>
      </x:c>
      <x:c r="I651" s="2" t="n">
        <x:v>-1</x:v>
      </x:c>
      <x:c r="J651" s="2" t="n">
        <x:v>2.5</x:v>
      </x:c>
      <x:c r="K651" s="2" t="n">
        <x:v>12</x:v>
      </x:c>
      <x:c r="L651" s="2" t="n">
        <x:v>885.498</x:v>
      </x:c>
      <x:c r="M651" s="2" t="n">
        <x:v>400</x:v>
      </x:c>
      <x:c r="N651" s="2" t="n">
        <x:v>2750</x:v>
      </x:c>
      <x:c r="O651" s="2" t="str">
        <x:v>MF375.pdf 32.004mm furatköz; Ø2.5x12 próbaérték 3.5x16 pan-head csavarhoz</x:v>
      </x:c>
    </x:row>
    <x:row r="652" ht="34" customHeight="1">
      <x:c r="A652" s="2" t="str">
        <x:v>H0647</x:v>
      </x:c>
      <x:c r="B652" s="2" t="str">
        <x:v>KI12-TV03P-01</x:v>
      </x:c>
      <x:c r="C652" s="2" t="str">
        <x:v>MF375_PANEL_CSAVAR</x:v>
      </x:c>
      <x:c r="D652" s="2" t="n">
        <x:v>2200</x:v>
      </x:c>
      <x:c r="E652" s="2" t="n">
        <x:v>76.00199999999995</x:v>
      </x:c>
      <x:c r="F652" s="2" t="n">
        <x:v>0</x:v>
      </x:c>
      <x:c r="G652" s="2" t="n">
        <x:v>0</x:v>
      </x:c>
      <x:c r="H652" s="2" t="n">
        <x:v>0</x:v>
      </x:c>
      <x:c r="I652" s="2" t="n">
        <x:v>-1</x:v>
      </x:c>
      <x:c r="J652" s="2" t="n">
        <x:v>2.5</x:v>
      </x:c>
      <x:c r="K652" s="2" t="n">
        <x:v>12</x:v>
      </x:c>
      <x:c r="L652" s="2" t="n">
        <x:v>917.502</x:v>
      </x:c>
      <x:c r="M652" s="2" t="n">
        <x:v>400</x:v>
      </x:c>
      <x:c r="N652" s="2" t="n">
        <x:v>2750</x:v>
      </x:c>
      <x:c r="O652" s="2" t="str">
        <x:v>MF375.pdf 32.004mm furatköz; Ø2.5x12 próbaérték 3.5x16 pan-head csavarhoz</x:v>
      </x:c>
    </x:row>
    <x:row r="653" ht="34" customHeight="1">
      <x:c r="A653" s="2" t="str">
        <x:v>H0648</x:v>
      </x:c>
      <x:c r="B653" s="2" t="str">
        <x:v>KI12-TV03P-01</x:v>
      </x:c>
      <x:c r="C653" s="2" t="str">
        <x:v>MF375_PANEL_CSAVAR</x:v>
      </x:c>
      <x:c r="D653" s="2" t="n">
        <x:v>2200</x:v>
      </x:c>
      <x:c r="E653" s="2" t="n">
        <x:v>327.49800000000005</x:v>
      </x:c>
      <x:c r="F653" s="2" t="n">
        <x:v>0</x:v>
      </x:c>
      <x:c r="G653" s="2" t="n">
        <x:v>0</x:v>
      </x:c>
      <x:c r="H653" s="2" t="n">
        <x:v>0</x:v>
      </x:c>
      <x:c r="I653" s="2" t="n">
        <x:v>-1</x:v>
      </x:c>
      <x:c r="J653" s="2" t="n">
        <x:v>2.5</x:v>
      </x:c>
      <x:c r="K653" s="2" t="n">
        <x:v>12</x:v>
      </x:c>
      <x:c r="L653" s="2" t="n">
        <x:v>1168.998</x:v>
      </x:c>
      <x:c r="M653" s="2" t="n">
        <x:v>400</x:v>
      </x:c>
      <x:c r="N653" s="2" t="n">
        <x:v>2750</x:v>
      </x:c>
      <x:c r="O653" s="2" t="str">
        <x:v>MF375.pdf 32.004mm furatköz; Ø2.5x12 próbaérték 3.5x16 pan-head csavarhoz</x:v>
      </x:c>
    </x:row>
    <x:row r="654" ht="34" customHeight="1">
      <x:c r="A654" s="2" t="str">
        <x:v>H0649</x:v>
      </x:c>
      <x:c r="B654" s="2" t="str">
        <x:v>KI12-TV03P-01</x:v>
      </x:c>
      <x:c r="C654" s="2" t="str">
        <x:v>MF375_PANEL_CSAVAR</x:v>
      </x:c>
      <x:c r="D654" s="2" t="n">
        <x:v>2200</x:v>
      </x:c>
      <x:c r="E654" s="2" t="n">
        <x:v>359.50199999999995</x:v>
      </x:c>
      <x:c r="F654" s="2" t="n">
        <x:v>0</x:v>
      </x:c>
      <x:c r="G654" s="2" t="n">
        <x:v>0</x:v>
      </x:c>
      <x:c r="H654" s="2" t="n">
        <x:v>0</x:v>
      </x:c>
      <x:c r="I654" s="2" t="n">
        <x:v>-1</x:v>
      </x:c>
      <x:c r="J654" s="2" t="n">
        <x:v>2.5</x:v>
      </x:c>
      <x:c r="K654" s="2" t="n">
        <x:v>12</x:v>
      </x:c>
      <x:c r="L654" s="2" t="n">
        <x:v>1201.002</x:v>
      </x:c>
      <x:c r="M654" s="2" t="n">
        <x:v>400</x:v>
      </x:c>
      <x:c r="N654" s="2" t="n">
        <x:v>2750</x:v>
      </x:c>
      <x:c r="O654" s="2" t="str">
        <x:v>MF375.pdf 32.004mm furatköz; Ø2.5x12 próbaérték 3.5x16 pan-head csavarhoz</x:v>
      </x:c>
    </x:row>
    <x:row r="655" ht="34" customHeight="1">
      <x:c r="A655" s="2" t="str">
        <x:v>H0650</x:v>
      </x:c>
      <x:c r="B655" s="2" t="str">
        <x:v>KI12-TV03P-01</x:v>
      </x:c>
      <x:c r="C655" s="2" t="str">
        <x:v>MF375_PANEL_CSAVAR</x:v>
      </x:c>
      <x:c r="D655" s="2" t="n">
        <x:v>2200</x:v>
      </x:c>
      <x:c r="E655" s="2" t="n">
        <x:v>610.998</x:v>
      </x:c>
      <x:c r="F655" s="2" t="n">
        <x:v>0</x:v>
      </x:c>
      <x:c r="G655" s="2" t="n">
        <x:v>0</x:v>
      </x:c>
      <x:c r="H655" s="2" t="n">
        <x:v>0</x:v>
      </x:c>
      <x:c r="I655" s="2" t="n">
        <x:v>-1</x:v>
      </x:c>
      <x:c r="J655" s="2" t="n">
        <x:v>2.5</x:v>
      </x:c>
      <x:c r="K655" s="2" t="n">
        <x:v>12</x:v>
      </x:c>
      <x:c r="L655" s="2" t="n">
        <x:v>1452.498</x:v>
      </x:c>
      <x:c r="M655" s="2" t="n">
        <x:v>400</x:v>
      </x:c>
      <x:c r="N655" s="2" t="n">
        <x:v>2750</x:v>
      </x:c>
      <x:c r="O655" s="2" t="str">
        <x:v>MF375.pdf 32.004mm furatköz; Ø2.5x12 próbaérték 3.5x16 pan-head csavarhoz</x:v>
      </x:c>
    </x:row>
    <x:row r="656" ht="34" customHeight="1">
      <x:c r="A656" s="2" t="str">
        <x:v>H0651</x:v>
      </x:c>
      <x:c r="B656" s="2" t="str">
        <x:v>KI12-TV03P-01</x:v>
      </x:c>
      <x:c r="C656" s="2" t="str">
        <x:v>MF375_PANEL_CSAVAR</x:v>
      </x:c>
      <x:c r="D656" s="2" t="n">
        <x:v>2200</x:v>
      </x:c>
      <x:c r="E656" s="2" t="n">
        <x:v>643.002</x:v>
      </x:c>
      <x:c r="F656" s="2" t="n">
        <x:v>0</x:v>
      </x:c>
      <x:c r="G656" s="2" t="n">
        <x:v>0</x:v>
      </x:c>
      <x:c r="H656" s="2" t="n">
        <x:v>0</x:v>
      </x:c>
      <x:c r="I656" s="2" t="n">
        <x:v>-1</x:v>
      </x:c>
      <x:c r="J656" s="2" t="n">
        <x:v>2.5</x:v>
      </x:c>
      <x:c r="K656" s="2" t="n">
        <x:v>12</x:v>
      </x:c>
      <x:c r="L656" s="2" t="n">
        <x:v>1484.502</x:v>
      </x:c>
      <x:c r="M656" s="2" t="n">
        <x:v>400</x:v>
      </x:c>
      <x:c r="N656" s="2" t="n">
        <x:v>2750</x:v>
      </x:c>
      <x:c r="O656" s="2" t="str">
        <x:v>MF375.pdf 32.004mm furatköz; Ø2.5x12 próbaérték 3.5x16 pan-head csavarhoz</x:v>
      </x:c>
    </x:row>
    <x:row r="657" ht="34" customHeight="1">
      <x:c r="A657" s="2" t="str">
        <x:v>H0652</x:v>
      </x:c>
      <x:c r="B657" s="2" t="str">
        <x:v>KI12-TV03P-02</x:v>
      </x:c>
      <x:c r="C657" s="2" t="str">
        <x:v>MF375_PANEL_CSAVAR</x:v>
      </x:c>
      <x:c r="D657" s="2" t="n">
        <x:v>100</x:v>
      </x:c>
      <x:c r="E657" s="2" t="n">
        <x:v>43.99800000000005</x:v>
      </x:c>
      <x:c r="F657" s="2" t="n">
        <x:v>0</x:v>
      </x:c>
      <x:c r="G657" s="2" t="n">
        <x:v>0</x:v>
      </x:c>
      <x:c r="H657" s="2" t="n">
        <x:v>0</x:v>
      </x:c>
      <x:c r="I657" s="2" t="n">
        <x:v>-1</x:v>
      </x:c>
      <x:c r="J657" s="2" t="n">
        <x:v>2.5</x:v>
      </x:c>
      <x:c r="K657" s="2" t="n">
        <x:v>12</x:v>
      </x:c>
      <x:c r="L657" s="2" t="n">
        <x:v>1575.498</x:v>
      </x:c>
      <x:c r="M657" s="2" t="n">
        <x:v>400</x:v>
      </x:c>
      <x:c r="N657" s="2" t="n">
        <x:v>650</x:v>
      </x:c>
      <x:c r="O657" s="2" t="str">
        <x:v>MF375.pdf 32.004mm furatköz; Ø2.5x12 próbaérték 3.5x16 pan-head csavarhoz</x:v>
      </x:c>
    </x:row>
    <x:row r="658" ht="34" customHeight="1">
      <x:c r="A658" s="2" t="str">
        <x:v>H0653</x:v>
      </x:c>
      <x:c r="B658" s="2" t="str">
        <x:v>KI12-TV03P-02</x:v>
      </x:c>
      <x:c r="C658" s="2" t="str">
        <x:v>MF375_PANEL_CSAVAR</x:v>
      </x:c>
      <x:c r="D658" s="2" t="n">
        <x:v>100</x:v>
      </x:c>
      <x:c r="E658" s="2" t="n">
        <x:v>76.00199999999995</x:v>
      </x:c>
      <x:c r="F658" s="2" t="n">
        <x:v>0</x:v>
      </x:c>
      <x:c r="G658" s="2" t="n">
        <x:v>0</x:v>
      </x:c>
      <x:c r="H658" s="2" t="n">
        <x:v>0</x:v>
      </x:c>
      <x:c r="I658" s="2" t="n">
        <x:v>-1</x:v>
      </x:c>
      <x:c r="J658" s="2" t="n">
        <x:v>2.5</x:v>
      </x:c>
      <x:c r="K658" s="2" t="n">
        <x:v>12</x:v>
      </x:c>
      <x:c r="L658" s="2" t="n">
        <x:v>1607.502</x:v>
      </x:c>
      <x:c r="M658" s="2" t="n">
        <x:v>400</x:v>
      </x:c>
      <x:c r="N658" s="2" t="n">
        <x:v>650</x:v>
      </x:c>
      <x:c r="O658" s="2" t="str">
        <x:v>MF375.pdf 32.004mm furatköz; Ø2.5x12 próbaérték 3.5x16 pan-head csavarhoz</x:v>
      </x:c>
    </x:row>
    <x:row r="659" ht="34" customHeight="1">
      <x:c r="A659" s="2" t="str">
        <x:v>H0654</x:v>
      </x:c>
      <x:c r="B659" s="2" t="str">
        <x:v>KI12-TV03P-02</x:v>
      </x:c>
      <x:c r="C659" s="2" t="str">
        <x:v>MF375_PANEL_CSAVAR</x:v>
      </x:c>
      <x:c r="D659" s="2" t="n">
        <x:v>100</x:v>
      </x:c>
      <x:c r="E659" s="2" t="n">
        <x:v>327.49800000000005</x:v>
      </x:c>
      <x:c r="F659" s="2" t="n">
        <x:v>0</x:v>
      </x:c>
      <x:c r="G659" s="2" t="n">
        <x:v>0</x:v>
      </x:c>
      <x:c r="H659" s="2" t="n">
        <x:v>0</x:v>
      </x:c>
      <x:c r="I659" s="2" t="n">
        <x:v>-1</x:v>
      </x:c>
      <x:c r="J659" s="2" t="n">
        <x:v>2.5</x:v>
      </x:c>
      <x:c r="K659" s="2" t="n">
        <x:v>12</x:v>
      </x:c>
      <x:c r="L659" s="2" t="n">
        <x:v>1858.998</x:v>
      </x:c>
      <x:c r="M659" s="2" t="n">
        <x:v>400</x:v>
      </x:c>
      <x:c r="N659" s="2" t="n">
        <x:v>650</x:v>
      </x:c>
      <x:c r="O659" s="2" t="str">
        <x:v>MF375.pdf 32.004mm furatköz; Ø2.5x12 próbaérték 3.5x16 pan-head csavarhoz</x:v>
      </x:c>
    </x:row>
    <x:row r="660" ht="34" customHeight="1">
      <x:c r="A660" s="2" t="str">
        <x:v>H0655</x:v>
      </x:c>
      <x:c r="B660" s="2" t="str">
        <x:v>KI12-TV03P-02</x:v>
      </x:c>
      <x:c r="C660" s="2" t="str">
        <x:v>MF375_PANEL_CSAVAR</x:v>
      </x:c>
      <x:c r="D660" s="2" t="n">
        <x:v>100</x:v>
      </x:c>
      <x:c r="E660" s="2" t="n">
        <x:v>359.50199999999995</x:v>
      </x:c>
      <x:c r="F660" s="2" t="n">
        <x:v>0</x:v>
      </x:c>
      <x:c r="G660" s="2" t="n">
        <x:v>0</x:v>
      </x:c>
      <x:c r="H660" s="2" t="n">
        <x:v>0</x:v>
      </x:c>
      <x:c r="I660" s="2" t="n">
        <x:v>-1</x:v>
      </x:c>
      <x:c r="J660" s="2" t="n">
        <x:v>2.5</x:v>
      </x:c>
      <x:c r="K660" s="2" t="n">
        <x:v>12</x:v>
      </x:c>
      <x:c r="L660" s="2" t="n">
        <x:v>1891.002</x:v>
      </x:c>
      <x:c r="M660" s="2" t="n">
        <x:v>400</x:v>
      </x:c>
      <x:c r="N660" s="2" t="n">
        <x:v>650</x:v>
      </x:c>
      <x:c r="O660" s="2" t="str">
        <x:v>MF375.pdf 32.004mm furatköz; Ø2.5x12 próbaérték 3.5x16 pan-head csavarhoz</x:v>
      </x:c>
    </x:row>
    <x:row r="661" ht="34" customHeight="1">
      <x:c r="A661" s="2" t="str">
        <x:v>H0656</x:v>
      </x:c>
      <x:c r="B661" s="2" t="str">
        <x:v>KI12-TV03P-02</x:v>
      </x:c>
      <x:c r="C661" s="2" t="str">
        <x:v>MF375_PANEL_CSAVAR</x:v>
      </x:c>
      <x:c r="D661" s="2" t="n">
        <x:v>100</x:v>
      </x:c>
      <x:c r="E661" s="2" t="n">
        <x:v>610.998</x:v>
      </x:c>
      <x:c r="F661" s="2" t="n">
        <x:v>0</x:v>
      </x:c>
      <x:c r="G661" s="2" t="n">
        <x:v>0</x:v>
      </x:c>
      <x:c r="H661" s="2" t="n">
        <x:v>0</x:v>
      </x:c>
      <x:c r="I661" s="2" t="n">
        <x:v>-1</x:v>
      </x:c>
      <x:c r="J661" s="2" t="n">
        <x:v>2.5</x:v>
      </x:c>
      <x:c r="K661" s="2" t="n">
        <x:v>12</x:v>
      </x:c>
      <x:c r="L661" s="2" t="n">
        <x:v>2142.498</x:v>
      </x:c>
      <x:c r="M661" s="2" t="n">
        <x:v>400</x:v>
      </x:c>
      <x:c r="N661" s="2" t="n">
        <x:v>650</x:v>
      </x:c>
      <x:c r="O661" s="2" t="str">
        <x:v>MF375.pdf 32.004mm furatköz; Ø2.5x12 próbaérték 3.5x16 pan-head csavarhoz</x:v>
      </x:c>
    </x:row>
    <x:row r="662" ht="34" customHeight="1">
      <x:c r="A662" s="2" t="str">
        <x:v>H0657</x:v>
      </x:c>
      <x:c r="B662" s="2" t="str">
        <x:v>KI12-TV03P-02</x:v>
      </x:c>
      <x:c r="C662" s="2" t="str">
        <x:v>MF375_PANEL_CSAVAR</x:v>
      </x:c>
      <x:c r="D662" s="2" t="n">
        <x:v>100</x:v>
      </x:c>
      <x:c r="E662" s="2" t="n">
        <x:v>643.002</x:v>
      </x:c>
      <x:c r="F662" s="2" t="n">
        <x:v>0</x:v>
      </x:c>
      <x:c r="G662" s="2" t="n">
        <x:v>0</x:v>
      </x:c>
      <x:c r="H662" s="2" t="n">
        <x:v>0</x:v>
      </x:c>
      <x:c r="I662" s="2" t="n">
        <x:v>-1</x:v>
      </x:c>
      <x:c r="J662" s="2" t="n">
        <x:v>2.5</x:v>
      </x:c>
      <x:c r="K662" s="2" t="n">
        <x:v>12</x:v>
      </x:c>
      <x:c r="L662" s="2" t="n">
        <x:v>2174.502</x:v>
      </x:c>
      <x:c r="M662" s="2" t="n">
        <x:v>400</x:v>
      </x:c>
      <x:c r="N662" s="2" t="n">
        <x:v>650</x:v>
      </x:c>
      <x:c r="O662" s="2" t="str">
        <x:v>MF375.pdf 32.004mm furatköz; Ø2.5x12 próbaérték 3.5x16 pan-head csavarhoz</x:v>
      </x:c>
    </x:row>
    <x:row r="663" ht="34" customHeight="1">
      <x:c r="A663" s="2" t="str">
        <x:v>H0658</x:v>
      </x:c>
      <x:c r="B663" s="2" t="str">
        <x:v>KI12-TV03P-02</x:v>
      </x:c>
      <x:c r="C663" s="2" t="str">
        <x:v>MF375_PANEL_CSAVAR</x:v>
      </x:c>
      <x:c r="D663" s="2" t="n">
        <x:v>800</x:v>
      </x:c>
      <x:c r="E663" s="2" t="n">
        <x:v>43.99800000000005</x:v>
      </x:c>
      <x:c r="F663" s="2" t="n">
        <x:v>0</x:v>
      </x:c>
      <x:c r="G663" s="2" t="n">
        <x:v>0</x:v>
      </x:c>
      <x:c r="H663" s="2" t="n">
        <x:v>0</x:v>
      </x:c>
      <x:c r="I663" s="2" t="n">
        <x:v>-1</x:v>
      </x:c>
      <x:c r="J663" s="2" t="n">
        <x:v>2.5</x:v>
      </x:c>
      <x:c r="K663" s="2" t="n">
        <x:v>12</x:v>
      </x:c>
      <x:c r="L663" s="2" t="n">
        <x:v>1575.498</x:v>
      </x:c>
      <x:c r="M663" s="2" t="n">
        <x:v>400</x:v>
      </x:c>
      <x:c r="N663" s="2" t="n">
        <x:v>1350</x:v>
      </x:c>
      <x:c r="O663" s="2" t="str">
        <x:v>MF375.pdf 32.004mm furatköz; Ø2.5x12 próbaérték 3.5x16 pan-head csavarhoz</x:v>
      </x:c>
    </x:row>
    <x:row r="664" ht="34" customHeight="1">
      <x:c r="A664" s="2" t="str">
        <x:v>H0659</x:v>
      </x:c>
      <x:c r="B664" s="2" t="str">
        <x:v>KI12-TV03P-02</x:v>
      </x:c>
      <x:c r="C664" s="2" t="str">
        <x:v>MF375_PANEL_CSAVAR</x:v>
      </x:c>
      <x:c r="D664" s="2" t="n">
        <x:v>800</x:v>
      </x:c>
      <x:c r="E664" s="2" t="n">
        <x:v>76.00199999999995</x:v>
      </x:c>
      <x:c r="F664" s="2" t="n">
        <x:v>0</x:v>
      </x:c>
      <x:c r="G664" s="2" t="n">
        <x:v>0</x:v>
      </x:c>
      <x:c r="H664" s="2" t="n">
        <x:v>0</x:v>
      </x:c>
      <x:c r="I664" s="2" t="n">
        <x:v>-1</x:v>
      </x:c>
      <x:c r="J664" s="2" t="n">
        <x:v>2.5</x:v>
      </x:c>
      <x:c r="K664" s="2" t="n">
        <x:v>12</x:v>
      </x:c>
      <x:c r="L664" s="2" t="n">
        <x:v>1607.502</x:v>
      </x:c>
      <x:c r="M664" s="2" t="n">
        <x:v>400</x:v>
      </x:c>
      <x:c r="N664" s="2" t="n">
        <x:v>1350</x:v>
      </x:c>
      <x:c r="O664" s="2" t="str">
        <x:v>MF375.pdf 32.004mm furatköz; Ø2.5x12 próbaérték 3.5x16 pan-head csavarhoz</x:v>
      </x:c>
    </x:row>
    <x:row r="665" ht="34" customHeight="1">
      <x:c r="A665" s="2" t="str">
        <x:v>H0660</x:v>
      </x:c>
      <x:c r="B665" s="2" t="str">
        <x:v>KI12-TV03P-02</x:v>
      </x:c>
      <x:c r="C665" s="2" t="str">
        <x:v>MF375_PANEL_CSAVAR</x:v>
      </x:c>
      <x:c r="D665" s="2" t="n">
        <x:v>800</x:v>
      </x:c>
      <x:c r="E665" s="2" t="n">
        <x:v>327.49800000000005</x:v>
      </x:c>
      <x:c r="F665" s="2" t="n">
        <x:v>0</x:v>
      </x:c>
      <x:c r="G665" s="2" t="n">
        <x:v>0</x:v>
      </x:c>
      <x:c r="H665" s="2" t="n">
        <x:v>0</x:v>
      </x:c>
      <x:c r="I665" s="2" t="n">
        <x:v>-1</x:v>
      </x:c>
      <x:c r="J665" s="2" t="n">
        <x:v>2.5</x:v>
      </x:c>
      <x:c r="K665" s="2" t="n">
        <x:v>12</x:v>
      </x:c>
      <x:c r="L665" s="2" t="n">
        <x:v>1858.998</x:v>
      </x:c>
      <x:c r="M665" s="2" t="n">
        <x:v>400</x:v>
      </x:c>
      <x:c r="N665" s="2" t="n">
        <x:v>1350</x:v>
      </x:c>
      <x:c r="O665" s="2" t="str">
        <x:v>MF375.pdf 32.004mm furatköz; Ø2.5x12 próbaérték 3.5x16 pan-head csavarhoz</x:v>
      </x:c>
    </x:row>
    <x:row r="666" ht="34" customHeight="1">
      <x:c r="A666" s="2" t="str">
        <x:v>H0661</x:v>
      </x:c>
      <x:c r="B666" s="2" t="str">
        <x:v>KI12-TV03P-02</x:v>
      </x:c>
      <x:c r="C666" s="2" t="str">
        <x:v>MF375_PANEL_CSAVAR</x:v>
      </x:c>
      <x:c r="D666" s="2" t="n">
        <x:v>800</x:v>
      </x:c>
      <x:c r="E666" s="2" t="n">
        <x:v>359.50199999999995</x:v>
      </x:c>
      <x:c r="F666" s="2" t="n">
        <x:v>0</x:v>
      </x:c>
      <x:c r="G666" s="2" t="n">
        <x:v>0</x:v>
      </x:c>
      <x:c r="H666" s="2" t="n">
        <x:v>0</x:v>
      </x:c>
      <x:c r="I666" s="2" t="n">
        <x:v>-1</x:v>
      </x:c>
      <x:c r="J666" s="2" t="n">
        <x:v>2.5</x:v>
      </x:c>
      <x:c r="K666" s="2" t="n">
        <x:v>12</x:v>
      </x:c>
      <x:c r="L666" s="2" t="n">
        <x:v>1891.002</x:v>
      </x:c>
      <x:c r="M666" s="2" t="n">
        <x:v>400</x:v>
      </x:c>
      <x:c r="N666" s="2" t="n">
        <x:v>1350</x:v>
      </x:c>
      <x:c r="O666" s="2" t="str">
        <x:v>MF375.pdf 32.004mm furatköz; Ø2.5x12 próbaérték 3.5x16 pan-head csavarhoz</x:v>
      </x:c>
    </x:row>
    <x:row r="667" ht="34" customHeight="1">
      <x:c r="A667" s="2" t="str">
        <x:v>H0662</x:v>
      </x:c>
      <x:c r="B667" s="2" t="str">
        <x:v>KI12-TV03P-02</x:v>
      </x:c>
      <x:c r="C667" s="2" t="str">
        <x:v>MF375_PANEL_CSAVAR</x:v>
      </x:c>
      <x:c r="D667" s="2" t="n">
        <x:v>800</x:v>
      </x:c>
      <x:c r="E667" s="2" t="n">
        <x:v>610.998</x:v>
      </x:c>
      <x:c r="F667" s="2" t="n">
        <x:v>0</x:v>
      </x:c>
      <x:c r="G667" s="2" t="n">
        <x:v>0</x:v>
      </x:c>
      <x:c r="H667" s="2" t="n">
        <x:v>0</x:v>
      </x:c>
      <x:c r="I667" s="2" t="n">
        <x:v>-1</x:v>
      </x:c>
      <x:c r="J667" s="2" t="n">
        <x:v>2.5</x:v>
      </x:c>
      <x:c r="K667" s="2" t="n">
        <x:v>12</x:v>
      </x:c>
      <x:c r="L667" s="2" t="n">
        <x:v>2142.498</x:v>
      </x:c>
      <x:c r="M667" s="2" t="n">
        <x:v>400</x:v>
      </x:c>
      <x:c r="N667" s="2" t="n">
        <x:v>1350</x:v>
      </x:c>
      <x:c r="O667" s="2" t="str">
        <x:v>MF375.pdf 32.004mm furatköz; Ø2.5x12 próbaérték 3.5x16 pan-head csavarhoz</x:v>
      </x:c>
    </x:row>
    <x:row r="668" ht="34" customHeight="1">
      <x:c r="A668" s="2" t="str">
        <x:v>H0663</x:v>
      </x:c>
      <x:c r="B668" s="2" t="str">
        <x:v>KI12-TV03P-02</x:v>
      </x:c>
      <x:c r="C668" s="2" t="str">
        <x:v>MF375_PANEL_CSAVAR</x:v>
      </x:c>
      <x:c r="D668" s="2" t="n">
        <x:v>800</x:v>
      </x:c>
      <x:c r="E668" s="2" t="n">
        <x:v>643.002</x:v>
      </x:c>
      <x:c r="F668" s="2" t="n">
        <x:v>0</x:v>
      </x:c>
      <x:c r="G668" s="2" t="n">
        <x:v>0</x:v>
      </x:c>
      <x:c r="H668" s="2" t="n">
        <x:v>0</x:v>
      </x:c>
      <x:c r="I668" s="2" t="n">
        <x:v>-1</x:v>
      </x:c>
      <x:c r="J668" s="2" t="n">
        <x:v>2.5</x:v>
      </x:c>
      <x:c r="K668" s="2" t="n">
        <x:v>12</x:v>
      </x:c>
      <x:c r="L668" s="2" t="n">
        <x:v>2174.502</x:v>
      </x:c>
      <x:c r="M668" s="2" t="n">
        <x:v>400</x:v>
      </x:c>
      <x:c r="N668" s="2" t="n">
        <x:v>1350</x:v>
      </x:c>
      <x:c r="O668" s="2" t="str">
        <x:v>MF375.pdf 32.004mm furatköz; Ø2.5x12 próbaérték 3.5x16 pan-head csavarhoz</x:v>
      </x:c>
    </x:row>
    <x:row r="669" ht="34" customHeight="1">
      <x:c r="A669" s="2" t="str">
        <x:v>H0664</x:v>
      </x:c>
      <x:c r="B669" s="2" t="str">
        <x:v>KI12-TV03P-02</x:v>
      </x:c>
      <x:c r="C669" s="2" t="str">
        <x:v>MF375_PANEL_CSAVAR</x:v>
      </x:c>
      <x:c r="D669" s="2" t="n">
        <x:v>1500</x:v>
      </x:c>
      <x:c r="E669" s="2" t="n">
        <x:v>43.99800000000005</x:v>
      </x:c>
      <x:c r="F669" s="2" t="n">
        <x:v>0</x:v>
      </x:c>
      <x:c r="G669" s="2" t="n">
        <x:v>0</x:v>
      </x:c>
      <x:c r="H669" s="2" t="n">
        <x:v>0</x:v>
      </x:c>
      <x:c r="I669" s="2" t="n">
        <x:v>-1</x:v>
      </x:c>
      <x:c r="J669" s="2" t="n">
        <x:v>2.5</x:v>
      </x:c>
      <x:c r="K669" s="2" t="n">
        <x:v>12</x:v>
      </x:c>
      <x:c r="L669" s="2" t="n">
        <x:v>1575.498</x:v>
      </x:c>
      <x:c r="M669" s="2" t="n">
        <x:v>400</x:v>
      </x:c>
      <x:c r="N669" s="2" t="n">
        <x:v>2050</x:v>
      </x:c>
      <x:c r="O669" s="2" t="str">
        <x:v>MF375.pdf 32.004mm furatköz; Ø2.5x12 próbaérték 3.5x16 pan-head csavarhoz</x:v>
      </x:c>
    </x:row>
    <x:row r="670" ht="34" customHeight="1">
      <x:c r="A670" s="2" t="str">
        <x:v>H0665</x:v>
      </x:c>
      <x:c r="B670" s="2" t="str">
        <x:v>KI12-TV03P-02</x:v>
      </x:c>
      <x:c r="C670" s="2" t="str">
        <x:v>MF375_PANEL_CSAVAR</x:v>
      </x:c>
      <x:c r="D670" s="2" t="n">
        <x:v>1500</x:v>
      </x:c>
      <x:c r="E670" s="2" t="n">
        <x:v>76.00199999999995</x:v>
      </x:c>
      <x:c r="F670" s="2" t="n">
        <x:v>0</x:v>
      </x:c>
      <x:c r="G670" s="2" t="n">
        <x:v>0</x:v>
      </x:c>
      <x:c r="H670" s="2" t="n">
        <x:v>0</x:v>
      </x:c>
      <x:c r="I670" s="2" t="n">
        <x:v>-1</x:v>
      </x:c>
      <x:c r="J670" s="2" t="n">
        <x:v>2.5</x:v>
      </x:c>
      <x:c r="K670" s="2" t="n">
        <x:v>12</x:v>
      </x:c>
      <x:c r="L670" s="2" t="n">
        <x:v>1607.502</x:v>
      </x:c>
      <x:c r="M670" s="2" t="n">
        <x:v>400</x:v>
      </x:c>
      <x:c r="N670" s="2" t="n">
        <x:v>2050</x:v>
      </x:c>
      <x:c r="O670" s="2" t="str">
        <x:v>MF375.pdf 32.004mm furatköz; Ø2.5x12 próbaérték 3.5x16 pan-head csavarhoz</x:v>
      </x:c>
    </x:row>
    <x:row r="671" ht="34" customHeight="1">
      <x:c r="A671" s="2" t="str">
        <x:v>H0666</x:v>
      </x:c>
      <x:c r="B671" s="2" t="str">
        <x:v>KI12-TV03P-02</x:v>
      </x:c>
      <x:c r="C671" s="2" t="str">
        <x:v>MF375_PANEL_CSAVAR</x:v>
      </x:c>
      <x:c r="D671" s="2" t="n">
        <x:v>1500</x:v>
      </x:c>
      <x:c r="E671" s="2" t="n">
        <x:v>327.49800000000005</x:v>
      </x:c>
      <x:c r="F671" s="2" t="n">
        <x:v>0</x:v>
      </x:c>
      <x:c r="G671" s="2" t="n">
        <x:v>0</x:v>
      </x:c>
      <x:c r="H671" s="2" t="n">
        <x:v>0</x:v>
      </x:c>
      <x:c r="I671" s="2" t="n">
        <x:v>-1</x:v>
      </x:c>
      <x:c r="J671" s="2" t="n">
        <x:v>2.5</x:v>
      </x:c>
      <x:c r="K671" s="2" t="n">
        <x:v>12</x:v>
      </x:c>
      <x:c r="L671" s="2" t="n">
        <x:v>1858.998</x:v>
      </x:c>
      <x:c r="M671" s="2" t="n">
        <x:v>400</x:v>
      </x:c>
      <x:c r="N671" s="2" t="n">
        <x:v>2050</x:v>
      </x:c>
      <x:c r="O671" s="2" t="str">
        <x:v>MF375.pdf 32.004mm furatköz; Ø2.5x12 próbaérték 3.5x16 pan-head csavarhoz</x:v>
      </x:c>
    </x:row>
    <x:row r="672" ht="34" customHeight="1">
      <x:c r="A672" s="2" t="str">
        <x:v>H0667</x:v>
      </x:c>
      <x:c r="B672" s="2" t="str">
        <x:v>KI12-TV03P-02</x:v>
      </x:c>
      <x:c r="C672" s="2" t="str">
        <x:v>MF375_PANEL_CSAVAR</x:v>
      </x:c>
      <x:c r="D672" s="2" t="n">
        <x:v>1500</x:v>
      </x:c>
      <x:c r="E672" s="2" t="n">
        <x:v>359.50199999999995</x:v>
      </x:c>
      <x:c r="F672" s="2" t="n">
        <x:v>0</x:v>
      </x:c>
      <x:c r="G672" s="2" t="n">
        <x:v>0</x:v>
      </x:c>
      <x:c r="H672" s="2" t="n">
        <x:v>0</x:v>
      </x:c>
      <x:c r="I672" s="2" t="n">
        <x:v>-1</x:v>
      </x:c>
      <x:c r="J672" s="2" t="n">
        <x:v>2.5</x:v>
      </x:c>
      <x:c r="K672" s="2" t="n">
        <x:v>12</x:v>
      </x:c>
      <x:c r="L672" s="2" t="n">
        <x:v>1891.002</x:v>
      </x:c>
      <x:c r="M672" s="2" t="n">
        <x:v>400</x:v>
      </x:c>
      <x:c r="N672" s="2" t="n">
        <x:v>2050</x:v>
      </x:c>
      <x:c r="O672" s="2" t="str">
        <x:v>MF375.pdf 32.004mm furatköz; Ø2.5x12 próbaérték 3.5x16 pan-head csavarhoz</x:v>
      </x:c>
    </x:row>
    <x:row r="673" ht="34" customHeight="1">
      <x:c r="A673" s="2" t="str">
        <x:v>H0668</x:v>
      </x:c>
      <x:c r="B673" s="2" t="str">
        <x:v>KI12-TV03P-02</x:v>
      </x:c>
      <x:c r="C673" s="2" t="str">
        <x:v>MF375_PANEL_CSAVAR</x:v>
      </x:c>
      <x:c r="D673" s="2" t="n">
        <x:v>1500</x:v>
      </x:c>
      <x:c r="E673" s="2" t="n">
        <x:v>610.998</x:v>
      </x:c>
      <x:c r="F673" s="2" t="n">
        <x:v>0</x:v>
      </x:c>
      <x:c r="G673" s="2" t="n">
        <x:v>0</x:v>
      </x:c>
      <x:c r="H673" s="2" t="n">
        <x:v>0</x:v>
      </x:c>
      <x:c r="I673" s="2" t="n">
        <x:v>-1</x:v>
      </x:c>
      <x:c r="J673" s="2" t="n">
        <x:v>2.5</x:v>
      </x:c>
      <x:c r="K673" s="2" t="n">
        <x:v>12</x:v>
      </x:c>
      <x:c r="L673" s="2" t="n">
        <x:v>2142.498</x:v>
      </x:c>
      <x:c r="M673" s="2" t="n">
        <x:v>400</x:v>
      </x:c>
      <x:c r="N673" s="2" t="n">
        <x:v>2050</x:v>
      </x:c>
      <x:c r="O673" s="2" t="str">
        <x:v>MF375.pdf 32.004mm furatköz; Ø2.5x12 próbaérték 3.5x16 pan-head csavarhoz</x:v>
      </x:c>
    </x:row>
    <x:row r="674" ht="34" customHeight="1">
      <x:c r="A674" s="2" t="str">
        <x:v>H0669</x:v>
      </x:c>
      <x:c r="B674" s="2" t="str">
        <x:v>KI12-TV03P-02</x:v>
      </x:c>
      <x:c r="C674" s="2" t="str">
        <x:v>MF375_PANEL_CSAVAR</x:v>
      </x:c>
      <x:c r="D674" s="2" t="n">
        <x:v>1500</x:v>
      </x:c>
      <x:c r="E674" s="2" t="n">
        <x:v>643.002</x:v>
      </x:c>
      <x:c r="F674" s="2" t="n">
        <x:v>0</x:v>
      </x:c>
      <x:c r="G674" s="2" t="n">
        <x:v>0</x:v>
      </x:c>
      <x:c r="H674" s="2" t="n">
        <x:v>0</x:v>
      </x:c>
      <x:c r="I674" s="2" t="n">
        <x:v>-1</x:v>
      </x:c>
      <x:c r="J674" s="2" t="n">
        <x:v>2.5</x:v>
      </x:c>
      <x:c r="K674" s="2" t="n">
        <x:v>12</x:v>
      </x:c>
      <x:c r="L674" s="2" t="n">
        <x:v>2174.502</x:v>
      </x:c>
      <x:c r="M674" s="2" t="n">
        <x:v>400</x:v>
      </x:c>
      <x:c r="N674" s="2" t="n">
        <x:v>2050</x:v>
      </x:c>
      <x:c r="O674" s="2" t="str">
        <x:v>MF375.pdf 32.004mm furatköz; Ø2.5x12 próbaérték 3.5x16 pan-head csavarhoz</x:v>
      </x:c>
    </x:row>
    <x:row r="675" ht="34" customHeight="1">
      <x:c r="A675" s="2" t="str">
        <x:v>H0670</x:v>
      </x:c>
      <x:c r="B675" s="2" t="str">
        <x:v>KI12-TV03P-02</x:v>
      </x:c>
      <x:c r="C675" s="2" t="str">
        <x:v>MF375_PANEL_CSAVAR</x:v>
      </x:c>
      <x:c r="D675" s="2" t="n">
        <x:v>2200</x:v>
      </x:c>
      <x:c r="E675" s="2" t="n">
        <x:v>43.99800000000005</x:v>
      </x:c>
      <x:c r="F675" s="2" t="n">
        <x:v>0</x:v>
      </x:c>
      <x:c r="G675" s="2" t="n">
        <x:v>0</x:v>
      </x:c>
      <x:c r="H675" s="2" t="n">
        <x:v>0</x:v>
      </x:c>
      <x:c r="I675" s="2" t="n">
        <x:v>-1</x:v>
      </x:c>
      <x:c r="J675" s="2" t="n">
        <x:v>2.5</x:v>
      </x:c>
      <x:c r="K675" s="2" t="n">
        <x:v>12</x:v>
      </x:c>
      <x:c r="L675" s="2" t="n">
        <x:v>1575.498</x:v>
      </x:c>
      <x:c r="M675" s="2" t="n">
        <x:v>400</x:v>
      </x:c>
      <x:c r="N675" s="2" t="n">
        <x:v>2750</x:v>
      </x:c>
      <x:c r="O675" s="2" t="str">
        <x:v>MF375.pdf 32.004mm furatköz; Ø2.5x12 próbaérték 3.5x16 pan-head csavarhoz</x:v>
      </x:c>
    </x:row>
    <x:row r="676" ht="34" customHeight="1">
      <x:c r="A676" s="2" t="str">
        <x:v>H0671</x:v>
      </x:c>
      <x:c r="B676" s="2" t="str">
        <x:v>KI12-TV03P-02</x:v>
      </x:c>
      <x:c r="C676" s="2" t="str">
        <x:v>MF375_PANEL_CSAVAR</x:v>
      </x:c>
      <x:c r="D676" s="2" t="n">
        <x:v>2200</x:v>
      </x:c>
      <x:c r="E676" s="2" t="n">
        <x:v>76.00199999999995</x:v>
      </x:c>
      <x:c r="F676" s="2" t="n">
        <x:v>0</x:v>
      </x:c>
      <x:c r="G676" s="2" t="n">
        <x:v>0</x:v>
      </x:c>
      <x:c r="H676" s="2" t="n">
        <x:v>0</x:v>
      </x:c>
      <x:c r="I676" s="2" t="n">
        <x:v>-1</x:v>
      </x:c>
      <x:c r="J676" s="2" t="n">
        <x:v>2.5</x:v>
      </x:c>
      <x:c r="K676" s="2" t="n">
        <x:v>12</x:v>
      </x:c>
      <x:c r="L676" s="2" t="n">
        <x:v>1607.502</x:v>
      </x:c>
      <x:c r="M676" s="2" t="n">
        <x:v>400</x:v>
      </x:c>
      <x:c r="N676" s="2" t="n">
        <x:v>2750</x:v>
      </x:c>
      <x:c r="O676" s="2" t="str">
        <x:v>MF375.pdf 32.004mm furatköz; Ø2.5x12 próbaérték 3.5x16 pan-head csavarhoz</x:v>
      </x:c>
    </x:row>
    <x:row r="677" ht="34" customHeight="1">
      <x:c r="A677" s="2" t="str">
        <x:v>H0672</x:v>
      </x:c>
      <x:c r="B677" s="2" t="str">
        <x:v>KI12-TV03P-02</x:v>
      </x:c>
      <x:c r="C677" s="2" t="str">
        <x:v>MF375_PANEL_CSAVAR</x:v>
      </x:c>
      <x:c r="D677" s="2" t="n">
        <x:v>2200</x:v>
      </x:c>
      <x:c r="E677" s="2" t="n">
        <x:v>327.49800000000005</x:v>
      </x:c>
      <x:c r="F677" s="2" t="n">
        <x:v>0</x:v>
      </x:c>
      <x:c r="G677" s="2" t="n">
        <x:v>0</x:v>
      </x:c>
      <x:c r="H677" s="2" t="n">
        <x:v>0</x:v>
      </x:c>
      <x:c r="I677" s="2" t="n">
        <x:v>-1</x:v>
      </x:c>
      <x:c r="J677" s="2" t="n">
        <x:v>2.5</x:v>
      </x:c>
      <x:c r="K677" s="2" t="n">
        <x:v>12</x:v>
      </x:c>
      <x:c r="L677" s="2" t="n">
        <x:v>1858.998</x:v>
      </x:c>
      <x:c r="M677" s="2" t="n">
        <x:v>400</x:v>
      </x:c>
      <x:c r="N677" s="2" t="n">
        <x:v>2750</x:v>
      </x:c>
      <x:c r="O677" s="2" t="str">
        <x:v>MF375.pdf 32.004mm furatköz; Ø2.5x12 próbaérték 3.5x16 pan-head csavarhoz</x:v>
      </x:c>
    </x:row>
    <x:row r="678" ht="34" customHeight="1">
      <x:c r="A678" s="2" t="str">
        <x:v>H0673</x:v>
      </x:c>
      <x:c r="B678" s="2" t="str">
        <x:v>KI12-TV03P-02</x:v>
      </x:c>
      <x:c r="C678" s="2" t="str">
        <x:v>MF375_PANEL_CSAVAR</x:v>
      </x:c>
      <x:c r="D678" s="2" t="n">
        <x:v>2200</x:v>
      </x:c>
      <x:c r="E678" s="2" t="n">
        <x:v>359.50199999999995</x:v>
      </x:c>
      <x:c r="F678" s="2" t="n">
        <x:v>0</x:v>
      </x:c>
      <x:c r="G678" s="2" t="n">
        <x:v>0</x:v>
      </x:c>
      <x:c r="H678" s="2" t="n">
        <x:v>0</x:v>
      </x:c>
      <x:c r="I678" s="2" t="n">
        <x:v>-1</x:v>
      </x:c>
      <x:c r="J678" s="2" t="n">
        <x:v>2.5</x:v>
      </x:c>
      <x:c r="K678" s="2" t="n">
        <x:v>12</x:v>
      </x:c>
      <x:c r="L678" s="2" t="n">
        <x:v>1891.002</x:v>
      </x:c>
      <x:c r="M678" s="2" t="n">
        <x:v>400</x:v>
      </x:c>
      <x:c r="N678" s="2" t="n">
        <x:v>2750</x:v>
      </x:c>
      <x:c r="O678" s="2" t="str">
        <x:v>MF375.pdf 32.004mm furatköz; Ø2.5x12 próbaérték 3.5x16 pan-head csavarhoz</x:v>
      </x:c>
    </x:row>
    <x:row r="679" ht="34" customHeight="1">
      <x:c r="A679" s="2" t="str">
        <x:v>H0674</x:v>
      </x:c>
      <x:c r="B679" s="2" t="str">
        <x:v>KI12-TV03P-02</x:v>
      </x:c>
      <x:c r="C679" s="2" t="str">
        <x:v>MF375_PANEL_CSAVAR</x:v>
      </x:c>
      <x:c r="D679" s="2" t="n">
        <x:v>2200</x:v>
      </x:c>
      <x:c r="E679" s="2" t="n">
        <x:v>610.998</x:v>
      </x:c>
      <x:c r="F679" s="2" t="n">
        <x:v>0</x:v>
      </x:c>
      <x:c r="G679" s="2" t="n">
        <x:v>0</x:v>
      </x:c>
      <x:c r="H679" s="2" t="n">
        <x:v>0</x:v>
      </x:c>
      <x:c r="I679" s="2" t="n">
        <x:v>-1</x:v>
      </x:c>
      <x:c r="J679" s="2" t="n">
        <x:v>2.5</x:v>
      </x:c>
      <x:c r="K679" s="2" t="n">
        <x:v>12</x:v>
      </x:c>
      <x:c r="L679" s="2" t="n">
        <x:v>2142.498</x:v>
      </x:c>
      <x:c r="M679" s="2" t="n">
        <x:v>400</x:v>
      </x:c>
      <x:c r="N679" s="2" t="n">
        <x:v>2750</x:v>
      </x:c>
      <x:c r="O679" s="2" t="str">
        <x:v>MF375.pdf 32.004mm furatköz; Ø2.5x12 próbaérték 3.5x16 pan-head csavarhoz</x:v>
      </x:c>
    </x:row>
    <x:row r="680" ht="34" customHeight="1">
      <x:c r="A680" s="2" t="str">
        <x:v>H0675</x:v>
      </x:c>
      <x:c r="B680" s="2" t="str">
        <x:v>KI12-TV03P-02</x:v>
      </x:c>
      <x:c r="C680" s="2" t="str">
        <x:v>MF375_PANEL_CSAVAR</x:v>
      </x:c>
      <x:c r="D680" s="2" t="n">
        <x:v>2200</x:v>
      </x:c>
      <x:c r="E680" s="2" t="n">
        <x:v>643.002</x:v>
      </x:c>
      <x:c r="F680" s="2" t="n">
        <x:v>0</x:v>
      </x:c>
      <x:c r="G680" s="2" t="n">
        <x:v>0</x:v>
      </x:c>
      <x:c r="H680" s="2" t="n">
        <x:v>0</x:v>
      </x:c>
      <x:c r="I680" s="2" t="n">
        <x:v>-1</x:v>
      </x:c>
      <x:c r="J680" s="2" t="n">
        <x:v>2.5</x:v>
      </x:c>
      <x:c r="K680" s="2" t="n">
        <x:v>12</x:v>
      </x:c>
      <x:c r="L680" s="2" t="n">
        <x:v>2174.502</x:v>
      </x:c>
      <x:c r="M680" s="2" t="n">
        <x:v>400</x:v>
      </x:c>
      <x:c r="N680" s="2" t="n">
        <x:v>2750</x:v>
      </x:c>
      <x:c r="O680" s="2" t="str">
        <x:v>MF375.pdf 32.004mm furatköz; Ø2.5x12 próbaérték 3.5x16 pan-head csavarhoz</x:v>
      </x:c>
    </x:row>
    <x:row r="681" ht="34" customHeight="1">
      <x:c r="A681" s="2" t="str">
        <x:v>H0676</x:v>
      </x:c>
      <x:c r="B681" s="2" t="str">
        <x:v>KI12-TV03P-03</x:v>
      </x:c>
      <x:c r="C681" s="2" t="str">
        <x:v>MF375_PANEL_CSAVAR</x:v>
      </x:c>
      <x:c r="D681" s="2" t="n">
        <x:v>100</x:v>
      </x:c>
      <x:c r="E681" s="2" t="n">
        <x:v>43.99800000000005</x:v>
      </x:c>
      <x:c r="F681" s="2" t="n">
        <x:v>0</x:v>
      </x:c>
      <x:c r="G681" s="2" t="n">
        <x:v>0</x:v>
      </x:c>
      <x:c r="H681" s="2" t="n">
        <x:v>0</x:v>
      </x:c>
      <x:c r="I681" s="2" t="n">
        <x:v>-1</x:v>
      </x:c>
      <x:c r="J681" s="2" t="n">
        <x:v>2.5</x:v>
      </x:c>
      <x:c r="K681" s="2" t="n">
        <x:v>12</x:v>
      </x:c>
      <x:c r="L681" s="2" t="n">
        <x:v>2265.498</x:v>
      </x:c>
      <x:c r="M681" s="2" t="n">
        <x:v>400</x:v>
      </x:c>
      <x:c r="N681" s="2" t="n">
        <x:v>650</x:v>
      </x:c>
      <x:c r="O681" s="2" t="str">
        <x:v>MF375.pdf 32.004mm furatköz; Ø2.5x12 próbaérték 3.5x16 pan-head csavarhoz</x:v>
      </x:c>
    </x:row>
    <x:row r="682" ht="34" customHeight="1">
      <x:c r="A682" s="2" t="str">
        <x:v>H0677</x:v>
      </x:c>
      <x:c r="B682" s="2" t="str">
        <x:v>KI12-TV03P-03</x:v>
      </x:c>
      <x:c r="C682" s="2" t="str">
        <x:v>MF375_PANEL_CSAVAR</x:v>
      </x:c>
      <x:c r="D682" s="2" t="n">
        <x:v>100</x:v>
      </x:c>
      <x:c r="E682" s="2" t="n">
        <x:v>76.00199999999995</x:v>
      </x:c>
      <x:c r="F682" s="2" t="n">
        <x:v>0</x:v>
      </x:c>
      <x:c r="G682" s="2" t="n">
        <x:v>0</x:v>
      </x:c>
      <x:c r="H682" s="2" t="n">
        <x:v>0</x:v>
      </x:c>
      <x:c r="I682" s="2" t="n">
        <x:v>-1</x:v>
      </x:c>
      <x:c r="J682" s="2" t="n">
        <x:v>2.5</x:v>
      </x:c>
      <x:c r="K682" s="2" t="n">
        <x:v>12</x:v>
      </x:c>
      <x:c r="L682" s="2" t="n">
        <x:v>2297.502</x:v>
      </x:c>
      <x:c r="M682" s="2" t="n">
        <x:v>400</x:v>
      </x:c>
      <x:c r="N682" s="2" t="n">
        <x:v>650</x:v>
      </x:c>
      <x:c r="O682" s="2" t="str">
        <x:v>MF375.pdf 32.004mm furatköz; Ø2.5x12 próbaérték 3.5x16 pan-head csavarhoz</x:v>
      </x:c>
    </x:row>
    <x:row r="683" ht="34" customHeight="1">
      <x:c r="A683" s="2" t="str">
        <x:v>H0678</x:v>
      </x:c>
      <x:c r="B683" s="2" t="str">
        <x:v>KI12-TV03P-03</x:v>
      </x:c>
      <x:c r="C683" s="2" t="str">
        <x:v>MF375_PANEL_CSAVAR</x:v>
      </x:c>
      <x:c r="D683" s="2" t="n">
        <x:v>100</x:v>
      </x:c>
      <x:c r="E683" s="2" t="n">
        <x:v>327.49800000000005</x:v>
      </x:c>
      <x:c r="F683" s="2" t="n">
        <x:v>0</x:v>
      </x:c>
      <x:c r="G683" s="2" t="n">
        <x:v>0</x:v>
      </x:c>
      <x:c r="H683" s="2" t="n">
        <x:v>0</x:v>
      </x:c>
      <x:c r="I683" s="2" t="n">
        <x:v>-1</x:v>
      </x:c>
      <x:c r="J683" s="2" t="n">
        <x:v>2.5</x:v>
      </x:c>
      <x:c r="K683" s="2" t="n">
        <x:v>12</x:v>
      </x:c>
      <x:c r="L683" s="2" t="n">
        <x:v>2548.998</x:v>
      </x:c>
      <x:c r="M683" s="2" t="n">
        <x:v>400</x:v>
      </x:c>
      <x:c r="N683" s="2" t="n">
        <x:v>650</x:v>
      </x:c>
      <x:c r="O683" s="2" t="str">
        <x:v>MF375.pdf 32.004mm furatköz; Ø2.5x12 próbaérték 3.5x16 pan-head csavarhoz</x:v>
      </x:c>
    </x:row>
    <x:row r="684" ht="34" customHeight="1">
      <x:c r="A684" s="2" t="str">
        <x:v>H0679</x:v>
      </x:c>
      <x:c r="B684" s="2" t="str">
        <x:v>KI12-TV03P-03</x:v>
      </x:c>
      <x:c r="C684" s="2" t="str">
        <x:v>MF375_PANEL_CSAVAR</x:v>
      </x:c>
      <x:c r="D684" s="2" t="n">
        <x:v>100</x:v>
      </x:c>
      <x:c r="E684" s="2" t="n">
        <x:v>359.50199999999995</x:v>
      </x:c>
      <x:c r="F684" s="2" t="n">
        <x:v>0</x:v>
      </x:c>
      <x:c r="G684" s="2" t="n">
        <x:v>0</x:v>
      </x:c>
      <x:c r="H684" s="2" t="n">
        <x:v>0</x:v>
      </x:c>
      <x:c r="I684" s="2" t="n">
        <x:v>-1</x:v>
      </x:c>
      <x:c r="J684" s="2" t="n">
        <x:v>2.5</x:v>
      </x:c>
      <x:c r="K684" s="2" t="n">
        <x:v>12</x:v>
      </x:c>
      <x:c r="L684" s="2" t="n">
        <x:v>2581.002</x:v>
      </x:c>
      <x:c r="M684" s="2" t="n">
        <x:v>400</x:v>
      </x:c>
      <x:c r="N684" s="2" t="n">
        <x:v>650</x:v>
      </x:c>
      <x:c r="O684" s="2" t="str">
        <x:v>MF375.pdf 32.004mm furatköz; Ø2.5x12 próbaérték 3.5x16 pan-head csavarhoz</x:v>
      </x:c>
    </x:row>
    <x:row r="685" ht="34" customHeight="1">
      <x:c r="A685" s="2" t="str">
        <x:v>H0680</x:v>
      </x:c>
      <x:c r="B685" s="2" t="str">
        <x:v>KI12-TV03P-03</x:v>
      </x:c>
      <x:c r="C685" s="2" t="str">
        <x:v>MF375_PANEL_CSAVAR</x:v>
      </x:c>
      <x:c r="D685" s="2" t="n">
        <x:v>100</x:v>
      </x:c>
      <x:c r="E685" s="2" t="n">
        <x:v>610.998</x:v>
      </x:c>
      <x:c r="F685" s="2" t="n">
        <x:v>0</x:v>
      </x:c>
      <x:c r="G685" s="2" t="n">
        <x:v>0</x:v>
      </x:c>
      <x:c r="H685" s="2" t="n">
        <x:v>0</x:v>
      </x:c>
      <x:c r="I685" s="2" t="n">
        <x:v>-1</x:v>
      </x:c>
      <x:c r="J685" s="2" t="n">
        <x:v>2.5</x:v>
      </x:c>
      <x:c r="K685" s="2" t="n">
        <x:v>12</x:v>
      </x:c>
      <x:c r="L685" s="2" t="n">
        <x:v>2832.498</x:v>
      </x:c>
      <x:c r="M685" s="2" t="n">
        <x:v>400</x:v>
      </x:c>
      <x:c r="N685" s="2" t="n">
        <x:v>650</x:v>
      </x:c>
      <x:c r="O685" s="2" t="str">
        <x:v>MF375.pdf 32.004mm furatköz; Ø2.5x12 próbaérték 3.5x16 pan-head csavarhoz</x:v>
      </x:c>
    </x:row>
    <x:row r="686" ht="34" customHeight="1">
      <x:c r="A686" s="2" t="str">
        <x:v>H0681</x:v>
      </x:c>
      <x:c r="B686" s="2" t="str">
        <x:v>KI12-TV03P-03</x:v>
      </x:c>
      <x:c r="C686" s="2" t="str">
        <x:v>MF375_PANEL_CSAVAR</x:v>
      </x:c>
      <x:c r="D686" s="2" t="n">
        <x:v>100</x:v>
      </x:c>
      <x:c r="E686" s="2" t="n">
        <x:v>643.002</x:v>
      </x:c>
      <x:c r="F686" s="2" t="n">
        <x:v>0</x:v>
      </x:c>
      <x:c r="G686" s="2" t="n">
        <x:v>0</x:v>
      </x:c>
      <x:c r="H686" s="2" t="n">
        <x:v>0</x:v>
      </x:c>
      <x:c r="I686" s="2" t="n">
        <x:v>-1</x:v>
      </x:c>
      <x:c r="J686" s="2" t="n">
        <x:v>2.5</x:v>
      </x:c>
      <x:c r="K686" s="2" t="n">
        <x:v>12</x:v>
      </x:c>
      <x:c r="L686" s="2" t="n">
        <x:v>2864.502</x:v>
      </x:c>
      <x:c r="M686" s="2" t="n">
        <x:v>400</x:v>
      </x:c>
      <x:c r="N686" s="2" t="n">
        <x:v>650</x:v>
      </x:c>
      <x:c r="O686" s="2" t="str">
        <x:v>MF375.pdf 32.004mm furatköz; Ø2.5x12 próbaérték 3.5x16 pan-head csavarhoz</x:v>
      </x:c>
    </x:row>
    <x:row r="687" ht="34" customHeight="1">
      <x:c r="A687" s="2" t="str">
        <x:v>H0682</x:v>
      </x:c>
      <x:c r="B687" s="2" t="str">
        <x:v>KI12-TV03P-03</x:v>
      </x:c>
      <x:c r="C687" s="2" t="str">
        <x:v>MF375_PANEL_CSAVAR</x:v>
      </x:c>
      <x:c r="D687" s="2" t="n">
        <x:v>800</x:v>
      </x:c>
      <x:c r="E687" s="2" t="n">
        <x:v>43.99800000000005</x:v>
      </x:c>
      <x:c r="F687" s="2" t="n">
        <x:v>0</x:v>
      </x:c>
      <x:c r="G687" s="2" t="n">
        <x:v>0</x:v>
      </x:c>
      <x:c r="H687" s="2" t="n">
        <x:v>0</x:v>
      </x:c>
      <x:c r="I687" s="2" t="n">
        <x:v>-1</x:v>
      </x:c>
      <x:c r="J687" s="2" t="n">
        <x:v>2.5</x:v>
      </x:c>
      <x:c r="K687" s="2" t="n">
        <x:v>12</x:v>
      </x:c>
      <x:c r="L687" s="2" t="n">
        <x:v>2265.498</x:v>
      </x:c>
      <x:c r="M687" s="2" t="n">
        <x:v>400</x:v>
      </x:c>
      <x:c r="N687" s="2" t="n">
        <x:v>1350</x:v>
      </x:c>
      <x:c r="O687" s="2" t="str">
        <x:v>MF375.pdf 32.004mm furatköz; Ø2.5x12 próbaérték 3.5x16 pan-head csavarhoz</x:v>
      </x:c>
    </x:row>
    <x:row r="688" ht="34" customHeight="1">
      <x:c r="A688" s="2" t="str">
        <x:v>H0683</x:v>
      </x:c>
      <x:c r="B688" s="2" t="str">
        <x:v>KI12-TV03P-03</x:v>
      </x:c>
      <x:c r="C688" s="2" t="str">
        <x:v>MF375_PANEL_CSAVAR</x:v>
      </x:c>
      <x:c r="D688" s="2" t="n">
        <x:v>800</x:v>
      </x:c>
      <x:c r="E688" s="2" t="n">
        <x:v>76.00199999999995</x:v>
      </x:c>
      <x:c r="F688" s="2" t="n">
        <x:v>0</x:v>
      </x:c>
      <x:c r="G688" s="2" t="n">
        <x:v>0</x:v>
      </x:c>
      <x:c r="H688" s="2" t="n">
        <x:v>0</x:v>
      </x:c>
      <x:c r="I688" s="2" t="n">
        <x:v>-1</x:v>
      </x:c>
      <x:c r="J688" s="2" t="n">
        <x:v>2.5</x:v>
      </x:c>
      <x:c r="K688" s="2" t="n">
        <x:v>12</x:v>
      </x:c>
      <x:c r="L688" s="2" t="n">
        <x:v>2297.502</x:v>
      </x:c>
      <x:c r="M688" s="2" t="n">
        <x:v>400</x:v>
      </x:c>
      <x:c r="N688" s="2" t="n">
        <x:v>1350</x:v>
      </x:c>
      <x:c r="O688" s="2" t="str">
        <x:v>MF375.pdf 32.004mm furatköz; Ø2.5x12 próbaérték 3.5x16 pan-head csavarhoz</x:v>
      </x:c>
    </x:row>
    <x:row r="689" ht="34" customHeight="1">
      <x:c r="A689" s="2" t="str">
        <x:v>H0684</x:v>
      </x:c>
      <x:c r="B689" s="2" t="str">
        <x:v>KI12-TV03P-03</x:v>
      </x:c>
      <x:c r="C689" s="2" t="str">
        <x:v>MF375_PANEL_CSAVAR</x:v>
      </x:c>
      <x:c r="D689" s="2" t="n">
        <x:v>800</x:v>
      </x:c>
      <x:c r="E689" s="2" t="n">
        <x:v>327.49800000000005</x:v>
      </x:c>
      <x:c r="F689" s="2" t="n">
        <x:v>0</x:v>
      </x:c>
      <x:c r="G689" s="2" t="n">
        <x:v>0</x:v>
      </x:c>
      <x:c r="H689" s="2" t="n">
        <x:v>0</x:v>
      </x:c>
      <x:c r="I689" s="2" t="n">
        <x:v>-1</x:v>
      </x:c>
      <x:c r="J689" s="2" t="n">
        <x:v>2.5</x:v>
      </x:c>
      <x:c r="K689" s="2" t="n">
        <x:v>12</x:v>
      </x:c>
      <x:c r="L689" s="2" t="n">
        <x:v>2548.998</x:v>
      </x:c>
      <x:c r="M689" s="2" t="n">
        <x:v>400</x:v>
      </x:c>
      <x:c r="N689" s="2" t="n">
        <x:v>1350</x:v>
      </x:c>
      <x:c r="O689" s="2" t="str">
        <x:v>MF375.pdf 32.004mm furatköz; Ø2.5x12 próbaérték 3.5x16 pan-head csavarhoz</x:v>
      </x:c>
    </x:row>
    <x:row r="690" ht="34" customHeight="1">
      <x:c r="A690" s="2" t="str">
        <x:v>H0685</x:v>
      </x:c>
      <x:c r="B690" s="2" t="str">
        <x:v>KI12-TV03P-03</x:v>
      </x:c>
      <x:c r="C690" s="2" t="str">
        <x:v>MF375_PANEL_CSAVAR</x:v>
      </x:c>
      <x:c r="D690" s="2" t="n">
        <x:v>800</x:v>
      </x:c>
      <x:c r="E690" s="2" t="n">
        <x:v>359.50199999999995</x:v>
      </x:c>
      <x:c r="F690" s="2" t="n">
        <x:v>0</x:v>
      </x:c>
      <x:c r="G690" s="2" t="n">
        <x:v>0</x:v>
      </x:c>
      <x:c r="H690" s="2" t="n">
        <x:v>0</x:v>
      </x:c>
      <x:c r="I690" s="2" t="n">
        <x:v>-1</x:v>
      </x:c>
      <x:c r="J690" s="2" t="n">
        <x:v>2.5</x:v>
      </x:c>
      <x:c r="K690" s="2" t="n">
        <x:v>12</x:v>
      </x:c>
      <x:c r="L690" s="2" t="n">
        <x:v>2581.002</x:v>
      </x:c>
      <x:c r="M690" s="2" t="n">
        <x:v>400</x:v>
      </x:c>
      <x:c r="N690" s="2" t="n">
        <x:v>1350</x:v>
      </x:c>
      <x:c r="O690" s="2" t="str">
        <x:v>MF375.pdf 32.004mm furatköz; Ø2.5x12 próbaérték 3.5x16 pan-head csavarhoz</x:v>
      </x:c>
    </x:row>
    <x:row r="691" ht="34" customHeight="1">
      <x:c r="A691" s="2" t="str">
        <x:v>H0686</x:v>
      </x:c>
      <x:c r="B691" s="2" t="str">
        <x:v>KI12-TV03P-03</x:v>
      </x:c>
      <x:c r="C691" s="2" t="str">
        <x:v>MF375_PANEL_CSAVAR</x:v>
      </x:c>
      <x:c r="D691" s="2" t="n">
        <x:v>800</x:v>
      </x:c>
      <x:c r="E691" s="2" t="n">
        <x:v>610.998</x:v>
      </x:c>
      <x:c r="F691" s="2" t="n">
        <x:v>0</x:v>
      </x:c>
      <x:c r="G691" s="2" t="n">
        <x:v>0</x:v>
      </x:c>
      <x:c r="H691" s="2" t="n">
        <x:v>0</x:v>
      </x:c>
      <x:c r="I691" s="2" t="n">
        <x:v>-1</x:v>
      </x:c>
      <x:c r="J691" s="2" t="n">
        <x:v>2.5</x:v>
      </x:c>
      <x:c r="K691" s="2" t="n">
        <x:v>12</x:v>
      </x:c>
      <x:c r="L691" s="2" t="n">
        <x:v>2832.498</x:v>
      </x:c>
      <x:c r="M691" s="2" t="n">
        <x:v>400</x:v>
      </x:c>
      <x:c r="N691" s="2" t="n">
        <x:v>1350</x:v>
      </x:c>
      <x:c r="O691" s="2" t="str">
        <x:v>MF375.pdf 32.004mm furatköz; Ø2.5x12 próbaérték 3.5x16 pan-head csavarhoz</x:v>
      </x:c>
    </x:row>
    <x:row r="692" ht="34" customHeight="1">
      <x:c r="A692" s="2" t="str">
        <x:v>H0687</x:v>
      </x:c>
      <x:c r="B692" s="2" t="str">
        <x:v>KI12-TV03P-03</x:v>
      </x:c>
      <x:c r="C692" s="2" t="str">
        <x:v>MF375_PANEL_CSAVAR</x:v>
      </x:c>
      <x:c r="D692" s="2" t="n">
        <x:v>800</x:v>
      </x:c>
      <x:c r="E692" s="2" t="n">
        <x:v>643.002</x:v>
      </x:c>
      <x:c r="F692" s="2" t="n">
        <x:v>0</x:v>
      </x:c>
      <x:c r="G692" s="2" t="n">
        <x:v>0</x:v>
      </x:c>
      <x:c r="H692" s="2" t="n">
        <x:v>0</x:v>
      </x:c>
      <x:c r="I692" s="2" t="n">
        <x:v>-1</x:v>
      </x:c>
      <x:c r="J692" s="2" t="n">
        <x:v>2.5</x:v>
      </x:c>
      <x:c r="K692" s="2" t="n">
        <x:v>12</x:v>
      </x:c>
      <x:c r="L692" s="2" t="n">
        <x:v>2864.502</x:v>
      </x:c>
      <x:c r="M692" s="2" t="n">
        <x:v>400</x:v>
      </x:c>
      <x:c r="N692" s="2" t="n">
        <x:v>1350</x:v>
      </x:c>
      <x:c r="O692" s="2" t="str">
        <x:v>MF375.pdf 32.004mm furatköz; Ø2.5x12 próbaérték 3.5x16 pan-head csavarhoz</x:v>
      </x:c>
    </x:row>
    <x:row r="693" ht="34" customHeight="1">
      <x:c r="A693" s="2" t="str">
        <x:v>H0688</x:v>
      </x:c>
      <x:c r="B693" s="2" t="str">
        <x:v>KI12-TV03P-03</x:v>
      </x:c>
      <x:c r="C693" s="2" t="str">
        <x:v>MF375_PANEL_CSAVAR</x:v>
      </x:c>
      <x:c r="D693" s="2" t="n">
        <x:v>1500</x:v>
      </x:c>
      <x:c r="E693" s="2" t="n">
        <x:v>43.99800000000005</x:v>
      </x:c>
      <x:c r="F693" s="2" t="n">
        <x:v>0</x:v>
      </x:c>
      <x:c r="G693" s="2" t="n">
        <x:v>0</x:v>
      </x:c>
      <x:c r="H693" s="2" t="n">
        <x:v>0</x:v>
      </x:c>
      <x:c r="I693" s="2" t="n">
        <x:v>-1</x:v>
      </x:c>
      <x:c r="J693" s="2" t="n">
        <x:v>2.5</x:v>
      </x:c>
      <x:c r="K693" s="2" t="n">
        <x:v>12</x:v>
      </x:c>
      <x:c r="L693" s="2" t="n">
        <x:v>2265.498</x:v>
      </x:c>
      <x:c r="M693" s="2" t="n">
        <x:v>400</x:v>
      </x:c>
      <x:c r="N693" s="2" t="n">
        <x:v>2050</x:v>
      </x:c>
      <x:c r="O693" s="2" t="str">
        <x:v>MF375.pdf 32.004mm furatköz; Ø2.5x12 próbaérték 3.5x16 pan-head csavarhoz</x:v>
      </x:c>
    </x:row>
    <x:row r="694" ht="34" customHeight="1">
      <x:c r="A694" s="2" t="str">
        <x:v>H0689</x:v>
      </x:c>
      <x:c r="B694" s="2" t="str">
        <x:v>KI12-TV03P-03</x:v>
      </x:c>
      <x:c r="C694" s="2" t="str">
        <x:v>MF375_PANEL_CSAVAR</x:v>
      </x:c>
      <x:c r="D694" s="2" t="n">
        <x:v>1500</x:v>
      </x:c>
      <x:c r="E694" s="2" t="n">
        <x:v>76.00199999999995</x:v>
      </x:c>
      <x:c r="F694" s="2" t="n">
        <x:v>0</x:v>
      </x:c>
      <x:c r="G694" s="2" t="n">
        <x:v>0</x:v>
      </x:c>
      <x:c r="H694" s="2" t="n">
        <x:v>0</x:v>
      </x:c>
      <x:c r="I694" s="2" t="n">
        <x:v>-1</x:v>
      </x:c>
      <x:c r="J694" s="2" t="n">
        <x:v>2.5</x:v>
      </x:c>
      <x:c r="K694" s="2" t="n">
        <x:v>12</x:v>
      </x:c>
      <x:c r="L694" s="2" t="n">
        <x:v>2297.502</x:v>
      </x:c>
      <x:c r="M694" s="2" t="n">
        <x:v>400</x:v>
      </x:c>
      <x:c r="N694" s="2" t="n">
        <x:v>2050</x:v>
      </x:c>
      <x:c r="O694" s="2" t="str">
        <x:v>MF375.pdf 32.004mm furatköz; Ø2.5x12 próbaérték 3.5x16 pan-head csavarhoz</x:v>
      </x:c>
    </x:row>
    <x:row r="695" ht="34" customHeight="1">
      <x:c r="A695" s="2" t="str">
        <x:v>H0690</x:v>
      </x:c>
      <x:c r="B695" s="2" t="str">
        <x:v>KI12-TV03P-03</x:v>
      </x:c>
      <x:c r="C695" s="2" t="str">
        <x:v>MF375_PANEL_CSAVAR</x:v>
      </x:c>
      <x:c r="D695" s="2" t="n">
        <x:v>1500</x:v>
      </x:c>
      <x:c r="E695" s="2" t="n">
        <x:v>327.49800000000005</x:v>
      </x:c>
      <x:c r="F695" s="2" t="n">
        <x:v>0</x:v>
      </x:c>
      <x:c r="G695" s="2" t="n">
        <x:v>0</x:v>
      </x:c>
      <x:c r="H695" s="2" t="n">
        <x:v>0</x:v>
      </x:c>
      <x:c r="I695" s="2" t="n">
        <x:v>-1</x:v>
      </x:c>
      <x:c r="J695" s="2" t="n">
        <x:v>2.5</x:v>
      </x:c>
      <x:c r="K695" s="2" t="n">
        <x:v>12</x:v>
      </x:c>
      <x:c r="L695" s="2" t="n">
        <x:v>2548.998</x:v>
      </x:c>
      <x:c r="M695" s="2" t="n">
        <x:v>400</x:v>
      </x:c>
      <x:c r="N695" s="2" t="n">
        <x:v>2050</x:v>
      </x:c>
      <x:c r="O695" s="2" t="str">
        <x:v>MF375.pdf 32.004mm furatköz; Ø2.5x12 próbaérték 3.5x16 pan-head csavarhoz</x:v>
      </x:c>
    </x:row>
    <x:row r="696" ht="34" customHeight="1">
      <x:c r="A696" s="2" t="str">
        <x:v>H0691</x:v>
      </x:c>
      <x:c r="B696" s="2" t="str">
        <x:v>KI12-TV03P-03</x:v>
      </x:c>
      <x:c r="C696" s="2" t="str">
        <x:v>MF375_PANEL_CSAVAR</x:v>
      </x:c>
      <x:c r="D696" s="2" t="n">
        <x:v>1500</x:v>
      </x:c>
      <x:c r="E696" s="2" t="n">
        <x:v>359.50199999999995</x:v>
      </x:c>
      <x:c r="F696" s="2" t="n">
        <x:v>0</x:v>
      </x:c>
      <x:c r="G696" s="2" t="n">
        <x:v>0</x:v>
      </x:c>
      <x:c r="H696" s="2" t="n">
        <x:v>0</x:v>
      </x:c>
      <x:c r="I696" s="2" t="n">
        <x:v>-1</x:v>
      </x:c>
      <x:c r="J696" s="2" t="n">
        <x:v>2.5</x:v>
      </x:c>
      <x:c r="K696" s="2" t="n">
        <x:v>12</x:v>
      </x:c>
      <x:c r="L696" s="2" t="n">
        <x:v>2581.002</x:v>
      </x:c>
      <x:c r="M696" s="2" t="n">
        <x:v>400</x:v>
      </x:c>
      <x:c r="N696" s="2" t="n">
        <x:v>2050</x:v>
      </x:c>
      <x:c r="O696" s="2" t="str">
        <x:v>MF375.pdf 32.004mm furatköz; Ø2.5x12 próbaérték 3.5x16 pan-head csavarhoz</x:v>
      </x:c>
    </x:row>
    <x:row r="697" ht="34" customHeight="1">
      <x:c r="A697" s="2" t="str">
        <x:v>H0692</x:v>
      </x:c>
      <x:c r="B697" s="2" t="str">
        <x:v>KI12-TV03P-03</x:v>
      </x:c>
      <x:c r="C697" s="2" t="str">
        <x:v>MF375_PANEL_CSAVAR</x:v>
      </x:c>
      <x:c r="D697" s="2" t="n">
        <x:v>1500</x:v>
      </x:c>
      <x:c r="E697" s="2" t="n">
        <x:v>610.998</x:v>
      </x:c>
      <x:c r="F697" s="2" t="n">
        <x:v>0</x:v>
      </x:c>
      <x:c r="G697" s="2" t="n">
        <x:v>0</x:v>
      </x:c>
      <x:c r="H697" s="2" t="n">
        <x:v>0</x:v>
      </x:c>
      <x:c r="I697" s="2" t="n">
        <x:v>-1</x:v>
      </x:c>
      <x:c r="J697" s="2" t="n">
        <x:v>2.5</x:v>
      </x:c>
      <x:c r="K697" s="2" t="n">
        <x:v>12</x:v>
      </x:c>
      <x:c r="L697" s="2" t="n">
        <x:v>2832.498</x:v>
      </x:c>
      <x:c r="M697" s="2" t="n">
        <x:v>400</x:v>
      </x:c>
      <x:c r="N697" s="2" t="n">
        <x:v>2050</x:v>
      </x:c>
      <x:c r="O697" s="2" t="str">
        <x:v>MF375.pdf 32.004mm furatköz; Ø2.5x12 próbaérték 3.5x16 pan-head csavarhoz</x:v>
      </x:c>
    </x:row>
    <x:row r="698" ht="34" customHeight="1">
      <x:c r="A698" s="2" t="str">
        <x:v>H0693</x:v>
      </x:c>
      <x:c r="B698" s="2" t="str">
        <x:v>KI12-TV03P-03</x:v>
      </x:c>
      <x:c r="C698" s="2" t="str">
        <x:v>MF375_PANEL_CSAVAR</x:v>
      </x:c>
      <x:c r="D698" s="2" t="n">
        <x:v>1500</x:v>
      </x:c>
      <x:c r="E698" s="2" t="n">
        <x:v>643.002</x:v>
      </x:c>
      <x:c r="F698" s="2" t="n">
        <x:v>0</x:v>
      </x:c>
      <x:c r="G698" s="2" t="n">
        <x:v>0</x:v>
      </x:c>
      <x:c r="H698" s="2" t="n">
        <x:v>0</x:v>
      </x:c>
      <x:c r="I698" s="2" t="n">
        <x:v>-1</x:v>
      </x:c>
      <x:c r="J698" s="2" t="n">
        <x:v>2.5</x:v>
      </x:c>
      <x:c r="K698" s="2" t="n">
        <x:v>12</x:v>
      </x:c>
      <x:c r="L698" s="2" t="n">
        <x:v>2864.502</x:v>
      </x:c>
      <x:c r="M698" s="2" t="n">
        <x:v>400</x:v>
      </x:c>
      <x:c r="N698" s="2" t="n">
        <x:v>2050</x:v>
      </x:c>
      <x:c r="O698" s="2" t="str">
        <x:v>MF375.pdf 32.004mm furatköz; Ø2.5x12 próbaérték 3.5x16 pan-head csavarhoz</x:v>
      </x:c>
    </x:row>
    <x:row r="699" ht="34" customHeight="1">
      <x:c r="A699" s="2" t="str">
        <x:v>H0694</x:v>
      </x:c>
      <x:c r="B699" s="2" t="str">
        <x:v>KI12-TV03P-03</x:v>
      </x:c>
      <x:c r="C699" s="2" t="str">
        <x:v>MF375_PANEL_CSAVAR</x:v>
      </x:c>
      <x:c r="D699" s="2" t="n">
        <x:v>2200</x:v>
      </x:c>
      <x:c r="E699" s="2" t="n">
        <x:v>43.99800000000005</x:v>
      </x:c>
      <x:c r="F699" s="2" t="n">
        <x:v>0</x:v>
      </x:c>
      <x:c r="G699" s="2" t="n">
        <x:v>0</x:v>
      </x:c>
      <x:c r="H699" s="2" t="n">
        <x:v>0</x:v>
      </x:c>
      <x:c r="I699" s="2" t="n">
        <x:v>-1</x:v>
      </x:c>
      <x:c r="J699" s="2" t="n">
        <x:v>2.5</x:v>
      </x:c>
      <x:c r="K699" s="2" t="n">
        <x:v>12</x:v>
      </x:c>
      <x:c r="L699" s="2" t="n">
        <x:v>2265.498</x:v>
      </x:c>
      <x:c r="M699" s="2" t="n">
        <x:v>400</x:v>
      </x:c>
      <x:c r="N699" s="2" t="n">
        <x:v>2750</x:v>
      </x:c>
      <x:c r="O699" s="2" t="str">
        <x:v>MF375.pdf 32.004mm furatköz; Ø2.5x12 próbaérték 3.5x16 pan-head csavarhoz</x:v>
      </x:c>
    </x:row>
    <x:row r="700" ht="34" customHeight="1">
      <x:c r="A700" s="2" t="str">
        <x:v>H0695</x:v>
      </x:c>
      <x:c r="B700" s="2" t="str">
        <x:v>KI12-TV03P-03</x:v>
      </x:c>
      <x:c r="C700" s="2" t="str">
        <x:v>MF375_PANEL_CSAVAR</x:v>
      </x:c>
      <x:c r="D700" s="2" t="n">
        <x:v>2200</x:v>
      </x:c>
      <x:c r="E700" s="2" t="n">
        <x:v>76.00199999999995</x:v>
      </x:c>
      <x:c r="F700" s="2" t="n">
        <x:v>0</x:v>
      </x:c>
      <x:c r="G700" s="2" t="n">
        <x:v>0</x:v>
      </x:c>
      <x:c r="H700" s="2" t="n">
        <x:v>0</x:v>
      </x:c>
      <x:c r="I700" s="2" t="n">
        <x:v>-1</x:v>
      </x:c>
      <x:c r="J700" s="2" t="n">
        <x:v>2.5</x:v>
      </x:c>
      <x:c r="K700" s="2" t="n">
        <x:v>12</x:v>
      </x:c>
      <x:c r="L700" s="2" t="n">
        <x:v>2297.502</x:v>
      </x:c>
      <x:c r="M700" s="2" t="n">
        <x:v>400</x:v>
      </x:c>
      <x:c r="N700" s="2" t="n">
        <x:v>2750</x:v>
      </x:c>
      <x:c r="O700" s="2" t="str">
        <x:v>MF375.pdf 32.004mm furatköz; Ø2.5x12 próbaérték 3.5x16 pan-head csavarhoz</x:v>
      </x:c>
    </x:row>
    <x:row r="701" ht="34" customHeight="1">
      <x:c r="A701" s="2" t="str">
        <x:v>H0696</x:v>
      </x:c>
      <x:c r="B701" s="2" t="str">
        <x:v>KI12-TV03P-03</x:v>
      </x:c>
      <x:c r="C701" s="2" t="str">
        <x:v>MF375_PANEL_CSAVAR</x:v>
      </x:c>
      <x:c r="D701" s="2" t="n">
        <x:v>2200</x:v>
      </x:c>
      <x:c r="E701" s="2" t="n">
        <x:v>327.49800000000005</x:v>
      </x:c>
      <x:c r="F701" s="2" t="n">
        <x:v>0</x:v>
      </x:c>
      <x:c r="G701" s="2" t="n">
        <x:v>0</x:v>
      </x:c>
      <x:c r="H701" s="2" t="n">
        <x:v>0</x:v>
      </x:c>
      <x:c r="I701" s="2" t="n">
        <x:v>-1</x:v>
      </x:c>
      <x:c r="J701" s="2" t="n">
        <x:v>2.5</x:v>
      </x:c>
      <x:c r="K701" s="2" t="n">
        <x:v>12</x:v>
      </x:c>
      <x:c r="L701" s="2" t="n">
        <x:v>2548.998</x:v>
      </x:c>
      <x:c r="M701" s="2" t="n">
        <x:v>400</x:v>
      </x:c>
      <x:c r="N701" s="2" t="n">
        <x:v>2750</x:v>
      </x:c>
      <x:c r="O701" s="2" t="str">
        <x:v>MF375.pdf 32.004mm furatköz; Ø2.5x12 próbaérték 3.5x16 pan-head csavarhoz</x:v>
      </x:c>
    </x:row>
    <x:row r="702" ht="34" customHeight="1">
      <x:c r="A702" s="2" t="str">
        <x:v>H0697</x:v>
      </x:c>
      <x:c r="B702" s="2" t="str">
        <x:v>KI12-TV03P-03</x:v>
      </x:c>
      <x:c r="C702" s="2" t="str">
        <x:v>MF375_PANEL_CSAVAR</x:v>
      </x:c>
      <x:c r="D702" s="2" t="n">
        <x:v>2200</x:v>
      </x:c>
      <x:c r="E702" s="2" t="n">
        <x:v>359.50199999999995</x:v>
      </x:c>
      <x:c r="F702" s="2" t="n">
        <x:v>0</x:v>
      </x:c>
      <x:c r="G702" s="2" t="n">
        <x:v>0</x:v>
      </x:c>
      <x:c r="H702" s="2" t="n">
        <x:v>0</x:v>
      </x:c>
      <x:c r="I702" s="2" t="n">
        <x:v>-1</x:v>
      </x:c>
      <x:c r="J702" s="2" t="n">
        <x:v>2.5</x:v>
      </x:c>
      <x:c r="K702" s="2" t="n">
        <x:v>12</x:v>
      </x:c>
      <x:c r="L702" s="2" t="n">
        <x:v>2581.002</x:v>
      </x:c>
      <x:c r="M702" s="2" t="n">
        <x:v>400</x:v>
      </x:c>
      <x:c r="N702" s="2" t="n">
        <x:v>2750</x:v>
      </x:c>
      <x:c r="O702" s="2" t="str">
        <x:v>MF375.pdf 32.004mm furatköz; Ø2.5x12 próbaérték 3.5x16 pan-head csavarhoz</x:v>
      </x:c>
    </x:row>
    <x:row r="703" ht="34" customHeight="1">
      <x:c r="A703" s="2" t="str">
        <x:v>H0698</x:v>
      </x:c>
      <x:c r="B703" s="2" t="str">
        <x:v>KI12-TV03P-03</x:v>
      </x:c>
      <x:c r="C703" s="2" t="str">
        <x:v>MF375_PANEL_CSAVAR</x:v>
      </x:c>
      <x:c r="D703" s="2" t="n">
        <x:v>2200</x:v>
      </x:c>
      <x:c r="E703" s="2" t="n">
        <x:v>610.998</x:v>
      </x:c>
      <x:c r="F703" s="2" t="n">
        <x:v>0</x:v>
      </x:c>
      <x:c r="G703" s="2" t="n">
        <x:v>0</x:v>
      </x:c>
      <x:c r="H703" s="2" t="n">
        <x:v>0</x:v>
      </x:c>
      <x:c r="I703" s="2" t="n">
        <x:v>-1</x:v>
      </x:c>
      <x:c r="J703" s="2" t="n">
        <x:v>2.5</x:v>
      </x:c>
      <x:c r="K703" s="2" t="n">
        <x:v>12</x:v>
      </x:c>
      <x:c r="L703" s="2" t="n">
        <x:v>2832.498</x:v>
      </x:c>
      <x:c r="M703" s="2" t="n">
        <x:v>400</x:v>
      </x:c>
      <x:c r="N703" s="2" t="n">
        <x:v>2750</x:v>
      </x:c>
      <x:c r="O703" s="2" t="str">
        <x:v>MF375.pdf 32.004mm furatköz; Ø2.5x12 próbaérték 3.5x16 pan-head csavarhoz</x:v>
      </x:c>
    </x:row>
    <x:row r="704" ht="34" customHeight="1">
      <x:c r="A704" s="2" t="str">
        <x:v>H0699</x:v>
      </x:c>
      <x:c r="B704" s="2" t="str">
        <x:v>KI12-TV03P-03</x:v>
      </x:c>
      <x:c r="C704" s="2" t="str">
        <x:v>MF375_PANEL_CSAVAR</x:v>
      </x:c>
      <x:c r="D704" s="2" t="n">
        <x:v>2200</x:v>
      </x:c>
      <x:c r="E704" s="2" t="n">
        <x:v>643.002</x:v>
      </x:c>
      <x:c r="F704" s="2" t="n">
        <x:v>0</x:v>
      </x:c>
      <x:c r="G704" s="2" t="n">
        <x:v>0</x:v>
      </x:c>
      <x:c r="H704" s="2" t="n">
        <x:v>0</x:v>
      </x:c>
      <x:c r="I704" s="2" t="n">
        <x:v>-1</x:v>
      </x:c>
      <x:c r="J704" s="2" t="n">
        <x:v>2.5</x:v>
      </x:c>
      <x:c r="K704" s="2" t="n">
        <x:v>12</x:v>
      </x:c>
      <x:c r="L704" s="2" t="n">
        <x:v>2864.502</x:v>
      </x:c>
      <x:c r="M704" s="2" t="n">
        <x:v>400</x:v>
      </x:c>
      <x:c r="N704" s="2" t="n">
        <x:v>2750</x:v>
      </x:c>
      <x:c r="O704" s="2" t="str">
        <x:v>MF375.pdf 32.004mm furatköz; Ø2.5x12 próbaérték 3.5x16 pan-head csavarhoz</x:v>
      </x:c>
    </x:row>
    <x:row r="705" ht="34" customHeight="1">
      <x:c r="A705" s="2" t="str">
        <x:v>H0700</x:v>
      </x:c>
      <x:c r="B705" s="2" t="str">
        <x:v>KI12-TV03P-04</x:v>
      </x:c>
      <x:c r="C705" s="2" t="str">
        <x:v>MF375_PANEL_CSAVAR</x:v>
      </x:c>
      <x:c r="D705" s="2" t="n">
        <x:v>100</x:v>
      </x:c>
      <x:c r="E705" s="2" t="n">
        <x:v>43.99800000000005</x:v>
      </x:c>
      <x:c r="F705" s="2" t="n">
        <x:v>0</x:v>
      </x:c>
      <x:c r="G705" s="2" t="n">
        <x:v>0</x:v>
      </x:c>
      <x:c r="H705" s="2" t="n">
        <x:v>0</x:v>
      </x:c>
      <x:c r="I705" s="2" t="n">
        <x:v>-1</x:v>
      </x:c>
      <x:c r="J705" s="2" t="n">
        <x:v>2.5</x:v>
      </x:c>
      <x:c r="K705" s="2" t="n">
        <x:v>12</x:v>
      </x:c>
      <x:c r="L705" s="2" t="n">
        <x:v>2955.498</x:v>
      </x:c>
      <x:c r="M705" s="2" t="n">
        <x:v>400</x:v>
      </x:c>
      <x:c r="N705" s="2" t="n">
        <x:v>650</x:v>
      </x:c>
      <x:c r="O705" s="2" t="str">
        <x:v>MF375.pdf 32.004mm furatköz; Ø2.5x12 próbaérték 3.5x16 pan-head csavarhoz</x:v>
      </x:c>
    </x:row>
    <x:row r="706" ht="34" customHeight="1">
      <x:c r="A706" s="2" t="str">
        <x:v>H0701</x:v>
      </x:c>
      <x:c r="B706" s="2" t="str">
        <x:v>KI12-TV03P-04</x:v>
      </x:c>
      <x:c r="C706" s="2" t="str">
        <x:v>MF375_PANEL_CSAVAR</x:v>
      </x:c>
      <x:c r="D706" s="2" t="n">
        <x:v>100</x:v>
      </x:c>
      <x:c r="E706" s="2" t="n">
        <x:v>76.00199999999995</x:v>
      </x:c>
      <x:c r="F706" s="2" t="n">
        <x:v>0</x:v>
      </x:c>
      <x:c r="G706" s="2" t="n">
        <x:v>0</x:v>
      </x:c>
      <x:c r="H706" s="2" t="n">
        <x:v>0</x:v>
      </x:c>
      <x:c r="I706" s="2" t="n">
        <x:v>-1</x:v>
      </x:c>
      <x:c r="J706" s="2" t="n">
        <x:v>2.5</x:v>
      </x:c>
      <x:c r="K706" s="2" t="n">
        <x:v>12</x:v>
      </x:c>
      <x:c r="L706" s="2" t="n">
        <x:v>2987.502</x:v>
      </x:c>
      <x:c r="M706" s="2" t="n">
        <x:v>400</x:v>
      </x:c>
      <x:c r="N706" s="2" t="n">
        <x:v>650</x:v>
      </x:c>
      <x:c r="O706" s="2" t="str">
        <x:v>MF375.pdf 32.004mm furatköz; Ø2.5x12 próbaérték 3.5x16 pan-head csavarhoz</x:v>
      </x:c>
    </x:row>
    <x:row r="707" ht="34" customHeight="1">
      <x:c r="A707" s="2" t="str">
        <x:v>H0702</x:v>
      </x:c>
      <x:c r="B707" s="2" t="str">
        <x:v>KI12-TV03P-04</x:v>
      </x:c>
      <x:c r="C707" s="2" t="str">
        <x:v>MF375_PANEL_CSAVAR</x:v>
      </x:c>
      <x:c r="D707" s="2" t="n">
        <x:v>100</x:v>
      </x:c>
      <x:c r="E707" s="2" t="n">
        <x:v>327.49800000000005</x:v>
      </x:c>
      <x:c r="F707" s="2" t="n">
        <x:v>0</x:v>
      </x:c>
      <x:c r="G707" s="2" t="n">
        <x:v>0</x:v>
      </x:c>
      <x:c r="H707" s="2" t="n">
        <x:v>0</x:v>
      </x:c>
      <x:c r="I707" s="2" t="n">
        <x:v>-1</x:v>
      </x:c>
      <x:c r="J707" s="2" t="n">
        <x:v>2.5</x:v>
      </x:c>
      <x:c r="K707" s="2" t="n">
        <x:v>12</x:v>
      </x:c>
      <x:c r="L707" s="2" t="n">
        <x:v>3238.998</x:v>
      </x:c>
      <x:c r="M707" s="2" t="n">
        <x:v>400</x:v>
      </x:c>
      <x:c r="N707" s="2" t="n">
        <x:v>650</x:v>
      </x:c>
      <x:c r="O707" s="2" t="str">
        <x:v>MF375.pdf 32.004mm furatköz; Ø2.5x12 próbaérték 3.5x16 pan-head csavarhoz</x:v>
      </x:c>
    </x:row>
    <x:row r="708" ht="34" customHeight="1">
      <x:c r="A708" s="2" t="str">
        <x:v>H0703</x:v>
      </x:c>
      <x:c r="B708" s="2" t="str">
        <x:v>KI12-TV03P-04</x:v>
      </x:c>
      <x:c r="C708" s="2" t="str">
        <x:v>MF375_PANEL_CSAVAR</x:v>
      </x:c>
      <x:c r="D708" s="2" t="n">
        <x:v>100</x:v>
      </x:c>
      <x:c r="E708" s="2" t="n">
        <x:v>359.50199999999995</x:v>
      </x:c>
      <x:c r="F708" s="2" t="n">
        <x:v>0</x:v>
      </x:c>
      <x:c r="G708" s="2" t="n">
        <x:v>0</x:v>
      </x:c>
      <x:c r="H708" s="2" t="n">
        <x:v>0</x:v>
      </x:c>
      <x:c r="I708" s="2" t="n">
        <x:v>-1</x:v>
      </x:c>
      <x:c r="J708" s="2" t="n">
        <x:v>2.5</x:v>
      </x:c>
      <x:c r="K708" s="2" t="n">
        <x:v>12</x:v>
      </x:c>
      <x:c r="L708" s="2" t="n">
        <x:v>3271.002</x:v>
      </x:c>
      <x:c r="M708" s="2" t="n">
        <x:v>400</x:v>
      </x:c>
      <x:c r="N708" s="2" t="n">
        <x:v>650</x:v>
      </x:c>
      <x:c r="O708" s="2" t="str">
        <x:v>MF375.pdf 32.004mm furatköz; Ø2.5x12 próbaérték 3.5x16 pan-head csavarhoz</x:v>
      </x:c>
    </x:row>
    <x:row r="709" ht="34" customHeight="1">
      <x:c r="A709" s="2" t="str">
        <x:v>H0704</x:v>
      </x:c>
      <x:c r="B709" s="2" t="str">
        <x:v>KI12-TV03P-04</x:v>
      </x:c>
      <x:c r="C709" s="2" t="str">
        <x:v>MF375_PANEL_CSAVAR</x:v>
      </x:c>
      <x:c r="D709" s="2" t="n">
        <x:v>100</x:v>
      </x:c>
      <x:c r="E709" s="2" t="n">
        <x:v>610.998</x:v>
      </x:c>
      <x:c r="F709" s="2" t="n">
        <x:v>0</x:v>
      </x:c>
      <x:c r="G709" s="2" t="n">
        <x:v>0</x:v>
      </x:c>
      <x:c r="H709" s="2" t="n">
        <x:v>0</x:v>
      </x:c>
      <x:c r="I709" s="2" t="n">
        <x:v>-1</x:v>
      </x:c>
      <x:c r="J709" s="2" t="n">
        <x:v>2.5</x:v>
      </x:c>
      <x:c r="K709" s="2" t="n">
        <x:v>12</x:v>
      </x:c>
      <x:c r="L709" s="2" t="n">
        <x:v>3522.498</x:v>
      </x:c>
      <x:c r="M709" s="2" t="n">
        <x:v>400</x:v>
      </x:c>
      <x:c r="N709" s="2" t="n">
        <x:v>650</x:v>
      </x:c>
      <x:c r="O709" s="2" t="str">
        <x:v>MF375.pdf 32.004mm furatköz; Ø2.5x12 próbaérték 3.5x16 pan-head csavarhoz</x:v>
      </x:c>
    </x:row>
    <x:row r="710" ht="34" customHeight="1">
      <x:c r="A710" s="2" t="str">
        <x:v>H0705</x:v>
      </x:c>
      <x:c r="B710" s="2" t="str">
        <x:v>KI12-TV03P-04</x:v>
      </x:c>
      <x:c r="C710" s="2" t="str">
        <x:v>MF375_PANEL_CSAVAR</x:v>
      </x:c>
      <x:c r="D710" s="2" t="n">
        <x:v>100</x:v>
      </x:c>
      <x:c r="E710" s="2" t="n">
        <x:v>643.002</x:v>
      </x:c>
      <x:c r="F710" s="2" t="n">
        <x:v>0</x:v>
      </x:c>
      <x:c r="G710" s="2" t="n">
        <x:v>0</x:v>
      </x:c>
      <x:c r="H710" s="2" t="n">
        <x:v>0</x:v>
      </x:c>
      <x:c r="I710" s="2" t="n">
        <x:v>-1</x:v>
      </x:c>
      <x:c r="J710" s="2" t="n">
        <x:v>2.5</x:v>
      </x:c>
      <x:c r="K710" s="2" t="n">
        <x:v>12</x:v>
      </x:c>
      <x:c r="L710" s="2" t="n">
        <x:v>3554.502</x:v>
      </x:c>
      <x:c r="M710" s="2" t="n">
        <x:v>400</x:v>
      </x:c>
      <x:c r="N710" s="2" t="n">
        <x:v>650</x:v>
      </x:c>
      <x:c r="O710" s="2" t="str">
        <x:v>MF375.pdf 32.004mm furatköz; Ø2.5x12 próbaérték 3.5x16 pan-head csavarhoz</x:v>
      </x:c>
    </x:row>
    <x:row r="711" ht="34" customHeight="1">
      <x:c r="A711" s="2" t="str">
        <x:v>H0706</x:v>
      </x:c>
      <x:c r="B711" s="2" t="str">
        <x:v>KI12-TV03P-04</x:v>
      </x:c>
      <x:c r="C711" s="2" t="str">
        <x:v>MF375_PANEL_CSAVAR</x:v>
      </x:c>
      <x:c r="D711" s="2" t="n">
        <x:v>800</x:v>
      </x:c>
      <x:c r="E711" s="2" t="n">
        <x:v>43.99800000000005</x:v>
      </x:c>
      <x:c r="F711" s="2" t="n">
        <x:v>0</x:v>
      </x:c>
      <x:c r="G711" s="2" t="n">
        <x:v>0</x:v>
      </x:c>
      <x:c r="H711" s="2" t="n">
        <x:v>0</x:v>
      </x:c>
      <x:c r="I711" s="2" t="n">
        <x:v>-1</x:v>
      </x:c>
      <x:c r="J711" s="2" t="n">
        <x:v>2.5</x:v>
      </x:c>
      <x:c r="K711" s="2" t="n">
        <x:v>12</x:v>
      </x:c>
      <x:c r="L711" s="2" t="n">
        <x:v>2955.498</x:v>
      </x:c>
      <x:c r="M711" s="2" t="n">
        <x:v>400</x:v>
      </x:c>
      <x:c r="N711" s="2" t="n">
        <x:v>1350</x:v>
      </x:c>
      <x:c r="O711" s="2" t="str">
        <x:v>MF375.pdf 32.004mm furatköz; Ø2.5x12 próbaérték 3.5x16 pan-head csavarhoz</x:v>
      </x:c>
    </x:row>
    <x:row r="712" ht="34" customHeight="1">
      <x:c r="A712" s="2" t="str">
        <x:v>H0707</x:v>
      </x:c>
      <x:c r="B712" s="2" t="str">
        <x:v>KI12-TV03P-04</x:v>
      </x:c>
      <x:c r="C712" s="2" t="str">
        <x:v>MF375_PANEL_CSAVAR</x:v>
      </x:c>
      <x:c r="D712" s="2" t="n">
        <x:v>800</x:v>
      </x:c>
      <x:c r="E712" s="2" t="n">
        <x:v>76.00199999999995</x:v>
      </x:c>
      <x:c r="F712" s="2" t="n">
        <x:v>0</x:v>
      </x:c>
      <x:c r="G712" s="2" t="n">
        <x:v>0</x:v>
      </x:c>
      <x:c r="H712" s="2" t="n">
        <x:v>0</x:v>
      </x:c>
      <x:c r="I712" s="2" t="n">
        <x:v>-1</x:v>
      </x:c>
      <x:c r="J712" s="2" t="n">
        <x:v>2.5</x:v>
      </x:c>
      <x:c r="K712" s="2" t="n">
        <x:v>12</x:v>
      </x:c>
      <x:c r="L712" s="2" t="n">
        <x:v>2987.502</x:v>
      </x:c>
      <x:c r="M712" s="2" t="n">
        <x:v>400</x:v>
      </x:c>
      <x:c r="N712" s="2" t="n">
        <x:v>1350</x:v>
      </x:c>
      <x:c r="O712" s="2" t="str">
        <x:v>MF375.pdf 32.004mm furatköz; Ø2.5x12 próbaérték 3.5x16 pan-head csavarhoz</x:v>
      </x:c>
    </x:row>
    <x:row r="713" ht="34" customHeight="1">
      <x:c r="A713" s="2" t="str">
        <x:v>H0708</x:v>
      </x:c>
      <x:c r="B713" s="2" t="str">
        <x:v>KI12-TV03P-04</x:v>
      </x:c>
      <x:c r="C713" s="2" t="str">
        <x:v>MF375_PANEL_CSAVAR</x:v>
      </x:c>
      <x:c r="D713" s="2" t="n">
        <x:v>800</x:v>
      </x:c>
      <x:c r="E713" s="2" t="n">
        <x:v>327.49800000000005</x:v>
      </x:c>
      <x:c r="F713" s="2" t="n">
        <x:v>0</x:v>
      </x:c>
      <x:c r="G713" s="2" t="n">
        <x:v>0</x:v>
      </x:c>
      <x:c r="H713" s="2" t="n">
        <x:v>0</x:v>
      </x:c>
      <x:c r="I713" s="2" t="n">
        <x:v>-1</x:v>
      </x:c>
      <x:c r="J713" s="2" t="n">
        <x:v>2.5</x:v>
      </x:c>
      <x:c r="K713" s="2" t="n">
        <x:v>12</x:v>
      </x:c>
      <x:c r="L713" s="2" t="n">
        <x:v>3238.998</x:v>
      </x:c>
      <x:c r="M713" s="2" t="n">
        <x:v>400</x:v>
      </x:c>
      <x:c r="N713" s="2" t="n">
        <x:v>1350</x:v>
      </x:c>
      <x:c r="O713" s="2" t="str">
        <x:v>MF375.pdf 32.004mm furatköz; Ø2.5x12 próbaérték 3.5x16 pan-head csavarhoz</x:v>
      </x:c>
    </x:row>
    <x:row r="714" ht="34" customHeight="1">
      <x:c r="A714" s="2" t="str">
        <x:v>H0709</x:v>
      </x:c>
      <x:c r="B714" s="2" t="str">
        <x:v>KI12-TV03P-04</x:v>
      </x:c>
      <x:c r="C714" s="2" t="str">
        <x:v>MF375_PANEL_CSAVAR</x:v>
      </x:c>
      <x:c r="D714" s="2" t="n">
        <x:v>800</x:v>
      </x:c>
      <x:c r="E714" s="2" t="n">
        <x:v>359.50199999999995</x:v>
      </x:c>
      <x:c r="F714" s="2" t="n">
        <x:v>0</x:v>
      </x:c>
      <x:c r="G714" s="2" t="n">
        <x:v>0</x:v>
      </x:c>
      <x:c r="H714" s="2" t="n">
        <x:v>0</x:v>
      </x:c>
      <x:c r="I714" s="2" t="n">
        <x:v>-1</x:v>
      </x:c>
      <x:c r="J714" s="2" t="n">
        <x:v>2.5</x:v>
      </x:c>
      <x:c r="K714" s="2" t="n">
        <x:v>12</x:v>
      </x:c>
      <x:c r="L714" s="2" t="n">
        <x:v>3271.002</x:v>
      </x:c>
      <x:c r="M714" s="2" t="n">
        <x:v>400</x:v>
      </x:c>
      <x:c r="N714" s="2" t="n">
        <x:v>1350</x:v>
      </x:c>
      <x:c r="O714" s="2" t="str">
        <x:v>MF375.pdf 32.004mm furatköz; Ø2.5x12 próbaérték 3.5x16 pan-head csavarhoz</x:v>
      </x:c>
    </x:row>
    <x:row r="715" ht="34" customHeight="1">
      <x:c r="A715" s="2" t="str">
        <x:v>H0710</x:v>
      </x:c>
      <x:c r="B715" s="2" t="str">
        <x:v>KI12-TV03P-04</x:v>
      </x:c>
      <x:c r="C715" s="2" t="str">
        <x:v>MF375_PANEL_CSAVAR</x:v>
      </x:c>
      <x:c r="D715" s="2" t="n">
        <x:v>800</x:v>
      </x:c>
      <x:c r="E715" s="2" t="n">
        <x:v>610.998</x:v>
      </x:c>
      <x:c r="F715" s="2" t="n">
        <x:v>0</x:v>
      </x:c>
      <x:c r="G715" s="2" t="n">
        <x:v>0</x:v>
      </x:c>
      <x:c r="H715" s="2" t="n">
        <x:v>0</x:v>
      </x:c>
      <x:c r="I715" s="2" t="n">
        <x:v>-1</x:v>
      </x:c>
      <x:c r="J715" s="2" t="n">
        <x:v>2.5</x:v>
      </x:c>
      <x:c r="K715" s="2" t="n">
        <x:v>12</x:v>
      </x:c>
      <x:c r="L715" s="2" t="n">
        <x:v>3522.498</x:v>
      </x:c>
      <x:c r="M715" s="2" t="n">
        <x:v>400</x:v>
      </x:c>
      <x:c r="N715" s="2" t="n">
        <x:v>1350</x:v>
      </x:c>
      <x:c r="O715" s="2" t="str">
        <x:v>MF375.pdf 32.004mm furatköz; Ø2.5x12 próbaérték 3.5x16 pan-head csavarhoz</x:v>
      </x:c>
    </x:row>
    <x:row r="716" ht="34" customHeight="1">
      <x:c r="A716" s="2" t="str">
        <x:v>H0711</x:v>
      </x:c>
      <x:c r="B716" s="2" t="str">
        <x:v>KI12-TV03P-04</x:v>
      </x:c>
      <x:c r="C716" s="2" t="str">
        <x:v>MF375_PANEL_CSAVAR</x:v>
      </x:c>
      <x:c r="D716" s="2" t="n">
        <x:v>800</x:v>
      </x:c>
      <x:c r="E716" s="2" t="n">
        <x:v>643.002</x:v>
      </x:c>
      <x:c r="F716" s="2" t="n">
        <x:v>0</x:v>
      </x:c>
      <x:c r="G716" s="2" t="n">
        <x:v>0</x:v>
      </x:c>
      <x:c r="H716" s="2" t="n">
        <x:v>0</x:v>
      </x:c>
      <x:c r="I716" s="2" t="n">
        <x:v>-1</x:v>
      </x:c>
      <x:c r="J716" s="2" t="n">
        <x:v>2.5</x:v>
      </x:c>
      <x:c r="K716" s="2" t="n">
        <x:v>12</x:v>
      </x:c>
      <x:c r="L716" s="2" t="n">
        <x:v>3554.502</x:v>
      </x:c>
      <x:c r="M716" s="2" t="n">
        <x:v>400</x:v>
      </x:c>
      <x:c r="N716" s="2" t="n">
        <x:v>1350</x:v>
      </x:c>
      <x:c r="O716" s="2" t="str">
        <x:v>MF375.pdf 32.004mm furatköz; Ø2.5x12 próbaérték 3.5x16 pan-head csavarhoz</x:v>
      </x:c>
    </x:row>
    <x:row r="717" ht="34" customHeight="1">
      <x:c r="A717" s="2" t="str">
        <x:v>H0712</x:v>
      </x:c>
      <x:c r="B717" s="2" t="str">
        <x:v>KI12-TV03P-04</x:v>
      </x:c>
      <x:c r="C717" s="2" t="str">
        <x:v>MF375_PANEL_CSAVAR</x:v>
      </x:c>
      <x:c r="D717" s="2" t="n">
        <x:v>1500</x:v>
      </x:c>
      <x:c r="E717" s="2" t="n">
        <x:v>43.99800000000005</x:v>
      </x:c>
      <x:c r="F717" s="2" t="n">
        <x:v>0</x:v>
      </x:c>
      <x:c r="G717" s="2" t="n">
        <x:v>0</x:v>
      </x:c>
      <x:c r="H717" s="2" t="n">
        <x:v>0</x:v>
      </x:c>
      <x:c r="I717" s="2" t="n">
        <x:v>-1</x:v>
      </x:c>
      <x:c r="J717" s="2" t="n">
        <x:v>2.5</x:v>
      </x:c>
      <x:c r="K717" s="2" t="n">
        <x:v>12</x:v>
      </x:c>
      <x:c r="L717" s="2" t="n">
        <x:v>2955.498</x:v>
      </x:c>
      <x:c r="M717" s="2" t="n">
        <x:v>400</x:v>
      </x:c>
      <x:c r="N717" s="2" t="n">
        <x:v>2050</x:v>
      </x:c>
      <x:c r="O717" s="2" t="str">
        <x:v>MF375.pdf 32.004mm furatköz; Ø2.5x12 próbaérték 3.5x16 pan-head csavarhoz</x:v>
      </x:c>
    </x:row>
    <x:row r="718" ht="34" customHeight="1">
      <x:c r="A718" s="2" t="str">
        <x:v>H0713</x:v>
      </x:c>
      <x:c r="B718" s="2" t="str">
        <x:v>KI12-TV03P-04</x:v>
      </x:c>
      <x:c r="C718" s="2" t="str">
        <x:v>MF375_PANEL_CSAVAR</x:v>
      </x:c>
      <x:c r="D718" s="2" t="n">
        <x:v>1500</x:v>
      </x:c>
      <x:c r="E718" s="2" t="n">
        <x:v>76.00199999999995</x:v>
      </x:c>
      <x:c r="F718" s="2" t="n">
        <x:v>0</x:v>
      </x:c>
      <x:c r="G718" s="2" t="n">
        <x:v>0</x:v>
      </x:c>
      <x:c r="H718" s="2" t="n">
        <x:v>0</x:v>
      </x:c>
      <x:c r="I718" s="2" t="n">
        <x:v>-1</x:v>
      </x:c>
      <x:c r="J718" s="2" t="n">
        <x:v>2.5</x:v>
      </x:c>
      <x:c r="K718" s="2" t="n">
        <x:v>12</x:v>
      </x:c>
      <x:c r="L718" s="2" t="n">
        <x:v>2987.502</x:v>
      </x:c>
      <x:c r="M718" s="2" t="n">
        <x:v>400</x:v>
      </x:c>
      <x:c r="N718" s="2" t="n">
        <x:v>2050</x:v>
      </x:c>
      <x:c r="O718" s="2" t="str">
        <x:v>MF375.pdf 32.004mm furatköz; Ø2.5x12 próbaérték 3.5x16 pan-head csavarhoz</x:v>
      </x:c>
    </x:row>
    <x:row r="719" ht="34" customHeight="1">
      <x:c r="A719" s="2" t="str">
        <x:v>H0714</x:v>
      </x:c>
      <x:c r="B719" s="2" t="str">
        <x:v>KI12-TV03P-04</x:v>
      </x:c>
      <x:c r="C719" s="2" t="str">
        <x:v>MF375_PANEL_CSAVAR</x:v>
      </x:c>
      <x:c r="D719" s="2" t="n">
        <x:v>1500</x:v>
      </x:c>
      <x:c r="E719" s="2" t="n">
        <x:v>327.49800000000005</x:v>
      </x:c>
      <x:c r="F719" s="2" t="n">
        <x:v>0</x:v>
      </x:c>
      <x:c r="G719" s="2" t="n">
        <x:v>0</x:v>
      </x:c>
      <x:c r="H719" s="2" t="n">
        <x:v>0</x:v>
      </x:c>
      <x:c r="I719" s="2" t="n">
        <x:v>-1</x:v>
      </x:c>
      <x:c r="J719" s="2" t="n">
        <x:v>2.5</x:v>
      </x:c>
      <x:c r="K719" s="2" t="n">
        <x:v>12</x:v>
      </x:c>
      <x:c r="L719" s="2" t="n">
        <x:v>3238.998</x:v>
      </x:c>
      <x:c r="M719" s="2" t="n">
        <x:v>400</x:v>
      </x:c>
      <x:c r="N719" s="2" t="n">
        <x:v>2050</x:v>
      </x:c>
      <x:c r="O719" s="2" t="str">
        <x:v>MF375.pdf 32.004mm furatköz; Ø2.5x12 próbaérték 3.5x16 pan-head csavarhoz</x:v>
      </x:c>
    </x:row>
    <x:row r="720" ht="34" customHeight="1">
      <x:c r="A720" s="2" t="str">
        <x:v>H0715</x:v>
      </x:c>
      <x:c r="B720" s="2" t="str">
        <x:v>KI12-TV03P-04</x:v>
      </x:c>
      <x:c r="C720" s="2" t="str">
        <x:v>MF375_PANEL_CSAVAR</x:v>
      </x:c>
      <x:c r="D720" s="2" t="n">
        <x:v>1500</x:v>
      </x:c>
      <x:c r="E720" s="2" t="n">
        <x:v>359.50199999999995</x:v>
      </x:c>
      <x:c r="F720" s="2" t="n">
        <x:v>0</x:v>
      </x:c>
      <x:c r="G720" s="2" t="n">
        <x:v>0</x:v>
      </x:c>
      <x:c r="H720" s="2" t="n">
        <x:v>0</x:v>
      </x:c>
      <x:c r="I720" s="2" t="n">
        <x:v>-1</x:v>
      </x:c>
      <x:c r="J720" s="2" t="n">
        <x:v>2.5</x:v>
      </x:c>
      <x:c r="K720" s="2" t="n">
        <x:v>12</x:v>
      </x:c>
      <x:c r="L720" s="2" t="n">
        <x:v>3271.002</x:v>
      </x:c>
      <x:c r="M720" s="2" t="n">
        <x:v>400</x:v>
      </x:c>
      <x:c r="N720" s="2" t="n">
        <x:v>2050</x:v>
      </x:c>
      <x:c r="O720" s="2" t="str">
        <x:v>MF375.pdf 32.004mm furatköz; Ø2.5x12 próbaérték 3.5x16 pan-head csavarhoz</x:v>
      </x:c>
    </x:row>
    <x:row r="721" ht="34" customHeight="1">
      <x:c r="A721" s="2" t="str">
        <x:v>H0716</x:v>
      </x:c>
      <x:c r="B721" s="2" t="str">
        <x:v>KI12-TV03P-04</x:v>
      </x:c>
      <x:c r="C721" s="2" t="str">
        <x:v>MF375_PANEL_CSAVAR</x:v>
      </x:c>
      <x:c r="D721" s="2" t="n">
        <x:v>1500</x:v>
      </x:c>
      <x:c r="E721" s="2" t="n">
        <x:v>610.998</x:v>
      </x:c>
      <x:c r="F721" s="2" t="n">
        <x:v>0</x:v>
      </x:c>
      <x:c r="G721" s="2" t="n">
        <x:v>0</x:v>
      </x:c>
      <x:c r="H721" s="2" t="n">
        <x:v>0</x:v>
      </x:c>
      <x:c r="I721" s="2" t="n">
        <x:v>-1</x:v>
      </x:c>
      <x:c r="J721" s="2" t="n">
        <x:v>2.5</x:v>
      </x:c>
      <x:c r="K721" s="2" t="n">
        <x:v>12</x:v>
      </x:c>
      <x:c r="L721" s="2" t="n">
        <x:v>3522.498</x:v>
      </x:c>
      <x:c r="M721" s="2" t="n">
        <x:v>400</x:v>
      </x:c>
      <x:c r="N721" s="2" t="n">
        <x:v>2050</x:v>
      </x:c>
      <x:c r="O721" s="2" t="str">
        <x:v>MF375.pdf 32.004mm furatköz; Ø2.5x12 próbaérték 3.5x16 pan-head csavarhoz</x:v>
      </x:c>
    </x:row>
    <x:row r="722" ht="34" customHeight="1">
      <x:c r="A722" s="2" t="str">
        <x:v>H0717</x:v>
      </x:c>
      <x:c r="B722" s="2" t="str">
        <x:v>KI12-TV03P-04</x:v>
      </x:c>
      <x:c r="C722" s="2" t="str">
        <x:v>MF375_PANEL_CSAVAR</x:v>
      </x:c>
      <x:c r="D722" s="2" t="n">
        <x:v>1500</x:v>
      </x:c>
      <x:c r="E722" s="2" t="n">
        <x:v>643.002</x:v>
      </x:c>
      <x:c r="F722" s="2" t="n">
        <x:v>0</x:v>
      </x:c>
      <x:c r="G722" s="2" t="n">
        <x:v>0</x:v>
      </x:c>
      <x:c r="H722" s="2" t="n">
        <x:v>0</x:v>
      </x:c>
      <x:c r="I722" s="2" t="n">
        <x:v>-1</x:v>
      </x:c>
      <x:c r="J722" s="2" t="n">
        <x:v>2.5</x:v>
      </x:c>
      <x:c r="K722" s="2" t="n">
        <x:v>12</x:v>
      </x:c>
      <x:c r="L722" s="2" t="n">
        <x:v>3554.502</x:v>
      </x:c>
      <x:c r="M722" s="2" t="n">
        <x:v>400</x:v>
      </x:c>
      <x:c r="N722" s="2" t="n">
        <x:v>2050</x:v>
      </x:c>
      <x:c r="O722" s="2" t="str">
        <x:v>MF375.pdf 32.004mm furatköz; Ø2.5x12 próbaérték 3.5x16 pan-head csavarhoz</x:v>
      </x:c>
    </x:row>
    <x:row r="723" ht="34" customHeight="1">
      <x:c r="A723" s="2" t="str">
        <x:v>H0718</x:v>
      </x:c>
      <x:c r="B723" s="2" t="str">
        <x:v>KI12-TV03P-04</x:v>
      </x:c>
      <x:c r="C723" s="2" t="str">
        <x:v>MF375_PANEL_CSAVAR</x:v>
      </x:c>
      <x:c r="D723" s="2" t="n">
        <x:v>2200</x:v>
      </x:c>
      <x:c r="E723" s="2" t="n">
        <x:v>43.99800000000005</x:v>
      </x:c>
      <x:c r="F723" s="2" t="n">
        <x:v>0</x:v>
      </x:c>
      <x:c r="G723" s="2" t="n">
        <x:v>0</x:v>
      </x:c>
      <x:c r="H723" s="2" t="n">
        <x:v>0</x:v>
      </x:c>
      <x:c r="I723" s="2" t="n">
        <x:v>-1</x:v>
      </x:c>
      <x:c r="J723" s="2" t="n">
        <x:v>2.5</x:v>
      </x:c>
      <x:c r="K723" s="2" t="n">
        <x:v>12</x:v>
      </x:c>
      <x:c r="L723" s="2" t="n">
        <x:v>2955.498</x:v>
      </x:c>
      <x:c r="M723" s="2" t="n">
        <x:v>400</x:v>
      </x:c>
      <x:c r="N723" s="2" t="n">
        <x:v>2750</x:v>
      </x:c>
      <x:c r="O723" s="2" t="str">
        <x:v>MF375.pdf 32.004mm furatköz; Ø2.5x12 próbaérték 3.5x16 pan-head csavarhoz</x:v>
      </x:c>
    </x:row>
    <x:row r="724" ht="34" customHeight="1">
      <x:c r="A724" s="2" t="str">
        <x:v>H0719</x:v>
      </x:c>
      <x:c r="B724" s="2" t="str">
        <x:v>KI12-TV03P-04</x:v>
      </x:c>
      <x:c r="C724" s="2" t="str">
        <x:v>MF375_PANEL_CSAVAR</x:v>
      </x:c>
      <x:c r="D724" s="2" t="n">
        <x:v>2200</x:v>
      </x:c>
      <x:c r="E724" s="2" t="n">
        <x:v>76.00199999999995</x:v>
      </x:c>
      <x:c r="F724" s="2" t="n">
        <x:v>0</x:v>
      </x:c>
      <x:c r="G724" s="2" t="n">
        <x:v>0</x:v>
      </x:c>
      <x:c r="H724" s="2" t="n">
        <x:v>0</x:v>
      </x:c>
      <x:c r="I724" s="2" t="n">
        <x:v>-1</x:v>
      </x:c>
      <x:c r="J724" s="2" t="n">
        <x:v>2.5</x:v>
      </x:c>
      <x:c r="K724" s="2" t="n">
        <x:v>12</x:v>
      </x:c>
      <x:c r="L724" s="2" t="n">
        <x:v>2987.502</x:v>
      </x:c>
      <x:c r="M724" s="2" t="n">
        <x:v>400</x:v>
      </x:c>
      <x:c r="N724" s="2" t="n">
        <x:v>2750</x:v>
      </x:c>
      <x:c r="O724" s="2" t="str">
        <x:v>MF375.pdf 32.004mm furatköz; Ø2.5x12 próbaérték 3.5x16 pan-head csavarhoz</x:v>
      </x:c>
    </x:row>
    <x:row r="725" ht="34" customHeight="1">
      <x:c r="A725" s="2" t="str">
        <x:v>H0720</x:v>
      </x:c>
      <x:c r="B725" s="2" t="str">
        <x:v>KI12-TV03P-04</x:v>
      </x:c>
      <x:c r="C725" s="2" t="str">
        <x:v>MF375_PANEL_CSAVAR</x:v>
      </x:c>
      <x:c r="D725" s="2" t="n">
        <x:v>2200</x:v>
      </x:c>
      <x:c r="E725" s="2" t="n">
        <x:v>327.49800000000005</x:v>
      </x:c>
      <x:c r="F725" s="2" t="n">
        <x:v>0</x:v>
      </x:c>
      <x:c r="G725" s="2" t="n">
        <x:v>0</x:v>
      </x:c>
      <x:c r="H725" s="2" t="n">
        <x:v>0</x:v>
      </x:c>
      <x:c r="I725" s="2" t="n">
        <x:v>-1</x:v>
      </x:c>
      <x:c r="J725" s="2" t="n">
        <x:v>2.5</x:v>
      </x:c>
      <x:c r="K725" s="2" t="n">
        <x:v>12</x:v>
      </x:c>
      <x:c r="L725" s="2" t="n">
        <x:v>3238.998</x:v>
      </x:c>
      <x:c r="M725" s="2" t="n">
        <x:v>400</x:v>
      </x:c>
      <x:c r="N725" s="2" t="n">
        <x:v>2750</x:v>
      </x:c>
      <x:c r="O725" s="2" t="str">
        <x:v>MF375.pdf 32.004mm furatköz; Ø2.5x12 próbaérték 3.5x16 pan-head csavarhoz</x:v>
      </x:c>
    </x:row>
    <x:row r="726" ht="34" customHeight="1">
      <x:c r="A726" s="2" t="str">
        <x:v>H0721</x:v>
      </x:c>
      <x:c r="B726" s="2" t="str">
        <x:v>KI12-TV03P-04</x:v>
      </x:c>
      <x:c r="C726" s="2" t="str">
        <x:v>MF375_PANEL_CSAVAR</x:v>
      </x:c>
      <x:c r="D726" s="2" t="n">
        <x:v>2200</x:v>
      </x:c>
      <x:c r="E726" s="2" t="n">
        <x:v>359.50199999999995</x:v>
      </x:c>
      <x:c r="F726" s="2" t="n">
        <x:v>0</x:v>
      </x:c>
      <x:c r="G726" s="2" t="n">
        <x:v>0</x:v>
      </x:c>
      <x:c r="H726" s="2" t="n">
        <x:v>0</x:v>
      </x:c>
      <x:c r="I726" s="2" t="n">
        <x:v>-1</x:v>
      </x:c>
      <x:c r="J726" s="2" t="n">
        <x:v>2.5</x:v>
      </x:c>
      <x:c r="K726" s="2" t="n">
        <x:v>12</x:v>
      </x:c>
      <x:c r="L726" s="2" t="n">
        <x:v>3271.002</x:v>
      </x:c>
      <x:c r="M726" s="2" t="n">
        <x:v>400</x:v>
      </x:c>
      <x:c r="N726" s="2" t="n">
        <x:v>2750</x:v>
      </x:c>
      <x:c r="O726" s="2" t="str">
        <x:v>MF375.pdf 32.004mm furatköz; Ø2.5x12 próbaérték 3.5x16 pan-head csavarhoz</x:v>
      </x:c>
    </x:row>
    <x:row r="727" ht="34" customHeight="1">
      <x:c r="A727" s="2" t="str">
        <x:v>H0722</x:v>
      </x:c>
      <x:c r="B727" s="2" t="str">
        <x:v>KI12-TV03P-04</x:v>
      </x:c>
      <x:c r="C727" s="2" t="str">
        <x:v>MF375_PANEL_CSAVAR</x:v>
      </x:c>
      <x:c r="D727" s="2" t="n">
        <x:v>2200</x:v>
      </x:c>
      <x:c r="E727" s="2" t="n">
        <x:v>610.998</x:v>
      </x:c>
      <x:c r="F727" s="2" t="n">
        <x:v>0</x:v>
      </x:c>
      <x:c r="G727" s="2" t="n">
        <x:v>0</x:v>
      </x:c>
      <x:c r="H727" s="2" t="n">
        <x:v>0</x:v>
      </x:c>
      <x:c r="I727" s="2" t="n">
        <x:v>-1</x:v>
      </x:c>
      <x:c r="J727" s="2" t="n">
        <x:v>2.5</x:v>
      </x:c>
      <x:c r="K727" s="2" t="n">
        <x:v>12</x:v>
      </x:c>
      <x:c r="L727" s="2" t="n">
        <x:v>3522.498</x:v>
      </x:c>
      <x:c r="M727" s="2" t="n">
        <x:v>400</x:v>
      </x:c>
      <x:c r="N727" s="2" t="n">
        <x:v>2750</x:v>
      </x:c>
      <x:c r="O727" s="2" t="str">
        <x:v>MF375.pdf 32.004mm furatköz; Ø2.5x12 próbaérték 3.5x16 pan-head csavarhoz</x:v>
      </x:c>
    </x:row>
    <x:row r="728" ht="34" customHeight="1">
      <x:c r="A728" s="2" t="str">
        <x:v>H0723</x:v>
      </x:c>
      <x:c r="B728" s="2" t="str">
        <x:v>KI12-TV03P-04</x:v>
      </x:c>
      <x:c r="C728" s="2" t="str">
        <x:v>MF375_PANEL_CSAVAR</x:v>
      </x:c>
      <x:c r="D728" s="2" t="n">
        <x:v>2200</x:v>
      </x:c>
      <x:c r="E728" s="2" t="n">
        <x:v>643.002</x:v>
      </x:c>
      <x:c r="F728" s="2" t="n">
        <x:v>0</x:v>
      </x:c>
      <x:c r="G728" s="2" t="n">
        <x:v>0</x:v>
      </x:c>
      <x:c r="H728" s="2" t="n">
        <x:v>0</x:v>
      </x:c>
      <x:c r="I728" s="2" t="n">
        <x:v>-1</x:v>
      </x:c>
      <x:c r="J728" s="2" t="n">
        <x:v>2.5</x:v>
      </x:c>
      <x:c r="K728" s="2" t="n">
        <x:v>12</x:v>
      </x:c>
      <x:c r="L728" s="2" t="n">
        <x:v>3554.502</x:v>
      </x:c>
      <x:c r="M728" s="2" t="n">
        <x:v>400</x:v>
      </x:c>
      <x:c r="N728" s="2" t="n">
        <x:v>2750</x:v>
      </x:c>
      <x:c r="O728" s="2" t="str">
        <x:v>MF375.pdf 32.004mm furatköz; Ø2.5x12 próbaérték 3.5x16 pan-head csavarhoz</x:v>
      </x:c>
    </x:row>
    <x:row r="729" ht="34" customHeight="1">
      <x:c r="A729" s="2" t="str">
        <x:v>H0724</x:v>
      </x:c>
      <x:c r="B729" s="2" t="str">
        <x:v>KI12-TV02H2-01</x:v>
      </x:c>
      <x:c r="C729" s="2" t="str">
        <x:v>AV_SZELLOZO</x:v>
      </x:c>
      <x:c r="D729" s="2" t="n">
        <x:v>476</x:v>
      </x:c>
      <x:c r="E729" s="2" t="n">
        <x:v>26</x:v>
      </x:c>
      <x:c r="F729" s="2" t="n">
        <x:v>0</x:v>
      </x:c>
      <x:c r="G729" s="2" t="n">
        <x:v>0</x:v>
      </x:c>
      <x:c r="H729" s="2" t="n">
        <x:v>0</x:v>
      </x:c>
      <x:c r="I729" s="2" t="n">
        <x:v>-1</x:v>
      </x:c>
      <x:c r="J729" s="2" t="n">
        <x:v>10</x:v>
      </x:c>
      <x:c r="K729" s="2" t="n">
        <x:v>8</x:v>
      </x:c>
      <x:c r="L729" s="2" t="n">
        <x:v>1035</x:v>
      </x:c>
      <x:c r="M729" s="2" t="n">
        <x:v>362</x:v>
      </x:c>
      <x:c r="N729" s="2" t="n">
        <x:v>195</x:v>
      </x:c>
      <x:c r="O729" s="2" t="str">
        <x:v>R15 12x4 Ø10/bank;37.70cm² szabad felület. Légút és hőpróba szükséges.</x:v>
      </x:c>
    </x:row>
    <x:row r="730" ht="34" customHeight="1">
      <x:c r="A730" s="2" t="str">
        <x:v>H0725</x:v>
      </x:c>
      <x:c r="B730" s="2" t="str">
        <x:v>KI12-TV02H2-01</x:v>
      </x:c>
      <x:c r="C730" s="2" t="str">
        <x:v>AV_SZELLOZO</x:v>
      </x:c>
      <x:c r="D730" s="2" t="n">
        <x:v>461</x:v>
      </x:c>
      <x:c r="E730" s="2" t="n">
        <x:v>26</x:v>
      </x:c>
      <x:c r="F730" s="2" t="n">
        <x:v>0</x:v>
      </x:c>
      <x:c r="G730" s="2" t="n">
        <x:v>0</x:v>
      </x:c>
      <x:c r="H730" s="2" t="n">
        <x:v>0</x:v>
      </x:c>
      <x:c r="I730" s="2" t="n">
        <x:v>-1</x:v>
      </x:c>
      <x:c r="J730" s="2" t="n">
        <x:v>10</x:v>
      </x:c>
      <x:c r="K730" s="2" t="n">
        <x:v>8</x:v>
      </x:c>
      <x:c r="L730" s="2" t="n">
        <x:v>1050</x:v>
      </x:c>
      <x:c r="M730" s="2" t="n">
        <x:v>362</x:v>
      </x:c>
      <x:c r="N730" s="2" t="n">
        <x:v>195</x:v>
      </x:c>
      <x:c r="O730" s="2" t="str">
        <x:v>R15 12x4 Ø10/bank;37.70cm² szabad felület. Légút és hőpróba szükséges.</x:v>
      </x:c>
    </x:row>
    <x:row r="731" ht="34" customHeight="1">
      <x:c r="A731" s="2" t="str">
        <x:v>H0726</x:v>
      </x:c>
      <x:c r="B731" s="2" t="str">
        <x:v>KI12-TV02H2-01</x:v>
      </x:c>
      <x:c r="C731" s="2" t="str">
        <x:v>AV_SZELLOZO</x:v>
      </x:c>
      <x:c r="D731" s="2" t="n">
        <x:v>446</x:v>
      </x:c>
      <x:c r="E731" s="2" t="n">
        <x:v>26</x:v>
      </x:c>
      <x:c r="F731" s="2" t="n">
        <x:v>0</x:v>
      </x:c>
      <x:c r="G731" s="2" t="n">
        <x:v>0</x:v>
      </x:c>
      <x:c r="H731" s="2" t="n">
        <x:v>0</x:v>
      </x:c>
      <x:c r="I731" s="2" t="n">
        <x:v>-1</x:v>
      </x:c>
      <x:c r="J731" s="2" t="n">
        <x:v>10</x:v>
      </x:c>
      <x:c r="K731" s="2" t="n">
        <x:v>8</x:v>
      </x:c>
      <x:c r="L731" s="2" t="n">
        <x:v>1065</x:v>
      </x:c>
      <x:c r="M731" s="2" t="n">
        <x:v>362</x:v>
      </x:c>
      <x:c r="N731" s="2" t="n">
        <x:v>195</x:v>
      </x:c>
      <x:c r="O731" s="2" t="str">
        <x:v>R15 12x4 Ø10/bank;37.70cm² szabad felület. Légút és hőpróba szükséges.</x:v>
      </x:c>
    </x:row>
    <x:row r="732" ht="34" customHeight="1">
      <x:c r="A732" s="2" t="str">
        <x:v>H0727</x:v>
      </x:c>
      <x:c r="B732" s="2" t="str">
        <x:v>KI12-TV02H2-01</x:v>
      </x:c>
      <x:c r="C732" s="2" t="str">
        <x:v>AV_SZELLOZO</x:v>
      </x:c>
      <x:c r="D732" s="2" t="n">
        <x:v>431</x:v>
      </x:c>
      <x:c r="E732" s="2" t="n">
        <x:v>26</x:v>
      </x:c>
      <x:c r="F732" s="2" t="n">
        <x:v>0</x:v>
      </x:c>
      <x:c r="G732" s="2" t="n">
        <x:v>0</x:v>
      </x:c>
      <x:c r="H732" s="2" t="n">
        <x:v>0</x:v>
      </x:c>
      <x:c r="I732" s="2" t="n">
        <x:v>-1</x:v>
      </x:c>
      <x:c r="J732" s="2" t="n">
        <x:v>10</x:v>
      </x:c>
      <x:c r="K732" s="2" t="n">
        <x:v>8</x:v>
      </x:c>
      <x:c r="L732" s="2" t="n">
        <x:v>1080</x:v>
      </x:c>
      <x:c r="M732" s="2" t="n">
        <x:v>362</x:v>
      </x:c>
      <x:c r="N732" s="2" t="n">
        <x:v>195</x:v>
      </x:c>
      <x:c r="O732" s="2" t="str">
        <x:v>R15 12x4 Ø10/bank;37.70cm² szabad felület. Légút és hőpróba szükséges.</x:v>
      </x:c>
    </x:row>
    <x:row r="733" ht="34" customHeight="1">
      <x:c r="A733" s="2" t="str">
        <x:v>H0728</x:v>
      </x:c>
      <x:c r="B733" s="2" t="str">
        <x:v>KI12-TV02H2-01</x:v>
      </x:c>
      <x:c r="C733" s="2" t="str">
        <x:v>AV_SZELLOZO</x:v>
      </x:c>
      <x:c r="D733" s="2" t="n">
        <x:v>416</x:v>
      </x:c>
      <x:c r="E733" s="2" t="n">
        <x:v>26</x:v>
      </x:c>
      <x:c r="F733" s="2" t="n">
        <x:v>0</x:v>
      </x:c>
      <x:c r="G733" s="2" t="n">
        <x:v>0</x:v>
      </x:c>
      <x:c r="H733" s="2" t="n">
        <x:v>0</x:v>
      </x:c>
      <x:c r="I733" s="2" t="n">
        <x:v>-1</x:v>
      </x:c>
      <x:c r="J733" s="2" t="n">
        <x:v>10</x:v>
      </x:c>
      <x:c r="K733" s="2" t="n">
        <x:v>8</x:v>
      </x:c>
      <x:c r="L733" s="2" t="n">
        <x:v>1095</x:v>
      </x:c>
      <x:c r="M733" s="2" t="n">
        <x:v>362</x:v>
      </x:c>
      <x:c r="N733" s="2" t="n">
        <x:v>195</x:v>
      </x:c>
      <x:c r="O733" s="2" t="str">
        <x:v>R15 12x4 Ø10/bank;37.70cm² szabad felület. Légút és hőpróba szükséges.</x:v>
      </x:c>
    </x:row>
    <x:row r="734" ht="34" customHeight="1">
      <x:c r="A734" s="2" t="str">
        <x:v>H0729</x:v>
      </x:c>
      <x:c r="B734" s="2" t="str">
        <x:v>KI12-TV02H2-01</x:v>
      </x:c>
      <x:c r="C734" s="2" t="str">
        <x:v>AV_SZELLOZO</x:v>
      </x:c>
      <x:c r="D734" s="2" t="n">
        <x:v>401</x:v>
      </x:c>
      <x:c r="E734" s="2" t="n">
        <x:v>26</x:v>
      </x:c>
      <x:c r="F734" s="2" t="n">
        <x:v>0</x:v>
      </x:c>
      <x:c r="G734" s="2" t="n">
        <x:v>0</x:v>
      </x:c>
      <x:c r="H734" s="2" t="n">
        <x:v>0</x:v>
      </x:c>
      <x:c r="I734" s="2" t="n">
        <x:v>-1</x:v>
      </x:c>
      <x:c r="J734" s="2" t="n">
        <x:v>10</x:v>
      </x:c>
      <x:c r="K734" s="2" t="n">
        <x:v>8</x:v>
      </x:c>
      <x:c r="L734" s="2" t="n">
        <x:v>1110</x:v>
      </x:c>
      <x:c r="M734" s="2" t="n">
        <x:v>362</x:v>
      </x:c>
      <x:c r="N734" s="2" t="n">
        <x:v>195</x:v>
      </x:c>
      <x:c r="O734" s="2" t="str">
        <x:v>R15 12x4 Ø10/bank;37.70cm² szabad felület. Légút és hőpróba szükséges.</x:v>
      </x:c>
    </x:row>
    <x:row r="735" ht="34" customHeight="1">
      <x:c r="A735" s="2" t="str">
        <x:v>H0730</x:v>
      </x:c>
      <x:c r="B735" s="2" t="str">
        <x:v>KI12-TV02H2-01</x:v>
      </x:c>
      <x:c r="C735" s="2" t="str">
        <x:v>AV_SZELLOZO</x:v>
      </x:c>
      <x:c r="D735" s="2" t="n">
        <x:v>386</x:v>
      </x:c>
      <x:c r="E735" s="2" t="n">
        <x:v>26</x:v>
      </x:c>
      <x:c r="F735" s="2" t="n">
        <x:v>0</x:v>
      </x:c>
      <x:c r="G735" s="2" t="n">
        <x:v>0</x:v>
      </x:c>
      <x:c r="H735" s="2" t="n">
        <x:v>0</x:v>
      </x:c>
      <x:c r="I735" s="2" t="n">
        <x:v>-1</x:v>
      </x:c>
      <x:c r="J735" s="2" t="n">
        <x:v>10</x:v>
      </x:c>
      <x:c r="K735" s="2" t="n">
        <x:v>8</x:v>
      </x:c>
      <x:c r="L735" s="2" t="n">
        <x:v>1125</x:v>
      </x:c>
      <x:c r="M735" s="2" t="n">
        <x:v>362</x:v>
      </x:c>
      <x:c r="N735" s="2" t="n">
        <x:v>195</x:v>
      </x:c>
      <x:c r="O735" s="2" t="str">
        <x:v>R15 12x4 Ø10/bank;37.70cm² szabad felület. Légút és hőpróba szükséges.</x:v>
      </x:c>
    </x:row>
    <x:row r="736" ht="34" customHeight="1">
      <x:c r="A736" s="2" t="str">
        <x:v>H0731</x:v>
      </x:c>
      <x:c r="B736" s="2" t="str">
        <x:v>KI12-TV02H2-01</x:v>
      </x:c>
      <x:c r="C736" s="2" t="str">
        <x:v>AV_SZELLOZO</x:v>
      </x:c>
      <x:c r="D736" s="2" t="n">
        <x:v>371</x:v>
      </x:c>
      <x:c r="E736" s="2" t="n">
        <x:v>26</x:v>
      </x:c>
      <x:c r="F736" s="2" t="n">
        <x:v>0</x:v>
      </x:c>
      <x:c r="G736" s="2" t="n">
        <x:v>0</x:v>
      </x:c>
      <x:c r="H736" s="2" t="n">
        <x:v>0</x:v>
      </x:c>
      <x:c r="I736" s="2" t="n">
        <x:v>-1</x:v>
      </x:c>
      <x:c r="J736" s="2" t="n">
        <x:v>10</x:v>
      </x:c>
      <x:c r="K736" s="2" t="n">
        <x:v>8</x:v>
      </x:c>
      <x:c r="L736" s="2" t="n">
        <x:v>1140</x:v>
      </x:c>
      <x:c r="M736" s="2" t="n">
        <x:v>362</x:v>
      </x:c>
      <x:c r="N736" s="2" t="n">
        <x:v>195</x:v>
      </x:c>
      <x:c r="O736" s="2" t="str">
        <x:v>R15 12x4 Ø10/bank;37.70cm² szabad felület. Légút és hőpróba szükséges.</x:v>
      </x:c>
    </x:row>
    <x:row r="737" ht="34" customHeight="1">
      <x:c r="A737" s="2" t="str">
        <x:v>H0732</x:v>
      </x:c>
      <x:c r="B737" s="2" t="str">
        <x:v>KI12-TV02H2-01</x:v>
      </x:c>
      <x:c r="C737" s="2" t="str">
        <x:v>AV_SZELLOZO</x:v>
      </x:c>
      <x:c r="D737" s="2" t="n">
        <x:v>356</x:v>
      </x:c>
      <x:c r="E737" s="2" t="n">
        <x:v>26</x:v>
      </x:c>
      <x:c r="F737" s="2" t="n">
        <x:v>0</x:v>
      </x:c>
      <x:c r="G737" s="2" t="n">
        <x:v>0</x:v>
      </x:c>
      <x:c r="H737" s="2" t="n">
        <x:v>0</x:v>
      </x:c>
      <x:c r="I737" s="2" t="n">
        <x:v>-1</x:v>
      </x:c>
      <x:c r="J737" s="2" t="n">
        <x:v>10</x:v>
      </x:c>
      <x:c r="K737" s="2" t="n">
        <x:v>8</x:v>
      </x:c>
      <x:c r="L737" s="2" t="n">
        <x:v>1155</x:v>
      </x:c>
      <x:c r="M737" s="2" t="n">
        <x:v>362</x:v>
      </x:c>
      <x:c r="N737" s="2" t="n">
        <x:v>195</x:v>
      </x:c>
      <x:c r="O737" s="2" t="str">
        <x:v>R15 12x4 Ø10/bank;37.70cm² szabad felület. Légút és hőpróba szükséges.</x:v>
      </x:c>
    </x:row>
    <x:row r="738" ht="34" customHeight="1">
      <x:c r="A738" s="2" t="str">
        <x:v>H0733</x:v>
      </x:c>
      <x:c r="B738" s="2" t="str">
        <x:v>KI12-TV02H2-01</x:v>
      </x:c>
      <x:c r="C738" s="2" t="str">
        <x:v>AV_SZELLOZO</x:v>
      </x:c>
      <x:c r="D738" s="2" t="n">
        <x:v>341</x:v>
      </x:c>
      <x:c r="E738" s="2" t="n">
        <x:v>26</x:v>
      </x:c>
      <x:c r="F738" s="2" t="n">
        <x:v>0</x:v>
      </x:c>
      <x:c r="G738" s="2" t="n">
        <x:v>0</x:v>
      </x:c>
      <x:c r="H738" s="2" t="n">
        <x:v>0</x:v>
      </x:c>
      <x:c r="I738" s="2" t="n">
        <x:v>-1</x:v>
      </x:c>
      <x:c r="J738" s="2" t="n">
        <x:v>10</x:v>
      </x:c>
      <x:c r="K738" s="2" t="n">
        <x:v>8</x:v>
      </x:c>
      <x:c r="L738" s="2" t="n">
        <x:v>1170</x:v>
      </x:c>
      <x:c r="M738" s="2" t="n">
        <x:v>362</x:v>
      </x:c>
      <x:c r="N738" s="2" t="n">
        <x:v>195</x:v>
      </x:c>
      <x:c r="O738" s="2" t="str">
        <x:v>R15 12x4 Ø10/bank;37.70cm² szabad felület. Légút és hőpróba szükséges.</x:v>
      </x:c>
    </x:row>
    <x:row r="739" ht="34" customHeight="1">
      <x:c r="A739" s="2" t="str">
        <x:v>H0734</x:v>
      </x:c>
      <x:c r="B739" s="2" t="str">
        <x:v>KI12-TV02H2-01</x:v>
      </x:c>
      <x:c r="C739" s="2" t="str">
        <x:v>AV_SZELLOZO</x:v>
      </x:c>
      <x:c r="D739" s="2" t="n">
        <x:v>326</x:v>
      </x:c>
      <x:c r="E739" s="2" t="n">
        <x:v>26</x:v>
      </x:c>
      <x:c r="F739" s="2" t="n">
        <x:v>0</x:v>
      </x:c>
      <x:c r="G739" s="2" t="n">
        <x:v>0</x:v>
      </x:c>
      <x:c r="H739" s="2" t="n">
        <x:v>0</x:v>
      </x:c>
      <x:c r="I739" s="2" t="n">
        <x:v>-1</x:v>
      </x:c>
      <x:c r="J739" s="2" t="n">
        <x:v>10</x:v>
      </x:c>
      <x:c r="K739" s="2" t="n">
        <x:v>8</x:v>
      </x:c>
      <x:c r="L739" s="2" t="n">
        <x:v>1185</x:v>
      </x:c>
      <x:c r="M739" s="2" t="n">
        <x:v>362</x:v>
      </x:c>
      <x:c r="N739" s="2" t="n">
        <x:v>195</x:v>
      </x:c>
      <x:c r="O739" s="2" t="str">
        <x:v>R15 12x4 Ø10/bank;37.70cm² szabad felület. Légút és hőpróba szükséges.</x:v>
      </x:c>
    </x:row>
    <x:row r="740" ht="34" customHeight="1">
      <x:c r="A740" s="2" t="str">
        <x:v>H0735</x:v>
      </x:c>
      <x:c r="B740" s="2" t="str">
        <x:v>KI12-TV02H2-01</x:v>
      </x:c>
      <x:c r="C740" s="2" t="str">
        <x:v>AV_SZELLOZO</x:v>
      </x:c>
      <x:c r="D740" s="2" t="n">
        <x:v>311</x:v>
      </x:c>
      <x:c r="E740" s="2" t="n">
        <x:v>26</x:v>
      </x:c>
      <x:c r="F740" s="2" t="n">
        <x:v>0</x:v>
      </x:c>
      <x:c r="G740" s="2" t="n">
        <x:v>0</x:v>
      </x:c>
      <x:c r="H740" s="2" t="n">
        <x:v>0</x:v>
      </x:c>
      <x:c r="I740" s="2" t="n">
        <x:v>-1</x:v>
      </x:c>
      <x:c r="J740" s="2" t="n">
        <x:v>10</x:v>
      </x:c>
      <x:c r="K740" s="2" t="n">
        <x:v>8</x:v>
      </x:c>
      <x:c r="L740" s="2" t="n">
        <x:v>1200</x:v>
      </x:c>
      <x:c r="M740" s="2" t="n">
        <x:v>362</x:v>
      </x:c>
      <x:c r="N740" s="2" t="n">
        <x:v>195</x:v>
      </x:c>
      <x:c r="O740" s="2" t="str">
        <x:v>R15 12x4 Ø10/bank;37.70cm² szabad felület. Légút és hőpróba szükséges.</x:v>
      </x:c>
    </x:row>
    <x:row r="741" ht="34" customHeight="1">
      <x:c r="A741" s="2" t="str">
        <x:v>H0736</x:v>
      </x:c>
      <x:c r="B741" s="2" t="str">
        <x:v>KI12-TV02H2-01</x:v>
      </x:c>
      <x:c r="C741" s="2" t="str">
        <x:v>AV_SZELLOZO</x:v>
      </x:c>
      <x:c r="D741" s="2" t="n">
        <x:v>476</x:v>
      </x:c>
      <x:c r="E741" s="2" t="n">
        <x:v>41</x:v>
      </x:c>
      <x:c r="F741" s="2" t="n">
        <x:v>0</x:v>
      </x:c>
      <x:c r="G741" s="2" t="n">
        <x:v>0</x:v>
      </x:c>
      <x:c r="H741" s="2" t="n">
        <x:v>0</x:v>
      </x:c>
      <x:c r="I741" s="2" t="n">
        <x:v>-1</x:v>
      </x:c>
      <x:c r="J741" s="2" t="n">
        <x:v>10</x:v>
      </x:c>
      <x:c r="K741" s="2" t="n">
        <x:v>8</x:v>
      </x:c>
      <x:c r="L741" s="2" t="n">
        <x:v>1035</x:v>
      </x:c>
      <x:c r="M741" s="2" t="n">
        <x:v>362</x:v>
      </x:c>
      <x:c r="N741" s="2" t="n">
        <x:v>210</x:v>
      </x:c>
      <x:c r="O741" s="2" t="str">
        <x:v>R15 12x4 Ø10/bank;37.70cm² szabad felület. Légút és hőpróba szükséges.</x:v>
      </x:c>
    </x:row>
    <x:row r="742" ht="34" customHeight="1">
      <x:c r="A742" s="2" t="str">
        <x:v>H0737</x:v>
      </x:c>
      <x:c r="B742" s="2" t="str">
        <x:v>KI12-TV02H2-01</x:v>
      </x:c>
      <x:c r="C742" s="2" t="str">
        <x:v>AV_SZELLOZO</x:v>
      </x:c>
      <x:c r="D742" s="2" t="n">
        <x:v>461</x:v>
      </x:c>
      <x:c r="E742" s="2" t="n">
        <x:v>41</x:v>
      </x:c>
      <x:c r="F742" s="2" t="n">
        <x:v>0</x:v>
      </x:c>
      <x:c r="G742" s="2" t="n">
        <x:v>0</x:v>
      </x:c>
      <x:c r="H742" s="2" t="n">
        <x:v>0</x:v>
      </x:c>
      <x:c r="I742" s="2" t="n">
        <x:v>-1</x:v>
      </x:c>
      <x:c r="J742" s="2" t="n">
        <x:v>10</x:v>
      </x:c>
      <x:c r="K742" s="2" t="n">
        <x:v>8</x:v>
      </x:c>
      <x:c r="L742" s="2" t="n">
        <x:v>1050</x:v>
      </x:c>
      <x:c r="M742" s="2" t="n">
        <x:v>362</x:v>
      </x:c>
      <x:c r="N742" s="2" t="n">
        <x:v>210</x:v>
      </x:c>
      <x:c r="O742" s="2" t="str">
        <x:v>R15 12x4 Ø10/bank;37.70cm² szabad felület. Légút és hőpróba szükséges.</x:v>
      </x:c>
    </x:row>
    <x:row r="743" ht="34" customHeight="1">
      <x:c r="A743" s="2" t="str">
        <x:v>H0738</x:v>
      </x:c>
      <x:c r="B743" s="2" t="str">
        <x:v>KI12-TV02H2-01</x:v>
      </x:c>
      <x:c r="C743" s="2" t="str">
        <x:v>AV_SZELLOZO</x:v>
      </x:c>
      <x:c r="D743" s="2" t="n">
        <x:v>446</x:v>
      </x:c>
      <x:c r="E743" s="2" t="n">
        <x:v>41</x:v>
      </x:c>
      <x:c r="F743" s="2" t="n">
        <x:v>0</x:v>
      </x:c>
      <x:c r="G743" s="2" t="n">
        <x:v>0</x:v>
      </x:c>
      <x:c r="H743" s="2" t="n">
        <x:v>0</x:v>
      </x:c>
      <x:c r="I743" s="2" t="n">
        <x:v>-1</x:v>
      </x:c>
      <x:c r="J743" s="2" t="n">
        <x:v>10</x:v>
      </x:c>
      <x:c r="K743" s="2" t="n">
        <x:v>8</x:v>
      </x:c>
      <x:c r="L743" s="2" t="n">
        <x:v>1065</x:v>
      </x:c>
      <x:c r="M743" s="2" t="n">
        <x:v>362</x:v>
      </x:c>
      <x:c r="N743" s="2" t="n">
        <x:v>210</x:v>
      </x:c>
      <x:c r="O743" s="2" t="str">
        <x:v>R15 12x4 Ø10/bank;37.70cm² szabad felület. Légút és hőpróba szükséges.</x:v>
      </x:c>
    </x:row>
    <x:row r="744" ht="34" customHeight="1">
      <x:c r="A744" s="2" t="str">
        <x:v>H0739</x:v>
      </x:c>
      <x:c r="B744" s="2" t="str">
        <x:v>KI12-TV02H2-01</x:v>
      </x:c>
      <x:c r="C744" s="2" t="str">
        <x:v>AV_SZELLOZO</x:v>
      </x:c>
      <x:c r="D744" s="2" t="n">
        <x:v>431</x:v>
      </x:c>
      <x:c r="E744" s="2" t="n">
        <x:v>41</x:v>
      </x:c>
      <x:c r="F744" s="2" t="n">
        <x:v>0</x:v>
      </x:c>
      <x:c r="G744" s="2" t="n">
        <x:v>0</x:v>
      </x:c>
      <x:c r="H744" s="2" t="n">
        <x:v>0</x:v>
      </x:c>
      <x:c r="I744" s="2" t="n">
        <x:v>-1</x:v>
      </x:c>
      <x:c r="J744" s="2" t="n">
        <x:v>10</x:v>
      </x:c>
      <x:c r="K744" s="2" t="n">
        <x:v>8</x:v>
      </x:c>
      <x:c r="L744" s="2" t="n">
        <x:v>1080</x:v>
      </x:c>
      <x:c r="M744" s="2" t="n">
        <x:v>362</x:v>
      </x:c>
      <x:c r="N744" s="2" t="n">
        <x:v>210</x:v>
      </x:c>
      <x:c r="O744" s="2" t="str">
        <x:v>R15 12x4 Ø10/bank;37.70cm² szabad felület. Légút és hőpróba szükséges.</x:v>
      </x:c>
    </x:row>
    <x:row r="745" ht="34" customHeight="1">
      <x:c r="A745" s="2" t="str">
        <x:v>H0740</x:v>
      </x:c>
      <x:c r="B745" s="2" t="str">
        <x:v>KI12-TV02H2-01</x:v>
      </x:c>
      <x:c r="C745" s="2" t="str">
        <x:v>AV_SZELLOZO</x:v>
      </x:c>
      <x:c r="D745" s="2" t="n">
        <x:v>416</x:v>
      </x:c>
      <x:c r="E745" s="2" t="n">
        <x:v>41</x:v>
      </x:c>
      <x:c r="F745" s="2" t="n">
        <x:v>0</x:v>
      </x:c>
      <x:c r="G745" s="2" t="n">
        <x:v>0</x:v>
      </x:c>
      <x:c r="H745" s="2" t="n">
        <x:v>0</x:v>
      </x:c>
      <x:c r="I745" s="2" t="n">
        <x:v>-1</x:v>
      </x:c>
      <x:c r="J745" s="2" t="n">
        <x:v>10</x:v>
      </x:c>
      <x:c r="K745" s="2" t="n">
        <x:v>8</x:v>
      </x:c>
      <x:c r="L745" s="2" t="n">
        <x:v>1095</x:v>
      </x:c>
      <x:c r="M745" s="2" t="n">
        <x:v>362</x:v>
      </x:c>
      <x:c r="N745" s="2" t="n">
        <x:v>210</x:v>
      </x:c>
      <x:c r="O745" s="2" t="str">
        <x:v>R15 12x4 Ø10/bank;37.70cm² szabad felület. Légút és hőpróba szükséges.</x:v>
      </x:c>
    </x:row>
    <x:row r="746" ht="34" customHeight="1">
      <x:c r="A746" s="2" t="str">
        <x:v>H0741</x:v>
      </x:c>
      <x:c r="B746" s="2" t="str">
        <x:v>KI12-TV02H2-01</x:v>
      </x:c>
      <x:c r="C746" s="2" t="str">
        <x:v>AV_SZELLOZO</x:v>
      </x:c>
      <x:c r="D746" s="2" t="n">
        <x:v>401</x:v>
      </x:c>
      <x:c r="E746" s="2" t="n">
        <x:v>41</x:v>
      </x:c>
      <x:c r="F746" s="2" t="n">
        <x:v>0</x:v>
      </x:c>
      <x:c r="G746" s="2" t="n">
        <x:v>0</x:v>
      </x:c>
      <x:c r="H746" s="2" t="n">
        <x:v>0</x:v>
      </x:c>
      <x:c r="I746" s="2" t="n">
        <x:v>-1</x:v>
      </x:c>
      <x:c r="J746" s="2" t="n">
        <x:v>10</x:v>
      </x:c>
      <x:c r="K746" s="2" t="n">
        <x:v>8</x:v>
      </x:c>
      <x:c r="L746" s="2" t="n">
        <x:v>1110</x:v>
      </x:c>
      <x:c r="M746" s="2" t="n">
        <x:v>362</x:v>
      </x:c>
      <x:c r="N746" s="2" t="n">
        <x:v>210</x:v>
      </x:c>
      <x:c r="O746" s="2" t="str">
        <x:v>R15 12x4 Ø10/bank;37.70cm² szabad felület. Légút és hőpróba szükséges.</x:v>
      </x:c>
    </x:row>
    <x:row r="747" ht="34" customHeight="1">
      <x:c r="A747" s="2" t="str">
        <x:v>H0742</x:v>
      </x:c>
      <x:c r="B747" s="2" t="str">
        <x:v>KI12-TV02H2-01</x:v>
      </x:c>
      <x:c r="C747" s="2" t="str">
        <x:v>AV_SZELLOZO</x:v>
      </x:c>
      <x:c r="D747" s="2" t="n">
        <x:v>386</x:v>
      </x:c>
      <x:c r="E747" s="2" t="n">
        <x:v>41</x:v>
      </x:c>
      <x:c r="F747" s="2" t="n">
        <x:v>0</x:v>
      </x:c>
      <x:c r="G747" s="2" t="n">
        <x:v>0</x:v>
      </x:c>
      <x:c r="H747" s="2" t="n">
        <x:v>0</x:v>
      </x:c>
      <x:c r="I747" s="2" t="n">
        <x:v>-1</x:v>
      </x:c>
      <x:c r="J747" s="2" t="n">
        <x:v>10</x:v>
      </x:c>
      <x:c r="K747" s="2" t="n">
        <x:v>8</x:v>
      </x:c>
      <x:c r="L747" s="2" t="n">
        <x:v>1125</x:v>
      </x:c>
      <x:c r="M747" s="2" t="n">
        <x:v>362</x:v>
      </x:c>
      <x:c r="N747" s="2" t="n">
        <x:v>210</x:v>
      </x:c>
      <x:c r="O747" s="2" t="str">
        <x:v>R15 12x4 Ø10/bank;37.70cm² szabad felület. Légút és hőpróba szükséges.</x:v>
      </x:c>
    </x:row>
    <x:row r="748" ht="34" customHeight="1">
      <x:c r="A748" s="2" t="str">
        <x:v>H0743</x:v>
      </x:c>
      <x:c r="B748" s="2" t="str">
        <x:v>KI12-TV02H2-01</x:v>
      </x:c>
      <x:c r="C748" s="2" t="str">
        <x:v>AV_SZELLOZO</x:v>
      </x:c>
      <x:c r="D748" s="2" t="n">
        <x:v>371</x:v>
      </x:c>
      <x:c r="E748" s="2" t="n">
        <x:v>41</x:v>
      </x:c>
      <x:c r="F748" s="2" t="n">
        <x:v>0</x:v>
      </x:c>
      <x:c r="G748" s="2" t="n">
        <x:v>0</x:v>
      </x:c>
      <x:c r="H748" s="2" t="n">
        <x:v>0</x:v>
      </x:c>
      <x:c r="I748" s="2" t="n">
        <x:v>-1</x:v>
      </x:c>
      <x:c r="J748" s="2" t="n">
        <x:v>10</x:v>
      </x:c>
      <x:c r="K748" s="2" t="n">
        <x:v>8</x:v>
      </x:c>
      <x:c r="L748" s="2" t="n">
        <x:v>1140</x:v>
      </x:c>
      <x:c r="M748" s="2" t="n">
        <x:v>362</x:v>
      </x:c>
      <x:c r="N748" s="2" t="n">
        <x:v>210</x:v>
      </x:c>
      <x:c r="O748" s="2" t="str">
        <x:v>R15 12x4 Ø10/bank;37.70cm² szabad felület. Légút és hőpróba szükséges.</x:v>
      </x:c>
    </x:row>
    <x:row r="749" ht="34" customHeight="1">
      <x:c r="A749" s="2" t="str">
        <x:v>H0744</x:v>
      </x:c>
      <x:c r="B749" s="2" t="str">
        <x:v>KI12-TV02H2-01</x:v>
      </x:c>
      <x:c r="C749" s="2" t="str">
        <x:v>AV_SZELLOZO</x:v>
      </x:c>
      <x:c r="D749" s="2" t="n">
        <x:v>356</x:v>
      </x:c>
      <x:c r="E749" s="2" t="n">
        <x:v>41</x:v>
      </x:c>
      <x:c r="F749" s="2" t="n">
        <x:v>0</x:v>
      </x:c>
      <x:c r="G749" s="2" t="n">
        <x:v>0</x:v>
      </x:c>
      <x:c r="H749" s="2" t="n">
        <x:v>0</x:v>
      </x:c>
      <x:c r="I749" s="2" t="n">
        <x:v>-1</x:v>
      </x:c>
      <x:c r="J749" s="2" t="n">
        <x:v>10</x:v>
      </x:c>
      <x:c r="K749" s="2" t="n">
        <x:v>8</x:v>
      </x:c>
      <x:c r="L749" s="2" t="n">
        <x:v>1155</x:v>
      </x:c>
      <x:c r="M749" s="2" t="n">
        <x:v>362</x:v>
      </x:c>
      <x:c r="N749" s="2" t="n">
        <x:v>210</x:v>
      </x:c>
      <x:c r="O749" s="2" t="str">
        <x:v>R15 12x4 Ø10/bank;37.70cm² szabad felület. Légút és hőpróba szükséges.</x:v>
      </x:c>
    </x:row>
    <x:row r="750" ht="34" customHeight="1">
      <x:c r="A750" s="2" t="str">
        <x:v>H0745</x:v>
      </x:c>
      <x:c r="B750" s="2" t="str">
        <x:v>KI12-TV02H2-01</x:v>
      </x:c>
      <x:c r="C750" s="2" t="str">
        <x:v>AV_SZELLOZO</x:v>
      </x:c>
      <x:c r="D750" s="2" t="n">
        <x:v>341</x:v>
      </x:c>
      <x:c r="E750" s="2" t="n">
        <x:v>41</x:v>
      </x:c>
      <x:c r="F750" s="2" t="n">
        <x:v>0</x:v>
      </x:c>
      <x:c r="G750" s="2" t="n">
        <x:v>0</x:v>
      </x:c>
      <x:c r="H750" s="2" t="n">
        <x:v>0</x:v>
      </x:c>
      <x:c r="I750" s="2" t="n">
        <x:v>-1</x:v>
      </x:c>
      <x:c r="J750" s="2" t="n">
        <x:v>10</x:v>
      </x:c>
      <x:c r="K750" s="2" t="n">
        <x:v>8</x:v>
      </x:c>
      <x:c r="L750" s="2" t="n">
        <x:v>1170</x:v>
      </x:c>
      <x:c r="M750" s="2" t="n">
        <x:v>362</x:v>
      </x:c>
      <x:c r="N750" s="2" t="n">
        <x:v>210</x:v>
      </x:c>
      <x:c r="O750" s="2" t="str">
        <x:v>R15 12x4 Ø10/bank;37.70cm² szabad felület. Légút és hőpróba szükséges.</x:v>
      </x:c>
    </x:row>
    <x:row r="751" ht="34" customHeight="1">
      <x:c r="A751" s="2" t="str">
        <x:v>H0746</x:v>
      </x:c>
      <x:c r="B751" s="2" t="str">
        <x:v>KI12-TV02H2-01</x:v>
      </x:c>
      <x:c r="C751" s="2" t="str">
        <x:v>AV_SZELLOZO</x:v>
      </x:c>
      <x:c r="D751" s="2" t="n">
        <x:v>326</x:v>
      </x:c>
      <x:c r="E751" s="2" t="n">
        <x:v>41</x:v>
      </x:c>
      <x:c r="F751" s="2" t="n">
        <x:v>0</x:v>
      </x:c>
      <x:c r="G751" s="2" t="n">
        <x:v>0</x:v>
      </x:c>
      <x:c r="H751" s="2" t="n">
        <x:v>0</x:v>
      </x:c>
      <x:c r="I751" s="2" t="n">
        <x:v>-1</x:v>
      </x:c>
      <x:c r="J751" s="2" t="n">
        <x:v>10</x:v>
      </x:c>
      <x:c r="K751" s="2" t="n">
        <x:v>8</x:v>
      </x:c>
      <x:c r="L751" s="2" t="n">
        <x:v>1185</x:v>
      </x:c>
      <x:c r="M751" s="2" t="n">
        <x:v>362</x:v>
      </x:c>
      <x:c r="N751" s="2" t="n">
        <x:v>210</x:v>
      </x:c>
      <x:c r="O751" s="2" t="str">
        <x:v>R15 12x4 Ø10/bank;37.70cm² szabad felület. Légút és hőpróba szükséges.</x:v>
      </x:c>
    </x:row>
    <x:row r="752" ht="34" customHeight="1">
      <x:c r="A752" s="2" t="str">
        <x:v>H0747</x:v>
      </x:c>
      <x:c r="B752" s="2" t="str">
        <x:v>KI12-TV02H2-01</x:v>
      </x:c>
      <x:c r="C752" s="2" t="str">
        <x:v>AV_SZELLOZO</x:v>
      </x:c>
      <x:c r="D752" s="2" t="n">
        <x:v>311</x:v>
      </x:c>
      <x:c r="E752" s="2" t="n">
        <x:v>41</x:v>
      </x:c>
      <x:c r="F752" s="2" t="n">
        <x:v>0</x:v>
      </x:c>
      <x:c r="G752" s="2" t="n">
        <x:v>0</x:v>
      </x:c>
      <x:c r="H752" s="2" t="n">
        <x:v>0</x:v>
      </x:c>
      <x:c r="I752" s="2" t="n">
        <x:v>-1</x:v>
      </x:c>
      <x:c r="J752" s="2" t="n">
        <x:v>10</x:v>
      </x:c>
      <x:c r="K752" s="2" t="n">
        <x:v>8</x:v>
      </x:c>
      <x:c r="L752" s="2" t="n">
        <x:v>1200</x:v>
      </x:c>
      <x:c r="M752" s="2" t="n">
        <x:v>362</x:v>
      </x:c>
      <x:c r="N752" s="2" t="n">
        <x:v>210</x:v>
      </x:c>
      <x:c r="O752" s="2" t="str">
        <x:v>R15 12x4 Ø10/bank;37.70cm² szabad felület. Légút és hőpróba szükséges.</x:v>
      </x:c>
    </x:row>
    <x:row r="753" ht="34" customHeight="1">
      <x:c r="A753" s="2" t="str">
        <x:v>H0748</x:v>
      </x:c>
      <x:c r="B753" s="2" t="str">
        <x:v>KI12-TV02H2-01</x:v>
      </x:c>
      <x:c r="C753" s="2" t="str">
        <x:v>AV_SZELLOZO</x:v>
      </x:c>
      <x:c r="D753" s="2" t="n">
        <x:v>476</x:v>
      </x:c>
      <x:c r="E753" s="2" t="n">
        <x:v>56</x:v>
      </x:c>
      <x:c r="F753" s="2" t="n">
        <x:v>0</x:v>
      </x:c>
      <x:c r="G753" s="2" t="n">
        <x:v>0</x:v>
      </x:c>
      <x:c r="H753" s="2" t="n">
        <x:v>0</x:v>
      </x:c>
      <x:c r="I753" s="2" t="n">
        <x:v>-1</x:v>
      </x:c>
      <x:c r="J753" s="2" t="n">
        <x:v>10</x:v>
      </x:c>
      <x:c r="K753" s="2" t="n">
        <x:v>8</x:v>
      </x:c>
      <x:c r="L753" s="2" t="n">
        <x:v>1035</x:v>
      </x:c>
      <x:c r="M753" s="2" t="n">
        <x:v>362</x:v>
      </x:c>
      <x:c r="N753" s="2" t="n">
        <x:v>225</x:v>
      </x:c>
      <x:c r="O753" s="2" t="str">
        <x:v>R15 12x4 Ø10/bank;37.70cm² szabad felület. Légút és hőpróba szükséges.</x:v>
      </x:c>
    </x:row>
    <x:row r="754" ht="34" customHeight="1">
      <x:c r="A754" s="2" t="str">
        <x:v>H0749</x:v>
      </x:c>
      <x:c r="B754" s="2" t="str">
        <x:v>KI12-TV02H2-01</x:v>
      </x:c>
      <x:c r="C754" s="2" t="str">
        <x:v>AV_SZELLOZO</x:v>
      </x:c>
      <x:c r="D754" s="2" t="n">
        <x:v>461</x:v>
      </x:c>
      <x:c r="E754" s="2" t="n">
        <x:v>56</x:v>
      </x:c>
      <x:c r="F754" s="2" t="n">
        <x:v>0</x:v>
      </x:c>
      <x:c r="G754" s="2" t="n">
        <x:v>0</x:v>
      </x:c>
      <x:c r="H754" s="2" t="n">
        <x:v>0</x:v>
      </x:c>
      <x:c r="I754" s="2" t="n">
        <x:v>-1</x:v>
      </x:c>
      <x:c r="J754" s="2" t="n">
        <x:v>10</x:v>
      </x:c>
      <x:c r="K754" s="2" t="n">
        <x:v>8</x:v>
      </x:c>
      <x:c r="L754" s="2" t="n">
        <x:v>1050</x:v>
      </x:c>
      <x:c r="M754" s="2" t="n">
        <x:v>362</x:v>
      </x:c>
      <x:c r="N754" s="2" t="n">
        <x:v>225</x:v>
      </x:c>
      <x:c r="O754" s="2" t="str">
        <x:v>R15 12x4 Ø10/bank;37.70cm² szabad felület. Légút és hőpróba szükséges.</x:v>
      </x:c>
    </x:row>
    <x:row r="755" ht="34" customHeight="1">
      <x:c r="A755" s="2" t="str">
        <x:v>H0750</x:v>
      </x:c>
      <x:c r="B755" s="2" t="str">
        <x:v>KI12-TV02H2-01</x:v>
      </x:c>
      <x:c r="C755" s="2" t="str">
        <x:v>AV_SZELLOZO</x:v>
      </x:c>
      <x:c r="D755" s="2" t="n">
        <x:v>446</x:v>
      </x:c>
      <x:c r="E755" s="2" t="n">
        <x:v>56</x:v>
      </x:c>
      <x:c r="F755" s="2" t="n">
        <x:v>0</x:v>
      </x:c>
      <x:c r="G755" s="2" t="n">
        <x:v>0</x:v>
      </x:c>
      <x:c r="H755" s="2" t="n">
        <x:v>0</x:v>
      </x:c>
      <x:c r="I755" s="2" t="n">
        <x:v>-1</x:v>
      </x:c>
      <x:c r="J755" s="2" t="n">
        <x:v>10</x:v>
      </x:c>
      <x:c r="K755" s="2" t="n">
        <x:v>8</x:v>
      </x:c>
      <x:c r="L755" s="2" t="n">
        <x:v>1065</x:v>
      </x:c>
      <x:c r="M755" s="2" t="n">
        <x:v>362</x:v>
      </x:c>
      <x:c r="N755" s="2" t="n">
        <x:v>225</x:v>
      </x:c>
      <x:c r="O755" s="2" t="str">
        <x:v>R15 12x4 Ø10/bank;37.70cm² szabad felület. Légút és hőpróba szükséges.</x:v>
      </x:c>
    </x:row>
    <x:row r="756" ht="34" customHeight="1">
      <x:c r="A756" s="2" t="str">
        <x:v>H0751</x:v>
      </x:c>
      <x:c r="B756" s="2" t="str">
        <x:v>KI12-TV02H2-01</x:v>
      </x:c>
      <x:c r="C756" s="2" t="str">
        <x:v>AV_SZELLOZO</x:v>
      </x:c>
      <x:c r="D756" s="2" t="n">
        <x:v>431</x:v>
      </x:c>
      <x:c r="E756" s="2" t="n">
        <x:v>56</x:v>
      </x:c>
      <x:c r="F756" s="2" t="n">
        <x:v>0</x:v>
      </x:c>
      <x:c r="G756" s="2" t="n">
        <x:v>0</x:v>
      </x:c>
      <x:c r="H756" s="2" t="n">
        <x:v>0</x:v>
      </x:c>
      <x:c r="I756" s="2" t="n">
        <x:v>-1</x:v>
      </x:c>
      <x:c r="J756" s="2" t="n">
        <x:v>10</x:v>
      </x:c>
      <x:c r="K756" s="2" t="n">
        <x:v>8</x:v>
      </x:c>
      <x:c r="L756" s="2" t="n">
        <x:v>1080</x:v>
      </x:c>
      <x:c r="M756" s="2" t="n">
        <x:v>362</x:v>
      </x:c>
      <x:c r="N756" s="2" t="n">
        <x:v>225</x:v>
      </x:c>
      <x:c r="O756" s="2" t="str">
        <x:v>R15 12x4 Ø10/bank;37.70cm² szabad felület. Légút és hőpróba szükséges.</x:v>
      </x:c>
    </x:row>
    <x:row r="757" ht="34" customHeight="1">
      <x:c r="A757" s="2" t="str">
        <x:v>H0752</x:v>
      </x:c>
      <x:c r="B757" s="2" t="str">
        <x:v>KI12-TV02H2-01</x:v>
      </x:c>
      <x:c r="C757" s="2" t="str">
        <x:v>AV_SZELLOZO</x:v>
      </x:c>
      <x:c r="D757" s="2" t="n">
        <x:v>416</x:v>
      </x:c>
      <x:c r="E757" s="2" t="n">
        <x:v>56</x:v>
      </x:c>
      <x:c r="F757" s="2" t="n">
        <x:v>0</x:v>
      </x:c>
      <x:c r="G757" s="2" t="n">
        <x:v>0</x:v>
      </x:c>
      <x:c r="H757" s="2" t="n">
        <x:v>0</x:v>
      </x:c>
      <x:c r="I757" s="2" t="n">
        <x:v>-1</x:v>
      </x:c>
      <x:c r="J757" s="2" t="n">
        <x:v>10</x:v>
      </x:c>
      <x:c r="K757" s="2" t="n">
        <x:v>8</x:v>
      </x:c>
      <x:c r="L757" s="2" t="n">
        <x:v>1095</x:v>
      </x:c>
      <x:c r="M757" s="2" t="n">
        <x:v>362</x:v>
      </x:c>
      <x:c r="N757" s="2" t="n">
        <x:v>225</x:v>
      </x:c>
      <x:c r="O757" s="2" t="str">
        <x:v>R15 12x4 Ø10/bank;37.70cm² szabad felület. Légút és hőpróba szükséges.</x:v>
      </x:c>
    </x:row>
    <x:row r="758" ht="34" customHeight="1">
      <x:c r="A758" s="2" t="str">
        <x:v>H0753</x:v>
      </x:c>
      <x:c r="B758" s="2" t="str">
        <x:v>KI12-TV02H2-01</x:v>
      </x:c>
      <x:c r="C758" s="2" t="str">
        <x:v>AV_SZELLOZO</x:v>
      </x:c>
      <x:c r="D758" s="2" t="n">
        <x:v>401</x:v>
      </x:c>
      <x:c r="E758" s="2" t="n">
        <x:v>56</x:v>
      </x:c>
      <x:c r="F758" s="2" t="n">
        <x:v>0</x:v>
      </x:c>
      <x:c r="G758" s="2" t="n">
        <x:v>0</x:v>
      </x:c>
      <x:c r="H758" s="2" t="n">
        <x:v>0</x:v>
      </x:c>
      <x:c r="I758" s="2" t="n">
        <x:v>-1</x:v>
      </x:c>
      <x:c r="J758" s="2" t="n">
        <x:v>10</x:v>
      </x:c>
      <x:c r="K758" s="2" t="n">
        <x:v>8</x:v>
      </x:c>
      <x:c r="L758" s="2" t="n">
        <x:v>1110</x:v>
      </x:c>
      <x:c r="M758" s="2" t="n">
        <x:v>362</x:v>
      </x:c>
      <x:c r="N758" s="2" t="n">
        <x:v>225</x:v>
      </x:c>
      <x:c r="O758" s="2" t="str">
        <x:v>R15 12x4 Ø10/bank;37.70cm² szabad felület. Légút és hőpróba szükséges.</x:v>
      </x:c>
    </x:row>
    <x:row r="759" ht="34" customHeight="1">
      <x:c r="A759" s="2" t="str">
        <x:v>H0754</x:v>
      </x:c>
      <x:c r="B759" s="2" t="str">
        <x:v>KI12-TV02H2-01</x:v>
      </x:c>
      <x:c r="C759" s="2" t="str">
        <x:v>AV_SZELLOZO</x:v>
      </x:c>
      <x:c r="D759" s="2" t="n">
        <x:v>386</x:v>
      </x:c>
      <x:c r="E759" s="2" t="n">
        <x:v>56</x:v>
      </x:c>
      <x:c r="F759" s="2" t="n">
        <x:v>0</x:v>
      </x:c>
      <x:c r="G759" s="2" t="n">
        <x:v>0</x:v>
      </x:c>
      <x:c r="H759" s="2" t="n">
        <x:v>0</x:v>
      </x:c>
      <x:c r="I759" s="2" t="n">
        <x:v>-1</x:v>
      </x:c>
      <x:c r="J759" s="2" t="n">
        <x:v>10</x:v>
      </x:c>
      <x:c r="K759" s="2" t="n">
        <x:v>8</x:v>
      </x:c>
      <x:c r="L759" s="2" t="n">
        <x:v>1125</x:v>
      </x:c>
      <x:c r="M759" s="2" t="n">
        <x:v>362</x:v>
      </x:c>
      <x:c r="N759" s="2" t="n">
        <x:v>225</x:v>
      </x:c>
      <x:c r="O759" s="2" t="str">
        <x:v>R15 12x4 Ø10/bank;37.70cm² szabad felület. Légút és hőpróba szükséges.</x:v>
      </x:c>
    </x:row>
    <x:row r="760" ht="34" customHeight="1">
      <x:c r="A760" s="2" t="str">
        <x:v>H0755</x:v>
      </x:c>
      <x:c r="B760" s="2" t="str">
        <x:v>KI12-TV02H2-01</x:v>
      </x:c>
      <x:c r="C760" s="2" t="str">
        <x:v>AV_SZELLOZO</x:v>
      </x:c>
      <x:c r="D760" s="2" t="n">
        <x:v>371</x:v>
      </x:c>
      <x:c r="E760" s="2" t="n">
        <x:v>56</x:v>
      </x:c>
      <x:c r="F760" s="2" t="n">
        <x:v>0</x:v>
      </x:c>
      <x:c r="G760" s="2" t="n">
        <x:v>0</x:v>
      </x:c>
      <x:c r="H760" s="2" t="n">
        <x:v>0</x:v>
      </x:c>
      <x:c r="I760" s="2" t="n">
        <x:v>-1</x:v>
      </x:c>
      <x:c r="J760" s="2" t="n">
        <x:v>10</x:v>
      </x:c>
      <x:c r="K760" s="2" t="n">
        <x:v>8</x:v>
      </x:c>
      <x:c r="L760" s="2" t="n">
        <x:v>1140</x:v>
      </x:c>
      <x:c r="M760" s="2" t="n">
        <x:v>362</x:v>
      </x:c>
      <x:c r="N760" s="2" t="n">
        <x:v>225</x:v>
      </x:c>
      <x:c r="O760" s="2" t="str">
        <x:v>R15 12x4 Ø10/bank;37.70cm² szabad felület. Légút és hőpróba szükséges.</x:v>
      </x:c>
    </x:row>
    <x:row r="761" ht="34" customHeight="1">
      <x:c r="A761" s="2" t="str">
        <x:v>H0756</x:v>
      </x:c>
      <x:c r="B761" s="2" t="str">
        <x:v>KI12-TV02H2-01</x:v>
      </x:c>
      <x:c r="C761" s="2" t="str">
        <x:v>AV_SZELLOZO</x:v>
      </x:c>
      <x:c r="D761" s="2" t="n">
        <x:v>356</x:v>
      </x:c>
      <x:c r="E761" s="2" t="n">
        <x:v>56</x:v>
      </x:c>
      <x:c r="F761" s="2" t="n">
        <x:v>0</x:v>
      </x:c>
      <x:c r="G761" s="2" t="n">
        <x:v>0</x:v>
      </x:c>
      <x:c r="H761" s="2" t="n">
        <x:v>0</x:v>
      </x:c>
      <x:c r="I761" s="2" t="n">
        <x:v>-1</x:v>
      </x:c>
      <x:c r="J761" s="2" t="n">
        <x:v>10</x:v>
      </x:c>
      <x:c r="K761" s="2" t="n">
        <x:v>8</x:v>
      </x:c>
      <x:c r="L761" s="2" t="n">
        <x:v>1155</x:v>
      </x:c>
      <x:c r="M761" s="2" t="n">
        <x:v>362</x:v>
      </x:c>
      <x:c r="N761" s="2" t="n">
        <x:v>225</x:v>
      </x:c>
      <x:c r="O761" s="2" t="str">
        <x:v>R15 12x4 Ø10/bank;37.70cm² szabad felület. Légút és hőpróba szükséges.</x:v>
      </x:c>
    </x:row>
    <x:row r="762" ht="34" customHeight="1">
      <x:c r="A762" s="2" t="str">
        <x:v>H0757</x:v>
      </x:c>
      <x:c r="B762" s="2" t="str">
        <x:v>KI12-TV02H2-01</x:v>
      </x:c>
      <x:c r="C762" s="2" t="str">
        <x:v>AV_SZELLOZO</x:v>
      </x:c>
      <x:c r="D762" s="2" t="n">
        <x:v>341</x:v>
      </x:c>
      <x:c r="E762" s="2" t="n">
        <x:v>56</x:v>
      </x:c>
      <x:c r="F762" s="2" t="n">
        <x:v>0</x:v>
      </x:c>
      <x:c r="G762" s="2" t="n">
        <x:v>0</x:v>
      </x:c>
      <x:c r="H762" s="2" t="n">
        <x:v>0</x:v>
      </x:c>
      <x:c r="I762" s="2" t="n">
        <x:v>-1</x:v>
      </x:c>
      <x:c r="J762" s="2" t="n">
        <x:v>10</x:v>
      </x:c>
      <x:c r="K762" s="2" t="n">
        <x:v>8</x:v>
      </x:c>
      <x:c r="L762" s="2" t="n">
        <x:v>1170</x:v>
      </x:c>
      <x:c r="M762" s="2" t="n">
        <x:v>362</x:v>
      </x:c>
      <x:c r="N762" s="2" t="n">
        <x:v>225</x:v>
      </x:c>
      <x:c r="O762" s="2" t="str">
        <x:v>R15 12x4 Ø10/bank;37.70cm² szabad felület. Légút és hőpróba szükséges.</x:v>
      </x:c>
    </x:row>
    <x:row r="763" ht="34" customHeight="1">
      <x:c r="A763" s="2" t="str">
        <x:v>H0758</x:v>
      </x:c>
      <x:c r="B763" s="2" t="str">
        <x:v>KI12-TV02H2-01</x:v>
      </x:c>
      <x:c r="C763" s="2" t="str">
        <x:v>AV_SZELLOZO</x:v>
      </x:c>
      <x:c r="D763" s="2" t="n">
        <x:v>326</x:v>
      </x:c>
      <x:c r="E763" s="2" t="n">
        <x:v>56</x:v>
      </x:c>
      <x:c r="F763" s="2" t="n">
        <x:v>0</x:v>
      </x:c>
      <x:c r="G763" s="2" t="n">
        <x:v>0</x:v>
      </x:c>
      <x:c r="H763" s="2" t="n">
        <x:v>0</x:v>
      </x:c>
      <x:c r="I763" s="2" t="n">
        <x:v>-1</x:v>
      </x:c>
      <x:c r="J763" s="2" t="n">
        <x:v>10</x:v>
      </x:c>
      <x:c r="K763" s="2" t="n">
        <x:v>8</x:v>
      </x:c>
      <x:c r="L763" s="2" t="n">
        <x:v>1185</x:v>
      </x:c>
      <x:c r="M763" s="2" t="n">
        <x:v>362</x:v>
      </x:c>
      <x:c r="N763" s="2" t="n">
        <x:v>225</x:v>
      </x:c>
      <x:c r="O763" s="2" t="str">
        <x:v>R15 12x4 Ø10/bank;37.70cm² szabad felület. Légút és hőpróba szükséges.</x:v>
      </x:c>
    </x:row>
    <x:row r="764" ht="34" customHeight="1">
      <x:c r="A764" s="2" t="str">
        <x:v>H0759</x:v>
      </x:c>
      <x:c r="B764" s="2" t="str">
        <x:v>KI12-TV02H2-01</x:v>
      </x:c>
      <x:c r="C764" s="2" t="str">
        <x:v>AV_SZELLOZO</x:v>
      </x:c>
      <x:c r="D764" s="2" t="n">
        <x:v>311</x:v>
      </x:c>
      <x:c r="E764" s="2" t="n">
        <x:v>56</x:v>
      </x:c>
      <x:c r="F764" s="2" t="n">
        <x:v>0</x:v>
      </x:c>
      <x:c r="G764" s="2" t="n">
        <x:v>0</x:v>
      </x:c>
      <x:c r="H764" s="2" t="n">
        <x:v>0</x:v>
      </x:c>
      <x:c r="I764" s="2" t="n">
        <x:v>-1</x:v>
      </x:c>
      <x:c r="J764" s="2" t="n">
        <x:v>10</x:v>
      </x:c>
      <x:c r="K764" s="2" t="n">
        <x:v>8</x:v>
      </x:c>
      <x:c r="L764" s="2" t="n">
        <x:v>1200</x:v>
      </x:c>
      <x:c r="M764" s="2" t="n">
        <x:v>362</x:v>
      </x:c>
      <x:c r="N764" s="2" t="n">
        <x:v>225</x:v>
      </x:c>
      <x:c r="O764" s="2" t="str">
        <x:v>R15 12x4 Ø10/bank;37.70cm² szabad felület. Légút és hőpróba szükséges.</x:v>
      </x:c>
    </x:row>
    <x:row r="765" ht="34" customHeight="1">
      <x:c r="A765" s="2" t="str">
        <x:v>H0760</x:v>
      </x:c>
      <x:c r="B765" s="2" t="str">
        <x:v>KI12-TV02H2-01</x:v>
      </x:c>
      <x:c r="C765" s="2" t="str">
        <x:v>AV_SZELLOZO</x:v>
      </x:c>
      <x:c r="D765" s="2" t="n">
        <x:v>476</x:v>
      </x:c>
      <x:c r="E765" s="2" t="n">
        <x:v>71</x:v>
      </x:c>
      <x:c r="F765" s="2" t="n">
        <x:v>0</x:v>
      </x:c>
      <x:c r="G765" s="2" t="n">
        <x:v>0</x:v>
      </x:c>
      <x:c r="H765" s="2" t="n">
        <x:v>0</x:v>
      </x:c>
      <x:c r="I765" s="2" t="n">
        <x:v>-1</x:v>
      </x:c>
      <x:c r="J765" s="2" t="n">
        <x:v>10</x:v>
      </x:c>
      <x:c r="K765" s="2" t="n">
        <x:v>8</x:v>
      </x:c>
      <x:c r="L765" s="2" t="n">
        <x:v>1035</x:v>
      </x:c>
      <x:c r="M765" s="2" t="n">
        <x:v>362</x:v>
      </x:c>
      <x:c r="N765" s="2" t="n">
        <x:v>240</x:v>
      </x:c>
      <x:c r="O765" s="2" t="str">
        <x:v>R15 12x4 Ø10/bank;37.70cm² szabad felület. Légút és hőpróba szükséges.</x:v>
      </x:c>
    </x:row>
    <x:row r="766" ht="34" customHeight="1">
      <x:c r="A766" s="2" t="str">
        <x:v>H0761</x:v>
      </x:c>
      <x:c r="B766" s="2" t="str">
        <x:v>KI12-TV02H2-01</x:v>
      </x:c>
      <x:c r="C766" s="2" t="str">
        <x:v>AV_SZELLOZO</x:v>
      </x:c>
      <x:c r="D766" s="2" t="n">
        <x:v>461</x:v>
      </x:c>
      <x:c r="E766" s="2" t="n">
        <x:v>71</x:v>
      </x:c>
      <x:c r="F766" s="2" t="n">
        <x:v>0</x:v>
      </x:c>
      <x:c r="G766" s="2" t="n">
        <x:v>0</x:v>
      </x:c>
      <x:c r="H766" s="2" t="n">
        <x:v>0</x:v>
      </x:c>
      <x:c r="I766" s="2" t="n">
        <x:v>-1</x:v>
      </x:c>
      <x:c r="J766" s="2" t="n">
        <x:v>10</x:v>
      </x:c>
      <x:c r="K766" s="2" t="n">
        <x:v>8</x:v>
      </x:c>
      <x:c r="L766" s="2" t="n">
        <x:v>1050</x:v>
      </x:c>
      <x:c r="M766" s="2" t="n">
        <x:v>362</x:v>
      </x:c>
      <x:c r="N766" s="2" t="n">
        <x:v>240</x:v>
      </x:c>
      <x:c r="O766" s="2" t="str">
        <x:v>R15 12x4 Ø10/bank;37.70cm² szabad felület. Légút és hőpróba szükséges.</x:v>
      </x:c>
    </x:row>
    <x:row r="767" ht="34" customHeight="1">
      <x:c r="A767" s="2" t="str">
        <x:v>H0762</x:v>
      </x:c>
      <x:c r="B767" s="2" t="str">
        <x:v>KI12-TV02H2-01</x:v>
      </x:c>
      <x:c r="C767" s="2" t="str">
        <x:v>AV_SZELLOZO</x:v>
      </x:c>
      <x:c r="D767" s="2" t="n">
        <x:v>446</x:v>
      </x:c>
      <x:c r="E767" s="2" t="n">
        <x:v>71</x:v>
      </x:c>
      <x:c r="F767" s="2" t="n">
        <x:v>0</x:v>
      </x:c>
      <x:c r="G767" s="2" t="n">
        <x:v>0</x:v>
      </x:c>
      <x:c r="H767" s="2" t="n">
        <x:v>0</x:v>
      </x:c>
      <x:c r="I767" s="2" t="n">
        <x:v>-1</x:v>
      </x:c>
      <x:c r="J767" s="2" t="n">
        <x:v>10</x:v>
      </x:c>
      <x:c r="K767" s="2" t="n">
        <x:v>8</x:v>
      </x:c>
      <x:c r="L767" s="2" t="n">
        <x:v>1065</x:v>
      </x:c>
      <x:c r="M767" s="2" t="n">
        <x:v>362</x:v>
      </x:c>
      <x:c r="N767" s="2" t="n">
        <x:v>240</x:v>
      </x:c>
      <x:c r="O767" s="2" t="str">
        <x:v>R15 12x4 Ø10/bank;37.70cm² szabad felület. Légút és hőpróba szükséges.</x:v>
      </x:c>
    </x:row>
    <x:row r="768" ht="34" customHeight="1">
      <x:c r="A768" s="2" t="str">
        <x:v>H0763</x:v>
      </x:c>
      <x:c r="B768" s="2" t="str">
        <x:v>KI12-TV02H2-01</x:v>
      </x:c>
      <x:c r="C768" s="2" t="str">
        <x:v>AV_SZELLOZO</x:v>
      </x:c>
      <x:c r="D768" s="2" t="n">
        <x:v>431</x:v>
      </x:c>
      <x:c r="E768" s="2" t="n">
        <x:v>71</x:v>
      </x:c>
      <x:c r="F768" s="2" t="n">
        <x:v>0</x:v>
      </x:c>
      <x:c r="G768" s="2" t="n">
        <x:v>0</x:v>
      </x:c>
      <x:c r="H768" s="2" t="n">
        <x:v>0</x:v>
      </x:c>
      <x:c r="I768" s="2" t="n">
        <x:v>-1</x:v>
      </x:c>
      <x:c r="J768" s="2" t="n">
        <x:v>10</x:v>
      </x:c>
      <x:c r="K768" s="2" t="n">
        <x:v>8</x:v>
      </x:c>
      <x:c r="L768" s="2" t="n">
        <x:v>1080</x:v>
      </x:c>
      <x:c r="M768" s="2" t="n">
        <x:v>362</x:v>
      </x:c>
      <x:c r="N768" s="2" t="n">
        <x:v>240</x:v>
      </x:c>
      <x:c r="O768" s="2" t="str">
        <x:v>R15 12x4 Ø10/bank;37.70cm² szabad felület. Légút és hőpróba szükséges.</x:v>
      </x:c>
    </x:row>
    <x:row r="769" ht="34" customHeight="1">
      <x:c r="A769" s="2" t="str">
        <x:v>H0764</x:v>
      </x:c>
      <x:c r="B769" s="2" t="str">
        <x:v>KI12-TV02H2-01</x:v>
      </x:c>
      <x:c r="C769" s="2" t="str">
        <x:v>AV_SZELLOZO</x:v>
      </x:c>
      <x:c r="D769" s="2" t="n">
        <x:v>416</x:v>
      </x:c>
      <x:c r="E769" s="2" t="n">
        <x:v>71</x:v>
      </x:c>
      <x:c r="F769" s="2" t="n">
        <x:v>0</x:v>
      </x:c>
      <x:c r="G769" s="2" t="n">
        <x:v>0</x:v>
      </x:c>
      <x:c r="H769" s="2" t="n">
        <x:v>0</x:v>
      </x:c>
      <x:c r="I769" s="2" t="n">
        <x:v>-1</x:v>
      </x:c>
      <x:c r="J769" s="2" t="n">
        <x:v>10</x:v>
      </x:c>
      <x:c r="K769" s="2" t="n">
        <x:v>8</x:v>
      </x:c>
      <x:c r="L769" s="2" t="n">
        <x:v>1095</x:v>
      </x:c>
      <x:c r="M769" s="2" t="n">
        <x:v>362</x:v>
      </x:c>
      <x:c r="N769" s="2" t="n">
        <x:v>240</x:v>
      </x:c>
      <x:c r="O769" s="2" t="str">
        <x:v>R15 12x4 Ø10/bank;37.70cm² szabad felület. Légút és hőpróba szükséges.</x:v>
      </x:c>
    </x:row>
    <x:row r="770" ht="34" customHeight="1">
      <x:c r="A770" s="2" t="str">
        <x:v>H0765</x:v>
      </x:c>
      <x:c r="B770" s="2" t="str">
        <x:v>KI12-TV02H2-01</x:v>
      </x:c>
      <x:c r="C770" s="2" t="str">
        <x:v>AV_SZELLOZO</x:v>
      </x:c>
      <x:c r="D770" s="2" t="n">
        <x:v>401</x:v>
      </x:c>
      <x:c r="E770" s="2" t="n">
        <x:v>71</x:v>
      </x:c>
      <x:c r="F770" s="2" t="n">
        <x:v>0</x:v>
      </x:c>
      <x:c r="G770" s="2" t="n">
        <x:v>0</x:v>
      </x:c>
      <x:c r="H770" s="2" t="n">
        <x:v>0</x:v>
      </x:c>
      <x:c r="I770" s="2" t="n">
        <x:v>-1</x:v>
      </x:c>
      <x:c r="J770" s="2" t="n">
        <x:v>10</x:v>
      </x:c>
      <x:c r="K770" s="2" t="n">
        <x:v>8</x:v>
      </x:c>
      <x:c r="L770" s="2" t="n">
        <x:v>1110</x:v>
      </x:c>
      <x:c r="M770" s="2" t="n">
        <x:v>362</x:v>
      </x:c>
      <x:c r="N770" s="2" t="n">
        <x:v>240</x:v>
      </x:c>
      <x:c r="O770" s="2" t="str">
        <x:v>R15 12x4 Ø10/bank;37.70cm² szabad felület. Légút és hőpróba szükséges.</x:v>
      </x:c>
    </x:row>
    <x:row r="771" ht="34" customHeight="1">
      <x:c r="A771" s="2" t="str">
        <x:v>H0766</x:v>
      </x:c>
      <x:c r="B771" s="2" t="str">
        <x:v>KI12-TV02H2-01</x:v>
      </x:c>
      <x:c r="C771" s="2" t="str">
        <x:v>AV_SZELLOZO</x:v>
      </x:c>
      <x:c r="D771" s="2" t="n">
        <x:v>386</x:v>
      </x:c>
      <x:c r="E771" s="2" t="n">
        <x:v>71</x:v>
      </x:c>
      <x:c r="F771" s="2" t="n">
        <x:v>0</x:v>
      </x:c>
      <x:c r="G771" s="2" t="n">
        <x:v>0</x:v>
      </x:c>
      <x:c r="H771" s="2" t="n">
        <x:v>0</x:v>
      </x:c>
      <x:c r="I771" s="2" t="n">
        <x:v>-1</x:v>
      </x:c>
      <x:c r="J771" s="2" t="n">
        <x:v>10</x:v>
      </x:c>
      <x:c r="K771" s="2" t="n">
        <x:v>8</x:v>
      </x:c>
      <x:c r="L771" s="2" t="n">
        <x:v>1125</x:v>
      </x:c>
      <x:c r="M771" s="2" t="n">
        <x:v>362</x:v>
      </x:c>
      <x:c r="N771" s="2" t="n">
        <x:v>240</x:v>
      </x:c>
      <x:c r="O771" s="2" t="str">
        <x:v>R15 12x4 Ø10/bank;37.70cm² szabad felület. Légút és hőpróba szükséges.</x:v>
      </x:c>
    </x:row>
    <x:row r="772" ht="34" customHeight="1">
      <x:c r="A772" s="2" t="str">
        <x:v>H0767</x:v>
      </x:c>
      <x:c r="B772" s="2" t="str">
        <x:v>KI12-TV02H2-01</x:v>
      </x:c>
      <x:c r="C772" s="2" t="str">
        <x:v>AV_SZELLOZO</x:v>
      </x:c>
      <x:c r="D772" s="2" t="n">
        <x:v>371</x:v>
      </x:c>
      <x:c r="E772" s="2" t="n">
        <x:v>71</x:v>
      </x:c>
      <x:c r="F772" s="2" t="n">
        <x:v>0</x:v>
      </x:c>
      <x:c r="G772" s="2" t="n">
        <x:v>0</x:v>
      </x:c>
      <x:c r="H772" s="2" t="n">
        <x:v>0</x:v>
      </x:c>
      <x:c r="I772" s="2" t="n">
        <x:v>-1</x:v>
      </x:c>
      <x:c r="J772" s="2" t="n">
        <x:v>10</x:v>
      </x:c>
      <x:c r="K772" s="2" t="n">
        <x:v>8</x:v>
      </x:c>
      <x:c r="L772" s="2" t="n">
        <x:v>1140</x:v>
      </x:c>
      <x:c r="M772" s="2" t="n">
        <x:v>362</x:v>
      </x:c>
      <x:c r="N772" s="2" t="n">
        <x:v>240</x:v>
      </x:c>
      <x:c r="O772" s="2" t="str">
        <x:v>R15 12x4 Ø10/bank;37.70cm² szabad felület. Légút és hőpróba szükséges.</x:v>
      </x:c>
    </x:row>
    <x:row r="773" ht="34" customHeight="1">
      <x:c r="A773" s="2" t="str">
        <x:v>H0768</x:v>
      </x:c>
      <x:c r="B773" s="2" t="str">
        <x:v>KI12-TV02H2-01</x:v>
      </x:c>
      <x:c r="C773" s="2" t="str">
        <x:v>AV_SZELLOZO</x:v>
      </x:c>
      <x:c r="D773" s="2" t="n">
        <x:v>356</x:v>
      </x:c>
      <x:c r="E773" s="2" t="n">
        <x:v>71</x:v>
      </x:c>
      <x:c r="F773" s="2" t="n">
        <x:v>0</x:v>
      </x:c>
      <x:c r="G773" s="2" t="n">
        <x:v>0</x:v>
      </x:c>
      <x:c r="H773" s="2" t="n">
        <x:v>0</x:v>
      </x:c>
      <x:c r="I773" s="2" t="n">
        <x:v>-1</x:v>
      </x:c>
      <x:c r="J773" s="2" t="n">
        <x:v>10</x:v>
      </x:c>
      <x:c r="K773" s="2" t="n">
        <x:v>8</x:v>
      </x:c>
      <x:c r="L773" s="2" t="n">
        <x:v>1155</x:v>
      </x:c>
      <x:c r="M773" s="2" t="n">
        <x:v>362</x:v>
      </x:c>
      <x:c r="N773" s="2" t="n">
        <x:v>240</x:v>
      </x:c>
      <x:c r="O773" s="2" t="str">
        <x:v>R15 12x4 Ø10/bank;37.70cm² szabad felület. Légút és hőpróba szükséges.</x:v>
      </x:c>
    </x:row>
    <x:row r="774" ht="34" customHeight="1">
      <x:c r="A774" s="2" t="str">
        <x:v>H0769</x:v>
      </x:c>
      <x:c r="B774" s="2" t="str">
        <x:v>KI12-TV02H2-01</x:v>
      </x:c>
      <x:c r="C774" s="2" t="str">
        <x:v>AV_SZELLOZO</x:v>
      </x:c>
      <x:c r="D774" s="2" t="n">
        <x:v>341</x:v>
      </x:c>
      <x:c r="E774" s="2" t="n">
        <x:v>71</x:v>
      </x:c>
      <x:c r="F774" s="2" t="n">
        <x:v>0</x:v>
      </x:c>
      <x:c r="G774" s="2" t="n">
        <x:v>0</x:v>
      </x:c>
      <x:c r="H774" s="2" t="n">
        <x:v>0</x:v>
      </x:c>
      <x:c r="I774" s="2" t="n">
        <x:v>-1</x:v>
      </x:c>
      <x:c r="J774" s="2" t="n">
        <x:v>10</x:v>
      </x:c>
      <x:c r="K774" s="2" t="n">
        <x:v>8</x:v>
      </x:c>
      <x:c r="L774" s="2" t="n">
        <x:v>1170</x:v>
      </x:c>
      <x:c r="M774" s="2" t="n">
        <x:v>362</x:v>
      </x:c>
      <x:c r="N774" s="2" t="n">
        <x:v>240</x:v>
      </x:c>
      <x:c r="O774" s="2" t="str">
        <x:v>R15 12x4 Ø10/bank;37.70cm² szabad felület. Légút és hőpróba szükséges.</x:v>
      </x:c>
    </x:row>
    <x:row r="775" ht="34" customHeight="1">
      <x:c r="A775" s="2" t="str">
        <x:v>H0770</x:v>
      </x:c>
      <x:c r="B775" s="2" t="str">
        <x:v>KI12-TV02H2-01</x:v>
      </x:c>
      <x:c r="C775" s="2" t="str">
        <x:v>AV_SZELLOZO</x:v>
      </x:c>
      <x:c r="D775" s="2" t="n">
        <x:v>326</x:v>
      </x:c>
      <x:c r="E775" s="2" t="n">
        <x:v>71</x:v>
      </x:c>
      <x:c r="F775" s="2" t="n">
        <x:v>0</x:v>
      </x:c>
      <x:c r="G775" s="2" t="n">
        <x:v>0</x:v>
      </x:c>
      <x:c r="H775" s="2" t="n">
        <x:v>0</x:v>
      </x:c>
      <x:c r="I775" s="2" t="n">
        <x:v>-1</x:v>
      </x:c>
      <x:c r="J775" s="2" t="n">
        <x:v>10</x:v>
      </x:c>
      <x:c r="K775" s="2" t="n">
        <x:v>8</x:v>
      </x:c>
      <x:c r="L775" s="2" t="n">
        <x:v>1185</x:v>
      </x:c>
      <x:c r="M775" s="2" t="n">
        <x:v>362</x:v>
      </x:c>
      <x:c r="N775" s="2" t="n">
        <x:v>240</x:v>
      </x:c>
      <x:c r="O775" s="2" t="str">
        <x:v>R15 12x4 Ø10/bank;37.70cm² szabad felület. Légút és hőpróba szükséges.</x:v>
      </x:c>
    </x:row>
    <x:row r="776" ht="34" customHeight="1">
      <x:c r="A776" s="2" t="str">
        <x:v>H0771</x:v>
      </x:c>
      <x:c r="B776" s="2" t="str">
        <x:v>KI12-TV02H2-01</x:v>
      </x:c>
      <x:c r="C776" s="2" t="str">
        <x:v>AV_SZELLOZO</x:v>
      </x:c>
      <x:c r="D776" s="2" t="n">
        <x:v>311</x:v>
      </x:c>
      <x:c r="E776" s="2" t="n">
        <x:v>71</x:v>
      </x:c>
      <x:c r="F776" s="2" t="n">
        <x:v>0</x:v>
      </x:c>
      <x:c r="G776" s="2" t="n">
        <x:v>0</x:v>
      </x:c>
      <x:c r="H776" s="2" t="n">
        <x:v>0</x:v>
      </x:c>
      <x:c r="I776" s="2" t="n">
        <x:v>-1</x:v>
      </x:c>
      <x:c r="J776" s="2" t="n">
        <x:v>10</x:v>
      </x:c>
      <x:c r="K776" s="2" t="n">
        <x:v>8</x:v>
      </x:c>
      <x:c r="L776" s="2" t="n">
        <x:v>1200</x:v>
      </x:c>
      <x:c r="M776" s="2" t="n">
        <x:v>362</x:v>
      </x:c>
      <x:c r="N776" s="2" t="n">
        <x:v>240</x:v>
      </x:c>
      <x:c r="O776" s="2" t="str">
        <x:v>R15 12x4 Ø10/bank;37.70cm² szabad felület. Légút és hőpróba szükséges.</x:v>
      </x:c>
    </x:row>
    <x:row r="777" ht="34" customHeight="1">
      <x:c r="A777" s="2" t="str">
        <x:v>H0772</x:v>
      </x:c>
      <x:c r="B777" s="2" t="str">
        <x:v>KI12-TV02H2-01</x:v>
      </x:c>
      <x:c r="C777" s="2" t="str">
        <x:v>AV_SZELLOZO</x:v>
      </x:c>
      <x:c r="D777" s="2" t="n">
        <x:v>476</x:v>
      </x:c>
      <x:c r="E777" s="2" t="n">
        <x:v>291</x:v>
      </x:c>
      <x:c r="F777" s="2" t="n">
        <x:v>0</x:v>
      </x:c>
      <x:c r="G777" s="2" t="n">
        <x:v>0</x:v>
      </x:c>
      <x:c r="H777" s="2" t="n">
        <x:v>0</x:v>
      </x:c>
      <x:c r="I777" s="2" t="n">
        <x:v>-1</x:v>
      </x:c>
      <x:c r="J777" s="2" t="n">
        <x:v>10</x:v>
      </x:c>
      <x:c r="K777" s="2" t="n">
        <x:v>8</x:v>
      </x:c>
      <x:c r="L777" s="2" t="n">
        <x:v>1035</x:v>
      </x:c>
      <x:c r="M777" s="2" t="n">
        <x:v>362</x:v>
      </x:c>
      <x:c r="N777" s="2" t="n">
        <x:v>460</x:v>
      </x:c>
      <x:c r="O777" s="2" t="str">
        <x:v>R15 12x4 Ø10/bank;37.70cm² szabad felület. Légút és hőpróba szükséges.</x:v>
      </x:c>
    </x:row>
    <x:row r="778" ht="34" customHeight="1">
      <x:c r="A778" s="2" t="str">
        <x:v>H0773</x:v>
      </x:c>
      <x:c r="B778" s="2" t="str">
        <x:v>KI12-TV02H2-01</x:v>
      </x:c>
      <x:c r="C778" s="2" t="str">
        <x:v>AV_SZELLOZO</x:v>
      </x:c>
      <x:c r="D778" s="2" t="n">
        <x:v>461</x:v>
      </x:c>
      <x:c r="E778" s="2" t="n">
        <x:v>291</x:v>
      </x:c>
      <x:c r="F778" s="2" t="n">
        <x:v>0</x:v>
      </x:c>
      <x:c r="G778" s="2" t="n">
        <x:v>0</x:v>
      </x:c>
      <x:c r="H778" s="2" t="n">
        <x:v>0</x:v>
      </x:c>
      <x:c r="I778" s="2" t="n">
        <x:v>-1</x:v>
      </x:c>
      <x:c r="J778" s="2" t="n">
        <x:v>10</x:v>
      </x:c>
      <x:c r="K778" s="2" t="n">
        <x:v>8</x:v>
      </x:c>
      <x:c r="L778" s="2" t="n">
        <x:v>1050</x:v>
      </x:c>
      <x:c r="M778" s="2" t="n">
        <x:v>362</x:v>
      </x:c>
      <x:c r="N778" s="2" t="n">
        <x:v>460</x:v>
      </x:c>
      <x:c r="O778" s="2" t="str">
        <x:v>R15 12x4 Ø10/bank;37.70cm² szabad felület. Légút és hőpróba szükséges.</x:v>
      </x:c>
    </x:row>
    <x:row r="779" ht="34" customHeight="1">
      <x:c r="A779" s="2" t="str">
        <x:v>H0774</x:v>
      </x:c>
      <x:c r="B779" s="2" t="str">
        <x:v>KI12-TV02H2-01</x:v>
      </x:c>
      <x:c r="C779" s="2" t="str">
        <x:v>AV_SZELLOZO</x:v>
      </x:c>
      <x:c r="D779" s="2" t="n">
        <x:v>446</x:v>
      </x:c>
      <x:c r="E779" s="2" t="n">
        <x:v>291</x:v>
      </x:c>
      <x:c r="F779" s="2" t="n">
        <x:v>0</x:v>
      </x:c>
      <x:c r="G779" s="2" t="n">
        <x:v>0</x:v>
      </x:c>
      <x:c r="H779" s="2" t="n">
        <x:v>0</x:v>
      </x:c>
      <x:c r="I779" s="2" t="n">
        <x:v>-1</x:v>
      </x:c>
      <x:c r="J779" s="2" t="n">
        <x:v>10</x:v>
      </x:c>
      <x:c r="K779" s="2" t="n">
        <x:v>8</x:v>
      </x:c>
      <x:c r="L779" s="2" t="n">
        <x:v>1065</x:v>
      </x:c>
      <x:c r="M779" s="2" t="n">
        <x:v>362</x:v>
      </x:c>
      <x:c r="N779" s="2" t="n">
        <x:v>460</x:v>
      </x:c>
      <x:c r="O779" s="2" t="str">
        <x:v>R15 12x4 Ø10/bank;37.70cm² szabad felület. Légút és hőpróba szükséges.</x:v>
      </x:c>
    </x:row>
    <x:row r="780" ht="34" customHeight="1">
      <x:c r="A780" s="2" t="str">
        <x:v>H0775</x:v>
      </x:c>
      <x:c r="B780" s="2" t="str">
        <x:v>KI12-TV02H2-01</x:v>
      </x:c>
      <x:c r="C780" s="2" t="str">
        <x:v>AV_SZELLOZO</x:v>
      </x:c>
      <x:c r="D780" s="2" t="n">
        <x:v>431</x:v>
      </x:c>
      <x:c r="E780" s="2" t="n">
        <x:v>291</x:v>
      </x:c>
      <x:c r="F780" s="2" t="n">
        <x:v>0</x:v>
      </x:c>
      <x:c r="G780" s="2" t="n">
        <x:v>0</x:v>
      </x:c>
      <x:c r="H780" s="2" t="n">
        <x:v>0</x:v>
      </x:c>
      <x:c r="I780" s="2" t="n">
        <x:v>-1</x:v>
      </x:c>
      <x:c r="J780" s="2" t="n">
        <x:v>10</x:v>
      </x:c>
      <x:c r="K780" s="2" t="n">
        <x:v>8</x:v>
      </x:c>
      <x:c r="L780" s="2" t="n">
        <x:v>1080</x:v>
      </x:c>
      <x:c r="M780" s="2" t="n">
        <x:v>362</x:v>
      </x:c>
      <x:c r="N780" s="2" t="n">
        <x:v>460</x:v>
      </x:c>
      <x:c r="O780" s="2" t="str">
        <x:v>R15 12x4 Ø10/bank;37.70cm² szabad felület. Légút és hőpróba szükséges.</x:v>
      </x:c>
    </x:row>
    <x:row r="781" ht="34" customHeight="1">
      <x:c r="A781" s="2" t="str">
        <x:v>H0776</x:v>
      </x:c>
      <x:c r="B781" s="2" t="str">
        <x:v>KI12-TV02H2-01</x:v>
      </x:c>
      <x:c r="C781" s="2" t="str">
        <x:v>AV_SZELLOZO</x:v>
      </x:c>
      <x:c r="D781" s="2" t="n">
        <x:v>416</x:v>
      </x:c>
      <x:c r="E781" s="2" t="n">
        <x:v>291</x:v>
      </x:c>
      <x:c r="F781" s="2" t="n">
        <x:v>0</x:v>
      </x:c>
      <x:c r="G781" s="2" t="n">
        <x:v>0</x:v>
      </x:c>
      <x:c r="H781" s="2" t="n">
        <x:v>0</x:v>
      </x:c>
      <x:c r="I781" s="2" t="n">
        <x:v>-1</x:v>
      </x:c>
      <x:c r="J781" s="2" t="n">
        <x:v>10</x:v>
      </x:c>
      <x:c r="K781" s="2" t="n">
        <x:v>8</x:v>
      </x:c>
      <x:c r="L781" s="2" t="n">
        <x:v>1095</x:v>
      </x:c>
      <x:c r="M781" s="2" t="n">
        <x:v>362</x:v>
      </x:c>
      <x:c r="N781" s="2" t="n">
        <x:v>460</x:v>
      </x:c>
      <x:c r="O781" s="2" t="str">
        <x:v>R15 12x4 Ø10/bank;37.70cm² szabad felület. Légút és hőpróba szükséges.</x:v>
      </x:c>
    </x:row>
    <x:row r="782" ht="34" customHeight="1">
      <x:c r="A782" s="2" t="str">
        <x:v>H0777</x:v>
      </x:c>
      <x:c r="B782" s="2" t="str">
        <x:v>KI12-TV02H2-01</x:v>
      </x:c>
      <x:c r="C782" s="2" t="str">
        <x:v>AV_SZELLOZO</x:v>
      </x:c>
      <x:c r="D782" s="2" t="n">
        <x:v>401</x:v>
      </x:c>
      <x:c r="E782" s="2" t="n">
        <x:v>291</x:v>
      </x:c>
      <x:c r="F782" s="2" t="n">
        <x:v>0</x:v>
      </x:c>
      <x:c r="G782" s="2" t="n">
        <x:v>0</x:v>
      </x:c>
      <x:c r="H782" s="2" t="n">
        <x:v>0</x:v>
      </x:c>
      <x:c r="I782" s="2" t="n">
        <x:v>-1</x:v>
      </x:c>
      <x:c r="J782" s="2" t="n">
        <x:v>10</x:v>
      </x:c>
      <x:c r="K782" s="2" t="n">
        <x:v>8</x:v>
      </x:c>
      <x:c r="L782" s="2" t="n">
        <x:v>1110</x:v>
      </x:c>
      <x:c r="M782" s="2" t="n">
        <x:v>362</x:v>
      </x:c>
      <x:c r="N782" s="2" t="n">
        <x:v>460</x:v>
      </x:c>
      <x:c r="O782" s="2" t="str">
        <x:v>R15 12x4 Ø10/bank;37.70cm² szabad felület. Légút és hőpróba szükséges.</x:v>
      </x:c>
    </x:row>
    <x:row r="783" ht="34" customHeight="1">
      <x:c r="A783" s="2" t="str">
        <x:v>H0778</x:v>
      </x:c>
      <x:c r="B783" s="2" t="str">
        <x:v>KI12-TV02H2-01</x:v>
      </x:c>
      <x:c r="C783" s="2" t="str">
        <x:v>AV_SZELLOZO</x:v>
      </x:c>
      <x:c r="D783" s="2" t="n">
        <x:v>386</x:v>
      </x:c>
      <x:c r="E783" s="2" t="n">
        <x:v>291</x:v>
      </x:c>
      <x:c r="F783" s="2" t="n">
        <x:v>0</x:v>
      </x:c>
      <x:c r="G783" s="2" t="n">
        <x:v>0</x:v>
      </x:c>
      <x:c r="H783" s="2" t="n">
        <x:v>0</x:v>
      </x:c>
      <x:c r="I783" s="2" t="n">
        <x:v>-1</x:v>
      </x:c>
      <x:c r="J783" s="2" t="n">
        <x:v>10</x:v>
      </x:c>
      <x:c r="K783" s="2" t="n">
        <x:v>8</x:v>
      </x:c>
      <x:c r="L783" s="2" t="n">
        <x:v>1125</x:v>
      </x:c>
      <x:c r="M783" s="2" t="n">
        <x:v>362</x:v>
      </x:c>
      <x:c r="N783" s="2" t="n">
        <x:v>460</x:v>
      </x:c>
      <x:c r="O783" s="2" t="str">
        <x:v>R15 12x4 Ø10/bank;37.70cm² szabad felület. Légút és hőpróba szükséges.</x:v>
      </x:c>
    </x:row>
    <x:row r="784" ht="34" customHeight="1">
      <x:c r="A784" s="2" t="str">
        <x:v>H0779</x:v>
      </x:c>
      <x:c r="B784" s="2" t="str">
        <x:v>KI12-TV02H2-01</x:v>
      </x:c>
      <x:c r="C784" s="2" t="str">
        <x:v>AV_SZELLOZO</x:v>
      </x:c>
      <x:c r="D784" s="2" t="n">
        <x:v>371</x:v>
      </x:c>
      <x:c r="E784" s="2" t="n">
        <x:v>291</x:v>
      </x:c>
      <x:c r="F784" s="2" t="n">
        <x:v>0</x:v>
      </x:c>
      <x:c r="G784" s="2" t="n">
        <x:v>0</x:v>
      </x:c>
      <x:c r="H784" s="2" t="n">
        <x:v>0</x:v>
      </x:c>
      <x:c r="I784" s="2" t="n">
        <x:v>-1</x:v>
      </x:c>
      <x:c r="J784" s="2" t="n">
        <x:v>10</x:v>
      </x:c>
      <x:c r="K784" s="2" t="n">
        <x:v>8</x:v>
      </x:c>
      <x:c r="L784" s="2" t="n">
        <x:v>1140</x:v>
      </x:c>
      <x:c r="M784" s="2" t="n">
        <x:v>362</x:v>
      </x:c>
      <x:c r="N784" s="2" t="n">
        <x:v>460</x:v>
      </x:c>
      <x:c r="O784" s="2" t="str">
        <x:v>R15 12x4 Ø10/bank;37.70cm² szabad felület. Légút és hőpróba szükséges.</x:v>
      </x:c>
    </x:row>
    <x:row r="785" ht="34" customHeight="1">
      <x:c r="A785" s="2" t="str">
        <x:v>H0780</x:v>
      </x:c>
      <x:c r="B785" s="2" t="str">
        <x:v>KI12-TV02H2-01</x:v>
      </x:c>
      <x:c r="C785" s="2" t="str">
        <x:v>AV_SZELLOZO</x:v>
      </x:c>
      <x:c r="D785" s="2" t="n">
        <x:v>356</x:v>
      </x:c>
      <x:c r="E785" s="2" t="n">
        <x:v>291</x:v>
      </x:c>
      <x:c r="F785" s="2" t="n">
        <x:v>0</x:v>
      </x:c>
      <x:c r="G785" s="2" t="n">
        <x:v>0</x:v>
      </x:c>
      <x:c r="H785" s="2" t="n">
        <x:v>0</x:v>
      </x:c>
      <x:c r="I785" s="2" t="n">
        <x:v>-1</x:v>
      </x:c>
      <x:c r="J785" s="2" t="n">
        <x:v>10</x:v>
      </x:c>
      <x:c r="K785" s="2" t="n">
        <x:v>8</x:v>
      </x:c>
      <x:c r="L785" s="2" t="n">
        <x:v>1155</x:v>
      </x:c>
      <x:c r="M785" s="2" t="n">
        <x:v>362</x:v>
      </x:c>
      <x:c r="N785" s="2" t="n">
        <x:v>460</x:v>
      </x:c>
      <x:c r="O785" s="2" t="str">
        <x:v>R15 12x4 Ø10/bank;37.70cm² szabad felület. Légút és hőpróba szükséges.</x:v>
      </x:c>
    </x:row>
    <x:row r="786" ht="34" customHeight="1">
      <x:c r="A786" s="2" t="str">
        <x:v>H0781</x:v>
      </x:c>
      <x:c r="B786" s="2" t="str">
        <x:v>KI12-TV02H2-01</x:v>
      </x:c>
      <x:c r="C786" s="2" t="str">
        <x:v>AV_SZELLOZO</x:v>
      </x:c>
      <x:c r="D786" s="2" t="n">
        <x:v>341</x:v>
      </x:c>
      <x:c r="E786" s="2" t="n">
        <x:v>291</x:v>
      </x:c>
      <x:c r="F786" s="2" t="n">
        <x:v>0</x:v>
      </x:c>
      <x:c r="G786" s="2" t="n">
        <x:v>0</x:v>
      </x:c>
      <x:c r="H786" s="2" t="n">
        <x:v>0</x:v>
      </x:c>
      <x:c r="I786" s="2" t="n">
        <x:v>-1</x:v>
      </x:c>
      <x:c r="J786" s="2" t="n">
        <x:v>10</x:v>
      </x:c>
      <x:c r="K786" s="2" t="n">
        <x:v>8</x:v>
      </x:c>
      <x:c r="L786" s="2" t="n">
        <x:v>1170</x:v>
      </x:c>
      <x:c r="M786" s="2" t="n">
        <x:v>362</x:v>
      </x:c>
      <x:c r="N786" s="2" t="n">
        <x:v>460</x:v>
      </x:c>
      <x:c r="O786" s="2" t="str">
        <x:v>R15 12x4 Ø10/bank;37.70cm² szabad felület. Légút és hőpróba szükséges.</x:v>
      </x:c>
    </x:row>
    <x:row r="787" ht="34" customHeight="1">
      <x:c r="A787" s="2" t="str">
        <x:v>H0782</x:v>
      </x:c>
      <x:c r="B787" s="2" t="str">
        <x:v>KI12-TV02H2-01</x:v>
      </x:c>
      <x:c r="C787" s="2" t="str">
        <x:v>AV_SZELLOZO</x:v>
      </x:c>
      <x:c r="D787" s="2" t="n">
        <x:v>326</x:v>
      </x:c>
      <x:c r="E787" s="2" t="n">
        <x:v>291</x:v>
      </x:c>
      <x:c r="F787" s="2" t="n">
        <x:v>0</x:v>
      </x:c>
      <x:c r="G787" s="2" t="n">
        <x:v>0</x:v>
      </x:c>
      <x:c r="H787" s="2" t="n">
        <x:v>0</x:v>
      </x:c>
      <x:c r="I787" s="2" t="n">
        <x:v>-1</x:v>
      </x:c>
      <x:c r="J787" s="2" t="n">
        <x:v>10</x:v>
      </x:c>
      <x:c r="K787" s="2" t="n">
        <x:v>8</x:v>
      </x:c>
      <x:c r="L787" s="2" t="n">
        <x:v>1185</x:v>
      </x:c>
      <x:c r="M787" s="2" t="n">
        <x:v>362</x:v>
      </x:c>
      <x:c r="N787" s="2" t="n">
        <x:v>460</x:v>
      </x:c>
      <x:c r="O787" s="2" t="str">
        <x:v>R15 12x4 Ø10/bank;37.70cm² szabad felület. Légút és hőpróba szükséges.</x:v>
      </x:c>
    </x:row>
    <x:row r="788" ht="34" customHeight="1">
      <x:c r="A788" s="2" t="str">
        <x:v>H0783</x:v>
      </x:c>
      <x:c r="B788" s="2" t="str">
        <x:v>KI12-TV02H2-01</x:v>
      </x:c>
      <x:c r="C788" s="2" t="str">
        <x:v>AV_SZELLOZO</x:v>
      </x:c>
      <x:c r="D788" s="2" t="n">
        <x:v>311</x:v>
      </x:c>
      <x:c r="E788" s="2" t="n">
        <x:v>291</x:v>
      </x:c>
      <x:c r="F788" s="2" t="n">
        <x:v>0</x:v>
      </x:c>
      <x:c r="G788" s="2" t="n">
        <x:v>0</x:v>
      </x:c>
      <x:c r="H788" s="2" t="n">
        <x:v>0</x:v>
      </x:c>
      <x:c r="I788" s="2" t="n">
        <x:v>-1</x:v>
      </x:c>
      <x:c r="J788" s="2" t="n">
        <x:v>10</x:v>
      </x:c>
      <x:c r="K788" s="2" t="n">
        <x:v>8</x:v>
      </x:c>
      <x:c r="L788" s="2" t="n">
        <x:v>1200</x:v>
      </x:c>
      <x:c r="M788" s="2" t="n">
        <x:v>362</x:v>
      </x:c>
      <x:c r="N788" s="2" t="n">
        <x:v>460</x:v>
      </x:c>
      <x:c r="O788" s="2" t="str">
        <x:v>R15 12x4 Ø10/bank;37.70cm² szabad felület. Légút és hőpróba szükséges.</x:v>
      </x:c>
    </x:row>
    <x:row r="789" ht="34" customHeight="1">
      <x:c r="A789" s="2" t="str">
        <x:v>H0784</x:v>
      </x:c>
      <x:c r="B789" s="2" t="str">
        <x:v>KI12-TV02H2-01</x:v>
      </x:c>
      <x:c r="C789" s="2" t="str">
        <x:v>AV_SZELLOZO</x:v>
      </x:c>
      <x:c r="D789" s="2" t="n">
        <x:v>476</x:v>
      </x:c>
      <x:c r="E789" s="2" t="n">
        <x:v>306</x:v>
      </x:c>
      <x:c r="F789" s="2" t="n">
        <x:v>0</x:v>
      </x:c>
      <x:c r="G789" s="2" t="n">
        <x:v>0</x:v>
      </x:c>
      <x:c r="H789" s="2" t="n">
        <x:v>0</x:v>
      </x:c>
      <x:c r="I789" s="2" t="n">
        <x:v>-1</x:v>
      </x:c>
      <x:c r="J789" s="2" t="n">
        <x:v>10</x:v>
      </x:c>
      <x:c r="K789" s="2" t="n">
        <x:v>8</x:v>
      </x:c>
      <x:c r="L789" s="2" t="n">
        <x:v>1035</x:v>
      </x:c>
      <x:c r="M789" s="2" t="n">
        <x:v>362</x:v>
      </x:c>
      <x:c r="N789" s="2" t="n">
        <x:v>475</x:v>
      </x:c>
      <x:c r="O789" s="2" t="str">
        <x:v>R15 12x4 Ø10/bank;37.70cm² szabad felület. Légút és hőpróba szükséges.</x:v>
      </x:c>
    </x:row>
    <x:row r="790" ht="34" customHeight="1">
      <x:c r="A790" s="2" t="str">
        <x:v>H0785</x:v>
      </x:c>
      <x:c r="B790" s="2" t="str">
        <x:v>KI12-TV02H2-01</x:v>
      </x:c>
      <x:c r="C790" s="2" t="str">
        <x:v>AV_SZELLOZO</x:v>
      </x:c>
      <x:c r="D790" s="2" t="n">
        <x:v>461</x:v>
      </x:c>
      <x:c r="E790" s="2" t="n">
        <x:v>306</x:v>
      </x:c>
      <x:c r="F790" s="2" t="n">
        <x:v>0</x:v>
      </x:c>
      <x:c r="G790" s="2" t="n">
        <x:v>0</x:v>
      </x:c>
      <x:c r="H790" s="2" t="n">
        <x:v>0</x:v>
      </x:c>
      <x:c r="I790" s="2" t="n">
        <x:v>-1</x:v>
      </x:c>
      <x:c r="J790" s="2" t="n">
        <x:v>10</x:v>
      </x:c>
      <x:c r="K790" s="2" t="n">
        <x:v>8</x:v>
      </x:c>
      <x:c r="L790" s="2" t="n">
        <x:v>1050</x:v>
      </x:c>
      <x:c r="M790" s="2" t="n">
        <x:v>362</x:v>
      </x:c>
      <x:c r="N790" s="2" t="n">
        <x:v>475</x:v>
      </x:c>
      <x:c r="O790" s="2" t="str">
        <x:v>R15 12x4 Ø10/bank;37.70cm² szabad felület. Légút és hőpróba szükséges.</x:v>
      </x:c>
    </x:row>
    <x:row r="791" ht="34" customHeight="1">
      <x:c r="A791" s="2" t="str">
        <x:v>H0786</x:v>
      </x:c>
      <x:c r="B791" s="2" t="str">
        <x:v>KI12-TV02H2-01</x:v>
      </x:c>
      <x:c r="C791" s="2" t="str">
        <x:v>AV_SZELLOZO</x:v>
      </x:c>
      <x:c r="D791" s="2" t="n">
        <x:v>446</x:v>
      </x:c>
      <x:c r="E791" s="2" t="n">
        <x:v>306</x:v>
      </x:c>
      <x:c r="F791" s="2" t="n">
        <x:v>0</x:v>
      </x:c>
      <x:c r="G791" s="2" t="n">
        <x:v>0</x:v>
      </x:c>
      <x:c r="H791" s="2" t="n">
        <x:v>0</x:v>
      </x:c>
      <x:c r="I791" s="2" t="n">
        <x:v>-1</x:v>
      </x:c>
      <x:c r="J791" s="2" t="n">
        <x:v>10</x:v>
      </x:c>
      <x:c r="K791" s="2" t="n">
        <x:v>8</x:v>
      </x:c>
      <x:c r="L791" s="2" t="n">
        <x:v>1065</x:v>
      </x:c>
      <x:c r="M791" s="2" t="n">
        <x:v>362</x:v>
      </x:c>
      <x:c r="N791" s="2" t="n">
        <x:v>475</x:v>
      </x:c>
      <x:c r="O791" s="2" t="str">
        <x:v>R15 12x4 Ø10/bank;37.70cm² szabad felület. Légút és hőpróba szükséges.</x:v>
      </x:c>
    </x:row>
    <x:row r="792" ht="34" customHeight="1">
      <x:c r="A792" s="2" t="str">
        <x:v>H0787</x:v>
      </x:c>
      <x:c r="B792" s="2" t="str">
        <x:v>KI12-TV02H2-01</x:v>
      </x:c>
      <x:c r="C792" s="2" t="str">
        <x:v>AV_SZELLOZO</x:v>
      </x:c>
      <x:c r="D792" s="2" t="n">
        <x:v>431</x:v>
      </x:c>
      <x:c r="E792" s="2" t="n">
        <x:v>306</x:v>
      </x:c>
      <x:c r="F792" s="2" t="n">
        <x:v>0</x:v>
      </x:c>
      <x:c r="G792" s="2" t="n">
        <x:v>0</x:v>
      </x:c>
      <x:c r="H792" s="2" t="n">
        <x:v>0</x:v>
      </x:c>
      <x:c r="I792" s="2" t="n">
        <x:v>-1</x:v>
      </x:c>
      <x:c r="J792" s="2" t="n">
        <x:v>10</x:v>
      </x:c>
      <x:c r="K792" s="2" t="n">
        <x:v>8</x:v>
      </x:c>
      <x:c r="L792" s="2" t="n">
        <x:v>1080</x:v>
      </x:c>
      <x:c r="M792" s="2" t="n">
        <x:v>362</x:v>
      </x:c>
      <x:c r="N792" s="2" t="n">
        <x:v>475</x:v>
      </x:c>
      <x:c r="O792" s="2" t="str">
        <x:v>R15 12x4 Ø10/bank;37.70cm² szabad felület. Légút és hőpróba szükséges.</x:v>
      </x:c>
    </x:row>
    <x:row r="793" ht="34" customHeight="1">
      <x:c r="A793" s="2" t="str">
        <x:v>H0788</x:v>
      </x:c>
      <x:c r="B793" s="2" t="str">
        <x:v>KI12-TV02H2-01</x:v>
      </x:c>
      <x:c r="C793" s="2" t="str">
        <x:v>AV_SZELLOZO</x:v>
      </x:c>
      <x:c r="D793" s="2" t="n">
        <x:v>416</x:v>
      </x:c>
      <x:c r="E793" s="2" t="n">
        <x:v>306</x:v>
      </x:c>
      <x:c r="F793" s="2" t="n">
        <x:v>0</x:v>
      </x:c>
      <x:c r="G793" s="2" t="n">
        <x:v>0</x:v>
      </x:c>
      <x:c r="H793" s="2" t="n">
        <x:v>0</x:v>
      </x:c>
      <x:c r="I793" s="2" t="n">
        <x:v>-1</x:v>
      </x:c>
      <x:c r="J793" s="2" t="n">
        <x:v>10</x:v>
      </x:c>
      <x:c r="K793" s="2" t="n">
        <x:v>8</x:v>
      </x:c>
      <x:c r="L793" s="2" t="n">
        <x:v>1095</x:v>
      </x:c>
      <x:c r="M793" s="2" t="n">
        <x:v>362</x:v>
      </x:c>
      <x:c r="N793" s="2" t="n">
        <x:v>475</x:v>
      </x:c>
      <x:c r="O793" s="2" t="str">
        <x:v>R15 12x4 Ø10/bank;37.70cm² szabad felület. Légút és hőpróba szükséges.</x:v>
      </x:c>
    </x:row>
    <x:row r="794" ht="34" customHeight="1">
      <x:c r="A794" s="2" t="str">
        <x:v>H0789</x:v>
      </x:c>
      <x:c r="B794" s="2" t="str">
        <x:v>KI12-TV02H2-01</x:v>
      </x:c>
      <x:c r="C794" s="2" t="str">
        <x:v>AV_SZELLOZO</x:v>
      </x:c>
      <x:c r="D794" s="2" t="n">
        <x:v>401</x:v>
      </x:c>
      <x:c r="E794" s="2" t="n">
        <x:v>306</x:v>
      </x:c>
      <x:c r="F794" s="2" t="n">
        <x:v>0</x:v>
      </x:c>
      <x:c r="G794" s="2" t="n">
        <x:v>0</x:v>
      </x:c>
      <x:c r="H794" s="2" t="n">
        <x:v>0</x:v>
      </x:c>
      <x:c r="I794" s="2" t="n">
        <x:v>-1</x:v>
      </x:c>
      <x:c r="J794" s="2" t="n">
        <x:v>10</x:v>
      </x:c>
      <x:c r="K794" s="2" t="n">
        <x:v>8</x:v>
      </x:c>
      <x:c r="L794" s="2" t="n">
        <x:v>1110</x:v>
      </x:c>
      <x:c r="M794" s="2" t="n">
        <x:v>362</x:v>
      </x:c>
      <x:c r="N794" s="2" t="n">
        <x:v>475</x:v>
      </x:c>
      <x:c r="O794" s="2" t="str">
        <x:v>R15 12x4 Ø10/bank;37.70cm² szabad felület. Légút és hőpróba szükséges.</x:v>
      </x:c>
    </x:row>
    <x:row r="795" ht="34" customHeight="1">
      <x:c r="A795" s="2" t="str">
        <x:v>H0790</x:v>
      </x:c>
      <x:c r="B795" s="2" t="str">
        <x:v>KI12-TV02H2-01</x:v>
      </x:c>
      <x:c r="C795" s="2" t="str">
        <x:v>AV_SZELLOZO</x:v>
      </x:c>
      <x:c r="D795" s="2" t="n">
        <x:v>386</x:v>
      </x:c>
      <x:c r="E795" s="2" t="n">
        <x:v>306</x:v>
      </x:c>
      <x:c r="F795" s="2" t="n">
        <x:v>0</x:v>
      </x:c>
      <x:c r="G795" s="2" t="n">
        <x:v>0</x:v>
      </x:c>
      <x:c r="H795" s="2" t="n">
        <x:v>0</x:v>
      </x:c>
      <x:c r="I795" s="2" t="n">
        <x:v>-1</x:v>
      </x:c>
      <x:c r="J795" s="2" t="n">
        <x:v>10</x:v>
      </x:c>
      <x:c r="K795" s="2" t="n">
        <x:v>8</x:v>
      </x:c>
      <x:c r="L795" s="2" t="n">
        <x:v>1125</x:v>
      </x:c>
      <x:c r="M795" s="2" t="n">
        <x:v>362</x:v>
      </x:c>
      <x:c r="N795" s="2" t="n">
        <x:v>475</x:v>
      </x:c>
      <x:c r="O795" s="2" t="str">
        <x:v>R15 12x4 Ø10/bank;37.70cm² szabad felület. Légút és hőpróba szükséges.</x:v>
      </x:c>
    </x:row>
    <x:row r="796" ht="34" customHeight="1">
      <x:c r="A796" s="2" t="str">
        <x:v>H0791</x:v>
      </x:c>
      <x:c r="B796" s="2" t="str">
        <x:v>KI12-TV02H2-01</x:v>
      </x:c>
      <x:c r="C796" s="2" t="str">
        <x:v>AV_SZELLOZO</x:v>
      </x:c>
      <x:c r="D796" s="2" t="n">
        <x:v>371</x:v>
      </x:c>
      <x:c r="E796" s="2" t="n">
        <x:v>306</x:v>
      </x:c>
      <x:c r="F796" s="2" t="n">
        <x:v>0</x:v>
      </x:c>
      <x:c r="G796" s="2" t="n">
        <x:v>0</x:v>
      </x:c>
      <x:c r="H796" s="2" t="n">
        <x:v>0</x:v>
      </x:c>
      <x:c r="I796" s="2" t="n">
        <x:v>-1</x:v>
      </x:c>
      <x:c r="J796" s="2" t="n">
        <x:v>10</x:v>
      </x:c>
      <x:c r="K796" s="2" t="n">
        <x:v>8</x:v>
      </x:c>
      <x:c r="L796" s="2" t="n">
        <x:v>1140</x:v>
      </x:c>
      <x:c r="M796" s="2" t="n">
        <x:v>362</x:v>
      </x:c>
      <x:c r="N796" s="2" t="n">
        <x:v>475</x:v>
      </x:c>
      <x:c r="O796" s="2" t="str">
        <x:v>R15 12x4 Ø10/bank;37.70cm² szabad felület. Légút és hőpróba szükséges.</x:v>
      </x:c>
    </x:row>
    <x:row r="797" ht="34" customHeight="1">
      <x:c r="A797" s="2" t="str">
        <x:v>H0792</x:v>
      </x:c>
      <x:c r="B797" s="2" t="str">
        <x:v>KI12-TV02H2-01</x:v>
      </x:c>
      <x:c r="C797" s="2" t="str">
        <x:v>AV_SZELLOZO</x:v>
      </x:c>
      <x:c r="D797" s="2" t="n">
        <x:v>356</x:v>
      </x:c>
      <x:c r="E797" s="2" t="n">
        <x:v>306</x:v>
      </x:c>
      <x:c r="F797" s="2" t="n">
        <x:v>0</x:v>
      </x:c>
      <x:c r="G797" s="2" t="n">
        <x:v>0</x:v>
      </x:c>
      <x:c r="H797" s="2" t="n">
        <x:v>0</x:v>
      </x:c>
      <x:c r="I797" s="2" t="n">
        <x:v>-1</x:v>
      </x:c>
      <x:c r="J797" s="2" t="n">
        <x:v>10</x:v>
      </x:c>
      <x:c r="K797" s="2" t="n">
        <x:v>8</x:v>
      </x:c>
      <x:c r="L797" s="2" t="n">
        <x:v>1155</x:v>
      </x:c>
      <x:c r="M797" s="2" t="n">
        <x:v>362</x:v>
      </x:c>
      <x:c r="N797" s="2" t="n">
        <x:v>475</x:v>
      </x:c>
      <x:c r="O797" s="2" t="str">
        <x:v>R15 12x4 Ø10/bank;37.70cm² szabad felület. Légút és hőpróba szükséges.</x:v>
      </x:c>
    </x:row>
    <x:row r="798" ht="34" customHeight="1">
      <x:c r="A798" s="2" t="str">
        <x:v>H0793</x:v>
      </x:c>
      <x:c r="B798" s="2" t="str">
        <x:v>KI12-TV02H2-01</x:v>
      </x:c>
      <x:c r="C798" s="2" t="str">
        <x:v>AV_SZELLOZO</x:v>
      </x:c>
      <x:c r="D798" s="2" t="n">
        <x:v>341</x:v>
      </x:c>
      <x:c r="E798" s="2" t="n">
        <x:v>306</x:v>
      </x:c>
      <x:c r="F798" s="2" t="n">
        <x:v>0</x:v>
      </x:c>
      <x:c r="G798" s="2" t="n">
        <x:v>0</x:v>
      </x:c>
      <x:c r="H798" s="2" t="n">
        <x:v>0</x:v>
      </x:c>
      <x:c r="I798" s="2" t="n">
        <x:v>-1</x:v>
      </x:c>
      <x:c r="J798" s="2" t="n">
        <x:v>10</x:v>
      </x:c>
      <x:c r="K798" s="2" t="n">
        <x:v>8</x:v>
      </x:c>
      <x:c r="L798" s="2" t="n">
        <x:v>1170</x:v>
      </x:c>
      <x:c r="M798" s="2" t="n">
        <x:v>362</x:v>
      </x:c>
      <x:c r="N798" s="2" t="n">
        <x:v>475</x:v>
      </x:c>
      <x:c r="O798" s="2" t="str">
        <x:v>R15 12x4 Ø10/bank;37.70cm² szabad felület. Légút és hőpróba szükséges.</x:v>
      </x:c>
    </x:row>
    <x:row r="799" ht="34" customHeight="1">
      <x:c r="A799" s="2" t="str">
        <x:v>H0794</x:v>
      </x:c>
      <x:c r="B799" s="2" t="str">
        <x:v>KI12-TV02H2-01</x:v>
      </x:c>
      <x:c r="C799" s="2" t="str">
        <x:v>AV_SZELLOZO</x:v>
      </x:c>
      <x:c r="D799" s="2" t="n">
        <x:v>326</x:v>
      </x:c>
      <x:c r="E799" s="2" t="n">
        <x:v>306</x:v>
      </x:c>
      <x:c r="F799" s="2" t="n">
        <x:v>0</x:v>
      </x:c>
      <x:c r="G799" s="2" t="n">
        <x:v>0</x:v>
      </x:c>
      <x:c r="H799" s="2" t="n">
        <x:v>0</x:v>
      </x:c>
      <x:c r="I799" s="2" t="n">
        <x:v>-1</x:v>
      </x:c>
      <x:c r="J799" s="2" t="n">
        <x:v>10</x:v>
      </x:c>
      <x:c r="K799" s="2" t="n">
        <x:v>8</x:v>
      </x:c>
      <x:c r="L799" s="2" t="n">
        <x:v>1185</x:v>
      </x:c>
      <x:c r="M799" s="2" t="n">
        <x:v>362</x:v>
      </x:c>
      <x:c r="N799" s="2" t="n">
        <x:v>475</x:v>
      </x:c>
      <x:c r="O799" s="2" t="str">
        <x:v>R15 12x4 Ø10/bank;37.70cm² szabad felület. Légút és hőpróba szükséges.</x:v>
      </x:c>
    </x:row>
    <x:row r="800" ht="34" customHeight="1">
      <x:c r="A800" s="2" t="str">
        <x:v>H0795</x:v>
      </x:c>
      <x:c r="B800" s="2" t="str">
        <x:v>KI12-TV02H2-01</x:v>
      </x:c>
      <x:c r="C800" s="2" t="str">
        <x:v>AV_SZELLOZO</x:v>
      </x:c>
      <x:c r="D800" s="2" t="n">
        <x:v>311</x:v>
      </x:c>
      <x:c r="E800" s="2" t="n">
        <x:v>306</x:v>
      </x:c>
      <x:c r="F800" s="2" t="n">
        <x:v>0</x:v>
      </x:c>
      <x:c r="G800" s="2" t="n">
        <x:v>0</x:v>
      </x:c>
      <x:c r="H800" s="2" t="n">
        <x:v>0</x:v>
      </x:c>
      <x:c r="I800" s="2" t="n">
        <x:v>-1</x:v>
      </x:c>
      <x:c r="J800" s="2" t="n">
        <x:v>10</x:v>
      </x:c>
      <x:c r="K800" s="2" t="n">
        <x:v>8</x:v>
      </x:c>
      <x:c r="L800" s="2" t="n">
        <x:v>1200</x:v>
      </x:c>
      <x:c r="M800" s="2" t="n">
        <x:v>362</x:v>
      </x:c>
      <x:c r="N800" s="2" t="n">
        <x:v>475</x:v>
      </x:c>
      <x:c r="O800" s="2" t="str">
        <x:v>R15 12x4 Ø10/bank;37.70cm² szabad felület. Légút és hőpróba szükséges.</x:v>
      </x:c>
    </x:row>
    <x:row r="801" ht="34" customHeight="1">
      <x:c r="A801" s="2" t="str">
        <x:v>H0796</x:v>
      </x:c>
      <x:c r="B801" s="2" t="str">
        <x:v>KI12-TV02H2-01</x:v>
      </x:c>
      <x:c r="C801" s="2" t="str">
        <x:v>AV_SZELLOZO</x:v>
      </x:c>
      <x:c r="D801" s="2" t="n">
        <x:v>476</x:v>
      </x:c>
      <x:c r="E801" s="2" t="n">
        <x:v>321</x:v>
      </x:c>
      <x:c r="F801" s="2" t="n">
        <x:v>0</x:v>
      </x:c>
      <x:c r="G801" s="2" t="n">
        <x:v>0</x:v>
      </x:c>
      <x:c r="H801" s="2" t="n">
        <x:v>0</x:v>
      </x:c>
      <x:c r="I801" s="2" t="n">
        <x:v>-1</x:v>
      </x:c>
      <x:c r="J801" s="2" t="n">
        <x:v>10</x:v>
      </x:c>
      <x:c r="K801" s="2" t="n">
        <x:v>8</x:v>
      </x:c>
      <x:c r="L801" s="2" t="n">
        <x:v>1035</x:v>
      </x:c>
      <x:c r="M801" s="2" t="n">
        <x:v>362</x:v>
      </x:c>
      <x:c r="N801" s="2" t="n">
        <x:v>490</x:v>
      </x:c>
      <x:c r="O801" s="2" t="str">
        <x:v>R15 12x4 Ø10/bank;37.70cm² szabad felület. Légút és hőpróba szükséges.</x:v>
      </x:c>
    </x:row>
    <x:row r="802" ht="34" customHeight="1">
      <x:c r="A802" s="2" t="str">
        <x:v>H0797</x:v>
      </x:c>
      <x:c r="B802" s="2" t="str">
        <x:v>KI12-TV02H2-01</x:v>
      </x:c>
      <x:c r="C802" s="2" t="str">
        <x:v>AV_SZELLOZO</x:v>
      </x:c>
      <x:c r="D802" s="2" t="n">
        <x:v>461</x:v>
      </x:c>
      <x:c r="E802" s="2" t="n">
        <x:v>321</x:v>
      </x:c>
      <x:c r="F802" s="2" t="n">
        <x:v>0</x:v>
      </x:c>
      <x:c r="G802" s="2" t="n">
        <x:v>0</x:v>
      </x:c>
      <x:c r="H802" s="2" t="n">
        <x:v>0</x:v>
      </x:c>
      <x:c r="I802" s="2" t="n">
        <x:v>-1</x:v>
      </x:c>
      <x:c r="J802" s="2" t="n">
        <x:v>10</x:v>
      </x:c>
      <x:c r="K802" s="2" t="n">
        <x:v>8</x:v>
      </x:c>
      <x:c r="L802" s="2" t="n">
        <x:v>1050</x:v>
      </x:c>
      <x:c r="M802" s="2" t="n">
        <x:v>362</x:v>
      </x:c>
      <x:c r="N802" s="2" t="n">
        <x:v>490</x:v>
      </x:c>
      <x:c r="O802" s="2" t="str">
        <x:v>R15 12x4 Ø10/bank;37.70cm² szabad felület. Légút és hőpróba szükséges.</x:v>
      </x:c>
    </x:row>
    <x:row r="803" ht="34" customHeight="1">
      <x:c r="A803" s="2" t="str">
        <x:v>H0798</x:v>
      </x:c>
      <x:c r="B803" s="2" t="str">
        <x:v>KI12-TV02H2-01</x:v>
      </x:c>
      <x:c r="C803" s="2" t="str">
        <x:v>AV_SZELLOZO</x:v>
      </x:c>
      <x:c r="D803" s="2" t="n">
        <x:v>446</x:v>
      </x:c>
      <x:c r="E803" s="2" t="n">
        <x:v>321</x:v>
      </x:c>
      <x:c r="F803" s="2" t="n">
        <x:v>0</x:v>
      </x:c>
      <x:c r="G803" s="2" t="n">
        <x:v>0</x:v>
      </x:c>
      <x:c r="H803" s="2" t="n">
        <x:v>0</x:v>
      </x:c>
      <x:c r="I803" s="2" t="n">
        <x:v>-1</x:v>
      </x:c>
      <x:c r="J803" s="2" t="n">
        <x:v>10</x:v>
      </x:c>
      <x:c r="K803" s="2" t="n">
        <x:v>8</x:v>
      </x:c>
      <x:c r="L803" s="2" t="n">
        <x:v>1065</x:v>
      </x:c>
      <x:c r="M803" s="2" t="n">
        <x:v>362</x:v>
      </x:c>
      <x:c r="N803" s="2" t="n">
        <x:v>490</x:v>
      </x:c>
      <x:c r="O803" s="2" t="str">
        <x:v>R15 12x4 Ø10/bank;37.70cm² szabad felület. Légút és hőpróba szükséges.</x:v>
      </x:c>
    </x:row>
    <x:row r="804" ht="34" customHeight="1">
      <x:c r="A804" s="2" t="str">
        <x:v>H0799</x:v>
      </x:c>
      <x:c r="B804" s="2" t="str">
        <x:v>KI12-TV02H2-01</x:v>
      </x:c>
      <x:c r="C804" s="2" t="str">
        <x:v>AV_SZELLOZO</x:v>
      </x:c>
      <x:c r="D804" s="2" t="n">
        <x:v>431</x:v>
      </x:c>
      <x:c r="E804" s="2" t="n">
        <x:v>321</x:v>
      </x:c>
      <x:c r="F804" s="2" t="n">
        <x:v>0</x:v>
      </x:c>
      <x:c r="G804" s="2" t="n">
        <x:v>0</x:v>
      </x:c>
      <x:c r="H804" s="2" t="n">
        <x:v>0</x:v>
      </x:c>
      <x:c r="I804" s="2" t="n">
        <x:v>-1</x:v>
      </x:c>
      <x:c r="J804" s="2" t="n">
        <x:v>10</x:v>
      </x:c>
      <x:c r="K804" s="2" t="n">
        <x:v>8</x:v>
      </x:c>
      <x:c r="L804" s="2" t="n">
        <x:v>1080</x:v>
      </x:c>
      <x:c r="M804" s="2" t="n">
        <x:v>362</x:v>
      </x:c>
      <x:c r="N804" s="2" t="n">
        <x:v>490</x:v>
      </x:c>
      <x:c r="O804" s="2" t="str">
        <x:v>R15 12x4 Ø10/bank;37.70cm² szabad felület. Légút és hőpróba szükséges.</x:v>
      </x:c>
    </x:row>
    <x:row r="805" ht="34" customHeight="1">
      <x:c r="A805" s="2" t="str">
        <x:v>H0800</x:v>
      </x:c>
      <x:c r="B805" s="2" t="str">
        <x:v>KI12-TV02H2-01</x:v>
      </x:c>
      <x:c r="C805" s="2" t="str">
        <x:v>AV_SZELLOZO</x:v>
      </x:c>
      <x:c r="D805" s="2" t="n">
        <x:v>416</x:v>
      </x:c>
      <x:c r="E805" s="2" t="n">
        <x:v>321</x:v>
      </x:c>
      <x:c r="F805" s="2" t="n">
        <x:v>0</x:v>
      </x:c>
      <x:c r="G805" s="2" t="n">
        <x:v>0</x:v>
      </x:c>
      <x:c r="H805" s="2" t="n">
        <x:v>0</x:v>
      </x:c>
      <x:c r="I805" s="2" t="n">
        <x:v>-1</x:v>
      </x:c>
      <x:c r="J805" s="2" t="n">
        <x:v>10</x:v>
      </x:c>
      <x:c r="K805" s="2" t="n">
        <x:v>8</x:v>
      </x:c>
      <x:c r="L805" s="2" t="n">
        <x:v>1095</x:v>
      </x:c>
      <x:c r="M805" s="2" t="n">
        <x:v>362</x:v>
      </x:c>
      <x:c r="N805" s="2" t="n">
        <x:v>490</x:v>
      </x:c>
      <x:c r="O805" s="2" t="str">
        <x:v>R15 12x4 Ø10/bank;37.70cm² szabad felület. Légút és hőpróba szükséges.</x:v>
      </x:c>
    </x:row>
    <x:row r="806" ht="34" customHeight="1">
      <x:c r="A806" s="2" t="str">
        <x:v>H0801</x:v>
      </x:c>
      <x:c r="B806" s="2" t="str">
        <x:v>KI12-TV02H2-01</x:v>
      </x:c>
      <x:c r="C806" s="2" t="str">
        <x:v>AV_SZELLOZO</x:v>
      </x:c>
      <x:c r="D806" s="2" t="n">
        <x:v>401</x:v>
      </x:c>
      <x:c r="E806" s="2" t="n">
        <x:v>321</x:v>
      </x:c>
      <x:c r="F806" s="2" t="n">
        <x:v>0</x:v>
      </x:c>
      <x:c r="G806" s="2" t="n">
        <x:v>0</x:v>
      </x:c>
      <x:c r="H806" s="2" t="n">
        <x:v>0</x:v>
      </x:c>
      <x:c r="I806" s="2" t="n">
        <x:v>-1</x:v>
      </x:c>
      <x:c r="J806" s="2" t="n">
        <x:v>10</x:v>
      </x:c>
      <x:c r="K806" s="2" t="n">
        <x:v>8</x:v>
      </x:c>
      <x:c r="L806" s="2" t="n">
        <x:v>1110</x:v>
      </x:c>
      <x:c r="M806" s="2" t="n">
        <x:v>362</x:v>
      </x:c>
      <x:c r="N806" s="2" t="n">
        <x:v>490</x:v>
      </x:c>
      <x:c r="O806" s="2" t="str">
        <x:v>R15 12x4 Ø10/bank;37.70cm² szabad felület. Légút és hőpróba szükséges.</x:v>
      </x:c>
    </x:row>
    <x:row r="807" ht="34" customHeight="1">
      <x:c r="A807" s="2" t="str">
        <x:v>H0802</x:v>
      </x:c>
      <x:c r="B807" s="2" t="str">
        <x:v>KI12-TV02H2-01</x:v>
      </x:c>
      <x:c r="C807" s="2" t="str">
        <x:v>AV_SZELLOZO</x:v>
      </x:c>
      <x:c r="D807" s="2" t="n">
        <x:v>386</x:v>
      </x:c>
      <x:c r="E807" s="2" t="n">
        <x:v>321</x:v>
      </x:c>
      <x:c r="F807" s="2" t="n">
        <x:v>0</x:v>
      </x:c>
      <x:c r="G807" s="2" t="n">
        <x:v>0</x:v>
      </x:c>
      <x:c r="H807" s="2" t="n">
        <x:v>0</x:v>
      </x:c>
      <x:c r="I807" s="2" t="n">
        <x:v>-1</x:v>
      </x:c>
      <x:c r="J807" s="2" t="n">
        <x:v>10</x:v>
      </x:c>
      <x:c r="K807" s="2" t="n">
        <x:v>8</x:v>
      </x:c>
      <x:c r="L807" s="2" t="n">
        <x:v>1125</x:v>
      </x:c>
      <x:c r="M807" s="2" t="n">
        <x:v>362</x:v>
      </x:c>
      <x:c r="N807" s="2" t="n">
        <x:v>490</x:v>
      </x:c>
      <x:c r="O807" s="2" t="str">
        <x:v>R15 12x4 Ø10/bank;37.70cm² szabad felület. Légút és hőpróba szükséges.</x:v>
      </x:c>
    </x:row>
    <x:row r="808" ht="34" customHeight="1">
      <x:c r="A808" s="2" t="str">
        <x:v>H0803</x:v>
      </x:c>
      <x:c r="B808" s="2" t="str">
        <x:v>KI12-TV02H2-01</x:v>
      </x:c>
      <x:c r="C808" s="2" t="str">
        <x:v>AV_SZELLOZO</x:v>
      </x:c>
      <x:c r="D808" s="2" t="n">
        <x:v>371</x:v>
      </x:c>
      <x:c r="E808" s="2" t="n">
        <x:v>321</x:v>
      </x:c>
      <x:c r="F808" s="2" t="n">
        <x:v>0</x:v>
      </x:c>
      <x:c r="G808" s="2" t="n">
        <x:v>0</x:v>
      </x:c>
      <x:c r="H808" s="2" t="n">
        <x:v>0</x:v>
      </x:c>
      <x:c r="I808" s="2" t="n">
        <x:v>-1</x:v>
      </x:c>
      <x:c r="J808" s="2" t="n">
        <x:v>10</x:v>
      </x:c>
      <x:c r="K808" s="2" t="n">
        <x:v>8</x:v>
      </x:c>
      <x:c r="L808" s="2" t="n">
        <x:v>1140</x:v>
      </x:c>
      <x:c r="M808" s="2" t="n">
        <x:v>362</x:v>
      </x:c>
      <x:c r="N808" s="2" t="n">
        <x:v>490</x:v>
      </x:c>
      <x:c r="O808" s="2" t="str">
        <x:v>R15 12x4 Ø10/bank;37.70cm² szabad felület. Légút és hőpróba szükséges.</x:v>
      </x:c>
    </x:row>
    <x:row r="809" ht="34" customHeight="1">
      <x:c r="A809" s="2" t="str">
        <x:v>H0804</x:v>
      </x:c>
      <x:c r="B809" s="2" t="str">
        <x:v>KI12-TV02H2-01</x:v>
      </x:c>
      <x:c r="C809" s="2" t="str">
        <x:v>AV_SZELLOZO</x:v>
      </x:c>
      <x:c r="D809" s="2" t="n">
        <x:v>356</x:v>
      </x:c>
      <x:c r="E809" s="2" t="n">
        <x:v>321</x:v>
      </x:c>
      <x:c r="F809" s="2" t="n">
        <x:v>0</x:v>
      </x:c>
      <x:c r="G809" s="2" t="n">
        <x:v>0</x:v>
      </x:c>
      <x:c r="H809" s="2" t="n">
        <x:v>0</x:v>
      </x:c>
      <x:c r="I809" s="2" t="n">
        <x:v>-1</x:v>
      </x:c>
      <x:c r="J809" s="2" t="n">
        <x:v>10</x:v>
      </x:c>
      <x:c r="K809" s="2" t="n">
        <x:v>8</x:v>
      </x:c>
      <x:c r="L809" s="2" t="n">
        <x:v>1155</x:v>
      </x:c>
      <x:c r="M809" s="2" t="n">
        <x:v>362</x:v>
      </x:c>
      <x:c r="N809" s="2" t="n">
        <x:v>490</x:v>
      </x:c>
      <x:c r="O809" s="2" t="str">
        <x:v>R15 12x4 Ø10/bank;37.70cm² szabad felület. Légút és hőpróba szükséges.</x:v>
      </x:c>
    </x:row>
    <x:row r="810" ht="34" customHeight="1">
      <x:c r="A810" s="2" t="str">
        <x:v>H0805</x:v>
      </x:c>
      <x:c r="B810" s="2" t="str">
        <x:v>KI12-TV02H2-01</x:v>
      </x:c>
      <x:c r="C810" s="2" t="str">
        <x:v>AV_SZELLOZO</x:v>
      </x:c>
      <x:c r="D810" s="2" t="n">
        <x:v>341</x:v>
      </x:c>
      <x:c r="E810" s="2" t="n">
        <x:v>321</x:v>
      </x:c>
      <x:c r="F810" s="2" t="n">
        <x:v>0</x:v>
      </x:c>
      <x:c r="G810" s="2" t="n">
        <x:v>0</x:v>
      </x:c>
      <x:c r="H810" s="2" t="n">
        <x:v>0</x:v>
      </x:c>
      <x:c r="I810" s="2" t="n">
        <x:v>-1</x:v>
      </x:c>
      <x:c r="J810" s="2" t="n">
        <x:v>10</x:v>
      </x:c>
      <x:c r="K810" s="2" t="n">
        <x:v>8</x:v>
      </x:c>
      <x:c r="L810" s="2" t="n">
        <x:v>1170</x:v>
      </x:c>
      <x:c r="M810" s="2" t="n">
        <x:v>362</x:v>
      </x:c>
      <x:c r="N810" s="2" t="n">
        <x:v>490</x:v>
      </x:c>
      <x:c r="O810" s="2" t="str">
        <x:v>R15 12x4 Ø10/bank;37.70cm² szabad felület. Légút és hőpróba szükséges.</x:v>
      </x:c>
    </x:row>
    <x:row r="811" ht="34" customHeight="1">
      <x:c r="A811" s="2" t="str">
        <x:v>H0806</x:v>
      </x:c>
      <x:c r="B811" s="2" t="str">
        <x:v>KI12-TV02H2-01</x:v>
      </x:c>
      <x:c r="C811" s="2" t="str">
        <x:v>AV_SZELLOZO</x:v>
      </x:c>
      <x:c r="D811" s="2" t="n">
        <x:v>326</x:v>
      </x:c>
      <x:c r="E811" s="2" t="n">
        <x:v>321</x:v>
      </x:c>
      <x:c r="F811" s="2" t="n">
        <x:v>0</x:v>
      </x:c>
      <x:c r="G811" s="2" t="n">
        <x:v>0</x:v>
      </x:c>
      <x:c r="H811" s="2" t="n">
        <x:v>0</x:v>
      </x:c>
      <x:c r="I811" s="2" t="n">
        <x:v>-1</x:v>
      </x:c>
      <x:c r="J811" s="2" t="n">
        <x:v>10</x:v>
      </x:c>
      <x:c r="K811" s="2" t="n">
        <x:v>8</x:v>
      </x:c>
      <x:c r="L811" s="2" t="n">
        <x:v>1185</x:v>
      </x:c>
      <x:c r="M811" s="2" t="n">
        <x:v>362</x:v>
      </x:c>
      <x:c r="N811" s="2" t="n">
        <x:v>490</x:v>
      </x:c>
      <x:c r="O811" s="2" t="str">
        <x:v>R15 12x4 Ø10/bank;37.70cm² szabad felület. Légút és hőpróba szükséges.</x:v>
      </x:c>
    </x:row>
    <x:row r="812" ht="34" customHeight="1">
      <x:c r="A812" s="2" t="str">
        <x:v>H0807</x:v>
      </x:c>
      <x:c r="B812" s="2" t="str">
        <x:v>KI12-TV02H2-01</x:v>
      </x:c>
      <x:c r="C812" s="2" t="str">
        <x:v>AV_SZELLOZO</x:v>
      </x:c>
      <x:c r="D812" s="2" t="n">
        <x:v>311</x:v>
      </x:c>
      <x:c r="E812" s="2" t="n">
        <x:v>321</x:v>
      </x:c>
      <x:c r="F812" s="2" t="n">
        <x:v>0</x:v>
      </x:c>
      <x:c r="G812" s="2" t="n">
        <x:v>0</x:v>
      </x:c>
      <x:c r="H812" s="2" t="n">
        <x:v>0</x:v>
      </x:c>
      <x:c r="I812" s="2" t="n">
        <x:v>-1</x:v>
      </x:c>
      <x:c r="J812" s="2" t="n">
        <x:v>10</x:v>
      </x:c>
      <x:c r="K812" s="2" t="n">
        <x:v>8</x:v>
      </x:c>
      <x:c r="L812" s="2" t="n">
        <x:v>1200</x:v>
      </x:c>
      <x:c r="M812" s="2" t="n">
        <x:v>362</x:v>
      </x:c>
      <x:c r="N812" s="2" t="n">
        <x:v>490</x:v>
      </x:c>
      <x:c r="O812" s="2" t="str">
        <x:v>R15 12x4 Ø10/bank;37.70cm² szabad felület. Légút és hőpróba szükséges.</x:v>
      </x:c>
    </x:row>
    <x:row r="813" ht="34" customHeight="1">
      <x:c r="A813" s="2" t="str">
        <x:v>H0808</x:v>
      </x:c>
      <x:c r="B813" s="2" t="str">
        <x:v>KI12-TV02H2-01</x:v>
      </x:c>
      <x:c r="C813" s="2" t="str">
        <x:v>AV_SZELLOZO</x:v>
      </x:c>
      <x:c r="D813" s="2" t="n">
        <x:v>476</x:v>
      </x:c>
      <x:c r="E813" s="2" t="n">
        <x:v>336</x:v>
      </x:c>
      <x:c r="F813" s="2" t="n">
        <x:v>0</x:v>
      </x:c>
      <x:c r="G813" s="2" t="n">
        <x:v>0</x:v>
      </x:c>
      <x:c r="H813" s="2" t="n">
        <x:v>0</x:v>
      </x:c>
      <x:c r="I813" s="2" t="n">
        <x:v>-1</x:v>
      </x:c>
      <x:c r="J813" s="2" t="n">
        <x:v>10</x:v>
      </x:c>
      <x:c r="K813" s="2" t="n">
        <x:v>8</x:v>
      </x:c>
      <x:c r="L813" s="2" t="n">
        <x:v>1035</x:v>
      </x:c>
      <x:c r="M813" s="2" t="n">
        <x:v>362</x:v>
      </x:c>
      <x:c r="N813" s="2" t="n">
        <x:v>505</x:v>
      </x:c>
      <x:c r="O813" s="2" t="str">
        <x:v>R15 12x4 Ø10/bank;37.70cm² szabad felület. Légút és hőpróba szükséges.</x:v>
      </x:c>
    </x:row>
    <x:row r="814" ht="34" customHeight="1">
      <x:c r="A814" s="2" t="str">
        <x:v>H0809</x:v>
      </x:c>
      <x:c r="B814" s="2" t="str">
        <x:v>KI12-TV02H2-01</x:v>
      </x:c>
      <x:c r="C814" s="2" t="str">
        <x:v>AV_SZELLOZO</x:v>
      </x:c>
      <x:c r="D814" s="2" t="n">
        <x:v>461</x:v>
      </x:c>
      <x:c r="E814" s="2" t="n">
        <x:v>336</x:v>
      </x:c>
      <x:c r="F814" s="2" t="n">
        <x:v>0</x:v>
      </x:c>
      <x:c r="G814" s="2" t="n">
        <x:v>0</x:v>
      </x:c>
      <x:c r="H814" s="2" t="n">
        <x:v>0</x:v>
      </x:c>
      <x:c r="I814" s="2" t="n">
        <x:v>-1</x:v>
      </x:c>
      <x:c r="J814" s="2" t="n">
        <x:v>10</x:v>
      </x:c>
      <x:c r="K814" s="2" t="n">
        <x:v>8</x:v>
      </x:c>
      <x:c r="L814" s="2" t="n">
        <x:v>1050</x:v>
      </x:c>
      <x:c r="M814" s="2" t="n">
        <x:v>362</x:v>
      </x:c>
      <x:c r="N814" s="2" t="n">
        <x:v>505</x:v>
      </x:c>
      <x:c r="O814" s="2" t="str">
        <x:v>R15 12x4 Ø10/bank;37.70cm² szabad felület. Légút és hőpróba szükséges.</x:v>
      </x:c>
    </x:row>
    <x:row r="815" ht="34" customHeight="1">
      <x:c r="A815" s="2" t="str">
        <x:v>H0810</x:v>
      </x:c>
      <x:c r="B815" s="2" t="str">
        <x:v>KI12-TV02H2-01</x:v>
      </x:c>
      <x:c r="C815" s="2" t="str">
        <x:v>AV_SZELLOZO</x:v>
      </x:c>
      <x:c r="D815" s="2" t="n">
        <x:v>446</x:v>
      </x:c>
      <x:c r="E815" s="2" t="n">
        <x:v>336</x:v>
      </x:c>
      <x:c r="F815" s="2" t="n">
        <x:v>0</x:v>
      </x:c>
      <x:c r="G815" s="2" t="n">
        <x:v>0</x:v>
      </x:c>
      <x:c r="H815" s="2" t="n">
        <x:v>0</x:v>
      </x:c>
      <x:c r="I815" s="2" t="n">
        <x:v>-1</x:v>
      </x:c>
      <x:c r="J815" s="2" t="n">
        <x:v>10</x:v>
      </x:c>
      <x:c r="K815" s="2" t="n">
        <x:v>8</x:v>
      </x:c>
      <x:c r="L815" s="2" t="n">
        <x:v>1065</x:v>
      </x:c>
      <x:c r="M815" s="2" t="n">
        <x:v>362</x:v>
      </x:c>
      <x:c r="N815" s="2" t="n">
        <x:v>505</x:v>
      </x:c>
      <x:c r="O815" s="2" t="str">
        <x:v>R15 12x4 Ø10/bank;37.70cm² szabad felület. Légút és hőpróba szükséges.</x:v>
      </x:c>
    </x:row>
    <x:row r="816" ht="34" customHeight="1">
      <x:c r="A816" s="2" t="str">
        <x:v>H0811</x:v>
      </x:c>
      <x:c r="B816" s="2" t="str">
        <x:v>KI12-TV02H2-01</x:v>
      </x:c>
      <x:c r="C816" s="2" t="str">
        <x:v>AV_SZELLOZO</x:v>
      </x:c>
      <x:c r="D816" s="2" t="n">
        <x:v>431</x:v>
      </x:c>
      <x:c r="E816" s="2" t="n">
        <x:v>336</x:v>
      </x:c>
      <x:c r="F816" s="2" t="n">
        <x:v>0</x:v>
      </x:c>
      <x:c r="G816" s="2" t="n">
        <x:v>0</x:v>
      </x:c>
      <x:c r="H816" s="2" t="n">
        <x:v>0</x:v>
      </x:c>
      <x:c r="I816" s="2" t="n">
        <x:v>-1</x:v>
      </x:c>
      <x:c r="J816" s="2" t="n">
        <x:v>10</x:v>
      </x:c>
      <x:c r="K816" s="2" t="n">
        <x:v>8</x:v>
      </x:c>
      <x:c r="L816" s="2" t="n">
        <x:v>1080</x:v>
      </x:c>
      <x:c r="M816" s="2" t="n">
        <x:v>362</x:v>
      </x:c>
      <x:c r="N816" s="2" t="n">
        <x:v>505</x:v>
      </x:c>
      <x:c r="O816" s="2" t="str">
        <x:v>R15 12x4 Ø10/bank;37.70cm² szabad felület. Légút és hőpróba szükséges.</x:v>
      </x:c>
    </x:row>
    <x:row r="817" ht="34" customHeight="1">
      <x:c r="A817" s="2" t="str">
        <x:v>H0812</x:v>
      </x:c>
      <x:c r="B817" s="2" t="str">
        <x:v>KI12-TV02H2-01</x:v>
      </x:c>
      <x:c r="C817" s="2" t="str">
        <x:v>AV_SZELLOZO</x:v>
      </x:c>
      <x:c r="D817" s="2" t="n">
        <x:v>416</x:v>
      </x:c>
      <x:c r="E817" s="2" t="n">
        <x:v>336</x:v>
      </x:c>
      <x:c r="F817" s="2" t="n">
        <x:v>0</x:v>
      </x:c>
      <x:c r="G817" s="2" t="n">
        <x:v>0</x:v>
      </x:c>
      <x:c r="H817" s="2" t="n">
        <x:v>0</x:v>
      </x:c>
      <x:c r="I817" s="2" t="n">
        <x:v>-1</x:v>
      </x:c>
      <x:c r="J817" s="2" t="n">
        <x:v>10</x:v>
      </x:c>
      <x:c r="K817" s="2" t="n">
        <x:v>8</x:v>
      </x:c>
      <x:c r="L817" s="2" t="n">
        <x:v>1095</x:v>
      </x:c>
      <x:c r="M817" s="2" t="n">
        <x:v>362</x:v>
      </x:c>
      <x:c r="N817" s="2" t="n">
        <x:v>505</x:v>
      </x:c>
      <x:c r="O817" s="2" t="str">
        <x:v>R15 12x4 Ø10/bank;37.70cm² szabad felület. Légút és hőpróba szükséges.</x:v>
      </x:c>
    </x:row>
    <x:row r="818" ht="34" customHeight="1">
      <x:c r="A818" s="2" t="str">
        <x:v>H0813</x:v>
      </x:c>
      <x:c r="B818" s="2" t="str">
        <x:v>KI12-TV02H2-01</x:v>
      </x:c>
      <x:c r="C818" s="2" t="str">
        <x:v>AV_SZELLOZO</x:v>
      </x:c>
      <x:c r="D818" s="2" t="n">
        <x:v>401</x:v>
      </x:c>
      <x:c r="E818" s="2" t="n">
        <x:v>336</x:v>
      </x:c>
      <x:c r="F818" s="2" t="n">
        <x:v>0</x:v>
      </x:c>
      <x:c r="G818" s="2" t="n">
        <x:v>0</x:v>
      </x:c>
      <x:c r="H818" s="2" t="n">
        <x:v>0</x:v>
      </x:c>
      <x:c r="I818" s="2" t="n">
        <x:v>-1</x:v>
      </x:c>
      <x:c r="J818" s="2" t="n">
        <x:v>10</x:v>
      </x:c>
      <x:c r="K818" s="2" t="n">
        <x:v>8</x:v>
      </x:c>
      <x:c r="L818" s="2" t="n">
        <x:v>1110</x:v>
      </x:c>
      <x:c r="M818" s="2" t="n">
        <x:v>362</x:v>
      </x:c>
      <x:c r="N818" s="2" t="n">
        <x:v>505</x:v>
      </x:c>
      <x:c r="O818" s="2" t="str">
        <x:v>R15 12x4 Ø10/bank;37.70cm² szabad felület. Légút és hőpróba szükséges.</x:v>
      </x:c>
    </x:row>
    <x:row r="819" ht="34" customHeight="1">
      <x:c r="A819" s="2" t="str">
        <x:v>H0814</x:v>
      </x:c>
      <x:c r="B819" s="2" t="str">
        <x:v>KI12-TV02H2-01</x:v>
      </x:c>
      <x:c r="C819" s="2" t="str">
        <x:v>AV_SZELLOZO</x:v>
      </x:c>
      <x:c r="D819" s="2" t="n">
        <x:v>386</x:v>
      </x:c>
      <x:c r="E819" s="2" t="n">
        <x:v>336</x:v>
      </x:c>
      <x:c r="F819" s="2" t="n">
        <x:v>0</x:v>
      </x:c>
      <x:c r="G819" s="2" t="n">
        <x:v>0</x:v>
      </x:c>
      <x:c r="H819" s="2" t="n">
        <x:v>0</x:v>
      </x:c>
      <x:c r="I819" s="2" t="n">
        <x:v>-1</x:v>
      </x:c>
      <x:c r="J819" s="2" t="n">
        <x:v>10</x:v>
      </x:c>
      <x:c r="K819" s="2" t="n">
        <x:v>8</x:v>
      </x:c>
      <x:c r="L819" s="2" t="n">
        <x:v>1125</x:v>
      </x:c>
      <x:c r="M819" s="2" t="n">
        <x:v>362</x:v>
      </x:c>
      <x:c r="N819" s="2" t="n">
        <x:v>505</x:v>
      </x:c>
      <x:c r="O819" s="2" t="str">
        <x:v>R15 12x4 Ø10/bank;37.70cm² szabad felület. Légút és hőpróba szükséges.</x:v>
      </x:c>
    </x:row>
    <x:row r="820" ht="34" customHeight="1">
      <x:c r="A820" s="2" t="str">
        <x:v>H0815</x:v>
      </x:c>
      <x:c r="B820" s="2" t="str">
        <x:v>KI12-TV02H2-01</x:v>
      </x:c>
      <x:c r="C820" s="2" t="str">
        <x:v>AV_SZELLOZO</x:v>
      </x:c>
      <x:c r="D820" s="2" t="n">
        <x:v>371</x:v>
      </x:c>
      <x:c r="E820" s="2" t="n">
        <x:v>336</x:v>
      </x:c>
      <x:c r="F820" s="2" t="n">
        <x:v>0</x:v>
      </x:c>
      <x:c r="G820" s="2" t="n">
        <x:v>0</x:v>
      </x:c>
      <x:c r="H820" s="2" t="n">
        <x:v>0</x:v>
      </x:c>
      <x:c r="I820" s="2" t="n">
        <x:v>-1</x:v>
      </x:c>
      <x:c r="J820" s="2" t="n">
        <x:v>10</x:v>
      </x:c>
      <x:c r="K820" s="2" t="n">
        <x:v>8</x:v>
      </x:c>
      <x:c r="L820" s="2" t="n">
        <x:v>1140</x:v>
      </x:c>
      <x:c r="M820" s="2" t="n">
        <x:v>362</x:v>
      </x:c>
      <x:c r="N820" s="2" t="n">
        <x:v>505</x:v>
      </x:c>
      <x:c r="O820" s="2" t="str">
        <x:v>R15 12x4 Ø10/bank;37.70cm² szabad felület. Légút és hőpróba szükséges.</x:v>
      </x:c>
    </x:row>
    <x:row r="821" ht="34" customHeight="1">
      <x:c r="A821" s="2" t="str">
        <x:v>H0816</x:v>
      </x:c>
      <x:c r="B821" s="2" t="str">
        <x:v>KI12-TV02H2-01</x:v>
      </x:c>
      <x:c r="C821" s="2" t="str">
        <x:v>AV_SZELLOZO</x:v>
      </x:c>
      <x:c r="D821" s="2" t="n">
        <x:v>356</x:v>
      </x:c>
      <x:c r="E821" s="2" t="n">
        <x:v>336</x:v>
      </x:c>
      <x:c r="F821" s="2" t="n">
        <x:v>0</x:v>
      </x:c>
      <x:c r="G821" s="2" t="n">
        <x:v>0</x:v>
      </x:c>
      <x:c r="H821" s="2" t="n">
        <x:v>0</x:v>
      </x:c>
      <x:c r="I821" s="2" t="n">
        <x:v>-1</x:v>
      </x:c>
      <x:c r="J821" s="2" t="n">
        <x:v>10</x:v>
      </x:c>
      <x:c r="K821" s="2" t="n">
        <x:v>8</x:v>
      </x:c>
      <x:c r="L821" s="2" t="n">
        <x:v>1155</x:v>
      </x:c>
      <x:c r="M821" s="2" t="n">
        <x:v>362</x:v>
      </x:c>
      <x:c r="N821" s="2" t="n">
        <x:v>505</x:v>
      </x:c>
      <x:c r="O821" s="2" t="str">
        <x:v>R15 12x4 Ø10/bank;37.70cm² szabad felület. Légút és hőpróba szükséges.</x:v>
      </x:c>
    </x:row>
    <x:row r="822" ht="34" customHeight="1">
      <x:c r="A822" s="2" t="str">
        <x:v>H0817</x:v>
      </x:c>
      <x:c r="B822" s="2" t="str">
        <x:v>KI12-TV02H2-01</x:v>
      </x:c>
      <x:c r="C822" s="2" t="str">
        <x:v>AV_SZELLOZO</x:v>
      </x:c>
      <x:c r="D822" s="2" t="n">
        <x:v>341</x:v>
      </x:c>
      <x:c r="E822" s="2" t="n">
        <x:v>336</x:v>
      </x:c>
      <x:c r="F822" s="2" t="n">
        <x:v>0</x:v>
      </x:c>
      <x:c r="G822" s="2" t="n">
        <x:v>0</x:v>
      </x:c>
      <x:c r="H822" s="2" t="n">
        <x:v>0</x:v>
      </x:c>
      <x:c r="I822" s="2" t="n">
        <x:v>-1</x:v>
      </x:c>
      <x:c r="J822" s="2" t="n">
        <x:v>10</x:v>
      </x:c>
      <x:c r="K822" s="2" t="n">
        <x:v>8</x:v>
      </x:c>
      <x:c r="L822" s="2" t="n">
        <x:v>1170</x:v>
      </x:c>
      <x:c r="M822" s="2" t="n">
        <x:v>362</x:v>
      </x:c>
      <x:c r="N822" s="2" t="n">
        <x:v>505</x:v>
      </x:c>
      <x:c r="O822" s="2" t="str">
        <x:v>R15 12x4 Ø10/bank;37.70cm² szabad felület. Légút és hőpróba szükséges.</x:v>
      </x:c>
    </x:row>
    <x:row r="823" ht="34" customHeight="1">
      <x:c r="A823" s="2" t="str">
        <x:v>H0818</x:v>
      </x:c>
      <x:c r="B823" s="2" t="str">
        <x:v>KI12-TV02H2-01</x:v>
      </x:c>
      <x:c r="C823" s="2" t="str">
        <x:v>AV_SZELLOZO</x:v>
      </x:c>
      <x:c r="D823" s="2" t="n">
        <x:v>326</x:v>
      </x:c>
      <x:c r="E823" s="2" t="n">
        <x:v>336</x:v>
      </x:c>
      <x:c r="F823" s="2" t="n">
        <x:v>0</x:v>
      </x:c>
      <x:c r="G823" s="2" t="n">
        <x:v>0</x:v>
      </x:c>
      <x:c r="H823" s="2" t="n">
        <x:v>0</x:v>
      </x:c>
      <x:c r="I823" s="2" t="n">
        <x:v>-1</x:v>
      </x:c>
      <x:c r="J823" s="2" t="n">
        <x:v>10</x:v>
      </x:c>
      <x:c r="K823" s="2" t="n">
        <x:v>8</x:v>
      </x:c>
      <x:c r="L823" s="2" t="n">
        <x:v>1185</x:v>
      </x:c>
      <x:c r="M823" s="2" t="n">
        <x:v>362</x:v>
      </x:c>
      <x:c r="N823" s="2" t="n">
        <x:v>505</x:v>
      </x:c>
      <x:c r="O823" s="2" t="str">
        <x:v>R15 12x4 Ø10/bank;37.70cm² szabad felület. Légút és hőpróba szükséges.</x:v>
      </x:c>
    </x:row>
    <x:row r="824" ht="34" customHeight="1">
      <x:c r="A824" s="2" t="str">
        <x:v>H0819</x:v>
      </x:c>
      <x:c r="B824" s="2" t="str">
        <x:v>KI12-TV02H2-01</x:v>
      </x:c>
      <x:c r="C824" s="2" t="str">
        <x:v>AV_SZELLOZO</x:v>
      </x:c>
      <x:c r="D824" s="2" t="n">
        <x:v>311</x:v>
      </x:c>
      <x:c r="E824" s="2" t="n">
        <x:v>336</x:v>
      </x:c>
      <x:c r="F824" s="2" t="n">
        <x:v>0</x:v>
      </x:c>
      <x:c r="G824" s="2" t="n">
        <x:v>0</x:v>
      </x:c>
      <x:c r="H824" s="2" t="n">
        <x:v>0</x:v>
      </x:c>
      <x:c r="I824" s="2" t="n">
        <x:v>-1</x:v>
      </x:c>
      <x:c r="J824" s="2" t="n">
        <x:v>10</x:v>
      </x:c>
      <x:c r="K824" s="2" t="n">
        <x:v>8</x:v>
      </x:c>
      <x:c r="L824" s="2" t="n">
        <x:v>1200</x:v>
      </x:c>
      <x:c r="M824" s="2" t="n">
        <x:v>362</x:v>
      </x:c>
      <x:c r="N824" s="2" t="n">
        <x:v>505</x:v>
      </x:c>
      <x:c r="O824" s="2" t="str">
        <x:v>R15 12x4 Ø10/bank;37.70cm² szabad felület. Légút és hőpróba szükséges.</x:v>
      </x:c>
    </x:row>
    <x:row r="825" ht="34" customHeight="1">
      <x:c r="A825" s="2" t="str">
        <x:v>H0820</x:v>
      </x:c>
      <x:c r="B825" s="2" t="str">
        <x:v>KI12-TV02H2-01</x:v>
      </x:c>
      <x:c r="C825" s="2" t="str">
        <x:v>KABEL_230V elkülönített</x:v>
      </x:c>
      <x:c r="D825" s="2" t="n">
        <x:v>591</x:v>
      </x:c>
      <x:c r="E825" s="2" t="n">
        <x:v>81</x:v>
      </x:c>
      <x:c r="F825" s="2" t="n">
        <x:v>0</x:v>
      </x:c>
      <x:c r="G825" s="2" t="n">
        <x:v>0</x:v>
      </x:c>
      <x:c r="H825" s="2" t="n">
        <x:v>0</x:v>
      </x:c>
      <x:c r="I825" s="2" t="n">
        <x:v>-1</x:v>
      </x:c>
      <x:c r="J825" s="2" t="n">
        <x:v>20</x:v>
      </x:c>
      <x:c r="K825" s="2" t="n">
        <x:v>8</x:v>
      </x:c>
      <x:c r="L825" s="2" t="n">
        <x:v>920</x:v>
      </x:c>
      <x:c r="M825" s="2" t="n">
        <x:v>362</x:v>
      </x:c>
      <x:c r="N825" s="2" t="n">
        <x:v>250</x:v>
      </x:c>
      <x:c r="O825" s="2" t="str">
        <x:v>R15 terv; szigetelő perem/átvezető, kábel és erősáram elkülönítése</x:v>
      </x:c>
    </x:row>
    <x:row r="826" ht="34" customHeight="1">
      <x:c r="A826" s="2" t="str">
        <x:v>H0821</x:v>
      </x:c>
      <x:c r="B826" s="2" t="str">
        <x:v>KI12-TV02H2-01</x:v>
      </x:c>
      <x:c r="C826" s="2" t="str">
        <x:v>KABEL_24V ágak</x:v>
      </x:c>
      <x:c r="D826" s="2" t="n">
        <x:v>561</x:v>
      </x:c>
      <x:c r="E826" s="2" t="n">
        <x:v>81</x:v>
      </x:c>
      <x:c r="F826" s="2" t="n">
        <x:v>0</x:v>
      </x:c>
      <x:c r="G826" s="2" t="n">
        <x:v>0</x:v>
      </x:c>
      <x:c r="H826" s="2" t="n">
        <x:v>0</x:v>
      </x:c>
      <x:c r="I826" s="2" t="n">
        <x:v>-1</x:v>
      </x:c>
      <x:c r="J826" s="2" t="n">
        <x:v>12</x:v>
      </x:c>
      <x:c r="K826" s="2" t="n">
        <x:v>8</x:v>
      </x:c>
      <x:c r="L826" s="2" t="n">
        <x:v>950</x:v>
      </x:c>
      <x:c r="M826" s="2" t="n">
        <x:v>362</x:v>
      </x:c>
      <x:c r="N826" s="2" t="n">
        <x:v>250</x:v>
      </x:c>
      <x:c r="O826" s="2" t="str">
        <x:v>R15 terv; szigetelő perem/átvezető, kábel és erősáram elkülönítése</x:v>
      </x:c>
    </x:row>
    <x:row r="827" ht="34" customHeight="1">
      <x:c r="A827" s="2" t="str">
        <x:v>H0822</x:v>
      </x:c>
      <x:c r="B827" s="2" t="str">
        <x:v>KI12-TV02T2-01</x:v>
      </x:c>
      <x:c r="C827" s="2" t="str">
        <x:v>LED_ALSO_ATVEZETES</x:v>
      </x:c>
      <x:c r="D827" s="2" t="n">
        <x:v>62</x:v>
      </x:c>
      <x:c r="E827" s="2" t="n">
        <x:v>80</x:v>
      </x:c>
      <x:c r="F827" s="2" t="n">
        <x:v>0</x:v>
      </x:c>
      <x:c r="G827" s="2" t="n">
        <x:v>0</x:v>
      </x:c>
      <x:c r="H827" s="2" t="n">
        <x:v>0</x:v>
      </x:c>
      <x:c r="I827" s="2" t="n">
        <x:v>-1</x:v>
      </x:c>
      <x:c r="J827" s="2" t="n">
        <x:v>12</x:v>
      </x:c>
      <x:c r="K827" s="2" t="n">
        <x:v>18</x:v>
      </x:c>
      <x:c r="L827" s="2" t="n">
        <x:v>920</x:v>
      </x:c>
      <x:c r="M827" s="2" t="n">
        <x:v>80</x:v>
      </x:c>
      <x:c r="N827" s="2" t="n">
        <x:v>168</x:v>
      </x:c>
      <x:c r="O827" s="2" t="str">
        <x:v>R15 24V vezeték; szigetelő perem, Ø12 átmérő tervérték</x:v>
      </x:c>
    </x:row>
    <x:row r="828" ht="34" customHeight="1">
      <x:c r="A828" s="2" t="str">
        <x:v>H0823</x:v>
      </x:c>
      <x:c r="B828" s="2" t="str">
        <x:v>KI12-TV02T2-01</x:v>
      </x:c>
      <x:c r="C828" s="2" t="str">
        <x:v>TALCA_TAVTARTO</x:v>
      </x:c>
      <x:c r="D828" s="2" t="n">
        <x:v>47</x:v>
      </x:c>
      <x:c r="E828" s="2" t="n">
        <x:v>75</x:v>
      </x:c>
      <x:c r="F828" s="2" t="n">
        <x:v>0</x:v>
      </x:c>
      <x:c r="G828" s="2" t="n">
        <x:v>0</x:v>
      </x:c>
      <x:c r="H828" s="2" t="n">
        <x:v>0</x:v>
      </x:c>
      <x:c r="I828" s="2" t="n">
        <x:v>-1</x:v>
      </x:c>
      <x:c r="J828" s="2" t="n">
        <x:v>2.5</x:v>
      </x:c>
      <x:c r="K828" s="2" t="n">
        <x:v>10</x:v>
      </x:c>
      <x:c r="L828" s="2" t="n">
        <x:v>905</x:v>
      </x:c>
      <x:c r="M828" s="2" t="n">
        <x:v>75</x:v>
      </x:c>
      <x:c r="N828" s="2" t="n">
        <x:v>168</x:v>
      </x:c>
      <x:c r="O828" s="2" t="str">
        <x:v>17mm szigetelő távtartó,3.5x30 csavar; tálca2+17=19mm,lapba11mm; próbafúrás</x:v>
      </x:c>
    </x:row>
    <x:row r="829" ht="34" customHeight="1">
      <x:c r="A829" s="2" t="str">
        <x:v>H0824</x:v>
      </x:c>
      <x:c r="B829" s="2" t="str">
        <x:v>KI12-TV02T2-01</x:v>
      </x:c>
      <x:c r="C829" s="2" t="str">
        <x:v>TALCA_TAVTARTO</x:v>
      </x:c>
      <x:c r="D829" s="2" t="n">
        <x:v>47</x:v>
      </x:c>
      <x:c r="E829" s="2" t="n">
        <x:v>285</x:v>
      </x:c>
      <x:c r="F829" s="2" t="n">
        <x:v>0</x:v>
      </x:c>
      <x:c r="G829" s="2" t="n">
        <x:v>0</x:v>
      </x:c>
      <x:c r="H829" s="2" t="n">
        <x:v>0</x:v>
      </x:c>
      <x:c r="I829" s="2" t="n">
        <x:v>-1</x:v>
      </x:c>
      <x:c r="J829" s="2" t="n">
        <x:v>2.5</x:v>
      </x:c>
      <x:c r="K829" s="2" t="n">
        <x:v>10</x:v>
      </x:c>
      <x:c r="L829" s="2" t="n">
        <x:v>905</x:v>
      </x:c>
      <x:c r="M829" s="2" t="n">
        <x:v>285</x:v>
      </x:c>
      <x:c r="N829" s="2" t="n">
        <x:v>168</x:v>
      </x:c>
      <x:c r="O829" s="2" t="str">
        <x:v>17mm szigetelő távtartó,3.5x30 csavar; tálca2+17=19mm,lapba11mm; próbafúrás</x:v>
      </x:c>
    </x:row>
    <x:row r="830" ht="34" customHeight="1">
      <x:c r="A830" s="2" t="str">
        <x:v>H0825</x:v>
      </x:c>
      <x:c r="B830" s="2" t="str">
        <x:v>KI12-TV02T2-01</x:v>
      </x:c>
      <x:c r="C830" s="2" t="str">
        <x:v>TALCA_TAVTARTO</x:v>
      </x:c>
      <x:c r="D830" s="2" t="n">
        <x:v>447</x:v>
      </x:c>
      <x:c r="E830" s="2" t="n">
        <x:v>75</x:v>
      </x:c>
      <x:c r="F830" s="2" t="n">
        <x:v>0</x:v>
      </x:c>
      <x:c r="G830" s="2" t="n">
        <x:v>0</x:v>
      </x:c>
      <x:c r="H830" s="2" t="n">
        <x:v>0</x:v>
      </x:c>
      <x:c r="I830" s="2" t="n">
        <x:v>-1</x:v>
      </x:c>
      <x:c r="J830" s="2" t="n">
        <x:v>2.5</x:v>
      </x:c>
      <x:c r="K830" s="2" t="n">
        <x:v>10</x:v>
      </x:c>
      <x:c r="L830" s="2" t="n">
        <x:v>1305</x:v>
      </x:c>
      <x:c r="M830" s="2" t="n">
        <x:v>75</x:v>
      </x:c>
      <x:c r="N830" s="2" t="n">
        <x:v>168</x:v>
      </x:c>
      <x:c r="O830" s="2" t="str">
        <x:v>17mm szigetelő távtartó,3.5x30 csavar; tálca2+17=19mm,lapba11mm; próbafúrás</x:v>
      </x:c>
    </x:row>
    <x:row r="831" ht="34" customHeight="1">
      <x:c r="A831" s="2" t="str">
        <x:v>H0826</x:v>
      </x:c>
      <x:c r="B831" s="2" t="str">
        <x:v>KI12-TV02T2-01</x:v>
      </x:c>
      <x:c r="C831" s="2" t="str">
        <x:v>TALCA_TAVTARTO</x:v>
      </x:c>
      <x:c r="D831" s="2" t="n">
        <x:v>447</x:v>
      </x:c>
      <x:c r="E831" s="2" t="n">
        <x:v>285</x:v>
      </x:c>
      <x:c r="F831" s="2" t="n">
        <x:v>0</x:v>
      </x:c>
      <x:c r="G831" s="2" t="n">
        <x:v>0</x:v>
      </x:c>
      <x:c r="H831" s="2" t="n">
        <x:v>0</x:v>
      </x:c>
      <x:c r="I831" s="2" t="n">
        <x:v>-1</x:v>
      </x:c>
      <x:c r="J831" s="2" t="n">
        <x:v>2.5</x:v>
      </x:c>
      <x:c r="K831" s="2" t="n">
        <x:v>10</x:v>
      </x:c>
      <x:c r="L831" s="2" t="n">
        <x:v>1305</x:v>
      </x:c>
      <x:c r="M831" s="2" t="n">
        <x:v>285</x:v>
      </x:c>
      <x:c r="N831" s="2" t="n">
        <x:v>168</x:v>
      </x:c>
      <x:c r="O831" s="2" t="str">
        <x:v>17mm szigetelő távtartó,3.5x30 csavar; tálca2+17=19mm,lapba11mm; próbafúrás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75" hidden="0" customWidth="1"/>
    <x:col min="4" max="4" width="18" hidden="0" customWidth="1"/>
    <x:col min="5" max="5" width="45" hidden="0" customWidth="1"/>
  </x:cols>
  <x:sheetData>
    <x:row r="1">
      <x:c r="A1" s="5" t="str">
        <x:v>Aktív fúrási MPR-tervezetek / nincs woodWOP5 vagy gépi elfogadás</x:v>
      </x:c>
    </x:row>
    <x:row r="5" ht="40" customHeight="1">
      <x:c r="A5" s="4" t="str">
        <x:v>Darab</x:v>
      </x:c>
      <x:c r="B5" s="4" t="str">
        <x:v>Oldal</x:v>
      </x:c>
      <x:c r="C5" s="4" t="str">
        <x:v>Fájl</x:v>
      </x:c>
      <x:c r="D5" s="4" t="str">
        <x:v>Furat db</x:v>
      </x:c>
      <x:c r="E5" s="4" t="str">
        <x:v>Státusz</x:v>
      </x:c>
    </x:row>
    <x:row r="6" ht="34" customHeight="1">
      <x:c r="A6" s="2" t="str">
        <x:v>KI12-TV01S-01</x:v>
      </x:c>
      <x:c r="B6" s="2" t="str">
        <x:v>B</x:v>
      </x:c>
      <x:c r="C6" s="2" t="str">
        <x:v>mpr_aktiv_tervezet/KI12-TV01S-01_R15_B.mpr</x:v>
      </x:c>
      <x:c r="D6" s="2" t="n">
        <x:v>40</x:v>
      </x:c>
      <x:c r="E6" s="2" t="str">
        <x:v>EN=1 / ??=1; nincs gépre kiadva</x:v>
      </x:c>
    </x:row>
    <x:row r="7" ht="34" customHeight="1">
      <x:c r="A7" s="2" t="str">
        <x:v>KI12-TV01S-02</x:v>
      </x:c>
      <x:c r="B7" s="2" t="str">
        <x:v>A</x:v>
      </x:c>
      <x:c r="C7" s="2" t="str">
        <x:v>mpr_aktiv_tervezet/KI12-TV01S-02_R15_A.mpr</x:v>
      </x:c>
      <x:c r="D7" s="2" t="n">
        <x:v>40</x:v>
      </x:c>
      <x:c r="E7" s="2" t="str">
        <x:v>EN=1 / ??=1; nincs gépre kiadva</x:v>
      </x:c>
    </x:row>
    <x:row r="8" ht="34" customHeight="1">
      <x:c r="A8" s="2" t="str">
        <x:v>KI12-TV01T-01</x:v>
      </x:c>
      <x:c r="B8" s="2" t="str">
        <x:v>A</x:v>
      </x:c>
      <x:c r="C8" s="2" t="str">
        <x:v>mpr_aktiv_tervezet/KI12-TV01T-01_R15_A.mpr</x:v>
      </x:c>
      <x:c r="D8" s="2" t="n">
        <x:v>9</x:v>
      </x:c>
      <x:c r="E8" s="2" t="str">
        <x:v>EN=1 / ??=1; nincs gépre kiadva</x:v>
      </x:c>
    </x:row>
    <x:row r="9" ht="34" customHeight="1">
      <x:c r="A9" s="2" t="str">
        <x:v>KI12-TV01T-02</x:v>
      </x:c>
      <x:c r="B9" s="2" t="str">
        <x:v>A</x:v>
      </x:c>
      <x:c r="C9" s="2" t="str">
        <x:v>mpr_aktiv_tervezet/KI12-TV01T-02_R15_A.mpr</x:v>
      </x:c>
      <x:c r="D9" s="2" t="n">
        <x:v>6</x:v>
      </x:c>
      <x:c r="E9" s="2" t="str">
        <x:v>EN=1 / ??=1; nincs gépre kiadva</x:v>
      </x:c>
    </x:row>
    <x:row r="10" ht="34" customHeight="1">
      <x:c r="A10" s="2" t="str">
        <x:v>KI12-TV01T-02</x:v>
      </x:c>
      <x:c r="B10" s="2" t="str">
        <x:v>B</x:v>
      </x:c>
      <x:c r="C10" s="2" t="str">
        <x:v>mpr_aktiv_tervezet/KI12-TV01T-02_R15_B.mpr</x:v>
      </x:c>
      <x:c r="D10" s="2" t="n">
        <x:v>3</x:v>
      </x:c>
      <x:c r="E10" s="2" t="str">
        <x:v>EN=1 / ??=1; nincs gépre kiadva</x:v>
      </x:c>
    </x:row>
    <x:row r="11" ht="34" customHeight="1">
      <x:c r="A11" s="2" t="str">
        <x:v>KI12-TV01C-01</x:v>
      </x:c>
      <x:c r="B11" s="2" t="str">
        <x:v>A</x:v>
      </x:c>
      <x:c r="C11" s="2" t="str">
        <x:v>mpr_aktiv_tervezet/KI12-TV01C-01_R15_A.mpr</x:v>
      </x:c>
      <x:c r="D11" s="2" t="n">
        <x:v>21</x:v>
      </x:c>
      <x:c r="E11" s="2" t="str">
        <x:v>EN=1 / ??=1; nincs gépre kiadva</x:v>
      </x:c>
    </x:row>
    <x:row r="12" ht="34" customHeight="1">
      <x:c r="A12" s="2" t="str">
        <x:v>KI12-TV01C-01</x:v>
      </x:c>
      <x:c r="B12" s="2" t="str">
        <x:v>B</x:v>
      </x:c>
      <x:c r="C12" s="2" t="str">
        <x:v>mpr_aktiv_tervezet/KI12-TV01C-01_R15_B.mpr</x:v>
      </x:c>
      <x:c r="D12" s="2" t="n">
        <x:v>15</x:v>
      </x:c>
      <x:c r="E12" s="2" t="str">
        <x:v>EN=1 / ??=1; nincs gépre kiadva</x:v>
      </x:c>
    </x:row>
    <x:row r="13" ht="34" customHeight="1">
      <x:c r="A13" s="2" t="str">
        <x:v>KI12-TV01F-01</x:v>
      </x:c>
      <x:c r="B13" s="2" t="str">
        <x:v>A</x:v>
      </x:c>
      <x:c r="C13" s="2" t="str">
        <x:v>mpr_aktiv_tervezet/KI12-TV01F-01_R15_A.mpr</x:v>
      </x:c>
      <x:c r="D13" s="2" t="n">
        <x:v>15</x:v>
      </x:c>
      <x:c r="E13" s="2" t="str">
        <x:v>EN=1 / ??=1; nincs gépre kiadva</x:v>
      </x:c>
    </x:row>
    <x:row r="14" ht="34" customHeight="1">
      <x:c r="A14" s="2" t="str">
        <x:v>KI12-TV01F-02</x:v>
      </x:c>
      <x:c r="B14" s="2" t="str">
        <x:v>A</x:v>
      </x:c>
      <x:c r="C14" s="2" t="str">
        <x:v>mpr_aktiv_tervezet/KI12-TV01F-02_R15_A.mpr</x:v>
      </x:c>
      <x:c r="D14" s="2" t="n">
        <x:v>15</x:v>
      </x:c>
      <x:c r="E14" s="2" t="str">
        <x:v>EN=1 / ??=1; nincs gépre kiadva</x:v>
      </x:c>
    </x:row>
    <x:row r="15" ht="34" customHeight="1">
      <x:c r="A15" s="2" t="str">
        <x:v>KI12-TV01H-01</x:v>
      </x:c>
      <x:c r="B15" s="2" t="str">
        <x:v>A</x:v>
      </x:c>
      <x:c r="C15" s="2" t="str">
        <x:v>mpr_aktiv_tervezet/KI12-TV01H-01_R15_A.mpr</x:v>
      </x:c>
      <x:c r="D15" s="2" t="n">
        <x:v>14</x:v>
      </x:c>
      <x:c r="E15" s="2" t="str">
        <x:v>EN=1 / ??=1; nincs gépre kiadva</x:v>
      </x:c>
    </x:row>
    <x:row r="16" ht="34" customHeight="1">
      <x:c r="A16" s="2" t="str">
        <x:v>KI12-TV02S-01</x:v>
      </x:c>
      <x:c r="B16" s="2" t="str">
        <x:v>A</x:v>
      </x:c>
      <x:c r="C16" s="2" t="str">
        <x:v>mpr_aktiv_tervezet/KI12-TV02S-01_R15_A.mpr</x:v>
      </x:c>
      <x:c r="D16" s="2" t="n">
        <x:v>3</x:v>
      </x:c>
      <x:c r="E16" s="2" t="str">
        <x:v>EN=1 / ??=1; nincs gépre kiadva</x:v>
      </x:c>
    </x:row>
    <x:row r="17" ht="34" customHeight="1">
      <x:c r="A17" s="2" t="str">
        <x:v>KI12-TV02S-01</x:v>
      </x:c>
      <x:c r="B17" s="2" t="str">
        <x:v>B</x:v>
      </x:c>
      <x:c r="C17" s="2" t="str">
        <x:v>mpr_aktiv_tervezet/KI12-TV02S-01_R15_B.mpr</x:v>
      </x:c>
      <x:c r="D17" s="2" t="n">
        <x:v>19</x:v>
      </x:c>
      <x:c r="E17" s="2" t="str">
        <x:v>EN=1 / ??=1; nincs gépre kiadva</x:v>
      </x:c>
    </x:row>
    <x:row r="18" ht="34" customHeight="1">
      <x:c r="A18" s="2" t="str">
        <x:v>KI12-TV02S-02</x:v>
      </x:c>
      <x:c r="B18" s="2" t="str">
        <x:v>A</x:v>
      </x:c>
      <x:c r="C18" s="2" t="str">
        <x:v>mpr_aktiv_tervezet/KI12-TV02S-02_R15_A.mpr</x:v>
      </x:c>
      <x:c r="D18" s="2" t="n">
        <x:v>20</x:v>
      </x:c>
      <x:c r="E18" s="2" t="str">
        <x:v>EN=1 / ??=1; nincs gépre kiadva</x:v>
      </x:c>
    </x:row>
    <x:row r="19" ht="34" customHeight="1">
      <x:c r="A19" s="2" t="str">
        <x:v>KI12-TV02S-02</x:v>
      </x:c>
      <x:c r="B19" s="2" t="str">
        <x:v>B</x:v>
      </x:c>
      <x:c r="C19" s="2" t="str">
        <x:v>mpr_aktiv_tervezet/KI12-TV02S-02_R15_B.mpr</x:v>
      </x:c>
      <x:c r="D19" s="2" t="n">
        <x:v>2</x:v>
      </x:c>
      <x:c r="E19" s="2" t="str">
        <x:v>EN=1 / ??=1; nincs gépre kiadva</x:v>
      </x:c>
    </x:row>
    <x:row r="20" ht="34" customHeight="1">
      <x:c r="A20" s="2" t="str">
        <x:v>KI12-TV02S-03</x:v>
      </x:c>
      <x:c r="B20" s="2" t="str">
        <x:v>A</x:v>
      </x:c>
      <x:c r="C20" s="2" t="str">
        <x:v>mpr_aktiv_tervezet/KI12-TV02S-03_R15_A.mpr</x:v>
      </x:c>
      <x:c r="D20" s="2" t="n">
        <x:v>5</x:v>
      </x:c>
      <x:c r="E20" s="2" t="str">
        <x:v>EN=1 / ??=1; nincs gépre kiadva</x:v>
      </x:c>
    </x:row>
    <x:row r="21" ht="34" customHeight="1">
      <x:c r="A21" s="2" t="str">
        <x:v>KI12-TV02S-03</x:v>
      </x:c>
      <x:c r="B21" s="2" t="str">
        <x:v>B</x:v>
      </x:c>
      <x:c r="C21" s="2" t="str">
        <x:v>mpr_aktiv_tervezet/KI12-TV02S-03_R15_B.mpr</x:v>
      </x:c>
      <x:c r="D21" s="2" t="n">
        <x:v>17</x:v>
      </x:c>
      <x:c r="E21" s="2" t="str">
        <x:v>EN=1 / ??=1; nincs gépre kiadva</x:v>
      </x:c>
    </x:row>
    <x:row r="22" ht="34" customHeight="1">
      <x:c r="A22" s="2" t="str">
        <x:v>KI12-TV02S-04</x:v>
      </x:c>
      <x:c r="B22" s="2" t="str">
        <x:v>A</x:v>
      </x:c>
      <x:c r="C22" s="2" t="str">
        <x:v>mpr_aktiv_tervezet/KI12-TV02S-04_R15_A.mpr</x:v>
      </x:c>
      <x:c r="D22" s="2" t="n">
        <x:v>18</x:v>
      </x:c>
      <x:c r="E22" s="2" t="str">
        <x:v>EN=1 / ??=1; nincs gépre kiadva</x:v>
      </x:c>
    </x:row>
    <x:row r="23" ht="34" customHeight="1">
      <x:c r="A23" s="2" t="str">
        <x:v>KI12-TV02S-05</x:v>
      </x:c>
      <x:c r="B23" s="2" t="str">
        <x:v>A</x:v>
      </x:c>
      <x:c r="C23" s="2" t="str">
        <x:v>mpr_aktiv_tervezet/KI12-TV02S-05_R15_A.mpr</x:v>
      </x:c>
      <x:c r="D23" s="2" t="n">
        <x:v>3</x:v>
      </x:c>
      <x:c r="E23" s="2" t="str">
        <x:v>EN=1 / ??=1; nincs gépre kiadva</x:v>
      </x:c>
    </x:row>
    <x:row r="24" ht="34" customHeight="1">
      <x:c r="A24" s="2" t="str">
        <x:v>KI12-TV02S-05</x:v>
      </x:c>
      <x:c r="B24" s="2" t="str">
        <x:v>B</x:v>
      </x:c>
      <x:c r="C24" s="2" t="str">
        <x:v>mpr_aktiv_tervezet/KI12-TV02S-05_R15_B.mpr</x:v>
      </x:c>
      <x:c r="D24" s="2" t="n">
        <x:v>15</x:v>
      </x:c>
      <x:c r="E24" s="2" t="str">
        <x:v>EN=1 / ??=1; nincs gépre kiadva</x:v>
      </x:c>
    </x:row>
    <x:row r="25" ht="34" customHeight="1">
      <x:c r="A25" s="2" t="str">
        <x:v>KI12-TV02S-06</x:v>
      </x:c>
      <x:c r="B25" s="2" t="str">
        <x:v>A</x:v>
      </x:c>
      <x:c r="C25" s="2" t="str">
        <x:v>mpr_aktiv_tervezet/KI12-TV02S-06_R15_A.mpr</x:v>
      </x:c>
      <x:c r="D25" s="2" t="n">
        <x:v>18</x:v>
      </x:c>
      <x:c r="E25" s="2" t="str">
        <x:v>EN=1 / ??=1; nincs gépre kiadva</x:v>
      </x:c>
    </x:row>
    <x:row r="26" ht="34" customHeight="1">
      <x:c r="A26" s="2" t="str">
        <x:v>KI12-TV02S-07</x:v>
      </x:c>
      <x:c r="B26" s="2" t="str">
        <x:v>A</x:v>
      </x:c>
      <x:c r="C26" s="2" t="str">
        <x:v>mpr_aktiv_tervezet/KI12-TV02S-07_R15_A.mpr</x:v>
      </x:c>
      <x:c r="D26" s="2" t="n">
        <x:v>3</x:v>
      </x:c>
      <x:c r="E26" s="2" t="str">
        <x:v>EN=1 / ??=1; nincs gépre kiadva</x:v>
      </x:c>
    </x:row>
    <x:row r="27" ht="34" customHeight="1">
      <x:c r="A27" s="2" t="str">
        <x:v>KI12-TV02S-07</x:v>
      </x:c>
      <x:c r="B27" s="2" t="str">
        <x:v>B</x:v>
      </x:c>
      <x:c r="C27" s="2" t="str">
        <x:v>mpr_aktiv_tervezet/KI12-TV02S-07_R15_B.mpr</x:v>
      </x:c>
      <x:c r="D27" s="2" t="n">
        <x:v>15</x:v>
      </x:c>
      <x:c r="E27" s="2" t="str">
        <x:v>EN=1 / ??=1; nincs gépre kiadva</x:v>
      </x:c>
    </x:row>
    <x:row r="28" ht="34" customHeight="1">
      <x:c r="A28" s="2" t="str">
        <x:v>KI12-TV02S-08</x:v>
      </x:c>
      <x:c r="B28" s="2" t="str">
        <x:v>A</x:v>
      </x:c>
      <x:c r="C28" s="2" t="str">
        <x:v>mpr_aktiv_tervezet/KI12-TV02S-08_R15_A.mpr</x:v>
      </x:c>
      <x:c r="D28" s="2" t="n">
        <x:v>18</x:v>
      </x:c>
      <x:c r="E28" s="2" t="str">
        <x:v>EN=1 / ??=1; nincs gépre kiadva</x:v>
      </x:c>
    </x:row>
    <x:row r="29" ht="34" customHeight="1">
      <x:c r="A29" s="2" t="str">
        <x:v>KI12-TV02S-09</x:v>
      </x:c>
      <x:c r="B29" s="2" t="str">
        <x:v>A</x:v>
      </x:c>
      <x:c r="C29" s="2" t="str">
        <x:v>mpr_aktiv_tervezet/KI12-TV02S-09_R15_A.mpr</x:v>
      </x:c>
      <x:c r="D29" s="2" t="n">
        <x:v>3</x:v>
      </x:c>
      <x:c r="E29" s="2" t="str">
        <x:v>EN=1 / ??=1; nincs gépre kiadva</x:v>
      </x:c>
    </x:row>
    <x:row r="30" ht="34" customHeight="1">
      <x:c r="A30" s="2" t="str">
        <x:v>KI12-TV02S-09</x:v>
      </x:c>
      <x:c r="B30" s="2" t="str">
        <x:v>B</x:v>
      </x:c>
      <x:c r="C30" s="2" t="str">
        <x:v>mpr_aktiv_tervezet/KI12-TV02S-09_R15_B.mpr</x:v>
      </x:c>
      <x:c r="D30" s="2" t="n">
        <x:v>19</x:v>
      </x:c>
      <x:c r="E30" s="2" t="str">
        <x:v>EN=1 / ??=1; nincs gépre kiadva</x:v>
      </x:c>
    </x:row>
    <x:row r="31" ht="34" customHeight="1">
      <x:c r="A31" s="2" t="str">
        <x:v>KI12-TV02S-10</x:v>
      </x:c>
      <x:c r="B31" s="2" t="str">
        <x:v>A</x:v>
      </x:c>
      <x:c r="C31" s="2" t="str">
        <x:v>mpr_aktiv_tervezet/KI12-TV02S-10_R15_A.mpr</x:v>
      </x:c>
      <x:c r="D31" s="2" t="n">
        <x:v>20</x:v>
      </x:c>
      <x:c r="E31" s="2" t="str">
        <x:v>EN=1 / ??=1; nincs gépre kiadva</x:v>
      </x:c>
    </x:row>
    <x:row r="32" ht="34" customHeight="1">
      <x:c r="A32" s="2" t="str">
        <x:v>KI12-TV02T1-01</x:v>
      </x:c>
      <x:c r="B32" s="2" t="str">
        <x:v>A</x:v>
      </x:c>
      <x:c r="C32" s="2" t="str">
        <x:v>mpr_aktiv_tervezet/KI12-TV02T1-01_R15_A.mpr</x:v>
      </x:c>
      <x:c r="D32" s="2" t="n">
        <x:v>6</x:v>
      </x:c>
      <x:c r="E32" s="2" t="str">
        <x:v>EN=1 / ??=1; nincs gépre kiadva</x:v>
      </x:c>
    </x:row>
    <x:row r="33" ht="34" customHeight="1">
      <x:c r="A33" s="2" t="str">
        <x:v>KI12-TV02T2-01</x:v>
      </x:c>
      <x:c r="B33" s="2" t="str">
        <x:v>A</x:v>
      </x:c>
      <x:c r="C33" s="2" t="str">
        <x:v>mpr_aktiv_tervezet/KI12-TV02T2-01_R15_A.mpr</x:v>
      </x:c>
      <x:c r="D33" s="2" t="n">
        <x:v>11</x:v>
      </x:c>
      <x:c r="E33" s="2" t="str">
        <x:v>EN=1 / ??=1; nincs gépre kiadva</x:v>
      </x:c>
    </x:row>
    <x:row r="34" ht="34" customHeight="1">
      <x:c r="A34" s="2" t="str">
        <x:v>KI12-TV02T2-02</x:v>
      </x:c>
      <x:c r="B34" s="2" t="str">
        <x:v>A</x:v>
      </x:c>
      <x:c r="C34" s="2" t="str">
        <x:v>mpr_aktiv_tervezet/KI12-TV02T2-02_R15_A.mpr</x:v>
      </x:c>
      <x:c r="D34" s="2" t="n">
        <x:v>6</x:v>
      </x:c>
      <x:c r="E34" s="2" t="str">
        <x:v>EN=1 / ??=1; nincs gépre kiadva</x:v>
      </x:c>
    </x:row>
    <x:row r="35" ht="34" customHeight="1">
      <x:c r="A35" s="2" t="str">
        <x:v>KI12-TV02T2-03</x:v>
      </x:c>
      <x:c r="B35" s="2" t="str">
        <x:v>A</x:v>
      </x:c>
      <x:c r="C35" s="2" t="str">
        <x:v>mpr_aktiv_tervezet/KI12-TV02T2-03_R15_A.mpr</x:v>
      </x:c>
      <x:c r="D35" s="2" t="n">
        <x:v>6</x:v>
      </x:c>
      <x:c r="E35" s="2" t="str">
        <x:v>EN=1 / ??=1; nincs gépre kiadva</x:v>
      </x:c>
    </x:row>
    <x:row r="36" ht="34" customHeight="1">
      <x:c r="A36" s="2" t="str">
        <x:v>KI12-TV02T2-04</x:v>
      </x:c>
      <x:c r="B36" s="2" t="str">
        <x:v>A</x:v>
      </x:c>
      <x:c r="C36" s="2" t="str">
        <x:v>mpr_aktiv_tervezet/KI12-TV02T2-04_R15_A.mpr</x:v>
      </x:c>
      <x:c r="D36" s="2" t="n">
        <x:v>6</x:v>
      </x:c>
      <x:c r="E36" s="2" t="str">
        <x:v>EN=1 / ??=1; nincs gépre kiadva</x:v>
      </x:c>
    </x:row>
    <x:row r="37" ht="34" customHeight="1">
      <x:c r="A37" s="2" t="str">
        <x:v>KI12-TV02F1-01</x:v>
      </x:c>
      <x:c r="B37" s="2" t="str">
        <x:v>A</x:v>
      </x:c>
      <x:c r="C37" s="2" t="str">
        <x:v>mpr_aktiv_tervezet/KI12-TV02F1-01_R15_A.mpr</x:v>
      </x:c>
      <x:c r="D37" s="2" t="n">
        <x:v>6</x:v>
      </x:c>
      <x:c r="E37" s="2" t="str">
        <x:v>EN=1 / ??=1; nincs gépre kiadva</x:v>
      </x:c>
    </x:row>
    <x:row r="38" ht="34" customHeight="1">
      <x:c r="A38" s="2" t="str">
        <x:v>KI12-TV02F2-01</x:v>
      </x:c>
      <x:c r="B38" s="2" t="str">
        <x:v>A</x:v>
      </x:c>
      <x:c r="C38" s="2" t="str">
        <x:v>mpr_aktiv_tervezet/KI12-TV02F2-01_R15_A.mpr</x:v>
      </x:c>
      <x:c r="D38" s="2" t="n">
        <x:v>6</x:v>
      </x:c>
      <x:c r="E38" s="2" t="str">
        <x:v>EN=1 / ??=1; nincs gépre kiadva</x:v>
      </x:c>
    </x:row>
    <x:row r="39" ht="34" customHeight="1">
      <x:c r="A39" s="2" t="str">
        <x:v>KI12-TV02F2-04</x:v>
      </x:c>
      <x:c r="B39" s="2" t="str">
        <x:v>A</x:v>
      </x:c>
      <x:c r="C39" s="2" t="str">
        <x:v>mpr_aktiv_tervezet/KI12-TV02F2-04_R15_A.mpr</x:v>
      </x:c>
      <x:c r="D39" s="2" t="n">
        <x:v>6</x:v>
      </x:c>
      <x:c r="E39" s="2" t="str">
        <x:v>EN=1 / ??=1; nincs gépre kiadva</x:v>
      </x:c>
    </x:row>
    <x:row r="40" ht="34" customHeight="1">
      <x:c r="A40" s="2" t="str">
        <x:v>KI12-TV02H1-01</x:v>
      </x:c>
      <x:c r="B40" s="2" t="str">
        <x:v>A</x:v>
      </x:c>
      <x:c r="C40" s="2" t="str">
        <x:v>mpr_aktiv_tervezet/KI12-TV02H1-01_R15_A.mpr</x:v>
      </x:c>
      <x:c r="D40" s="2" t="n">
        <x:v>6</x:v>
      </x:c>
      <x:c r="E40" s="2" t="str">
        <x:v>EN=1 / ??=1; nincs gépre kiadva</x:v>
      </x:c>
    </x:row>
    <x:row r="41" ht="34" customHeight="1">
      <x:c r="A41" s="2" t="str">
        <x:v>KI12-TV02H2-01</x:v>
      </x:c>
      <x:c r="B41" s="2" t="str">
        <x:v>A</x:v>
      </x:c>
      <x:c r="C41" s="2" t="str">
        <x:v>mpr_aktiv_tervezet/KI12-TV02H2-01_R15_A.mpr</x:v>
      </x:c>
      <x:c r="D41" s="2" t="n">
        <x:v>105</x:v>
      </x:c>
      <x:c r="E41" s="2" t="str">
        <x:v>EN=1 / ??=1; nincs gépre kiadva</x:v>
      </x:c>
    </x:row>
    <x:row r="42" ht="34" customHeight="1">
      <x:c r="A42" s="2" t="str">
        <x:v>KI12-TV02H2-02</x:v>
      </x:c>
      <x:c r="B42" s="2" t="str">
        <x:v>A</x:v>
      </x:c>
      <x:c r="C42" s="2" t="str">
        <x:v>mpr_aktiv_tervezet/KI12-TV02H2-02_R15_A.mpr</x:v>
      </x:c>
      <x:c r="D42" s="2" t="n">
        <x:v>6</x:v>
      </x:c>
      <x:c r="E42" s="2" t="str">
        <x:v>EN=1 / ??=1; nincs gépre kiadva</x:v>
      </x:c>
    </x:row>
    <x:row r="43" ht="34" customHeight="1">
      <x:c r="A43" s="2" t="str">
        <x:v>KI12-TV02H2-03</x:v>
      </x:c>
      <x:c r="B43" s="2" t="str">
        <x:v>A</x:v>
      </x:c>
      <x:c r="C43" s="2" t="str">
        <x:v>mpr_aktiv_tervezet/KI12-TV02H2-03_R15_A.mpr</x:v>
      </x:c>
      <x:c r="D43" s="2" t="n">
        <x:v>6</x:v>
      </x:c>
      <x:c r="E43" s="2" t="str">
        <x:v>EN=1 / ??=1; nincs gépre kiadva</x:v>
      </x:c>
    </x:row>
    <x:row r="44" ht="34" customHeight="1">
      <x:c r="A44" s="2" t="str">
        <x:v>KI12-TV02H2-04</x:v>
      </x:c>
      <x:c r="B44" s="2" t="str">
        <x:v>A</x:v>
      </x:c>
      <x:c r="C44" s="2" t="str">
        <x:v>mpr_aktiv_tervezet/KI12-TV02H2-04_R15_A.mpr</x:v>
      </x:c>
      <x:c r="D44" s="2" t="n">
        <x:v>6</x:v>
      </x:c>
      <x:c r="E44" s="2" t="str">
        <x:v>EN=1 / ??=1; nincs gépre kiadva</x:v>
      </x:c>
    </x:row>
    <x:row r="45" ht="34" customHeight="1">
      <x:c r="A45" s="2" t="str">
        <x:v>KI12-TV02CAP-01</x:v>
      </x:c>
      <x:c r="B45" s="2" t="str">
        <x:v>B</x:v>
      </x:c>
      <x:c r="C45" s="2" t="str">
        <x:v>mpr_aktiv_tervezet/KI12-TV02CAP-01_R15_B.mpr</x:v>
      </x:c>
      <x:c r="D45" s="2" t="n">
        <x:v>30</x:v>
      </x:c>
      <x:c r="E45" s="2" t="str">
        <x:v>EN=1 / ??=1; nincs gépre kiadva</x:v>
      </x:c>
    </x:row>
    <x:row r="46" ht="34" customHeight="1">
      <x:c r="A46" s="2" t="str">
        <x:v>KI12-TV03P-01</x:v>
      </x:c>
      <x:c r="B46" s="2" t="str">
        <x:v>A</x:v>
      </x:c>
      <x:c r="C46" s="2" t="str">
        <x:v>mpr_aktiv_tervezet/KI12-TV03P-01_R15_A.mpr</x:v>
      </x:c>
      <x:c r="D46" s="2" t="n">
        <x:v>24</x:v>
      </x:c>
      <x:c r="E46" s="2" t="str">
        <x:v>EN=1 / ??=1; nincs gépre kiadva</x:v>
      </x:c>
    </x:row>
    <x:row r="47" ht="34" customHeight="1">
      <x:c r="A47" s="2" t="str">
        <x:v>KI12-TV03P-02</x:v>
      </x:c>
      <x:c r="B47" s="2" t="str">
        <x:v>A</x:v>
      </x:c>
      <x:c r="C47" s="2" t="str">
        <x:v>mpr_aktiv_tervezet/KI12-TV03P-02_R15_A.mpr</x:v>
      </x:c>
      <x:c r="D47" s="2" t="n">
        <x:v>24</x:v>
      </x:c>
      <x:c r="E47" s="2" t="str">
        <x:v>EN=1 / ??=1; nincs gépre kiadva</x:v>
      </x:c>
    </x:row>
    <x:row r="48" ht="34" customHeight="1">
      <x:c r="A48" s="2" t="str">
        <x:v>KI12-TV03P-03</x:v>
      </x:c>
      <x:c r="B48" s="2" t="str">
        <x:v>A</x:v>
      </x:c>
      <x:c r="C48" s="2" t="str">
        <x:v>mpr_aktiv_tervezet/KI12-TV03P-03_R15_A.mpr</x:v>
      </x:c>
      <x:c r="D48" s="2" t="n">
        <x:v>24</x:v>
      </x:c>
      <x:c r="E48" s="2" t="str">
        <x:v>EN=1 / ??=1; nincs gépre kiadva</x:v>
      </x:c>
    </x:row>
    <x:row r="49" ht="34" customHeight="1">
      <x:c r="A49" s="2" t="str">
        <x:v>KI12-TV03P-04</x:v>
      </x:c>
      <x:c r="B49" s="2" t="str">
        <x:v>A</x:v>
      </x:c>
      <x:c r="C49" s="2" t="str">
        <x:v>mpr_aktiv_tervezet/KI12-TV03P-04_R15_A.mpr</x:v>
      </x:c>
      <x:c r="D49" s="2" t="n">
        <x:v>24</x:v>
      </x:c>
      <x:c r="E49" s="2" t="str">
        <x:v>EN=1 / ??=1; nincs gépre kiadva</x:v>
      </x:c>
    </x:row>
    <x:row r="50" ht="34" customHeight="1">
      <x:c r="A50" s="2" t="str">
        <x:v>KI13-GAP-LOW-01</x:v>
      </x:c>
      <x:c r="B50" s="2" t="str">
        <x:v>A</x:v>
      </x:c>
      <x:c r="C50" s="2" t="str">
        <x:v>mpr_aktiv_tervezet/KI13-GAP-LOW-01_R15_A.mpr</x:v>
      </x:c>
      <x:c r="D50" s="2" t="n">
        <x:v>4</x:v>
      </x:c>
      <x:c r="E50" s="2" t="str">
        <x:v>EN=1 / ??=1; nincs gépre kiadva</x:v>
      </x:c>
    </x:row>
    <x:row r="51" ht="34" customHeight="1">
      <x:c r="A51" s="2" t="str">
        <x:v>KI14-BAT-01</x:v>
      </x:c>
      <x:c r="B51" s="2" t="str">
        <x:v>A</x:v>
      </x:c>
      <x:c r="C51" s="2" t="str">
        <x:v>mpr_aktiv_tervezet/KI14-BAT-01_R15_A.mpr</x:v>
      </x:c>
      <x:c r="D51" s="2" t="n">
        <x:v>7</x:v>
      </x:c>
      <x:c r="E51" s="2" t="str">
        <x:v>EN=1 / ??=1; nincs gépre kiadva</x:v>
      </x:c>
    </x:row>
    <x:row r="52" ht="34" customHeight="1">
      <x:c r="A52" s="2" t="str">
        <x:v>KI14-BAT-01</x:v>
      </x:c>
      <x:c r="B52" s="2" t="str">
        <x:v>B</x:v>
      </x:c>
      <x:c r="C52" s="2" t="str">
        <x:v>mpr_aktiv_tervezet/KI14-BAT-01_R15_B.mpr</x:v>
      </x:c>
      <x:c r="D52" s="2" t="n">
        <x:v>7</x:v>
      </x:c>
      <x:c r="E52" s="2" t="str">
        <x:v>EN=1 / ??=1; nincs gépre kiadva</x:v>
      </x:c>
    </x:row>
    <x:row r="53" ht="34" customHeight="1">
      <x:c r="A53" s="2" t="str">
        <x:v>KI14-BAT-02</x:v>
      </x:c>
      <x:c r="B53" s="2" t="str">
        <x:v>A</x:v>
      </x:c>
      <x:c r="C53" s="2" t="str">
        <x:v>mpr_aktiv_tervezet/KI14-BAT-02_R15_A.mpr</x:v>
      </x:c>
      <x:c r="D53" s="2" t="n">
        <x:v>14</x:v>
      </x:c>
      <x:c r="E53" s="2" t="str">
        <x:v>EN=1 / ??=1; nincs gépre kiadva</x:v>
      </x:c>
    </x:row>
    <x:row r="54" ht="34" customHeight="1">
      <x:c r="A54" s="2" t="str">
        <x:v>KI14-BAT-03</x:v>
      </x:c>
      <x:c r="B54" s="2" t="str">
        <x:v>A</x:v>
      </x:c>
      <x:c r="C54" s="2" t="str">
        <x:v>mpr_aktiv_tervezet/KI14-BAT-03_R15_A.mpr</x:v>
      </x:c>
      <x:c r="D54" s="2" t="n">
        <x:v>3</x:v>
      </x:c>
      <x:c r="E54" s="2" t="str">
        <x:v>EN=1 / ??=1; nincs gépre kiadva</x:v>
      </x:c>
    </x:row>
    <x:row r="55" ht="34" customHeight="1">
      <x:c r="A55" s="2" t="str">
        <x:v>KI14-BAT-03</x:v>
      </x:c>
      <x:c r="B55" s="2" t="str">
        <x:v>B</x:v>
      </x:c>
      <x:c r="C55" s="2" t="str">
        <x:v>mpr_aktiv_tervezet/KI14-BAT-03_R15_B.mpr</x:v>
      </x:c>
      <x:c r="D55" s="2" t="n">
        <x:v>3</x:v>
      </x:c>
      <x:c r="E55" s="2" t="str">
        <x:v>EN=1 / ??=1; nincs gépre kiadva</x:v>
      </x:c>
    </x:row>
    <x:row r="56" ht="34" customHeight="1">
      <x:c r="A56" s="2" t="str">
        <x:v>KI14-BAT-04</x:v>
      </x:c>
      <x:c r="B56" s="2" t="str">
        <x:v>A</x:v>
      </x:c>
      <x:c r="C56" s="2" t="str">
        <x:v>mpr_aktiv_tervezet/KI14-BAT-04_R15_A.mpr</x:v>
      </x:c>
      <x:c r="D56" s="2" t="n">
        <x:v>6</x:v>
      </x:c>
      <x:c r="E56" s="2" t="str">
        <x:v>EN=1 / ??=1; nincs gépre kiadva</x:v>
      </x:c>
    </x:row>
    <x:row r="57" ht="34" customHeight="1">
      <x:c r="A57" s="2" t="str">
        <x:v>KI14-BAT-05</x:v>
      </x:c>
      <x:c r="B57" s="2" t="str">
        <x:v>A</x:v>
      </x:c>
      <x:c r="C57" s="2" t="str">
        <x:v>mpr_aktiv_tervezet/KI14-BAT-05_R15_A.mpr</x:v>
      </x:c>
      <x:c r="D57" s="2" t="n">
        <x:v>3</x:v>
      </x:c>
      <x:c r="E57" s="2" t="str">
        <x:v>EN=1 / ??=1; nincs gépre kiadva</x:v>
      </x:c>
    </x:row>
    <x:row r="58" ht="34" customHeight="1">
      <x:c r="A58" s="2" t="str">
        <x:v>KI14-BAT-05</x:v>
      </x:c>
      <x:c r="B58" s="2" t="str">
        <x:v>B</x:v>
      </x:c>
      <x:c r="C58" s="2" t="str">
        <x:v>mpr_aktiv_tervezet/KI14-BAT-05_R15_B.mpr</x:v>
      </x:c>
      <x:c r="D58" s="2" t="n">
        <x:v>3</x:v>
      </x:c>
      <x:c r="E58" s="2" t="str">
        <x:v>EN=1 / ??=1; nincs gépre kiadva</x:v>
      </x:c>
    </x:row>
    <x:row r="59" ht="34" customHeight="1">
      <x:c r="A59" s="2" t="str">
        <x:v>KI14-BAT-06</x:v>
      </x:c>
      <x:c r="B59" s="2" t="str">
        <x:v>A</x:v>
      </x:c>
      <x:c r="C59" s="2" t="str">
        <x:v>mpr_aktiv_tervezet/KI14-BAT-06_R15_A.mpr</x:v>
      </x:c>
      <x:c r="D59" s="2" t="n">
        <x:v>6</x:v>
      </x:c>
      <x:c r="E59" s="2" t="str">
        <x:v>EN=1 / ??=1; nincs gépre kiadva</x:v>
      </x:c>
    </x:row>
    <x:row r="60" ht="34" customHeight="1">
      <x:c r="A60" s="2" t="str">
        <x:v>KI14-BAT-07</x:v>
      </x:c>
      <x:c r="B60" s="2" t="str">
        <x:v>A</x:v>
      </x:c>
      <x:c r="C60" s="2" t="str">
        <x:v>mpr_aktiv_tervezet/KI14-BAT-07_R15_A.mpr</x:v>
      </x:c>
      <x:c r="D60" s="2" t="n">
        <x:v>3</x:v>
      </x:c>
      <x:c r="E60" s="2" t="str">
        <x:v>EN=1 / ??=1; nincs gépre kiadva</x:v>
      </x:c>
    </x:row>
    <x:row r="61" ht="34" customHeight="1">
      <x:c r="A61" s="2" t="str">
        <x:v>KI14-BAT-07</x:v>
      </x:c>
      <x:c r="B61" s="2" t="str">
        <x:v>B</x:v>
      </x:c>
      <x:c r="C61" s="2" t="str">
        <x:v>mpr_aktiv_tervezet/KI14-BAT-07_R15_B.mpr</x:v>
      </x:c>
      <x:c r="D61" s="2" t="n">
        <x:v>3</x:v>
      </x:c>
      <x:c r="E61" s="2" t="str">
        <x:v>EN=1 / ??=1; nincs gépre kiadva</x:v>
      </x:c>
    </x:row>
    <x:row r="62" ht="34" customHeight="1">
      <x:c r="A62" s="2" t="str">
        <x:v>KI14-BAT-08</x:v>
      </x:c>
      <x:c r="B62" s="2" t="str">
        <x:v>A</x:v>
      </x:c>
      <x:c r="C62" s="2" t="str">
        <x:v>mpr_aktiv_tervezet/KI14-BAT-08_R15_A.mpr</x:v>
      </x:c>
      <x:c r="D62" s="2" t="n">
        <x:v>6</x:v>
      </x:c>
      <x:c r="E62" s="2" t="str">
        <x:v>EN=1 / ??=1; nincs gépre kiadva</x:v>
      </x:c>
    </x:row>
    <x:row r="63" ht="34" customHeight="1">
      <x:c r="A63" s="2" t="str">
        <x:v>KI14-BAT-09</x:v>
      </x:c>
      <x:c r="B63" s="2" t="str">
        <x:v>A</x:v>
      </x:c>
      <x:c r="C63" s="2" t="str">
        <x:v>mpr_aktiv_tervezet/KI14-BAT-09_R15_A.mpr</x:v>
      </x:c>
      <x:c r="D63" s="2" t="n">
        <x:v>3</x:v>
      </x:c>
      <x:c r="E63" s="2" t="str">
        <x:v>EN=1 / ??=1; nincs gépre kiadva</x:v>
      </x:c>
    </x:row>
    <x:row r="64" ht="34" customHeight="1">
      <x:c r="A64" s="2" t="str">
        <x:v>KI14-BAT-09</x:v>
      </x:c>
      <x:c r="B64" s="2" t="str">
        <x:v>B</x:v>
      </x:c>
      <x:c r="C64" s="2" t="str">
        <x:v>mpr_aktiv_tervezet/KI14-BAT-09_R15_B.mpr</x:v>
      </x:c>
      <x:c r="D64" s="2" t="n">
        <x:v>3</x:v>
      </x:c>
      <x:c r="E64" s="2" t="str">
        <x:v>EN=1 / ??=1; nincs gépre kiadva</x:v>
      </x:c>
    </x:row>
    <x:row r="65" ht="34" customHeight="1">
      <x:c r="A65" s="2" t="str">
        <x:v>KI14-BAT-10</x:v>
      </x:c>
      <x:c r="B65" s="2" t="str">
        <x:v>A</x:v>
      </x:c>
      <x:c r="C65" s="2" t="str">
        <x:v>mpr_aktiv_tervezet/KI14-BAT-10_R15_A.mpr</x:v>
      </x:c>
      <x:c r="D65" s="2" t="n">
        <x:v>6</x:v>
      </x:c>
      <x:c r="E65" s="2" t="str">
        <x:v>EN=1 / ??=1; nincs gépre kiadva</x:v>
      </x:c>
    </x:row>
    <x:row r="66" ht="34" customHeight="1">
      <x:c r="A66" s="2" t="str">
        <x:v>KI14-BAT-11</x:v>
      </x:c>
      <x:c r="B66" s="2" t="str">
        <x:v>A</x:v>
      </x:c>
      <x:c r="C66" s="2" t="str">
        <x:v>mpr_aktiv_tervezet/KI14-BAT-11_R15_A.mpr</x:v>
      </x:c>
      <x:c r="D66" s="2" t="n">
        <x:v>3</x:v>
      </x:c>
      <x:c r="E66" s="2" t="str">
        <x:v>EN=1 / ??=1; nincs gépre kiadva</x:v>
      </x:c>
    </x:row>
    <x:row r="67" ht="34" customHeight="1">
      <x:c r="A67" s="2" t="str">
        <x:v>KI14-BAT-11</x:v>
      </x:c>
      <x:c r="B67" s="2" t="str">
        <x:v>B</x:v>
      </x:c>
      <x:c r="C67" s="2" t="str">
        <x:v>mpr_aktiv_tervezet/KI14-BAT-11_R15_B.mpr</x:v>
      </x:c>
      <x:c r="D67" s="2" t="n">
        <x:v>3</x:v>
      </x:c>
      <x:c r="E67" s="2" t="str">
        <x:v>EN=1 / ??=1; nincs gépre kiadva</x:v>
      </x:c>
    </x:row>
    <x:row r="68" ht="34" customHeight="1">
      <x:c r="A68" s="2" t="str">
        <x:v>KI14-BAT-12</x:v>
      </x:c>
      <x:c r="B68" s="2" t="str">
        <x:v>A</x:v>
      </x:c>
      <x:c r="C68" s="2" t="str">
        <x:v>mpr_aktiv_tervezet/KI14-BAT-12_R15_A.mpr</x:v>
      </x:c>
      <x:c r="D68" s="2" t="n">
        <x:v>6</x:v>
      </x:c>
      <x:c r="E68" s="2" t="str">
        <x:v>EN=1 / ??=1; nincs gépre kiadva</x:v>
      </x:c>
    </x:row>
    <x:row r="69" ht="34" customHeight="1">
      <x:c r="A69" s="2" t="str">
        <x:v>KI14-GAPBAT-01</x:v>
      </x:c>
      <x:c r="B69" s="2" t="str">
        <x:v>A</x:v>
      </x:c>
      <x:c r="C69" s="2" t="str">
        <x:v>mpr_aktiv_tervezet/KI14-GAPBAT-01_R15_A.mpr</x:v>
      </x:c>
      <x:c r="D69" s="2" t="n">
        <x:v>2</x:v>
      </x:c>
      <x:c r="E69" s="2" t="str">
        <x:v>EN=1 / ??=1; nincs gépre kiadva</x:v>
      </x:c>
    </x:row>
    <x:row r="70" ht="34" customHeight="1">
      <x:c r="A70" s="2" t="str">
        <x:v>KI14-GAPBAT-01</x:v>
      </x:c>
      <x:c r="B70" s="2" t="str">
        <x:v>B</x:v>
      </x:c>
      <x:c r="C70" s="2" t="str">
        <x:v>mpr_aktiv_tervezet/KI14-GAPBAT-01_R15_B.mpr</x:v>
      </x:c>
      <x:c r="D70" s="2" t="n">
        <x:v>2</x:v>
      </x:c>
      <x:c r="E70" s="2" t="str">
        <x:v>EN=1 / ??=1; nincs gépre kiadva</x:v>
      </x:c>
    </x:row>
    <x:row r="71" ht="34" customHeight="1">
      <x:c r="A71" s="2" t="str">
        <x:v>KI14-GAPBAT-02</x:v>
      </x:c>
      <x:c r="B71" s="2" t="str">
        <x:v>A</x:v>
      </x:c>
      <x:c r="C71" s="2" t="str">
        <x:v>mpr_aktiv_tervezet/KI14-GAPBAT-02_R15_A.mpr</x:v>
      </x:c>
      <x:c r="D71" s="2" t="n">
        <x:v>4</x:v>
      </x:c>
      <x:c r="E71" s="2" t="str">
        <x:v>EN=1 / ??=1; nincs gépre kiadva</x:v>
      </x:c>
    </x:row>
    <x:row r="72" ht="34" customHeight="1">
      <x:c r="A72" s="2" t="str">
        <x:v>KI14-RAIL-01</x:v>
      </x:c>
      <x:c r="B72" s="2" t="str">
        <x:v>A</x:v>
      </x:c>
      <x:c r="C72" s="2" t="str">
        <x:v>mpr_aktiv_tervezet/KI14-RAIL-01_R15_A.mpr</x:v>
      </x:c>
      <x:c r="D72" s="2" t="n">
        <x:v>6</x:v>
      </x:c>
      <x:c r="E72" s="2" t="str">
        <x:v>EN=1 / ??=1; nincs gépre kiadva</x:v>
      </x:c>
    </x:row>
    <x:row r="73" ht="34" customHeight="1">
      <x:c r="A73" s="2" t="str">
        <x:v>KI14-RAIL-02</x:v>
      </x:c>
      <x:c r="B73" s="2" t="str">
        <x:v>A</x:v>
      </x:c>
      <x:c r="C73" s="2" t="str">
        <x:v>mpr_aktiv_tervezet/KI14-RAIL-02_R15_A.mpr</x:v>
      </x:c>
      <x:c r="D73" s="2" t="n">
        <x:v>6</x:v>
      </x:c>
      <x:c r="E73" s="2" t="str">
        <x:v>EN=1 / ??=1; nincs gépre kiadva</x:v>
      </x:c>
    </x:row>
    <x:row r="74" ht="34" customHeight="1">
      <x:c r="A74" s="2" t="str">
        <x:v>KI14-RAIL-03</x:v>
      </x:c>
      <x:c r="B74" s="2" t="str">
        <x:v>A</x:v>
      </x:c>
      <x:c r="C74" s="2" t="str">
        <x:v>mpr_aktiv_tervezet/KI14-RAIL-03_R15_A.mpr</x:v>
      </x:c>
      <x:c r="D74" s="2" t="n">
        <x:v>6</x:v>
      </x:c>
      <x:c r="E74" s="2" t="str">
        <x:v>EN=1 / ??=1; nincs gépre kiadva</x:v>
      </x:c>
    </x:row>
    <x:row r="75" ht="34" customHeight="1">
      <x:c r="A75" s="2" t="str">
        <x:v>KI14-RAIL-04</x:v>
      </x:c>
      <x:c r="B75" s="2" t="str">
        <x:v>A</x:v>
      </x:c>
      <x:c r="C75" s="2" t="str">
        <x:v>mpr_aktiv_tervezet/KI14-RAIL-04_R15_A.mpr</x:v>
      </x:c>
      <x:c r="D75" s="2" t="n">
        <x:v>6</x:v>
      </x:c>
      <x:c r="E75" s="2" t="str">
        <x:v>EN=1 / ??=1; nincs gépre kiadva</x:v>
      </x:c>
    </x:row>
    <x:row r="76" ht="34" customHeight="1">
      <x:c r="A76" s="2" t="str">
        <x:v>KI14-RAIL-05</x:v>
      </x:c>
      <x:c r="B76" s="2" t="str">
        <x:v>A</x:v>
      </x:c>
      <x:c r="C76" s="2" t="str">
        <x:v>mpr_aktiv_tervezet/KI14-RAIL-05_R15_A.mpr</x:v>
      </x:c>
      <x:c r="D76" s="2" t="n">
        <x:v>6</x:v>
      </x:c>
      <x:c r="E76" s="2" t="str">
        <x:v>EN=1 / ??=1; nincs gépre kiadva</x:v>
      </x:c>
    </x:row>
    <x:row r="77" ht="34" customHeight="1">
      <x:c r="A77" s="2" t="str">
        <x:v>KI14-RAIL-06</x:v>
      </x:c>
      <x:c r="B77" s="2" t="str">
        <x:v>A</x:v>
      </x:c>
      <x:c r="C77" s="2" t="str">
        <x:v>mpr_aktiv_tervezet/KI14-RAIL-06_R15_A.mpr</x:v>
      </x:c>
      <x:c r="D77" s="2" t="n">
        <x:v>6</x:v>
      </x:c>
      <x:c r="E77" s="2" t="str">
        <x:v>EN=1 / ??=1; nincs gépre kiadva</x:v>
      </x:c>
    </x:row>
    <x:row r="78" ht="34" customHeight="1">
      <x:c r="A78" s="2" t="str">
        <x:v>KI14-RAIL-07</x:v>
      </x:c>
      <x:c r="B78" s="2" t="str">
        <x:v>A</x:v>
      </x:c>
      <x:c r="C78" s="2" t="str">
        <x:v>mpr_aktiv_tervezet/KI14-RAIL-07_R15_A.mpr</x:v>
      </x:c>
      <x:c r="D78" s="2" t="n">
        <x:v>6</x:v>
      </x:c>
      <x:c r="E78" s="2" t="str">
        <x:v>EN=1 / ??=1; nincs gépre kiadva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42" hidden="0" customWidth="1"/>
    <x:col min="5" max="5" width="18" hidden="0" customWidth="1"/>
    <x:col min="6" max="6" width="80" hidden="0" customWidth="1"/>
  </x:cols>
  <x:sheetData>
    <x:row r="1">
      <x:c r="A1" s="5" t="str">
        <x:v>Kiválasztott rendszerek és kifejezetten jelölt tervezési specifikációk</x:v>
      </x:c>
    </x:row>
    <x:row r="5" ht="40" customHeight="1">
      <x:c r="A5" s="4" t="str">
        <x:v>ID</x:v>
      </x:c>
      <x:c r="B5" s="4" t="str">
        <x:v>Gyártó</x:v>
      </x:c>
      <x:c r="C5" s="4" t="str">
        <x:v>SKU / specifikáció</x:v>
      </x:c>
      <x:c r="D5" s="4" t="str">
        <x:v>Megnevezés</x:v>
      </x:c>
      <x:c r="E5" s="4" t="str">
        <x:v>Db / egység</x:v>
      </x:c>
      <x:c r="F5" s="4" t="str">
        <x:v>Bizonyíték / nyitott feltétel</x:v>
      </x:c>
    </x:row>
    <x:row r="6" ht="46" customHeight="1">
      <x:c r="A6" s="2" t="str">
        <x:v>HW01</x:v>
      </x:c>
      <x:c r="B6" s="2" t="str">
        <x:v>Blum</x:v>
      </x:c>
      <x:c r="C6" s="2" t="str">
        <x:v>70T3550.TL</x:v>
      </x:c>
      <x:c r="D6" s="2" t="str">
        <x:v>Rugó nélküli ráütődő pánt</x:v>
      </x:c>
      <x:c r="E6" s="2" t="n">
        <x:v>16</x:v>
      </x:c>
      <x:c r="F6" s="2" t="str">
        <x:v>Gyári furatkép, tömeg/nyitáspróba nyitott</x:v>
      </x:c>
    </x:row>
    <x:row r="7" ht="46" customHeight="1">
      <x:c r="A7" s="2" t="str">
        <x:v>HW02</x:v>
      </x:c>
      <x:c r="B7" s="2" t="str">
        <x:v>Blum</x:v>
      </x:c>
      <x:c r="C7" s="2" t="str">
        <x:v>173H7100</x:v>
      </x:c>
      <x:c r="D7" s="2" t="str">
        <x:v>0mm pánttalp</x:v>
      </x:c>
      <x:c r="E7" s="2" t="n">
        <x:v>16</x:v>
      </x:c>
      <x:c r="F7" s="2" t="str">
        <x:v>Gyári37/32 kiosztás; csavar pilot próba</x:v>
      </x:c>
    </x:row>
    <x:row r="8" ht="46" customHeight="1">
      <x:c r="A8" s="2" t="str">
        <x:v>HW03</x:v>
      </x:c>
      <x:c r="B8" s="2" t="str">
        <x:v>Blum</x:v>
      </x:c>
      <x:c r="C8" s="2" t="str">
        <x:v>956A1004</x:v>
      </x:c>
      <x:c r="D8" s="2" t="str">
        <x:v>Hosszú mágneses TIP-ON</x:v>
      </x:c>
      <x:c r="E8" s="2" t="n">
        <x:v>2</x:v>
      </x:c>
      <x:c r="F8" s="2" t="str">
        <x:v>Frontonként1; működéspróba szükséges</x:v>
      </x:c>
    </x:row>
    <x:row r="9" ht="46" customHeight="1">
      <x:c r="A9" s="2" t="str">
        <x:v>HW04</x:v>
      </x:c>
      <x:c r="B9" s="2" t="str">
        <x:v>Blum</x:v>
      </x:c>
      <x:c r="C9" s="2" t="str">
        <x:v>956A1201</x:v>
      </x:c>
      <x:c r="D9" s="2" t="str">
        <x:v>Hosszú egyenes adapter</x:v>
      </x:c>
      <x:c r="E9" s="2" t="n">
        <x:v>2</x:v>
      </x:c>
      <x:c r="F9" s="2" t="str">
        <x:v>20/32 furat; benne a CAD-ben</x:v>
      </x:c>
    </x:row>
    <x:row r="10" ht="46" customHeight="1">
      <x:c r="A10" s="2" t="str">
        <x:v>HW05</x:v>
      </x:c>
      <x:c r="B10" s="2" t="str">
        <x:v>Blum</x:v>
      </x:c>
      <x:c r="C10" s="2" t="str">
        <x:v>956.1004</x:v>
      </x:c>
      <x:c r="D10" s="2" t="str">
        <x:v>Rövid mágneses TIP-ON</x:v>
      </x:c>
      <x:c r="E10" s="2" t="n">
        <x:v>3</x:v>
      </x:c>
      <x:c r="F10" s="2" t="str">
        <x:v>Alsó1,2,5; működéspróba szükséges</x:v>
      </x:c>
    </x:row>
    <x:row r="11" ht="46" customHeight="1">
      <x:c r="A11" s="2" t="str">
        <x:v>HW06</x:v>
      </x:c>
      <x:c r="B11" s="2" t="str">
        <x:v>Blum</x:v>
      </x:c>
      <x:c r="C11" s="2" t="str">
        <x:v>956.1201</x:v>
      </x:c>
      <x:c r="D11" s="2" t="str">
        <x:v>Rövid egyenes adapter</x:v>
      </x:c>
      <x:c r="E11" s="2" t="n">
        <x:v>3</x:v>
      </x:c>
      <x:c r="F11" s="2" t="str">
        <x:v>20/17 furat; benne a CAD-ben</x:v>
      </x:c>
    </x:row>
    <x:row r="12" ht="46" customHeight="1">
      <x:c r="A12" s="2" t="str">
        <x:v>HW07</x:v>
      </x:c>
      <x:c r="B12" s="2" t="str">
        <x:v>Blum</x:v>
      </x:c>
      <x:c r="C12" s="2" t="str">
        <x:v>A nyitók készletéhez</x:v>
      </x:c>
      <x:c r="D12" s="2" t="str">
        <x:v>Öntapadó ellenlemez</x:v>
      </x:c>
      <x:c r="E12" s="2" t="n">
        <x:v>5</x:v>
      </x:c>
      <x:c r="F12" s="2" t="str">
        <x:v>Helyszíni átjelölés; tapadáspróba</x:v>
      </x:c>
    </x:row>
    <x:row r="13" ht="46" customHeight="1">
      <x:c r="A13" s="2" t="str">
        <x:v>HW08</x:v>
      </x:c>
      <x:c r="B13" s="2" t="str">
        <x:v>Kiválasztandó</x:v>
      </x:c>
      <x:c r="C13" s="2" t="str">
        <x:v>Spec:Ø5 csap,8mm beülés</x:v>
      </x:c>
      <x:c r="D13" s="2" t="str">
        <x:v>Lapos felfekvésű polctartó</x:v>
      </x:c>
      <x:c r="E13" s="2" t="n">
        <x:v>56</x:v>
      </x:c>
      <x:c r="F13" s="2" t="str">
        <x:v>Geometria és terhelés jóváhagyandó</x:v>
      </x:c>
    </x:row>
    <x:row r="14" ht="46" customHeight="1">
      <x:c r="A14" s="2" t="str">
        <x:v>HW09</x:v>
      </x:c>
      <x:c r="B14" s="2" t="str">
        <x:v>Kiválasztandó</x:v>
      </x:c>
      <x:c r="C14" s="2" t="str">
        <x:v>8x30 bükk</x:v>
      </x:c>
      <x:c r="D14" s="2" t="str">
        <x:v>Köldökcsap</x:v>
      </x:c>
      <x:c r="E14" s="2" t="n">
        <x:v>120</x:v>
      </x:c>
      <x:c r="F14" s="2" t="str">
        <x:v>78 meglévő+42 új; ragasztott próbakötés</x:v>
      </x:c>
    </x:row>
    <x:row r="15" ht="46" customHeight="1">
      <x:c r="A15" s="2" t="str">
        <x:v>HW10</x:v>
      </x:c>
      <x:c r="B15" s="2" t="str">
        <x:v>Kiválasztandó</x:v>
      </x:c>
      <x:c r="C15" s="2" t="str">
        <x:v>4x30 domború fej</x:v>
      </x:c>
      <x:c r="D15" s="2" t="str">
        <x:v>Rögzítőléc/betét csavar</x:v>
      </x:c>
      <x:c r="E15" s="2" t="n">
        <x:v>52</x:v>
      </x:c>
      <x:c r="F15" s="2" t="str">
        <x:v>Nem falhorgony; előfúrás próbálandó</x:v>
      </x:c>
    </x:row>
    <x:row r="16" ht="46" customHeight="1">
      <x:c r="A16" s="2" t="str">
        <x:v>HW11</x:v>
      </x:c>
      <x:c r="B16" s="2" t="str">
        <x:v>Kiválasztandó</x:v>
      </x:c>
      <x:c r="C16" s="2" t="str">
        <x:v>3.5x20 domború fej</x:v>
      </x:c>
      <x:c r="D16" s="2" t="str">
        <x:v>Hátlapcsavar</x:v>
      </x:c>
      <x:c r="E16" s="2" t="n">
        <x:v>44</x:v>
      </x:c>
      <x:c r="F16" s="2" t="str">
        <x:v>Nem teherhordó falrögzítés</x:v>
      </x:c>
    </x:row>
    <x:row r="17" ht="46" customHeight="1">
      <x:c r="A17" s="2" t="str">
        <x:v>HW12</x:v>
      </x:c>
      <x:c r="B17" s="2" t="str">
        <x:v>Blum</x:v>
      </x:c>
      <x:c r="C17" s="2" t="str">
        <x:v>609.1500</x:v>
      </x:c>
      <x:c r="D17" s="2" t="str">
        <x:v>3.5x15 süllyesztett pánt/pánttalp csavar</x:v>
      </x:c>
      <x:c r="E17" s="2" t="n">
        <x:v>64</x:v>
      </x:c>
      <x:c r="F17" s="2" t="str">
        <x:v>Gyártói cikkszám;laphoz próbafúrás</x:v>
      </x:c>
    </x:row>
    <x:row r="18" ht="46" customHeight="1">
      <x:c r="A18" s="2" t="str">
        <x:v>HW13</x:v>
      </x:c>
      <x:c r="B18" s="2" t="str">
        <x:v>Blum/kompatibilis</x:v>
      </x:c>
      <x:c r="C18" s="2" t="str">
        <x:v>606N/606P gyári hivatkozás</x:v>
      </x:c>
      <x:c r="D18" s="2" t="str">
        <x:v>TIP-ON adaptercsavar</x:v>
      </x:c>
      <x:c r="E18" s="2" t="n">
        <x:v>10</x:v>
      </x:c>
      <x:c r="F18" s="2" t="str">
        <x:v>Konkrét csavar/lap páros szerint2.5x10 pilot próbálandó</x:v>
      </x:c>
    </x:row>
    <x:row r="19" ht="46" customHeight="1">
      <x:c r="A19" s="2" t="str">
        <x:v>HW14</x:v>
      </x:c>
      <x:c r="B19" s="2" t="str">
        <x:v>Camar</x:v>
      </x:c>
      <x:c r="C19" s="2" t="str">
        <x:v>80702Z1INSX</x:v>
      </x:c>
      <x:c r="D19" s="2" t="str">
        <x:v>Bal belső függesztő</x:v>
      </x:c>
      <x:c r="E19" s="2" t="n">
        <x:v>6</x:v>
      </x:c>
      <x:c r="F19" s="2" t="str">
        <x:v>32x64 Ø10/12 mintázat a CAD-ben;alkalmazáspróba</x:v>
      </x:c>
    </x:row>
    <x:row r="20" ht="46" customHeight="1">
      <x:c r="A20" s="2" t="str">
        <x:v>HW15</x:v>
      </x:c>
      <x:c r="B20" s="2" t="str">
        <x:v>Camar</x:v>
      </x:c>
      <x:c r="C20" s="2" t="str">
        <x:v>80702Z1INDX</x:v>
      </x:c>
      <x:c r="D20" s="2" t="str">
        <x:v>Jobb belső függesztő</x:v>
      </x:c>
      <x:c r="E20" s="2" t="n">
        <x:v>6</x:v>
      </x:c>
      <x:c r="F20" s="2" t="str">
        <x:v>Ugyanaz tükrözve</x:v>
      </x:c>
    </x:row>
    <x:row r="21" ht="46" customHeight="1">
      <x:c r="A21" s="2" t="str">
        <x:v>HW16</x:v>
      </x:c>
      <x:c r="B21" s="2" t="str">
        <x:v>Camar</x:v>
      </x:c>
      <x:c r="C21" s="2" t="str">
        <x:v>897ASZ11212</x:v>
      </x:c>
      <x:c r="D21" s="2" t="str">
        <x:v>120x120 anti-drop fali lemez</x:v>
      </x:c>
      <x:c r="E21" s="2" t="n">
        <x:v>12</x:v>
      </x:c>
      <x:c r="F21" s="2" t="str">
        <x:v>Rögzítő furatokat a tényleges lemezről átjelölni;falhorgony külön</x:v>
      </x:c>
    </x:row>
    <x:row r="22" ht="46" customHeight="1">
      <x:c r="A22" s="2" t="str">
        <x:v>HW17</x:v>
      </x:c>
      <x:c r="B22" s="2" t="str">
        <x:v>Monarch</x:v>
      </x:c>
      <x:c r="C22" s="2" t="str">
        <x:v>MF375 /50.8mm</x:v>
      </x:c>
      <x:c r="D22" s="2" t="str">
        <x:v>Paneloldali klipsz</x:v>
      </x:c>
      <x:c r="E22" s="2" t="n">
        <x:v>48</x:v>
      </x:c>
      <x:c r="F22" s="2" t="str">
        <x:v>2furat/klipsz;32.004középtáv</x:v>
      </x:c>
    </x:row>
    <x:row r="23" ht="46" customHeight="1">
      <x:c r="A23" s="2" t="str">
        <x:v>HW18</x:v>
      </x:c>
      <x:c r="B23" s="2" t="str">
        <x:v>Monarch</x:v>
      </x:c>
      <x:c r="C23" s="2" t="str">
        <x:v>MF375 /2500mm</x:v>
      </x:c>
      <x:c r="D23" s="2" t="str">
        <x:v>Faloldali sín rendelési szál</x:v>
      </x:c>
      <x:c r="E23" s="2" t="n">
        <x:v>5</x:v>
      </x:c>
      <x:c r="F23" s="2" t="str">
        <x:v>4x2760mm toldott kész hossz;vágásveszteség</x:v>
      </x:c>
    </x:row>
    <x:row r="24" ht="46" customHeight="1">
      <x:c r="A24" s="2" t="str">
        <x:v>HW19</x:v>
      </x:c>
      <x:c r="B24" s="2" t="str">
        <x:v>Tervezési specifikáció</x:v>
      </x:c>
      <x:c r="C24" s="2" t="str">
        <x:v>3.5x16 pan-head</x:v>
      </x:c>
      <x:c r="D24" s="2" t="str">
        <x:v>Klipsz paneloldali csavar</x:v>
      </x:c>
      <x:c r="E24" s="2" t="n">
        <x:v>96</x:v>
      </x:c>
      <x:c r="F24" s="2" t="str">
        <x:v>12.825mm névleges beülés a3.175mmklipsz alatt;próba18mmhordozón</x:v>
      </x:c>
    </x:row>
    <x:row r="25" ht="46" customHeight="1">
      <x:c r="A25" s="2" t="str">
        <x:v>HW20</x:v>
      </x:c>
      <x:c r="B25" s="2" t="str">
        <x:v>Vogel</x:v>
      </x:c>
      <x:c r="C25" s="2" t="str">
        <x:v>3836050 TVM3605</x:v>
      </x:c>
      <x:c r="D25" s="2" t="str">
        <x:v>Fix TV-konzol</x:v>
      </x:c>
      <x:c r="E25" s="2" t="n">
        <x:v>1</x:v>
      </x:c>
      <x:c r="F25" s="2" t="str">
        <x:v>675x428x22 befoglaló;valósfal/TVsablon szükséges</x:v>
      </x:c>
    </x:row>
    <x:row r="26" ht="46" customHeight="1">
      <x:c r="A26" s="2" t="str">
        <x:v>HW21</x:v>
      </x:c>
      <x:c r="B26" s="2" t="str">
        <x:v>Egyedi</x:v>
      </x:c>
      <x:c r="C26" s="2" t="str">
        <x:v>KI15-WALL-PACK</x:v>
      </x:c>
      <x:c r="D26" s="2" t="str">
        <x:v>Szilárd falsík-kiegyenlítés</x:v>
      </x:c>
      <x:c r="E26" s="2" t="n">
        <x:v>1</x:v>
      </x:c>
      <x:c r="F26" s="2" t="str">
        <x:v>Névleges31mm aCamarlemezhez,11.647mm a panelsínhez;felmérés és teherátadásellenőrzés</x:v>
      </x:c>
    </x:row>
    <x:row r="27" ht="46" customHeight="1">
      <x:c r="A27" s="2" t="str">
        <x:v>HW22</x:v>
      </x:c>
      <x:c r="B27" s="2" t="str">
        <x:v>Fischer / feltételes jelölt</x:v>
      </x:c>
      <x:c r="C27" s="2" t="str">
        <x:v>SXRL10x120T /522700</x:v>
      </x:c>
      <x:c r="D27" s="2" t="str">
        <x:v>Falhorgony-jelölt csavarral</x:v>
      </x:c>
      <x:c r="E27" s="2" t="n">
        <x:v>0</x:v>
      </x:c>
      <x:c r="F27" s="2" t="str">
        <x:v>NEM kiválasztott végleges darabszám. Csak megfelelő ETA-falazat/teher/vastagság esetén;faladat nélkül nincs kiadott furat. A költség nem nulla: H04 előirányzat.</x:v>
      </x:c>
    </x:row>
    <x:row r="28" ht="46" customHeight="1">
      <x:c r="A28" s="2" t="str">
        <x:v>HW23</x:v>
      </x:c>
      <x:c r="B28" s="2" t="str">
        <x:v>Egyedi</x:v>
      </x:c>
      <x:c r="C28" s="2" t="str">
        <x:v>KI15-EL-TRAY</x:v>
      </x:c>
      <x:c r="D28" s="2" t="str">
        <x:v>430x240x2 tálca +17mm távtartók</x:v>
      </x:c>
      <x:c r="E28" s="2" t="n">
        <x:v>1</x:v>
      </x:c>
      <x:c r="F28" s="2" t="str">
        <x:v>4db3.5x30 csavar;11mm beülés;elölről kiszerelhető</x:v>
      </x:c>
    </x:row>
    <x:row r="29" ht="46" customHeight="1">
      <x:c r="A29" s="2" t="str">
        <x:v>HW24</x:v>
      </x:c>
      <x:c r="B29" s="2" t="str">
        <x:v>LED line PRIME</x:v>
      </x:c>
      <x:c r="C29" s="2" t="str">
        <x:v>476821</x:v>
      </x:c>
      <x:c r="D29" s="2" t="str">
        <x:v>COB2700K8W24V szalag5m</x:v>
      </x:c>
      <x:c r="E29" s="2" t="n">
        <x:v>2</x:v>
      </x:c>
      <x:c r="F29" s="2" t="str">
        <x:v>8.60m beépített;50mm vágás</x:v>
      </x:c>
    </x:row>
    <x:row r="30" ht="46" customHeight="1">
      <x:c r="A30" s="2" t="str">
        <x:v>HW25</x:v>
      </x:c>
      <x:c r="B30" s="2" t="str">
        <x:v>KLUS</x:v>
      </x:c>
      <x:c r="C30" s="2" t="str">
        <x:v>B1718K7_3</x:v>
      </x:c>
      <x:c r="D30" s="2" t="str">
        <x:v>PDS4 fekete3m profilszál</x:v>
      </x:c>
      <x:c r="E30" s="2" t="n">
        <x:v>4</x:v>
      </x:c>
      <x:c r="F30" s="2" t="str">
        <x:v>Régi B1718 cikkszám,gyártó aktuális megfelelőjét beszállítóval igazolni</x:v>
      </x:c>
    </x:row>
    <x:row r="31" ht="46" customHeight="1">
      <x:c r="A31" s="2" t="str">
        <x:v>HW26</x:v>
      </x:c>
      <x:c r="B31" s="2" t="str">
        <x:v>KLUS</x:v>
      </x:c>
      <x:c r="C31" s="2" t="str">
        <x:v>LIGER17037</x:v>
      </x:c>
      <x:c r="D31" s="2" t="str">
        <x:v>Szatén diffúzor, méter</x:v>
      </x:c>
      <x:c r="E31" s="2" t="n">
        <x:v>12</x:v>
      </x:c>
      <x:c r="F31" s="2" t="str">
        <x:v>Profilcsaláddal egyező szállított verzió szükséges</x:v>
      </x:c>
    </x:row>
    <x:row r="32" ht="46" customHeight="1">
      <x:c r="A32" s="2" t="str">
        <x:v>HW27</x:v>
      </x:c>
      <x:c r="B32" s="2" t="str">
        <x:v>KLUS</x:v>
      </x:c>
      <x:c r="C32" s="2" t="str">
        <x:v>24066 /24081</x:v>
      </x:c>
      <x:c r="D32" s="2" t="str">
        <x:v>Zárt/kivezetett végzáró</x:v>
      </x:c>
      <x:c r="E32" s="2" t="n">
        <x:v>8</x:v>
      </x:c>
      <x:c r="F32" s="2" t="str">
        <x:v>4+4</x:v>
      </x:c>
    </x:row>
    <x:row r="33" ht="46" customHeight="1">
      <x:c r="A33" s="2" t="str">
        <x:v>HW28</x:v>
      </x:c>
      <x:c r="B33" s="2" t="str">
        <x:v>KLUS</x:v>
      </x:c>
      <x:c r="C33" s="2" t="str">
        <x:v>24189</x:v>
      </x:c>
      <x:c r="D33" s="2" t="str">
        <x:v>Profilrögzítő</x:v>
      </x:c>
      <x:c r="E33" s="2" t="n">
        <x:v>22</x:v>
      </x:c>
      <x:c r="F33" s="2" t="str">
        <x:v>Rögzítési próba a valós felületre</x:v>
      </x:c>
    </x:row>
    <x:row r="34" ht="46" customHeight="1">
      <x:c r="A34" s="2" t="str">
        <x:v>HW29</x:v>
      </x:c>
      <x:c r="B34" s="2" t="str">
        <x:v>MEAN WELL</x:v>
      </x:c>
      <x:c r="C34" s="2" t="str">
        <x:v>LPV-150-24</x:v>
      </x:c>
      <x:c r="D34" s="2" t="str">
        <x:v>24V151.2W tápegység</x:v>
      </x:c>
      <x:c r="E34" s="2" t="n">
        <x:v>1</x:v>
      </x:c>
      <x:c r="F34" s="2" t="str">
        <x:v>68.8W névleges szalagterhelés</x:v>
      </x:c>
    </x:row>
    <x:row r="35" ht="46" customHeight="1">
      <x:c r="A35" s="2" t="str">
        <x:v>HW30</x:v>
      </x:c>
      <x:c r="B35" s="2" t="str">
        <x:v>Sunricher</x:v>
      </x:c>
      <x:c r="C35" s="2" t="str">
        <x:v>SR-ZG9101FA-DIM</x:v>
      </x:c>
      <x:c r="D35" s="2" t="str">
        <x:v>CV PWM Zigbee dimmer</x:v>
      </x:c>
      <x:c r="E35" s="2" t="n">
        <x:v>3</x:v>
      </x:c>
      <x:c r="F35" s="2" t="str">
        <x:v>Külön3egység,CH1 áganként;firmware/párosításpróba</x:v>
      </x:c>
    </x:row>
    <x:row r="36" ht="46" customHeight="1">
      <x:c r="A36" s="2" t="str">
        <x:v>HW31</x:v>
      </x:c>
      <x:c r="B36" s="2" t="str">
        <x:v>Villamos specifikáció</x:v>
      </x:c>
      <x:c r="C36" s="2" t="str">
        <x:v>2A DC áganként</x:v>
      </x:c>
      <x:c r="D36" s="2" t="str">
        <x:v>Biztosító és hozzáférhető tartó</x:v>
      </x:c>
      <x:c r="E36" s="2" t="n">
        <x:v>3</x:v>
      </x:c>
      <x:c r="F36" s="2" t="str">
        <x:v>Vezeték és tápegység alapján villanyszerelő véglegesíti</x:v>
      </x:c>
    </x:row>
    <x:row r="37" ht="46" customHeight="1">
      <x:c r="A37" s="2" t="str">
        <x:v>HW32</x:v>
      </x:c>
      <x:c r="B37" s="2" t="str">
        <x:v>Villamos specifikáció</x:v>
      </x:c>
      <x:c r="C37" s="2" t="str">
        <x:v>2x0.75mm²Cu</x:v>
      </x:c>
      <x:c r="D37" s="2" t="str">
        <x:v>SELV kábel rendelési méter</x:v>
      </x:c>
      <x:c r="E37" s="2" t="n">
        <x:v>16</x:v>
      </x:c>
      <x:c r="F37" s="2" t="str">
        <x:v>12m egyirányú tervezett út +30%tartalék;helyszínhez mérendő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5" t="str">
        <x:v>24 V / LED line476821 / három SunricherCV dimmer / LPV-150-24</x:v>
      </x:c>
    </x:row>
    <x:row r="5" ht="40" customHeight="1">
      <x:c r="A5" s="4" t="str">
        <x:v>Ág</x:v>
      </x:c>
      <x:c r="B5" s="4" t="str">
        <x:v>Profil mm</x:v>
      </x:c>
      <x:c r="C5" s="4" t="str">
        <x:v>LED mm</x:v>
      </x:c>
      <x:c r="D5" s="4" t="str">
        <x:v>W/m</x:v>
      </x:c>
      <x:c r="E5" s="4" t="str">
        <x:v>W</x:v>
      </x:c>
      <x:c r="F5" s="4" t="str">
        <x:v>A</x:v>
      </x:c>
      <x:c r="G5" s="4" t="str">
        <x:v>Kábel m</x:v>
      </x:c>
      <x:c r="H5" s="4" t="str">
        <x:v>Cu mm²</x:v>
      </x:c>
      <x:c r="I5" s="4" t="str">
        <x:v>Rho Ωmm²/m</x:v>
      </x:c>
      <x:c r="J5" s="4" t="str">
        <x:v>Esés V</x:v>
      </x:c>
      <x:c r="K5" s="4" t="str">
        <x:v>Esés %</x:v>
      </x:c>
      <x:c r="L5" s="4" t="str">
        <x:v>Biztosító A</x:v>
      </x:c>
    </x:row>
    <x:row r="6" ht="34" customHeight="1">
      <x:c r="A6" s="2" t="str">
        <x:v>L01</x:v>
      </x:c>
      <x:c r="B6" s="2" t="n">
        <x:v>3600</x:v>
      </x:c>
      <x:c r="C6" s="2" t="n">
        <x:v>3550</x:v>
      </x:c>
      <x:c r="D6" s="2" t="n">
        <x:v>8</x:v>
      </x:c>
      <x:c r="E6" s="2" t="n">
        <x:f>C6/1000*D6</x:f>
        <x:v>28.4</x:v>
      </x:c>
      <x:c r="F6" s="2" t="n">
        <x:f>E6/24</x:f>
        <x:v>1.1833333333333333</x:v>
      </x:c>
      <x:c r="G6" s="2" t="n">
        <x:v>3</x:v>
      </x:c>
      <x:c r="H6" s="2" t="n">
        <x:v>0.75</x:v>
      </x:c>
      <x:c r="I6" s="2" t="n">
        <x:v>0.0225</x:v>
      </x:c>
      <x:c r="J6" s="9" t="n">
        <x:f>2*I6*G6*F6/H6</x:f>
        <x:v>0.213</x:v>
      </x:c>
      <x:c r="K6" s="10" t="n">
        <x:f>J6/24</x:f>
        <x:v>0.008875</x:v>
      </x:c>
      <x:c r="L6" s="2" t="n">
        <x:v>2</x:v>
      </x:c>
    </x:row>
    <x:row r="7" ht="34" customHeight="1">
      <x:c r="A7" s="2" t="str">
        <x:v>L02</x:v>
      </x:c>
      <x:c r="B7" s="2" t="n">
        <x:v>2760</x:v>
      </x:c>
      <x:c r="C7" s="2" t="n">
        <x:v>2750</x:v>
      </x:c>
      <x:c r="D7" s="2" t="n">
        <x:v>8</x:v>
      </x:c>
      <x:c r="E7" s="2" t="n">
        <x:f>C7/1000*D7</x:f>
        <x:v>22</x:v>
      </x:c>
      <x:c r="F7" s="2" t="n">
        <x:f>E7/24</x:f>
        <x:v>0.9166666666666666</x:v>
      </x:c>
      <x:c r="G7" s="2" t="n">
        <x:v>5</x:v>
      </x:c>
      <x:c r="H7" s="2" t="n">
        <x:v>0.75</x:v>
      </x:c>
      <x:c r="I7" s="2" t="n">
        <x:v>0.0225</x:v>
      </x:c>
      <x:c r="J7" s="9" t="n">
        <x:f>2*I7*G7*F7/H7</x:f>
        <x:v>0.27499999999999997</x:v>
      </x:c>
      <x:c r="K7" s="10" t="n">
        <x:f>J7/24</x:f>
        <x:v>0.011458333333333333</x:v>
      </x:c>
      <x:c r="L7" s="2" t="n">
        <x:v>2</x:v>
      </x:c>
    </x:row>
    <x:row r="8" ht="34" customHeight="1">
      <x:c r="A8" s="2" t="str">
        <x:v>L03</x:v>
      </x:c>
      <x:c r="B8" s="2" t="n">
        <x:v>2330</x:v>
      </x:c>
      <x:c r="C8" s="2" t="n">
        <x:v>2300</x:v>
      </x:c>
      <x:c r="D8" s="2" t="n">
        <x:v>8</x:v>
      </x:c>
      <x:c r="E8" s="2" t="n">
        <x:f>C8/1000*D8</x:f>
        <x:v>18.4</x:v>
      </x:c>
      <x:c r="F8" s="2" t="n">
        <x:f>E8/24</x:f>
        <x:v>0.7666666666666666</x:v>
      </x:c>
      <x:c r="G8" s="2" t="n">
        <x:v>4</x:v>
      </x:c>
      <x:c r="H8" s="2" t="n">
        <x:v>0.75</x:v>
      </x:c>
      <x:c r="I8" s="2" t="n">
        <x:v>0.0225</x:v>
      </x:c>
      <x:c r="J8" s="9" t="n">
        <x:f>2*I8*G8*F8/H8</x:f>
        <x:v>0.18399999999999997</x:v>
      </x:c>
      <x:c r="K8" s="10" t="n">
        <x:f>J8/24</x:f>
        <x:v>0.007666666666666665</x:v>
      </x:c>
      <x:c r="L8" s="2" t="n">
        <x:v>2</x:v>
      </x:c>
    </x:row>
    <x:row r="11">
      <x:c r="A11" t="str">
        <x:v>Összes W</x:v>
      </x:c>
      <x:c r="B11" t="n">
        <x:f>SUM(E6:E8)</x:f>
        <x:v>68.8</x:v>
      </x:c>
    </x:row>
    <x:row r="12">
      <x:c r="A12" t="str">
        <x:v>Tápegység W</x:v>
      </x:c>
      <x:c r="B12" t="n">
        <x:v>151.2</x:v>
      </x:c>
    </x:row>
    <x:row r="13">
      <x:c r="A13" t="str">
        <x:v>Névleges terhelés</x:v>
      </x:c>
      <x:c r="B13" s="11" t="n">
        <x:f>B11/B12</x:f>
        <x:v>0.45502645502645506</x:v>
      </x:c>
    </x:row>
    <x:row r="14">
      <x:c r="A14" t="str">
        <x:v>Beépített LED m</x:v>
      </x:c>
      <x:c r="B14" t="n">
        <x:f>SUM(C6:C8)/1000</x:f>
        <x:v>8.6</x:v>
      </x:c>
    </x:row>
    <x:row r="15">
      <x:c r="A15" t="str">
        <x:v>Rendelt LED m</x:v>
      </x:c>
      <x:c r="B15" t="n">
        <x:v>10</x:v>
      </x:c>
    </x:row>
    <x:row r="18">
      <x:c r="A18" t="str">
        <x:v>Csak vezetékfeszültség-esés; a szalag belső esése és a hőállapot külön próba. HU hálózati bekötés/védelem szakági feladat.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5" hidden="0" customWidth="1"/>
    <x:col min="2" max="2" width="6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70" hidden="0" customWidth="1"/>
  </x:cols>
  <x:sheetData>
    <x:row r="1">
      <x:c r="A1" s="5" t="str">
        <x:v>R15 részrendszer-előirányzat / bruttó Ft / minden ár becslés</x:v>
      </x:c>
    </x:row>
    <x:row r="5" ht="40" customHeight="1">
      <x:c r="A5" s="4" t="str">
        <x:v>ID</x:v>
      </x:c>
      <x:c r="B5" s="4" t="str">
        <x:v>Tartalom</x:v>
      </x:c>
      <x:c r="C5" s="4" t="str">
        <x:v>Menny.</x:v>
      </x:c>
      <x:c r="D5" s="4" t="str">
        <x:v>Egység</x:v>
      </x:c>
      <x:c r="E5" s="4" t="str">
        <x:v>Alsó egységár</x:v>
      </x:c>
      <x:c r="F5" s="4" t="str">
        <x:v>Várható egységár</x:v>
      </x:c>
      <x:c r="G5" s="4" t="str">
        <x:v>Felső egységár</x:v>
      </x:c>
      <x:c r="H5" s="4" t="str">
        <x:v>Alsó összesen</x:v>
      </x:c>
      <x:c r="I5" s="4" t="str">
        <x:v>Várható összesen</x:v>
      </x:c>
      <x:c r="J5" s="4" t="str">
        <x:v>Felső összesen</x:v>
      </x:c>
      <x:c r="K5" s="4" t="str">
        <x:v>Becslési alap</x:v>
      </x:c>
    </x:row>
    <x:row r="6" ht="34" customHeight="1">
      <x:c r="A6" s="2" t="str">
        <x:v>H01</x:v>
      </x:c>
      <x:c r="B6" s="2" t="str">
        <x:v>Camar807IN bal+jobb+2x897lemez+fedelek</x:v>
      </x:c>
      <x:c r="C6" s="6" t="n">
        <x:v>6</x:v>
      </x:c>
      <x:c r="D6" s="6" t="str">
        <x:v>készlet</x:v>
      </x:c>
      <x:c r="E6" s="12" t="n">
        <x:v>9000</x:v>
      </x:c>
      <x:c r="F6" s="12" t="n">
        <x:v>15000</x:v>
      </x:c>
      <x:c r="G6" s="12" t="n">
        <x:v>24000</x:v>
      </x:c>
      <x:c r="H6" s="13" t="n">
        <x:f>C6*E6</x:f>
        <x:v>54000</x:v>
      </x:c>
      <x:c r="I6" s="13" t="n">
        <x:f>C6*F6</x:f>
        <x:v>90000</x:v>
      </x:c>
      <x:c r="J6" s="13" t="n">
        <x:f>C6*G6</x:f>
        <x:v>144000</x:v>
      </x:c>
      <x:c r="K6" s="2" t="str">
        <x:v>Új függesztési rendszer;gyártóiSKU,árbecslés</x:v>
      </x:c>
    </x:row>
    <x:row r="7" ht="34" customHeight="1">
      <x:c r="A7" s="2" t="str">
        <x:v>H02</x:v>
      </x:c>
      <x:c r="B7" s="2" t="str">
        <x:v>MonarchMF37550.8mmklipsz</x:v>
      </x:c>
      <x:c r="C7" s="6" t="n">
        <x:v>48</x:v>
      </x:c>
      <x:c r="D7" s="6" t="str">
        <x:v>db</x:v>
      </x:c>
      <x:c r="E7" s="12" t="n">
        <x:v>700</x:v>
      </x:c>
      <x:c r="F7" s="12" t="n">
        <x:v>1100</x:v>
      </x:c>
      <x:c r="G7" s="12" t="n">
        <x:v>1700</x:v>
      </x:c>
      <x:c r="H7" s="13" t="n">
        <x:f>C7*E7</x:f>
        <x:v>33600</x:v>
      </x:c>
      <x:c r="I7" s="13" t="n">
        <x:f>C7*F7</x:f>
        <x:v>52800</x:v>
      </x:c>
      <x:c r="J7" s="13" t="n">
        <x:f>C7*G7</x:f>
        <x:v>81600</x:v>
      </x:c>
      <x:c r="K7" s="2" t="str">
        <x:v>Paneloldali48klipsz;faloldali sínkülön</x:v>
      </x:c>
    </x:row>
    <x:row r="8" ht="34" customHeight="1">
      <x:c r="A8" s="2" t="str">
        <x:v>H03</x:v>
      </x:c>
      <x:c r="B8" s="2" t="str">
        <x:v>MonarchMF375 sín,4x2760 nettó,5x2500 rendelési</x:v>
      </x:c>
      <x:c r="C8" s="6" t="n">
        <x:v>12.5</x:v>
      </x:c>
      <x:c r="D8" s="6" t="str">
        <x:v>m</x:v>
      </x:c>
      <x:c r="E8" s="12" t="n">
        <x:v>3000</x:v>
      </x:c>
      <x:c r="F8" s="12" t="n">
        <x:v>4800</x:v>
      </x:c>
      <x:c r="G8" s="12" t="n">
        <x:v>7000</x:v>
      </x:c>
      <x:c r="H8" s="13" t="n">
        <x:f>C8*E8</x:f>
        <x:v>37500</x:v>
      </x:c>
      <x:c r="I8" s="13" t="n">
        <x:f>C8*F8</x:f>
        <x:v>60000</x:v>
      </x:c>
      <x:c r="J8" s="13" t="n">
        <x:f>C8*G8</x:f>
        <x:v>87500</x:v>
      </x:c>
      <x:c r="K8" s="2" t="str">
        <x:v>Vágásveszteséggel;konkrét szállítói ajánlat kell</x:v>
      </x:c>
    </x:row>
    <x:row r="9" ht="34" customHeight="1">
      <x:c r="A9" s="2" t="str">
        <x:v>H04</x:v>
      </x:c>
      <x:c r="B9" s="2" t="str">
        <x:v>Síkbeállító tartók,távtartók és méretezett falhorgonyok</x:v>
      </x:c>
      <x:c r="C9" s="6" t="n">
        <x:v>1</x:v>
      </x:c>
      <x:c r="D9" s="6" t="str">
        <x:v>csomag</x:v>
      </x:c>
      <x:c r="E9" s="12" t="n">
        <x:v>30000</x:v>
      </x:c>
      <x:c r="F9" s="12" t="n">
        <x:v>50000</x:v>
      </x:c>
      <x:c r="G9" s="12" t="n">
        <x:v>85000</x:v>
      </x:c>
      <x:c r="H9" s="13" t="n">
        <x:f>C9*E9</x:f>
        <x:v>30000</x:v>
      </x:c>
      <x:c r="I9" s="13" t="n">
        <x:f>C9*F9</x:f>
        <x:v>50000</x:v>
      </x:c>
      <x:c r="J9" s="13" t="n">
        <x:f>C9*G9</x:f>
        <x:v>85000</x:v>
      </x:c>
      <x:c r="K9" s="2" t="str">
        <x:v>12függesztőlemez+4panelrails+TV;faltípusfüggő,összevonhatómeglévősorral</x:v>
      </x:c>
    </x:row>
    <x:row r="10" ht="34" customHeight="1">
      <x:c r="A10" s="2" t="str">
        <x:v>H05</x:v>
      </x:c>
      <x:c r="B10" s="2" t="str">
        <x:v>VogelTVM3605SKU3836050</x:v>
      </x:c>
      <x:c r="C10" s="6" t="n">
        <x:v>1</x:v>
      </x:c>
      <x:c r="D10" s="6" t="str">
        <x:v>db</x:v>
      </x:c>
      <x:c r="E10" s="12" t="n">
        <x:v>24000</x:v>
      </x:c>
      <x:c r="F10" s="12" t="n">
        <x:v>32000</x:v>
      </x:c>
      <x:c r="G10" s="12" t="n">
        <x:v>45000</x:v>
      </x:c>
      <x:c r="H10" s="13" t="n">
        <x:f>C10*E10</x:f>
        <x:v>24000</x:v>
      </x:c>
      <x:c r="I10" s="13" t="n">
        <x:f>C10*F10</x:f>
        <x:v>32000</x:v>
      </x:c>
      <x:c r="J10" s="13" t="n">
        <x:f>C10*G10</x:f>
        <x:v>45000</x:v>
      </x:c>
      <x:c r="K10" s="2" t="str">
        <x:v>A meglévő TVkonzol előirányzatot kiváltja,nem duplán</x:v>
      </x:c>
    </x:row>
    <x:row r="11" ht="34" customHeight="1">
      <x:c r="A11" s="2" t="str">
        <x:v>H06</x:v>
      </x:c>
      <x:c r="B11" s="2" t="str">
        <x:v>Blum609.1500 pántcsavar + szerkezeti csavarok/csapok/polctartók</x:v>
      </x:c>
      <x:c r="C11" s="6" t="n">
        <x:v>1</x:v>
      </x:c>
      <x:c r="D11" s="6" t="str">
        <x:v>csomag</x:v>
      </x:c>
      <x:c r="E11" s="12" t="n">
        <x:v>13000</x:v>
      </x:c>
      <x:c r="F11" s="12" t="n">
        <x:v>20000</x:v>
      </x:c>
      <x:c r="G11" s="12" t="n">
        <x:v>30000</x:v>
      </x:c>
      <x:c r="H11" s="13" t="n">
        <x:f>C11*E11</x:f>
        <x:v>13000</x:v>
      </x:c>
      <x:c r="I11" s="13" t="n">
        <x:f>C11*F11</x:f>
        <x:v>20000</x:v>
      </x:c>
      <x:c r="J11" s="13" t="n">
        <x:f>C11*G11</x:f>
        <x:v>30000</x:v>
      </x:c>
      <x:c r="K11" s="2" t="str">
        <x:v>MeglévőR14kötőelemeket is lefedi;nem növekményként összegezni</x:v>
      </x:c>
    </x:row>
    <x:row r="12" ht="34" customHeight="1">
      <x:c r="A12" s="2" t="str">
        <x:v>L01</x:v>
      </x:c>
      <x:c r="B12" s="2" t="str">
        <x:v>LEDline476821COB2700K8W24V</x:v>
      </x:c>
      <x:c r="C12" s="6" t="n">
        <x:v>10</x:v>
      </x:c>
      <x:c r="D12" s="6" t="str">
        <x:v>m</x:v>
      </x:c>
      <x:c r="E12" s="12" t="n">
        <x:v>1600</x:v>
      </x:c>
      <x:c r="F12" s="12" t="n">
        <x:v>2300</x:v>
      </x:c>
      <x:c r="G12" s="12" t="n">
        <x:v>3200</x:v>
      </x:c>
      <x:c r="H12" s="13" t="n">
        <x:f>C12*E12</x:f>
        <x:v>16000</x:v>
      </x:c>
      <x:c r="I12" s="13" t="n">
        <x:f>C12*F12</x:f>
        <x:v>23000</x:v>
      </x:c>
      <x:c r="J12" s="13" t="n">
        <x:f>C12*G12</x:f>
        <x:v>32000</x:v>
      </x:c>
      <x:c r="K12" s="2" t="str">
        <x:v>2x5m;8.60mbeépül,1.40mmaradék</x:v>
      </x:c>
    </x:row>
    <x:row r="13" ht="34" customHeight="1">
      <x:c r="A13" s="2" t="str">
        <x:v>L02</x:v>
      </x:c>
      <x:c r="B13" s="2" t="str">
        <x:v>KLUSB1718K7_3profil+LIGERfedél</x:v>
      </x:c>
      <x:c r="C13" s="6" t="n">
        <x:v>12</x:v>
      </x:c>
      <x:c r="D13" s="6" t="str">
        <x:v>m</x:v>
      </x:c>
      <x:c r="E13" s="12" t="n">
        <x:v>3500</x:v>
      </x:c>
      <x:c r="F13" s="12" t="n">
        <x:v>5000</x:v>
      </x:c>
      <x:c r="G13" s="12" t="n">
        <x:v>7500</x:v>
      </x:c>
      <x:c r="H13" s="13" t="n">
        <x:f>C13*E13</x:f>
        <x:v>42000</x:v>
      </x:c>
      <x:c r="I13" s="13" t="n">
        <x:f>C13*F13</x:f>
        <x:v>60000</x:v>
      </x:c>
      <x:c r="J13" s="13" t="n">
        <x:f>C13*G13</x:f>
        <x:v>90000</x:v>
      </x:c>
      <x:c r="K13" s="2" t="str">
        <x:v>4x3m;nettó8.69m</x:v>
      </x:c>
    </x:row>
    <x:row r="14" ht="34" customHeight="1">
      <x:c r="A14" s="2" t="str">
        <x:v>L03</x:v>
      </x:c>
      <x:c r="B14" s="2" t="str">
        <x:v>KLUSvégzáró8db+rögzítő22db</x:v>
      </x:c>
      <x:c r="C14" s="6" t="n">
        <x:v>1</x:v>
      </x:c>
      <x:c r="D14" s="6" t="str">
        <x:v>készlet</x:v>
      </x:c>
      <x:c r="E14" s="12" t="n">
        <x:v>5000</x:v>
      </x:c>
      <x:c r="F14" s="12" t="n">
        <x:v>9000</x:v>
      </x:c>
      <x:c r="G14" s="12" t="n">
        <x:v>14000</x:v>
      </x:c>
      <x:c r="H14" s="13" t="n">
        <x:f>C14*E14</x:f>
        <x:v>5000</x:v>
      </x:c>
      <x:c r="I14" s="13" t="n">
        <x:f>C14*F14</x:f>
        <x:v>9000</x:v>
      </x:c>
      <x:c r="J14" s="13" t="n">
        <x:f>C14*G14</x:f>
        <x:v>14000</x:v>
      </x:c>
      <x:c r="K14" s="2" t="str">
        <x:v>24066/24081+24189;aktuális cikkszámhelyettesítésellenőrzendő</x:v>
      </x:c>
    </x:row>
    <x:row r="15" ht="34" customHeight="1">
      <x:c r="A15" s="2" t="str">
        <x:v>L04</x:v>
      </x:c>
      <x:c r="B15" s="2" t="str">
        <x:v>MEANWELLLPV-150-24</x:v>
      </x:c>
      <x:c r="C15" s="6" t="n">
        <x:v>1</x:v>
      </x:c>
      <x:c r="D15" s="6" t="str">
        <x:v>db</x:v>
      </x:c>
      <x:c r="E15" s="12" t="n">
        <x:v>12000</x:v>
      </x:c>
      <x:c r="F15" s="12" t="n">
        <x:v>17000</x:v>
      </x:c>
      <x:c r="G15" s="12" t="n">
        <x:v>23000</x:v>
      </x:c>
      <x:c r="H15" s="13" t="n">
        <x:f>C15*E15</x:f>
        <x:v>12000</x:v>
      </x:c>
      <x:c r="I15" s="13" t="n">
        <x:f>C15*F15</x:f>
        <x:v>17000</x:v>
      </x:c>
      <x:c r="J15" s="13" t="n">
        <x:f>C15*G15</x:f>
        <x:v>23000</x:v>
      </x:c>
      <x:c r="K15" s="2" t="str">
        <x:v>151.2W,24V</x:v>
      </x:c>
    </x:row>
    <x:row r="16" ht="34" customHeight="1">
      <x:c r="A16" s="2" t="str">
        <x:v>L05</x:v>
      </x:c>
      <x:c r="B16" s="2" t="str">
        <x:v>SunricherSR-ZG9101FA-DIM CV</x:v>
      </x:c>
      <x:c r="C16" s="6" t="n">
        <x:v>3</x:v>
      </x:c>
      <x:c r="D16" s="6" t="str">
        <x:v>db</x:v>
      </x:c>
      <x:c r="E16" s="12" t="n">
        <x:v>16000</x:v>
      </x:c>
      <x:c r="F16" s="12" t="n">
        <x:v>23000</x:v>
      </x:c>
      <x:c r="G16" s="12" t="n">
        <x:v>31000</x:v>
      </x:c>
      <x:c r="H16" s="13" t="n">
        <x:f>C16*E16</x:f>
        <x:v>48000</x:v>
      </x:c>
      <x:c r="I16" s="13" t="n">
        <x:f>C16*F16</x:f>
        <x:v>69000</x:v>
      </x:c>
      <x:c r="J16" s="13" t="n">
        <x:f>C16*G16</x:f>
        <x:v>93000</x:v>
      </x:c>
      <x:c r="K16" s="2" t="str">
        <x:v>3különfényzóna;nemAC0–10Vváltozat</x:v>
      </x:c>
    </x:row>
    <x:row r="17" ht="34" customHeight="1">
      <x:c r="A17" s="2" t="str">
        <x:v>L06</x:v>
      </x:c>
      <x:c r="B17" s="2" t="str">
        <x:v>Tálca,válaszfal,kábel,biztosító,kötődoboz,átvezető</x:v>
      </x:c>
      <x:c r="C17" s="6" t="n">
        <x:v>1</x:v>
      </x:c>
      <x:c r="D17" s="6" t="str">
        <x:v>csomag</x:v>
      </x:c>
      <x:c r="E17" s="12" t="n">
        <x:v>18000</x:v>
      </x:c>
      <x:c r="F17" s="12" t="n">
        <x:v>28000</x:v>
      </x:c>
      <x:c r="G17" s="12" t="n">
        <x:v>42000</x:v>
      </x:c>
      <x:c r="H17" s="13" t="n">
        <x:f>C17*E17</x:f>
        <x:v>18000</x:v>
      </x:c>
      <x:c r="I17" s="13" t="n">
        <x:f>C17*F17</x:f>
        <x:v>28000</x:v>
      </x:c>
      <x:c r="J17" s="13" t="n">
        <x:f>C17*G17</x:f>
        <x:v>42000</x:v>
      </x:c>
      <x:c r="K17" s="2" t="str">
        <x:v>12mnyomvonal+30%rendelés,3DCágvédelem,230Vkülön</x:v>
      </x:c>
    </x:row>
    <x:row r="18" ht="34" customHeight="1">
      <x:c r="A18" s="2" t="str">
        <x:v>L07</x:v>
      </x:c>
      <x:c r="B18" s="2" t="str">
        <x:v>Villamos szerelés,konfigurálás,hő/párosításpróba</x:v>
      </x:c>
      <x:c r="C18" s="6" t="n">
        <x:v>6</x:v>
      </x:c>
      <x:c r="D18" s="6" t="str">
        <x:v>óra</x:v>
      </x:c>
      <x:c r="E18" s="12" t="n">
        <x:v>9000</x:v>
      </x:c>
      <x:c r="F18" s="12" t="n">
        <x:v>12500</x:v>
      </x:c>
      <x:c r="G18" s="12" t="n">
        <x:v>16000</x:v>
      </x:c>
      <x:c r="H18" s="13" t="n">
        <x:f>C18*E18</x:f>
        <x:v>54000</x:v>
      </x:c>
      <x:c r="I18" s="13" t="n">
        <x:f>C18*F18</x:f>
        <x:v>75000</x:v>
      </x:c>
      <x:c r="J18" s="13" t="n">
        <x:f>C18*G18</x:f>
        <x:v>96000</x:v>
      </x:c>
      <x:c r="K18" s="2" t="str">
        <x:v>Helyszíniárbecslés,nemvisszaigazoltajánlat</x:v>
      </x:c>
    </x:row>
    <x:row r="19" ht="34" customHeight="1">
      <x:c r="A19" s="2" t="str">
        <x:v>M01</x:v>
      </x:c>
      <x:c r="B19" s="2" t="str">
        <x:v>Új megmunkálás és kötésellenőrzés</x:v>
      </x:c>
      <x:c r="C19" s="6" t="n">
        <x:v>1</x:v>
      </x:c>
      <x:c r="D19" s="6" t="str">
        <x:v>csomag</x:v>
      </x:c>
      <x:c r="E19" s="12" t="n">
        <x:v>35000</x:v>
      </x:c>
      <x:c r="F19" s="12" t="n">
        <x:v>55000</x:v>
      </x:c>
      <x:c r="G19" s="12" t="n">
        <x:v>90000</x:v>
      </x:c>
      <x:c r="H19" s="13" t="n">
        <x:f>C19*E19</x:f>
        <x:v>35000</x:v>
      </x:c>
      <x:c r="I19" s="13" t="n">
        <x:f>C19*F19</x:f>
        <x:v>55000</x:v>
      </x:c>
      <x:c r="J19" s="13" t="n">
        <x:f>C19*G19</x:f>
        <x:v>90000</x:v>
      </x:c>
      <x:c r="K19" s="2" t="str">
        <x:v>247újfurat+12nyitottsarok,megváltozottkötések;R14gépidővelegyeztetni</x:v>
      </x:c>
    </x:row>
    <x:row r="20" ht="34" customHeight="1">
      <x:c r="A20" s="2" t="str">
        <x:v>M02</x:v>
      </x:c>
      <x:c r="B20" s="2" t="str">
        <x:v>Felszerelés/síkbeállítás/elsődarab</x:v>
      </x:c>
      <x:c r="C20" s="6" t="n">
        <x:v>12</x:v>
      </x:c>
      <x:c r="D20" s="6" t="str">
        <x:v>óra</x:v>
      </x:c>
      <x:c r="E20" s="12" t="n">
        <x:v>9000</x:v>
      </x:c>
      <x:c r="F20" s="12" t="n">
        <x:v>12000</x:v>
      </x:c>
      <x:c r="G20" s="12" t="n">
        <x:v>16000</x:v>
      </x:c>
      <x:c r="H20" s="13" t="n">
        <x:f>C20*E20</x:f>
        <x:v>108000</x:v>
      </x:c>
      <x:c r="I20" s="13" t="n">
        <x:f>C20*F20</x:f>
        <x:v>144000</x:v>
      </x:c>
      <x:c r="J20" s="13" t="n">
        <x:f>C20*G20</x:f>
        <x:v>192000</x:v>
      </x:c>
      <x:c r="K20" s="2" t="str">
        <x:v>Asztalosmunkadíj;meglévőszereléscsomaggalösszevezetendő</x:v>
      </x:c>
    </x:row>
    <x:row r="21" ht="34" customHeight="1">
      <x:c r="A21" s="2" t="str">
        <x:v>M03</x:v>
      </x:c>
      <x:c r="B21" s="2" t="str">
        <x:v>Szállítás és kis mennyiségi felár</x:v>
      </x:c>
      <x:c r="C21" s="6" t="n">
        <x:v>1</x:v>
      </x:c>
      <x:c r="D21" s="6" t="str">
        <x:v>csomag</x:v>
      </x:c>
      <x:c r="E21" s="12" t="n">
        <x:v>10000</x:v>
      </x:c>
      <x:c r="F21" s="12" t="n">
        <x:v>18000</x:v>
      </x:c>
      <x:c r="G21" s="12" t="n">
        <x:v>30000</x:v>
      </x:c>
      <x:c r="H21" s="13" t="n">
        <x:f>C21*E21</x:f>
        <x:v>10000</x:v>
      </x:c>
      <x:c r="I21" s="13" t="n">
        <x:f>C21*F21</x:f>
        <x:v>18000</x:v>
      </x:c>
      <x:c r="J21" s="13" t="n">
        <x:f>C21*G21</x:f>
        <x:v>30000</x:v>
      </x:c>
      <x:c r="K21" s="2" t="str">
        <x:v>Magyarszállításnemvisszaigazolt</x:v>
      </x:c>
    </x:row>
    <x:row r="22">
      <x:c r="E22" s="14"/>
      <x:c r="F22" s="14"/>
      <x:c r="G22" s="14"/>
      <x:c r="H22" s="14"/>
      <x:c r="I22" s="14"/>
      <x:c r="J22" s="14"/>
    </x:row>
    <x:row r="23">
      <x:c r="E23" s="14"/>
      <x:c r="F23" s="14"/>
      <x:c r="G23" s="14" t="str">
        <x:v>ÖSSZESEN</x:v>
      </x:c>
      <x:c r="H23" s="14" t="n">
        <x:f>SUM(H6:H21)</x:f>
        <x:v>540100</x:v>
      </x:c>
      <x:c r="I23" s="14" t="n">
        <x:f>SUM(I6:I21)</x:f>
        <x:v>802800</x:v>
      </x:c>
      <x:c r="J23" s="14" t="n">
        <x:f>SUM(J6:J21)</x:f>
        <x:v>1175100</x:v>
      </x:c>
    </x:row>
    <x:row r="26" ht="35" customHeight="1">
      <x:c r="A26" s="16" t="str">
        <x:v>Élő projekt visszaolvasott főösszeg</x:v>
      </x:c>
      <x:c r="B26" s="18" t="n">
        <x:v>24673390</x:v>
      </x:c>
    </x:row>
    <x:row r="27" ht="35" customHeight="1">
      <x:c r="A27" s="16" t="str">
        <x:v>KI-032 régi rögzítés</x:v>
      </x:c>
      <x:c r="B27" s="18" t="n">
        <x:v>135000</x:v>
      </x:c>
    </x:row>
    <x:row r="28" ht="35" customHeight="1">
      <x:c r="A28" s="16" t="str">
        <x:v>KI-034 régi TV-konzol</x:v>
      </x:c>
      <x:c r="B28" s="18" t="n">
        <x:v>30000</x:v>
      </x:c>
    </x:row>
    <x:row r="29" ht="35" customHeight="1">
      <x:c r="A29" s="16" t="str">
        <x:v>KI-114 régi W01-fény</x:v>
      </x:c>
      <x:c r="B29" s="18" t="n">
        <x:v>150000</x:v>
      </x:c>
    </x:row>
    <x:row r="30" ht="35" customHeight="1">
      <x:c r="A30" s="16" t="str">
        <x:v>További igazolt átfedés levonása (0–93000)</x:v>
      </x:c>
      <x:c r="B30" s="19" t="n">
        <x:v>0</x:v>
      </x:c>
    </x:row>
    <x:row r="31" ht="35" customHeight="1">
      <x:c r="A31" s="16" t="str">
        <x:v>R15-tel számolt feltételes projektösszeg</x:v>
      </x:c>
      <x:c r="B31" s="18" t="n">
        <x:f>B26+I23-SUM(B27:B29)-B30</x:f>
        <x:v>25161190</x:v>
      </x:c>
    </x:row>
    <x:row r="32" ht="35" customHeight="1">
      <x:c r="A32" s="16" t="str">
        <x:v>Eltérés a18M célkerettől</x:v>
      </x:c>
      <x:c r="B32" s="18" t="n">
        <x:f>B31-18000000</x:f>
        <x:v>7161190</x:v>
      </x:c>
    </x:row>
    <x:row r="33" ht="35" customHeight="1">
      <x:c r="A33" s="16" t="str">
        <x:v>Külön érintetlen tartalék</x:v>
      </x:c>
      <x:c r="B33" s="18" t="n">
        <x:v>2000000</x:v>
      </x:c>
    </x:row>
    <x:row r="35">
      <x:c r="A35" t="str">
        <x:v>A főregisztert nem írtuk felül. Ez részcsomag és feltételes egyeztetés. R14 rejtett szerkezeti126946Ft külön átfedését is ajánlatban kell tisztázni.</x:v>
      </x:c>
    </x:row>
    <x:row r="36">
      <x:c r="A36" t="str">
        <x:v>A/B nyitási alternatíva nincs automatikusan hozzáadva: +35000 vagy +45000Ft külön tulajdonosi választás.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48" hidden="0" customWidth="1"/>
    <x:col min="3" max="3" width="48" hidden="0" customWidth="1"/>
  </x:cols>
  <x:sheetData>
    <x:row r="1">
      <x:c r="A1" s="5" t="str">
        <x:v>Kitölthető műhelyi adatlap / a hiányzó értékeket nem találtuk ki</x:v>
      </x:c>
    </x:row>
    <x:row r="5" ht="40" customHeight="1">
      <x:c r="A5" s="4" t="str">
        <x:v>Mező</x:v>
      </x:c>
      <x:c r="B5" s="4" t="str">
        <x:v>Érték</x:v>
      </x:c>
      <x:c r="C5" s="4" t="str">
        <x:v>Mit kell megadni?</x:v>
      </x:c>
    </x:row>
    <x:row r="6" ht="34" customHeight="1">
      <x:c r="A6" s="2" t="str">
        <x:v>Gép tulajdonosi megnevezése</x:v>
      </x:c>
      <x:c r="B6" s="6" t="str">
        <x:v>WOF211 homag</x:v>
      </x:c>
      <x:c r="C6" s="2" t="str">
        <x:v>Géptábla / vezérlő azonosítás szükséges</x:v>
      </x:c>
    </x:row>
    <x:row r="7" ht="34" customHeight="1">
      <x:c r="A7" s="2" t="str">
        <x:v>woodWOP</x:v>
      </x:c>
      <x:c r="B7" s="6" t="str">
        <x:v>5.0</x:v>
      </x:c>
      <x:c r="C7" s="2" t="str">
        <x:v>Valós megnyitási próba szükséges</x:v>
      </x:c>
    </x:row>
    <x:row r="8" ht="34" customHeight="1">
      <x:c r="A8" s="2" t="str">
        <x:v>Első ütköző</x:v>
      </x:c>
      <x:c r="B8" s="6"/>
      <x:c r="C8" s="2" t="str">
        <x:v>Gépben E1/E4 megfeleltetés</x:v>
      </x:c>
    </x:row>
    <x:row r="9" ht="34" customHeight="1">
      <x:c r="A9" s="2" t="str">
        <x:v>Második ütköző</x:v>
      </x:c>
      <x:c r="B9" s="6"/>
      <x:c r="C9" s="2" t="str">
        <x:v>Gépben X/Y irány</x:v>
      </x:c>
    </x:row>
    <x:row r="10" ht="34" customHeight="1">
      <x:c r="A10" s="2" t="str">
        <x:v>Felfekvő oldal / fordítás</x:v>
      </x:c>
      <x:c r="B10" s="6"/>
      <x:c r="C10" s="2" t="str">
        <x:v>A/B nem automatikus gépi orientáció</x:v>
      </x:c>
    </x:row>
    <x:row r="11" ht="34" customHeight="1">
      <x:c r="A11" s="2" t="str">
        <x:v>C kód → élanyag/vastagság</x:v>
      </x:c>
      <x:c r="B11" s="6"/>
      <x:c r="C11" s="2" t="str">
        <x:v>Az asztalos kódtáblája</x:v>
      </x:c>
    </x:row>
    <x:row r="12" ht="34" customHeight="1">
      <x:c r="A12" s="2" t="str">
        <x:v>Legkisebb befogható szélesség mm</x:v>
      </x:c>
      <x:c r="B12" s="6"/>
      <x:c r="C12" s="2" t="str">
        <x:v>18mm lécek technológiája külön</x:v>
      </x:c>
    </x:row>
    <x:row r="13" ht="34" customHeight="1">
      <x:c r="A13" s="2" t="str">
        <x:v>Szerszámtár export</x:v>
      </x:c>
      <x:c r="B13" s="6"/>
      <x:c r="C13" s="2" t="str">
        <x:v>Átmérő,irány,hasznos hossz,azonosító</x:v>
      </x:c>
    </x:row>
    <x:row r="14" ht="34" customHeight="1">
      <x:c r="A14" s="2" t="str">
        <x:v>Előtolás / fordulat tábla</x:v>
      </x:c>
      <x:c r="B14" s="6"/>
      <x:c r="C14" s="2" t="str">
        <x:v>Szerszám és lapanyag szerint</x:v>
      </x:c>
    </x:row>
    <x:row r="15" ht="34" customHeight="1">
      <x:c r="A15" s="2" t="str">
        <x:v>Címkeimport adatbázis séma</x:v>
      </x:c>
      <x:c r="B15" s="6"/>
      <x:c r="C15" s="2" t="str">
        <x:v>Valódi műhelyi import még nem tesztelt</x:v>
      </x:c>
    </x:row>
    <x:row r="16" ht="34" customHeight="1">
      <x:c r="A16" s="2" t="str">
        <x:v>Műhelyi ellenőrző neve</x:v>
      </x:c>
      <x:c r="B16" s="6"/>
      <x:c r="C16" s="2" t="str">
        <x:v>Aláírás és dátum</x:v>
      </x:c>
    </x:row>
    <x:row r="17" ht="34" customHeight="1">
      <x:c r="A17" s="2" t="str">
        <x:v>Engedélyezett revízió</x:v>
      </x:c>
      <x:c r="B17" s="6"/>
      <x:c r="C17" s="2" t="str">
        <x:v>Csak próba után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5" hidden="0" customWidth="1"/>
  </x:cols>
  <x:sheetData>
    <x:row r="1">
      <x:c r="A1" s="5" t="str">
        <x:v>M5 próbacsomag / a próbafedlap nem új beépülő darab</x:v>
      </x:c>
    </x:row>
    <x:row r="5" ht="40" customHeight="1">
      <x:c r="A5" s="4" t="str">
        <x:v>Darab</x:v>
      </x:c>
      <x:c r="B5" s="4" t="str">
        <x:v>Megnevezés</x:v>
      </x:c>
      <x:c r="C5" s="4" t="str">
        <x:v>U mm</x:v>
      </x:c>
      <x:c r="D5" s="4" t="str">
        <x:v>V mm</x:v>
      </x:c>
      <x:c r="E5" s="4" t="str">
        <x:v>t mm</x:v>
      </x:c>
      <x:c r="F5" s="4" t="str">
        <x:v>Furat db</x:v>
      </x:c>
      <x:c r="G5" s="4" t="str">
        <x:v>Kulcs</x:v>
      </x:c>
    </x:row>
    <x:row r="6" ht="34" customHeight="1">
      <x:c r="A6" s="2" t="str">
        <x:v>KI12-TV02S-09</x:v>
      </x:c>
      <x:c r="B6" s="2" t="str">
        <x:v>Alsó oldalak / bal oldallap</x:v>
      </x:c>
      <x:c r="C6" s="2" t="n">
        <x:v>382</x:v>
      </x:c>
      <x:c r="D6" s="2" t="n">
        <x:v>382</x:v>
      </x:c>
      <x:c r="E6" s="2" t="n">
        <x:v>18</x:v>
      </x:c>
      <x:c r="F6" s="2" t="n">
        <x:v>22</x:v>
      </x:c>
      <x:c r="G6" s="2" t="str">
        <x:v>R15:KI12-TV02S-09</x:v>
      </x:c>
    </x:row>
    <x:row r="7" ht="34" customHeight="1">
      <x:c r="A7" s="2" t="str">
        <x:v>KI12-TV02S-10</x:v>
      </x:c>
      <x:c r="B7" s="2" t="str">
        <x:v>Alsó oldalak / jobb oldallap</x:v>
      </x:c>
      <x:c r="C7" s="2" t="n">
        <x:v>382</x:v>
      </x:c>
      <x:c r="D7" s="2" t="n">
        <x:v>382</x:v>
      </x:c>
      <x:c r="E7" s="2" t="n">
        <x:v>18</x:v>
      </x:c>
      <x:c r="F7" s="2" t="n">
        <x:v>20</x:v>
      </x:c>
      <x:c r="G7" s="2" t="str">
        <x:v>R15:KI12-TV02S-10</x:v>
      </x:c>
    </x:row>
    <x:row r="8" ht="34" customHeight="1">
      <x:c r="A8" s="2" t="str">
        <x:v>KI12-TV02T2-04</x:v>
      </x:c>
      <x:c r="B8" s="2" t="str">
        <x:v>690-es modul fenék / példány 4</x:v>
      </x:c>
      <x:c r="C8" s="2" t="n">
        <x:v>654</x:v>
      </x:c>
      <x:c r="D8" s="2" t="n">
        <x:v>382</x:v>
      </x:c>
      <x:c r="E8" s="2" t="n">
        <x:v>18</x:v>
      </x:c>
      <x:c r="F8" s="2" t="n">
        <x:v>6</x:v>
      </x:c>
      <x:c r="G8" s="2" t="str">
        <x:v>R15:KI12-TV02T2-04</x:v>
      </x:c>
    </x:row>
    <x:row r="9" ht="34" customHeight="1">
      <x:c r="A9" s="2" t="str">
        <x:v>KI12-TV02P2-03</x:v>
      </x:c>
      <x:c r="B9" s="2" t="str">
        <x:v>690-es modul polc / példány 3</x:v>
      </x:c>
      <x:c r="C9" s="2" t="n">
        <x:v>652</x:v>
      </x:c>
      <x:c r="D9" s="2" t="n">
        <x:v>290</x:v>
      </x:c>
      <x:c r="E9" s="2" t="n">
        <x:v>18</x:v>
      </x:c>
      <x:c r="F9" s="2" t="n">
        <x:v>0</x:v>
      </x:c>
      <x:c r="G9" s="2" t="str">
        <x:v>R15:KI12-TV02P2-03</x:v>
      </x:c>
    </x:row>
    <x:row r="10" ht="34" customHeight="1">
      <x:c r="A10" s="2" t="str">
        <x:v>KI12-TV02F2-04</x:v>
      </x:c>
      <x:c r="B10" s="2" t="str">
        <x:v>Alsó front690 / példány 4</x:v>
      </x:c>
      <x:c r="C10" s="2" t="n">
        <x:v>687</x:v>
      </x:c>
      <x:c r="D10" s="2" t="n">
        <x:v>397</x:v>
      </x:c>
      <x:c r="E10" s="2" t="n">
        <x:v>18</x:v>
      </x:c>
      <x:c r="F10" s="2" t="n">
        <x:v>6</x:v>
      </x:c>
      <x:c r="G10" s="2" t="str">
        <x:v>R15:KI12-TV02F2-04</x:v>
      </x:c>
    </x:row>
    <x:row r="11" ht="34" customHeight="1">
      <x:c r="A11" s="2" t="str">
        <x:v>KI12-TV02H2-04</x:v>
      </x:c>
      <x:c r="B11" s="2" t="str">
        <x:v>Hátlap690 / példány 4</x:v>
      </x:c>
      <x:c r="C11" s="2" t="n">
        <x:v>652</x:v>
      </x:c>
      <x:c r="D11" s="2" t="n">
        <x:v>362</x:v>
      </x:c>
      <x:c r="E11" s="2" t="n">
        <x:v>8</x:v>
      </x:c>
      <x:c r="F11" s="2" t="n">
        <x:v>6</x:v>
      </x:c>
      <x:c r="G11" s="2" t="str">
        <x:v>R15:KI12-TV02H2-04</x:v>
      </x:c>
    </x:row>
    <x:row r="12" ht="34" customHeight="1">
      <x:c r="A12" s="2" t="str">
        <x:v>KI14-BAT-11</x:v>
      </x:c>
      <x:c r="B12" s="2" t="str">
        <x:v>Hátlaprögzítő bükk léc</x:v>
      </x:c>
      <x:c r="C12" s="2" t="n">
        <x:v>212</x:v>
      </x:c>
      <x:c r="D12" s="2" t="n">
        <x:v>18</x:v>
      </x:c>
      <x:c r="E12" s="2" t="n">
        <x:v>18</x:v>
      </x:c>
      <x:c r="F12" s="2" t="n">
        <x:v>6</x:v>
      </x:c>
      <x:c r="G12" s="2" t="str">
        <x:v>R15:KI14-BAT-11</x:v>
      </x:c>
    </x:row>
    <x:row r="13" ht="34" customHeight="1">
      <x:c r="A13" s="2" t="str">
        <x:v>KI14-BAT-12</x:v>
      </x:c>
      <x:c r="B13" s="2" t="str">
        <x:v>Hátlaprögzítő bükk léc</x:v>
      </x:c>
      <x:c r="C13" s="2" t="n">
        <x:v>212</x:v>
      </x:c>
      <x:c r="D13" s="2" t="n">
        <x:v>18</x:v>
      </x:c>
      <x:c r="E13" s="2" t="n">
        <x:v>18</x:v>
      </x:c>
      <x:c r="F13" s="2" t="n">
        <x:v>6</x:v>
      </x:c>
      <x:c r="G13" s="2" t="str">
        <x:v>R15:KI14-BAT-12</x:v>
      </x:c>
    </x:row>
    <x:row r="14" ht="34" customHeight="1">
      <x:c r="A14" s="2" t="str">
        <x:v>KI14-RAIL-05</x:v>
      </x:c>
      <x:c r="B14" s="2" t="str">
        <x:v>Hátsó merevítő keresztléc</x:v>
      </x:c>
      <x:c r="C14" s="2" t="n">
        <x:v>654</x:v>
      </x:c>
      <x:c r="D14" s="2" t="n">
        <x:v>100</x:v>
      </x:c>
      <x:c r="E14" s="2" t="n">
        <x:v>18</x:v>
      </x:c>
      <x:c r="F14" s="2" t="n">
        <x:v>6</x:v>
      </x:c>
      <x:c r="G14" s="2" t="str">
        <x:v>R15:KI14-RAIL-05</x:v>
      </x:c>
    </x:row>
    <x:row r="15" ht="34" customHeight="1">
      <x:c r="A15" s="2" t="str">
        <x:v>KI15-PILOT-CAP-M5</x:v>
      </x:c>
      <x:c r="B15" s="2" t="str">
        <x:v>M5 próbafedlap / csak próbához, nem beépülő darab</x:v>
      </x:c>
      <x:c r="C15" s="2" t="n">
        <x:v>690</x:v>
      </x:c>
      <x:c r="D15" s="2" t="n">
        <x:v>382</x:v>
      </x:c>
      <x:c r="E15" s="2" t="n">
        <x:v>18</x:v>
      </x:c>
      <x:c r="F15" s="2" t="n">
        <x:v>6</x:v>
      </x:c>
      <x:c r="G15" s="2" t="str">
        <x:v>R15:KI15-PILOT-CAP-M5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5" t="str">
        <x:v>Elsődarab / üres mérési mezők / a tűrés tervezői egyeztetési cél</x:v>
      </x:c>
    </x:row>
    <x:row r="5" ht="40" customHeight="1">
      <x:c r="A5" s="4" t="str">
        <x:v>Mérés</x:v>
      </x:c>
      <x:c r="B5" s="4" t="str">
        <x:v>Névleges mm</x:v>
      </x:c>
      <x:c r="C5" s="4" t="str">
        <x:v>Tűrés ±mm</x:v>
      </x:c>
      <x:c r="D5" s="4" t="str">
        <x:v>Mért mm</x:v>
      </x:c>
      <x:c r="E5" s="4" t="str">
        <x:v>Eltérés mm</x:v>
      </x:c>
      <x:c r="F5" s="4" t="str">
        <x:v>Eredmény</x:v>
      </x:c>
      <x:c r="G5" s="4" t="str">
        <x:v>Mérő / dátum</x:v>
      </x:c>
    </x:row>
    <x:row r="6" ht="34" customHeight="1">
      <x:c r="A6" s="2" t="str">
        <x:v>Front U</x:v>
      </x:c>
      <x:c r="B6" s="2" t="n">
        <x:v>687</x:v>
      </x:c>
      <x:c r="C6" s="2" t="n">
        <x:v>0.3</x:v>
      </x:c>
      <x:c r="D6" s="6"/>
      <x:c r="E6" s="2" t="str">
        <x:f>IF(COUNT(D6)=1,D6-B6,"")</x:f>
      </x:c>
      <x:c r="F6" s="2" t="str">
        <x:f>IF(COUNT(D6)=0,"NYITOTT",IF(ABS(E6)&lt;=C6,"MÉRETEN BELÜL","ELTÉRÉS"))</x:f>
        <x:v>NYITOTT</x:v>
      </x:c>
      <x:c r="G6" s="6"/>
    </x:row>
    <x:row r="7" ht="34" customHeight="1">
      <x:c r="A7" s="2" t="str">
        <x:v>Front V</x:v>
      </x:c>
      <x:c r="B7" s="2" t="n">
        <x:v>397</x:v>
      </x:c>
      <x:c r="C7" s="2" t="n">
        <x:v>0.3</x:v>
      </x:c>
      <x:c r="D7" s="6"/>
      <x:c r="E7" s="2" t="str">
        <x:f>IF(COUNT(D7)=1,D7-B7,"")</x:f>
      </x:c>
      <x:c r="F7" s="2" t="str">
        <x:f>IF(COUNT(D7)=0,"NYITOTT",IF(ABS(E7)&lt;=C7,"MÉRETEN BELÜL","ELTÉRÉS"))</x:f>
        <x:v>NYITOTT</x:v>
      </x:c>
      <x:c r="G7" s="6"/>
    </x:row>
    <x:row r="8" ht="34" customHeight="1">
      <x:c r="A8" s="2" t="str">
        <x:v>Oldal U</x:v>
      </x:c>
      <x:c r="B8" s="2" t="n">
        <x:v>382</x:v>
      </x:c>
      <x:c r="C8" s="2" t="n">
        <x:v>0.3</x:v>
      </x:c>
      <x:c r="D8" s="6"/>
      <x:c r="E8" s="2" t="str">
        <x:f>IF(COUNT(D8)=1,D8-B8,"")</x:f>
      </x:c>
      <x:c r="F8" s="2" t="str">
        <x:f>IF(COUNT(D8)=0,"NYITOTT",IF(ABS(E8)&lt;=C8,"MÉRETEN BELÜL","ELTÉRÉS"))</x:f>
        <x:v>NYITOTT</x:v>
      </x:c>
      <x:c r="G8" s="6"/>
    </x:row>
    <x:row r="9" ht="34" customHeight="1">
      <x:c r="A9" s="2" t="str">
        <x:v>Oldal V</x:v>
      </x:c>
      <x:c r="B9" s="2" t="n">
        <x:v>382</x:v>
      </x:c>
      <x:c r="C9" s="2" t="n">
        <x:v>0.3</x:v>
      </x:c>
      <x:c r="D9" s="6"/>
      <x:c r="E9" s="2" t="str">
        <x:f>IF(COUNT(D9)=1,D9-B9,"")</x:f>
      </x:c>
      <x:c r="F9" s="2" t="str">
        <x:f>IF(COUNT(D9)=0,"NYITOTT",IF(ABS(E9)&lt;=C9,"MÉRETEN BELÜL","ELTÉRÉS"))</x:f>
        <x:v>NYITOTT</x:v>
      </x:c>
      <x:c r="G9" s="6"/>
    </x:row>
    <x:row r="10" ht="34" customHeight="1">
      <x:c r="A10" s="2" t="str">
        <x:v>Camar Y osztás</x:v>
      </x:c>
      <x:c r="B10" s="2" t="n">
        <x:v>32</x:v>
      </x:c>
      <x:c r="C10" s="2" t="n">
        <x:v>0.2</x:v>
      </x:c>
      <x:c r="D10" s="6"/>
      <x:c r="E10" s="2" t="str">
        <x:f>IF(COUNT(D10)=1,D10-B10,"")</x:f>
      </x:c>
      <x:c r="F10" s="2" t="str">
        <x:f>IF(COUNT(D10)=0,"NYITOTT",IF(ABS(E10)&lt;=C10,"MÉRETEN BELÜL","ELTÉRÉS"))</x:f>
        <x:v>NYITOTT</x:v>
      </x:c>
      <x:c r="G10" s="6"/>
    </x:row>
    <x:row r="11" ht="34" customHeight="1">
      <x:c r="A11" s="2" t="str">
        <x:v>Camar Z osztás</x:v>
      </x:c>
      <x:c r="B11" s="2" t="n">
        <x:v>64</x:v>
      </x:c>
      <x:c r="C11" s="2" t="n">
        <x:v>0.2</x:v>
      </x:c>
      <x:c r="D11" s="6"/>
      <x:c r="E11" s="2" t="str">
        <x:f>IF(COUNT(D11)=1,D11-B11,"")</x:f>
      </x:c>
      <x:c r="F11" s="2" t="str">
        <x:f>IF(COUNT(D11)=0,"NYITOTT",IF(ABS(E11)&lt;=C11,"MÉRETEN BELÜL","ELTÉRÉS"))</x:f>
        <x:v>NYITOTT</x:v>
      </x:c>
      <x:c r="G11" s="6"/>
    </x:row>
    <x:row r="12" ht="34" customHeight="1">
      <x:c r="A12" s="2" t="str">
        <x:v>Camar furatmélység</x:v>
      </x:c>
      <x:c r="B12" s="2" t="n">
        <x:v>12</x:v>
      </x:c>
      <x:c r="C12" s="2" t="n">
        <x:v>0.2</x:v>
      </x:c>
      <x:c r="D12" s="6"/>
      <x:c r="E12" s="2" t="str">
        <x:f>IF(COUNT(D12)=1,D12-B12,"")</x:f>
      </x:c>
      <x:c r="F12" s="2" t="str">
        <x:f>IF(COUNT(D12)=0,"NYITOTT",IF(ABS(E12)&lt;=C12,"MÉRETEN BELÜL","ELTÉRÉS"))</x:f>
        <x:v>NYITOTT</x:v>
      </x:c>
      <x:c r="G12" s="6"/>
    </x:row>
    <x:row r="13" ht="34" customHeight="1">
      <x:c r="A13" s="2" t="str">
        <x:v>Pántcsésze mélység</x:v>
      </x:c>
      <x:c r="B13" s="2" t="n">
        <x:v>13</x:v>
      </x:c>
      <x:c r="C13" s="2" t="n">
        <x:v>0.2</x:v>
      </x:c>
      <x:c r="D13" s="6"/>
      <x:c r="E13" s="2" t="str">
        <x:f>IF(COUNT(D13)=1,D13-B13,"")</x:f>
      </x:c>
      <x:c r="F13" s="2" t="str">
        <x:f>IF(COUNT(D13)=0,"NYITOTT",IF(ABS(E13)&lt;=C13,"MÉRETEN BELÜL","ELTÉRÉS"))</x:f>
        <x:v>NYITOTT</x:v>
      </x:c>
      <x:c r="G13" s="6"/>
    </x:row>
    <x:row r="14" ht="34" customHeight="1">
      <x:c r="A14" s="2" t="str">
        <x:v>Korpusz szélesség</x:v>
      </x:c>
      <x:c r="B14" s="2" t="n">
        <x:v>690</x:v>
      </x:c>
      <x:c r="C14" s="2" t="n">
        <x:v>1</x:v>
      </x:c>
      <x:c r="D14" s="6"/>
      <x:c r="E14" s="2" t="str">
        <x:f>IF(COUNT(D14)=1,D14-B14,"")</x:f>
      </x:c>
      <x:c r="F14" s="2" t="str">
        <x:f>IF(COUNT(D14)=0,"NYITOTT",IF(ABS(E14)&lt;=C14,"MÉRETEN BELÜL","ELTÉRÉS"))</x:f>
        <x:v>NYITOTT</x:v>
      </x:c>
      <x:c r="G14" s="6"/>
    </x:row>
    <x:row r="15" ht="34" customHeight="1">
      <x:c r="A15" s="2" t="str">
        <x:v>Próbafedlap U</x:v>
      </x:c>
      <x:c r="B15" s="2" t="n">
        <x:v>690</x:v>
      </x:c>
      <x:c r="C15" s="2" t="n">
        <x:v>0.3</x:v>
      </x:c>
      <x:c r="D15" s="6"/>
      <x:c r="E15" s="2" t="str">
        <x:f>IF(COUNT(D15)=1,D15-B15,"")</x:f>
      </x:c>
      <x:c r="F15" s="2" t="str">
        <x:f>IF(COUNT(D15)=0,"NYITOTT",IF(ABS(E15)&lt;=C15,"MÉRETEN BELÜL","ELTÉRÉS"))</x:f>
        <x:v>NYITOTT</x:v>
      </x:c>
      <x:c r="G15" s="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18" hidden="0" customWidth="1"/>
    <x:col min="5" max="5" width="18" hidden="0" customWidth="1"/>
    <x:col min="6" max="6" width="70" hidden="0" customWidth="1"/>
  </x:cols>
  <x:sheetData>
    <x:row r="1">
      <x:c r="A1" s="5" t="str">
        <x:v>138 párosított szerkezeti kötés / ID megmaradt, koordináta a R15 Furatok lapon</x:v>
      </x:c>
    </x:row>
    <x:row r="5" ht="40" customHeight="1">
      <x:c r="A5" s="4" t="str">
        <x:v>Kötés ID</x:v>
      </x:c>
      <x:c r="B5" s="4" t="str">
        <x:v>Első darab</x:v>
      </x:c>
      <x:c r="C5" s="4" t="str">
        <x:v>Második darab</x:v>
      </x:c>
      <x:c r="D5" s="4" t="str">
        <x:v>Első furat</x:v>
      </x:c>
      <x:c r="E5" s="4" t="str">
        <x:v>Második furat</x:v>
      </x:c>
      <x:c r="F5" s="4" t="str">
        <x:v>Kötőelem</x:v>
      </x:c>
    </x:row>
    <x:row r="6" ht="34" customHeight="1">
      <x:c r="A6" s="2" t="str">
        <x:v>R14-J001</x:v>
      </x:c>
      <x:c r="B6" s="2" t="str">
        <x:v>KI14-BAT-01</x:v>
      </x:c>
      <x:c r="C6" s="2" t="str">
        <x:v>KI12-TV01S-01</x:v>
      </x:c>
      <x:c r="D6" s="2" t="str">
        <x:v>H0294</x:v>
      </x:c>
      <x:c r="E6" s="2" t="str">
        <x:v>H0295</x:v>
      </x:c>
      <x:c r="F6" s="2" t="str">
        <x:v>4x30 domború fejű facsavar / tervezési specifikáció</x:v>
      </x:c>
    </x:row>
    <x:row r="7" ht="34" customHeight="1">
      <x:c r="A7" s="2" t="str">
        <x:v>R14-J002</x:v>
      </x:c>
      <x:c r="B7" s="2" t="str">
        <x:v>KI12-TV01H-01</x:v>
      </x:c>
      <x:c r="C7" s="2" t="str">
        <x:v>KI14-BAT-01</x:v>
      </x:c>
      <x:c r="D7" s="2" t="str">
        <x:v>H0296</x:v>
      </x:c>
      <x:c r="E7" s="2" t="str">
        <x:v>H0297</x:v>
      </x:c>
      <x:c r="F7" s="2" t="str">
        <x:v>3.5x20 domború fejű facsavar / tervezési specifikáció</x:v>
      </x:c>
    </x:row>
    <x:row r="8" ht="34" customHeight="1">
      <x:c r="A8" s="2" t="str">
        <x:v>R14-J003</x:v>
      </x:c>
      <x:c r="B8" s="2" t="str">
        <x:v>KI14-BAT-01</x:v>
      </x:c>
      <x:c r="C8" s="2" t="str">
        <x:v>KI12-TV01S-01</x:v>
      </x:c>
      <x:c r="D8" s="2" t="str">
        <x:v>H0298</x:v>
      </x:c>
      <x:c r="E8" s="2" t="str">
        <x:v>H0299</x:v>
      </x:c>
      <x:c r="F8" s="2" t="str">
        <x:v>4x30 domború fejű facsavar / tervezési specifikáció</x:v>
      </x:c>
    </x:row>
    <x:row r="9" ht="34" customHeight="1">
      <x:c r="A9" s="2" t="str">
        <x:v>R14-J004</x:v>
      </x:c>
      <x:c r="B9" s="2" t="str">
        <x:v>KI12-TV01H-01</x:v>
      </x:c>
      <x:c r="C9" s="2" t="str">
        <x:v>KI14-BAT-01</x:v>
      </x:c>
      <x:c r="D9" s="2" t="str">
        <x:v>H0300</x:v>
      </x:c>
      <x:c r="E9" s="2" t="str">
        <x:v>H0301</x:v>
      </x:c>
      <x:c r="F9" s="2" t="str">
        <x:v>3.5x20 domború fejű facsavar / tervezési specifikáció</x:v>
      </x:c>
    </x:row>
    <x:row r="10" ht="34" customHeight="1">
      <x:c r="A10" s="2" t="str">
        <x:v>R14-J005</x:v>
      </x:c>
      <x:c r="B10" s="2" t="str">
        <x:v>KI14-BAT-01</x:v>
      </x:c>
      <x:c r="C10" s="2" t="str">
        <x:v>KI12-TV01S-01</x:v>
      </x:c>
      <x:c r="D10" s="2" t="str">
        <x:v>H0302</x:v>
      </x:c>
      <x:c r="E10" s="2" t="str">
        <x:v>H0303</x:v>
      </x:c>
      <x:c r="F10" s="2" t="str">
        <x:v>4x30 domború fejű facsavar / tervezési specifikáció</x:v>
      </x:c>
    </x:row>
    <x:row r="11" ht="34" customHeight="1">
      <x:c r="A11" s="2" t="str">
        <x:v>R14-J006</x:v>
      </x:c>
      <x:c r="B11" s="2" t="str">
        <x:v>KI12-TV01H-01</x:v>
      </x:c>
      <x:c r="C11" s="2" t="str">
        <x:v>KI14-BAT-01</x:v>
      </x:c>
      <x:c r="D11" s="2" t="str">
        <x:v>H0304</x:v>
      </x:c>
      <x:c r="E11" s="2" t="str">
        <x:v>H0305</x:v>
      </x:c>
      <x:c r="F11" s="2" t="str">
        <x:v>3.5x20 domború fejű facsavar / tervezési specifikáció</x:v>
      </x:c>
    </x:row>
    <x:row r="12" ht="34" customHeight="1">
      <x:c r="A12" s="2" t="str">
        <x:v>R14-J007</x:v>
      </x:c>
      <x:c r="B12" s="2" t="str">
        <x:v>KI14-BAT-01</x:v>
      </x:c>
      <x:c r="C12" s="2" t="str">
        <x:v>KI12-TV01S-01</x:v>
      </x:c>
      <x:c r="D12" s="2" t="str">
        <x:v>H0306</x:v>
      </x:c>
      <x:c r="E12" s="2" t="str">
        <x:v>H0307</x:v>
      </x:c>
      <x:c r="F12" s="2" t="str">
        <x:v>4x30 domború fejű facsavar / tervezési specifikáció</x:v>
      </x:c>
    </x:row>
    <x:row r="13" ht="34" customHeight="1">
      <x:c r="A13" s="2" t="str">
        <x:v>R14-J008</x:v>
      </x:c>
      <x:c r="B13" s="2" t="str">
        <x:v>KI12-TV01H-01</x:v>
      </x:c>
      <x:c r="C13" s="2" t="str">
        <x:v>KI14-BAT-01</x:v>
      </x:c>
      <x:c r="D13" s="2" t="str">
        <x:v>H0308</x:v>
      </x:c>
      <x:c r="E13" s="2" t="str">
        <x:v>H0309</x:v>
      </x:c>
      <x:c r="F13" s="2" t="str">
        <x:v>3.5x20 domború fejű facsavar / tervezési specifikáció</x:v>
      </x:c>
    </x:row>
    <x:row r="14" ht="34" customHeight="1">
      <x:c r="A14" s="2" t="str">
        <x:v>R14-J009</x:v>
      </x:c>
      <x:c r="B14" s="2" t="str">
        <x:v>KI14-BAT-01</x:v>
      </x:c>
      <x:c r="C14" s="2" t="str">
        <x:v>KI12-TV01S-01</x:v>
      </x:c>
      <x:c r="D14" s="2" t="str">
        <x:v>H0310</x:v>
      </x:c>
      <x:c r="E14" s="2" t="str">
        <x:v>H0311</x:v>
      </x:c>
      <x:c r="F14" s="2" t="str">
        <x:v>4x30 domború fejű facsavar / tervezési specifikáció</x:v>
      </x:c>
    </x:row>
    <x:row r="15" ht="34" customHeight="1">
      <x:c r="A15" s="2" t="str">
        <x:v>R14-J010</x:v>
      </x:c>
      <x:c r="B15" s="2" t="str">
        <x:v>KI12-TV01H-01</x:v>
      </x:c>
      <x:c r="C15" s="2" t="str">
        <x:v>KI14-BAT-01</x:v>
      </x:c>
      <x:c r="D15" s="2" t="str">
        <x:v>H0312</x:v>
      </x:c>
      <x:c r="E15" s="2" t="str">
        <x:v>H0313</x:v>
      </x:c>
      <x:c r="F15" s="2" t="str">
        <x:v>3.5x20 domború fejű facsavar / tervezési specifikáció</x:v>
      </x:c>
    </x:row>
    <x:row r="16" ht="34" customHeight="1">
      <x:c r="A16" s="2" t="str">
        <x:v>R14-J011</x:v>
      </x:c>
      <x:c r="B16" s="2" t="str">
        <x:v>KI14-BAT-01</x:v>
      </x:c>
      <x:c r="C16" s="2" t="str">
        <x:v>KI12-TV01S-01</x:v>
      </x:c>
      <x:c r="D16" s="2" t="str">
        <x:v>H0314</x:v>
      </x:c>
      <x:c r="E16" s="2" t="str">
        <x:v>H0315</x:v>
      </x:c>
      <x:c r="F16" s="2" t="str">
        <x:v>4x30 domború fejű facsavar / tervezési specifikáció</x:v>
      </x:c>
    </x:row>
    <x:row r="17" ht="34" customHeight="1">
      <x:c r="A17" s="2" t="str">
        <x:v>R14-J012</x:v>
      </x:c>
      <x:c r="B17" s="2" t="str">
        <x:v>KI12-TV01H-01</x:v>
      </x:c>
      <x:c r="C17" s="2" t="str">
        <x:v>KI14-BAT-01</x:v>
      </x:c>
      <x:c r="D17" s="2" t="str">
        <x:v>H0316</x:v>
      </x:c>
      <x:c r="E17" s="2" t="str">
        <x:v>H0317</x:v>
      </x:c>
      <x:c r="F17" s="2" t="str">
        <x:v>3.5x20 domború fejű facsavar / tervezési specifikáció</x:v>
      </x:c>
    </x:row>
    <x:row r="18" ht="34" customHeight="1">
      <x:c r="A18" s="2" t="str">
        <x:v>R14-J013</x:v>
      </x:c>
      <x:c r="B18" s="2" t="str">
        <x:v>KI14-BAT-01</x:v>
      </x:c>
      <x:c r="C18" s="2" t="str">
        <x:v>KI12-TV01S-01</x:v>
      </x:c>
      <x:c r="D18" s="2" t="str">
        <x:v>H0318</x:v>
      </x:c>
      <x:c r="E18" s="2" t="str">
        <x:v>H0319</x:v>
      </x:c>
      <x:c r="F18" s="2" t="str">
        <x:v>4x30 domború fejű facsavar / tervezési specifikáció</x:v>
      </x:c>
    </x:row>
    <x:row r="19" ht="34" customHeight="1">
      <x:c r="A19" s="2" t="str">
        <x:v>R14-J014</x:v>
      </x:c>
      <x:c r="B19" s="2" t="str">
        <x:v>KI12-TV01H-01</x:v>
      </x:c>
      <x:c r="C19" s="2" t="str">
        <x:v>KI14-BAT-01</x:v>
      </x:c>
      <x:c r="D19" s="2" t="str">
        <x:v>H0320</x:v>
      </x:c>
      <x:c r="E19" s="2" t="str">
        <x:v>H0321</x:v>
      </x:c>
      <x:c r="F19" s="2" t="str">
        <x:v>3.5x20 domború fejű facsavar / tervezési specifikáció</x:v>
      </x:c>
    </x:row>
    <x:row r="20" ht="34" customHeight="1">
      <x:c r="A20" s="2" t="str">
        <x:v>R14-J015</x:v>
      </x:c>
      <x:c r="B20" s="2" t="str">
        <x:v>KI14-BAT-02</x:v>
      </x:c>
      <x:c r="C20" s="2" t="str">
        <x:v>KI12-TV01S-02</x:v>
      </x:c>
      <x:c r="D20" s="2" t="str">
        <x:v>H0322</x:v>
      </x:c>
      <x:c r="E20" s="2" t="str">
        <x:v>H0323</x:v>
      </x:c>
      <x:c r="F20" s="2" t="str">
        <x:v>4x30 domború fejű facsavar / tervezési specifikáció</x:v>
      </x:c>
    </x:row>
    <x:row r="21" ht="34" customHeight="1">
      <x:c r="A21" s="2" t="str">
        <x:v>R14-J016</x:v>
      </x:c>
      <x:c r="B21" s="2" t="str">
        <x:v>KI12-TV01H-01</x:v>
      </x:c>
      <x:c r="C21" s="2" t="str">
        <x:v>KI14-BAT-02</x:v>
      </x:c>
      <x:c r="D21" s="2" t="str">
        <x:v>H0324</x:v>
      </x:c>
      <x:c r="E21" s="2" t="str">
        <x:v>H0325</x:v>
      </x:c>
      <x:c r="F21" s="2" t="str">
        <x:v>3.5x20 domború fejű facsavar / tervezési specifikáció</x:v>
      </x:c>
    </x:row>
    <x:row r="22" ht="34" customHeight="1">
      <x:c r="A22" s="2" t="str">
        <x:v>R14-J017</x:v>
      </x:c>
      <x:c r="B22" s="2" t="str">
        <x:v>KI14-BAT-02</x:v>
      </x:c>
      <x:c r="C22" s="2" t="str">
        <x:v>KI12-TV01S-02</x:v>
      </x:c>
      <x:c r="D22" s="2" t="str">
        <x:v>H0326</x:v>
      </x:c>
      <x:c r="E22" s="2" t="str">
        <x:v>H0327</x:v>
      </x:c>
      <x:c r="F22" s="2" t="str">
        <x:v>4x30 domború fejű facsavar / tervezési specifikáció</x:v>
      </x:c>
    </x:row>
    <x:row r="23" ht="34" customHeight="1">
      <x:c r="A23" s="2" t="str">
        <x:v>R14-J018</x:v>
      </x:c>
      <x:c r="B23" s="2" t="str">
        <x:v>KI12-TV01H-01</x:v>
      </x:c>
      <x:c r="C23" s="2" t="str">
        <x:v>KI14-BAT-02</x:v>
      </x:c>
      <x:c r="D23" s="2" t="str">
        <x:v>H0328</x:v>
      </x:c>
      <x:c r="E23" s="2" t="str">
        <x:v>H0329</x:v>
      </x:c>
      <x:c r="F23" s="2" t="str">
        <x:v>3.5x20 domború fejű facsavar / tervezési specifikáció</x:v>
      </x:c>
    </x:row>
    <x:row r="24" ht="34" customHeight="1">
      <x:c r="A24" s="2" t="str">
        <x:v>R14-J019</x:v>
      </x:c>
      <x:c r="B24" s="2" t="str">
        <x:v>KI14-BAT-02</x:v>
      </x:c>
      <x:c r="C24" s="2" t="str">
        <x:v>KI12-TV01S-02</x:v>
      </x:c>
      <x:c r="D24" s="2" t="str">
        <x:v>H0330</x:v>
      </x:c>
      <x:c r="E24" s="2" t="str">
        <x:v>H0331</x:v>
      </x:c>
      <x:c r="F24" s="2" t="str">
        <x:v>4x30 domború fejű facsavar / tervezési specifikáció</x:v>
      </x:c>
    </x:row>
    <x:row r="25" ht="34" customHeight="1">
      <x:c r="A25" s="2" t="str">
        <x:v>R14-J020</x:v>
      </x:c>
      <x:c r="B25" s="2" t="str">
        <x:v>KI12-TV01H-01</x:v>
      </x:c>
      <x:c r="C25" s="2" t="str">
        <x:v>KI14-BAT-02</x:v>
      </x:c>
      <x:c r="D25" s="2" t="str">
        <x:v>H0332</x:v>
      </x:c>
      <x:c r="E25" s="2" t="str">
        <x:v>H0333</x:v>
      </x:c>
      <x:c r="F25" s="2" t="str">
        <x:v>3.5x20 domború fejű facsavar / tervezési specifikáció</x:v>
      </x:c>
    </x:row>
    <x:row r="26" ht="34" customHeight="1">
      <x:c r="A26" s="2" t="str">
        <x:v>R14-J021</x:v>
      </x:c>
      <x:c r="B26" s="2" t="str">
        <x:v>KI14-BAT-02</x:v>
      </x:c>
      <x:c r="C26" s="2" t="str">
        <x:v>KI12-TV01S-02</x:v>
      </x:c>
      <x:c r="D26" s="2" t="str">
        <x:v>H0334</x:v>
      </x:c>
      <x:c r="E26" s="2" t="str">
        <x:v>H0335</x:v>
      </x:c>
      <x:c r="F26" s="2" t="str">
        <x:v>4x30 domború fejű facsavar / tervezési specifikáció</x:v>
      </x:c>
    </x:row>
    <x:row r="27" ht="34" customHeight="1">
      <x:c r="A27" s="2" t="str">
        <x:v>R14-J022</x:v>
      </x:c>
      <x:c r="B27" s="2" t="str">
        <x:v>KI12-TV01H-01</x:v>
      </x:c>
      <x:c r="C27" s="2" t="str">
        <x:v>KI14-BAT-02</x:v>
      </x:c>
      <x:c r="D27" s="2" t="str">
        <x:v>H0336</x:v>
      </x:c>
      <x:c r="E27" s="2" t="str">
        <x:v>H0337</x:v>
      </x:c>
      <x:c r="F27" s="2" t="str">
        <x:v>3.5x20 domború fejű facsavar / tervezési specifikáció</x:v>
      </x:c>
    </x:row>
    <x:row r="28" ht="34" customHeight="1">
      <x:c r="A28" s="2" t="str">
        <x:v>R14-J023</x:v>
      </x:c>
      <x:c r="B28" s="2" t="str">
        <x:v>KI14-BAT-02</x:v>
      </x:c>
      <x:c r="C28" s="2" t="str">
        <x:v>KI12-TV01S-02</x:v>
      </x:c>
      <x:c r="D28" s="2" t="str">
        <x:v>H0338</x:v>
      </x:c>
      <x:c r="E28" s="2" t="str">
        <x:v>H0339</x:v>
      </x:c>
      <x:c r="F28" s="2" t="str">
        <x:v>4x30 domború fejű facsavar / tervezési specifikáció</x:v>
      </x:c>
    </x:row>
    <x:row r="29" ht="34" customHeight="1">
      <x:c r="A29" s="2" t="str">
        <x:v>R14-J024</x:v>
      </x:c>
      <x:c r="B29" s="2" t="str">
        <x:v>KI12-TV01H-01</x:v>
      </x:c>
      <x:c r="C29" s="2" t="str">
        <x:v>KI14-BAT-02</x:v>
      </x:c>
      <x:c r="D29" s="2" t="str">
        <x:v>H0340</x:v>
      </x:c>
      <x:c r="E29" s="2" t="str">
        <x:v>H0341</x:v>
      </x:c>
      <x:c r="F29" s="2" t="str">
        <x:v>3.5x20 domború fejű facsavar / tervezési specifikáció</x:v>
      </x:c>
    </x:row>
    <x:row r="30" ht="34" customHeight="1">
      <x:c r="A30" s="2" t="str">
        <x:v>R14-J025</x:v>
      </x:c>
      <x:c r="B30" s="2" t="str">
        <x:v>KI14-BAT-02</x:v>
      </x:c>
      <x:c r="C30" s="2" t="str">
        <x:v>KI12-TV01S-02</x:v>
      </x:c>
      <x:c r="D30" s="2" t="str">
        <x:v>H0342</x:v>
      </x:c>
      <x:c r="E30" s="2" t="str">
        <x:v>H0343</x:v>
      </x:c>
      <x:c r="F30" s="2" t="str">
        <x:v>4x30 domború fejű facsavar / tervezési specifikáció</x:v>
      </x:c>
    </x:row>
    <x:row r="31" ht="34" customHeight="1">
      <x:c r="A31" s="2" t="str">
        <x:v>R14-J026</x:v>
      </x:c>
      <x:c r="B31" s="2" t="str">
        <x:v>KI12-TV01H-01</x:v>
      </x:c>
      <x:c r="C31" s="2" t="str">
        <x:v>KI14-BAT-02</x:v>
      </x:c>
      <x:c r="D31" s="2" t="str">
        <x:v>H0344</x:v>
      </x:c>
      <x:c r="E31" s="2" t="str">
        <x:v>H0345</x:v>
      </x:c>
      <x:c r="F31" s="2" t="str">
        <x:v>3.5x20 domború fejű facsavar / tervezési specifikáció</x:v>
      </x:c>
    </x:row>
    <x:row r="32" ht="34" customHeight="1">
      <x:c r="A32" s="2" t="str">
        <x:v>R14-J027</x:v>
      </x:c>
      <x:c r="B32" s="2" t="str">
        <x:v>KI14-BAT-02</x:v>
      </x:c>
      <x:c r="C32" s="2" t="str">
        <x:v>KI12-TV01S-02</x:v>
      </x:c>
      <x:c r="D32" s="2" t="str">
        <x:v>H0346</x:v>
      </x:c>
      <x:c r="E32" s="2" t="str">
        <x:v>H0347</x:v>
      </x:c>
      <x:c r="F32" s="2" t="str">
        <x:v>4x30 domború fejű facsavar / tervezési specifikáció</x:v>
      </x:c>
    </x:row>
    <x:row r="33" ht="34" customHeight="1">
      <x:c r="A33" s="2" t="str">
        <x:v>R14-J028</x:v>
      </x:c>
      <x:c r="B33" s="2" t="str">
        <x:v>KI12-TV01H-01</x:v>
      </x:c>
      <x:c r="C33" s="2" t="str">
        <x:v>KI14-BAT-02</x:v>
      </x:c>
      <x:c r="D33" s="2" t="str">
        <x:v>H0348</x:v>
      </x:c>
      <x:c r="E33" s="2" t="str">
        <x:v>H0349</x:v>
      </x:c>
      <x:c r="F33" s="2" t="str">
        <x:v>3.5x20 domború fejű facsavar / tervezési specifikáció</x:v>
      </x:c>
    </x:row>
    <x:row r="34" ht="34" customHeight="1">
      <x:c r="A34" s="2" t="str">
        <x:v>R14-J029</x:v>
      </x:c>
      <x:c r="B34" s="2" t="str">
        <x:v>KI14-BAT-03</x:v>
      </x:c>
      <x:c r="C34" s="2" t="str">
        <x:v>KI12-TV02S-01</x:v>
      </x:c>
      <x:c r="D34" s="2" t="str">
        <x:v>H0350</x:v>
      </x:c>
      <x:c r="E34" s="2" t="str">
        <x:v>H0351</x:v>
      </x:c>
      <x:c r="F34" s="2" t="str">
        <x:v>4x30 domború fejű facsavar / tervezési specifikáció</x:v>
      </x:c>
    </x:row>
    <x:row r="35" ht="34" customHeight="1">
      <x:c r="A35" s="2" t="str">
        <x:v>R14-J030</x:v>
      </x:c>
      <x:c r="B35" s="2" t="str">
        <x:v>KI12-TV02H1-01</x:v>
      </x:c>
      <x:c r="C35" s="2" t="str">
        <x:v>KI14-BAT-03</x:v>
      </x:c>
      <x:c r="D35" s="2" t="str">
        <x:v>H0352</x:v>
      </x:c>
      <x:c r="E35" s="2" t="str">
        <x:v>H0353</x:v>
      </x:c>
      <x:c r="F35" s="2" t="str">
        <x:v>3.5x20 domború fejű facsavar / tervezési specifikáció</x:v>
      </x:c>
    </x:row>
    <x:row r="36" ht="34" customHeight="1">
      <x:c r="A36" s="2" t="str">
        <x:v>R14-J031</x:v>
      </x:c>
      <x:c r="B36" s="2" t="str">
        <x:v>KI14-BAT-03</x:v>
      </x:c>
      <x:c r="C36" s="2" t="str">
        <x:v>KI12-TV02S-01</x:v>
      </x:c>
      <x:c r="D36" s="2" t="str">
        <x:v>H0354</x:v>
      </x:c>
      <x:c r="E36" s="2" t="str">
        <x:v>H0355</x:v>
      </x:c>
      <x:c r="F36" s="2" t="str">
        <x:v>4x30 domború fejű facsavar / tervezési specifikáció</x:v>
      </x:c>
    </x:row>
    <x:row r="37" ht="34" customHeight="1">
      <x:c r="A37" s="2" t="str">
        <x:v>R14-J032</x:v>
      </x:c>
      <x:c r="B37" s="2" t="str">
        <x:v>KI12-TV02H1-01</x:v>
      </x:c>
      <x:c r="C37" s="2" t="str">
        <x:v>KI14-BAT-03</x:v>
      </x:c>
      <x:c r="D37" s="2" t="str">
        <x:v>H0356</x:v>
      </x:c>
      <x:c r="E37" s="2" t="str">
        <x:v>H0357</x:v>
      </x:c>
      <x:c r="F37" s="2" t="str">
        <x:v>3.5x20 domború fejű facsavar / tervezési specifikáció</x:v>
      </x:c>
    </x:row>
    <x:row r="38" ht="34" customHeight="1">
      <x:c r="A38" s="2" t="str">
        <x:v>R14-J033</x:v>
      </x:c>
      <x:c r="B38" s="2" t="str">
        <x:v>KI14-BAT-03</x:v>
      </x:c>
      <x:c r="C38" s="2" t="str">
        <x:v>KI12-TV02S-01</x:v>
      </x:c>
      <x:c r="D38" s="2" t="str">
        <x:v>H0358</x:v>
      </x:c>
      <x:c r="E38" s="2" t="str">
        <x:v>H0359</x:v>
      </x:c>
      <x:c r="F38" s="2" t="str">
        <x:v>4x30 domború fejű facsavar / tervezési specifikáció</x:v>
      </x:c>
    </x:row>
    <x:row r="39" ht="34" customHeight="1">
      <x:c r="A39" s="2" t="str">
        <x:v>R14-J034</x:v>
      </x:c>
      <x:c r="B39" s="2" t="str">
        <x:v>KI12-TV02H1-01</x:v>
      </x:c>
      <x:c r="C39" s="2" t="str">
        <x:v>KI14-BAT-03</x:v>
      </x:c>
      <x:c r="D39" s="2" t="str">
        <x:v>H0360</x:v>
      </x:c>
      <x:c r="E39" s="2" t="str">
        <x:v>H0361</x:v>
      </x:c>
      <x:c r="F39" s="2" t="str">
        <x:v>3.5x20 domború fejű facsavar / tervezési specifikáció</x:v>
      </x:c>
    </x:row>
    <x:row r="40" ht="34" customHeight="1">
      <x:c r="A40" s="2" t="str">
        <x:v>R14-J035</x:v>
      </x:c>
      <x:c r="B40" s="2" t="str">
        <x:v>KI14-BAT-04</x:v>
      </x:c>
      <x:c r="C40" s="2" t="str">
        <x:v>KI12-TV02S-02</x:v>
      </x:c>
      <x:c r="D40" s="2" t="str">
        <x:v>H0362</x:v>
      </x:c>
      <x:c r="E40" s="2" t="str">
        <x:v>H0363</x:v>
      </x:c>
      <x:c r="F40" s="2" t="str">
        <x:v>4x30 domború fejű facsavar / tervezési specifikáció</x:v>
      </x:c>
    </x:row>
    <x:row r="41" ht="34" customHeight="1">
      <x:c r="A41" s="2" t="str">
        <x:v>R14-J036</x:v>
      </x:c>
      <x:c r="B41" s="2" t="str">
        <x:v>KI12-TV02H1-01</x:v>
      </x:c>
      <x:c r="C41" s="2" t="str">
        <x:v>KI14-BAT-04</x:v>
      </x:c>
      <x:c r="D41" s="2" t="str">
        <x:v>H0364</x:v>
      </x:c>
      <x:c r="E41" s="2" t="str">
        <x:v>H0365</x:v>
      </x:c>
      <x:c r="F41" s="2" t="str">
        <x:v>3.5x20 domború fejű facsavar / tervezési specifikáció</x:v>
      </x:c>
    </x:row>
    <x:row r="42" ht="34" customHeight="1">
      <x:c r="A42" s="2" t="str">
        <x:v>R14-J037</x:v>
      </x:c>
      <x:c r="B42" s="2" t="str">
        <x:v>KI14-BAT-04</x:v>
      </x:c>
      <x:c r="C42" s="2" t="str">
        <x:v>KI12-TV02S-02</x:v>
      </x:c>
      <x:c r="D42" s="2" t="str">
        <x:v>H0366</x:v>
      </x:c>
      <x:c r="E42" s="2" t="str">
        <x:v>H0367</x:v>
      </x:c>
      <x:c r="F42" s="2" t="str">
        <x:v>4x30 domború fejű facsavar / tervezési specifikáció</x:v>
      </x:c>
    </x:row>
    <x:row r="43" ht="34" customHeight="1">
      <x:c r="A43" s="2" t="str">
        <x:v>R14-J038</x:v>
      </x:c>
      <x:c r="B43" s="2" t="str">
        <x:v>KI12-TV02H1-01</x:v>
      </x:c>
      <x:c r="C43" s="2" t="str">
        <x:v>KI14-BAT-04</x:v>
      </x:c>
      <x:c r="D43" s="2" t="str">
        <x:v>H0368</x:v>
      </x:c>
      <x:c r="E43" s="2" t="str">
        <x:v>H0369</x:v>
      </x:c>
      <x:c r="F43" s="2" t="str">
        <x:v>3.5x20 domború fejű facsavar / tervezési specifikáció</x:v>
      </x:c>
    </x:row>
    <x:row r="44" ht="34" customHeight="1">
      <x:c r="A44" s="2" t="str">
        <x:v>R14-J039</x:v>
      </x:c>
      <x:c r="B44" s="2" t="str">
        <x:v>KI14-BAT-04</x:v>
      </x:c>
      <x:c r="C44" s="2" t="str">
        <x:v>KI12-TV02S-02</x:v>
      </x:c>
      <x:c r="D44" s="2" t="str">
        <x:v>H0370</x:v>
      </x:c>
      <x:c r="E44" s="2" t="str">
        <x:v>H0371</x:v>
      </x:c>
      <x:c r="F44" s="2" t="str">
        <x:v>4x30 domború fejű facsavar / tervezési specifikáció</x:v>
      </x:c>
    </x:row>
    <x:row r="45" ht="34" customHeight="1">
      <x:c r="A45" s="2" t="str">
        <x:v>R14-J040</x:v>
      </x:c>
      <x:c r="B45" s="2" t="str">
        <x:v>KI12-TV02H1-01</x:v>
      </x:c>
      <x:c r="C45" s="2" t="str">
        <x:v>KI14-BAT-04</x:v>
      </x:c>
      <x:c r="D45" s="2" t="str">
        <x:v>H0372</x:v>
      </x:c>
      <x:c r="E45" s="2" t="str">
        <x:v>H0373</x:v>
      </x:c>
      <x:c r="F45" s="2" t="str">
        <x:v>3.5x20 domború fejű facsavar / tervezési specifikáció</x:v>
      </x:c>
    </x:row>
    <x:row r="46" ht="34" customHeight="1">
      <x:c r="A46" s="2" t="str">
        <x:v>R14-J041</x:v>
      </x:c>
      <x:c r="B46" s="2" t="str">
        <x:v>KI14-BAT-05</x:v>
      </x:c>
      <x:c r="C46" s="2" t="str">
        <x:v>KI12-TV02S-03</x:v>
      </x:c>
      <x:c r="D46" s="2" t="str">
        <x:v>H0374</x:v>
      </x:c>
      <x:c r="E46" s="2" t="str">
        <x:v>H0375</x:v>
      </x:c>
      <x:c r="F46" s="2" t="str">
        <x:v>4x30 domború fejű facsavar / tervezési specifikáció</x:v>
      </x:c>
    </x:row>
    <x:row r="47" ht="34" customHeight="1">
      <x:c r="A47" s="2" t="str">
        <x:v>R14-J042</x:v>
      </x:c>
      <x:c r="B47" s="2" t="str">
        <x:v>KI12-TV02H2-01</x:v>
      </x:c>
      <x:c r="C47" s="2" t="str">
        <x:v>KI14-BAT-05</x:v>
      </x:c>
      <x:c r="D47" s="2" t="str">
        <x:v>H0376</x:v>
      </x:c>
      <x:c r="E47" s="2" t="str">
        <x:v>H0377</x:v>
      </x:c>
      <x:c r="F47" s="2" t="str">
        <x:v>3.5x20 domború fejű facsavar / tervezési specifikáció</x:v>
      </x:c>
    </x:row>
    <x:row r="48" ht="34" customHeight="1">
      <x:c r="A48" s="2" t="str">
        <x:v>R14-J043</x:v>
      </x:c>
      <x:c r="B48" s="2" t="str">
        <x:v>KI14-BAT-05</x:v>
      </x:c>
      <x:c r="C48" s="2" t="str">
        <x:v>KI12-TV02S-03</x:v>
      </x:c>
      <x:c r="D48" s="2" t="str">
        <x:v>H0378</x:v>
      </x:c>
      <x:c r="E48" s="2" t="str">
        <x:v>H0379</x:v>
      </x:c>
      <x:c r="F48" s="2" t="str">
        <x:v>4x30 domború fejű facsavar / tervezési specifikáció</x:v>
      </x:c>
    </x:row>
    <x:row r="49" ht="34" customHeight="1">
      <x:c r="A49" s="2" t="str">
        <x:v>R14-J044</x:v>
      </x:c>
      <x:c r="B49" s="2" t="str">
        <x:v>KI12-TV02H2-01</x:v>
      </x:c>
      <x:c r="C49" s="2" t="str">
        <x:v>KI14-BAT-05</x:v>
      </x:c>
      <x:c r="D49" s="2" t="str">
        <x:v>H0380</x:v>
      </x:c>
      <x:c r="E49" s="2" t="str">
        <x:v>H0381</x:v>
      </x:c>
      <x:c r="F49" s="2" t="str">
        <x:v>3.5x20 domború fejű facsavar / tervezési specifikáció</x:v>
      </x:c>
    </x:row>
    <x:row r="50" ht="34" customHeight="1">
      <x:c r="A50" s="2" t="str">
        <x:v>R14-J045</x:v>
      </x:c>
      <x:c r="B50" s="2" t="str">
        <x:v>KI14-BAT-05</x:v>
      </x:c>
      <x:c r="C50" s="2" t="str">
        <x:v>KI12-TV02S-03</x:v>
      </x:c>
      <x:c r="D50" s="2" t="str">
        <x:v>H0382</x:v>
      </x:c>
      <x:c r="E50" s="2" t="str">
        <x:v>H0383</x:v>
      </x:c>
      <x:c r="F50" s="2" t="str">
        <x:v>4x30 domború fejű facsavar / tervezési specifikáció</x:v>
      </x:c>
    </x:row>
    <x:row r="51" ht="34" customHeight="1">
      <x:c r="A51" s="2" t="str">
        <x:v>R14-J046</x:v>
      </x:c>
      <x:c r="B51" s="2" t="str">
        <x:v>KI12-TV02H2-01</x:v>
      </x:c>
      <x:c r="C51" s="2" t="str">
        <x:v>KI14-BAT-05</x:v>
      </x:c>
      <x:c r="D51" s="2" t="str">
        <x:v>H0384</x:v>
      </x:c>
      <x:c r="E51" s="2" t="str">
        <x:v>H0385</x:v>
      </x:c>
      <x:c r="F51" s="2" t="str">
        <x:v>3.5x20 domború fejű facsavar / tervezési specifikáció</x:v>
      </x:c>
    </x:row>
    <x:row r="52" ht="34" customHeight="1">
      <x:c r="A52" s="2" t="str">
        <x:v>R14-J047</x:v>
      </x:c>
      <x:c r="B52" s="2" t="str">
        <x:v>KI14-BAT-06</x:v>
      </x:c>
      <x:c r="C52" s="2" t="str">
        <x:v>KI12-TV02S-04</x:v>
      </x:c>
      <x:c r="D52" s="2" t="str">
        <x:v>H0386</x:v>
      </x:c>
      <x:c r="E52" s="2" t="str">
        <x:v>H0387</x:v>
      </x:c>
      <x:c r="F52" s="2" t="str">
        <x:v>4x30 domború fejű facsavar / tervezési specifikáció</x:v>
      </x:c>
    </x:row>
    <x:row r="53" ht="34" customHeight="1">
      <x:c r="A53" s="2" t="str">
        <x:v>R14-J048</x:v>
      </x:c>
      <x:c r="B53" s="2" t="str">
        <x:v>KI12-TV02H2-01</x:v>
      </x:c>
      <x:c r="C53" s="2" t="str">
        <x:v>KI14-BAT-06</x:v>
      </x:c>
      <x:c r="D53" s="2" t="str">
        <x:v>H0388</x:v>
      </x:c>
      <x:c r="E53" s="2" t="str">
        <x:v>H0389</x:v>
      </x:c>
      <x:c r="F53" s="2" t="str">
        <x:v>3.5x20 domború fejű facsavar / tervezési specifikáció</x:v>
      </x:c>
    </x:row>
    <x:row r="54" ht="34" customHeight="1">
      <x:c r="A54" s="2" t="str">
        <x:v>R14-J049</x:v>
      </x:c>
      <x:c r="B54" s="2" t="str">
        <x:v>KI14-BAT-06</x:v>
      </x:c>
      <x:c r="C54" s="2" t="str">
        <x:v>KI12-TV02S-04</x:v>
      </x:c>
      <x:c r="D54" s="2" t="str">
        <x:v>H0390</x:v>
      </x:c>
      <x:c r="E54" s="2" t="str">
        <x:v>H0391</x:v>
      </x:c>
      <x:c r="F54" s="2" t="str">
        <x:v>4x30 domború fejű facsavar / tervezési specifikáció</x:v>
      </x:c>
    </x:row>
    <x:row r="55" ht="34" customHeight="1">
      <x:c r="A55" s="2" t="str">
        <x:v>R14-J050</x:v>
      </x:c>
      <x:c r="B55" s="2" t="str">
        <x:v>KI12-TV02H2-01</x:v>
      </x:c>
      <x:c r="C55" s="2" t="str">
        <x:v>KI14-BAT-06</x:v>
      </x:c>
      <x:c r="D55" s="2" t="str">
        <x:v>H0392</x:v>
      </x:c>
      <x:c r="E55" s="2" t="str">
        <x:v>H0393</x:v>
      </x:c>
      <x:c r="F55" s="2" t="str">
        <x:v>3.5x20 domború fejű facsavar / tervezési specifikáció</x:v>
      </x:c>
    </x:row>
    <x:row r="56" ht="34" customHeight="1">
      <x:c r="A56" s="2" t="str">
        <x:v>R14-J051</x:v>
      </x:c>
      <x:c r="B56" s="2" t="str">
        <x:v>KI14-BAT-06</x:v>
      </x:c>
      <x:c r="C56" s="2" t="str">
        <x:v>KI12-TV02S-04</x:v>
      </x:c>
      <x:c r="D56" s="2" t="str">
        <x:v>H0394</x:v>
      </x:c>
      <x:c r="E56" s="2" t="str">
        <x:v>H0395</x:v>
      </x:c>
      <x:c r="F56" s="2" t="str">
        <x:v>4x30 domború fejű facsavar / tervezési specifikáció</x:v>
      </x:c>
    </x:row>
    <x:row r="57" ht="34" customHeight="1">
      <x:c r="A57" s="2" t="str">
        <x:v>R14-J052</x:v>
      </x:c>
      <x:c r="B57" s="2" t="str">
        <x:v>KI12-TV02H2-01</x:v>
      </x:c>
      <x:c r="C57" s="2" t="str">
        <x:v>KI14-BAT-06</x:v>
      </x:c>
      <x:c r="D57" s="2" t="str">
        <x:v>H0396</x:v>
      </x:c>
      <x:c r="E57" s="2" t="str">
        <x:v>H0397</x:v>
      </x:c>
      <x:c r="F57" s="2" t="str">
        <x:v>3.5x20 domború fejű facsavar / tervezési specifikáció</x:v>
      </x:c>
    </x:row>
    <x:row r="58" ht="34" customHeight="1">
      <x:c r="A58" s="2" t="str">
        <x:v>R14-J053</x:v>
      </x:c>
      <x:c r="B58" s="2" t="str">
        <x:v>KI14-BAT-07</x:v>
      </x:c>
      <x:c r="C58" s="2" t="str">
        <x:v>KI12-TV02S-05</x:v>
      </x:c>
      <x:c r="D58" s="2" t="str">
        <x:v>H0398</x:v>
      </x:c>
      <x:c r="E58" s="2" t="str">
        <x:v>H0399</x:v>
      </x:c>
      <x:c r="F58" s="2" t="str">
        <x:v>4x30 domború fejű facsavar / tervezési specifikáció</x:v>
      </x:c>
    </x:row>
    <x:row r="59" ht="34" customHeight="1">
      <x:c r="A59" s="2" t="str">
        <x:v>R14-J054</x:v>
      </x:c>
      <x:c r="B59" s="2" t="str">
        <x:v>KI12-TV02H2-02</x:v>
      </x:c>
      <x:c r="C59" s="2" t="str">
        <x:v>KI14-BAT-07</x:v>
      </x:c>
      <x:c r="D59" s="2" t="str">
        <x:v>H0400</x:v>
      </x:c>
      <x:c r="E59" s="2" t="str">
        <x:v>H0401</x:v>
      </x:c>
      <x:c r="F59" s="2" t="str">
        <x:v>3.5x20 domború fejű facsavar / tervezési specifikáció</x:v>
      </x:c>
    </x:row>
    <x:row r="60" ht="34" customHeight="1">
      <x:c r="A60" s="2" t="str">
        <x:v>R14-J055</x:v>
      </x:c>
      <x:c r="B60" s="2" t="str">
        <x:v>KI14-BAT-07</x:v>
      </x:c>
      <x:c r="C60" s="2" t="str">
        <x:v>KI12-TV02S-05</x:v>
      </x:c>
      <x:c r="D60" s="2" t="str">
        <x:v>H0402</x:v>
      </x:c>
      <x:c r="E60" s="2" t="str">
        <x:v>H0403</x:v>
      </x:c>
      <x:c r="F60" s="2" t="str">
        <x:v>4x30 domború fejű facsavar / tervezési specifikáció</x:v>
      </x:c>
    </x:row>
    <x:row r="61" ht="34" customHeight="1">
      <x:c r="A61" s="2" t="str">
        <x:v>R14-J056</x:v>
      </x:c>
      <x:c r="B61" s="2" t="str">
        <x:v>KI12-TV02H2-02</x:v>
      </x:c>
      <x:c r="C61" s="2" t="str">
        <x:v>KI14-BAT-07</x:v>
      </x:c>
      <x:c r="D61" s="2" t="str">
        <x:v>H0404</x:v>
      </x:c>
      <x:c r="E61" s="2" t="str">
        <x:v>H0405</x:v>
      </x:c>
      <x:c r="F61" s="2" t="str">
        <x:v>3.5x20 domború fejű facsavar / tervezési specifikáció</x:v>
      </x:c>
    </x:row>
    <x:row r="62" ht="34" customHeight="1">
      <x:c r="A62" s="2" t="str">
        <x:v>R14-J057</x:v>
      </x:c>
      <x:c r="B62" s="2" t="str">
        <x:v>KI14-BAT-07</x:v>
      </x:c>
      <x:c r="C62" s="2" t="str">
        <x:v>KI12-TV02S-05</x:v>
      </x:c>
      <x:c r="D62" s="2" t="str">
        <x:v>H0406</x:v>
      </x:c>
      <x:c r="E62" s="2" t="str">
        <x:v>H0407</x:v>
      </x:c>
      <x:c r="F62" s="2" t="str">
        <x:v>4x30 domború fejű facsavar / tervezési specifikáció</x:v>
      </x:c>
    </x:row>
    <x:row r="63" ht="34" customHeight="1">
      <x:c r="A63" s="2" t="str">
        <x:v>R14-J058</x:v>
      </x:c>
      <x:c r="B63" s="2" t="str">
        <x:v>KI12-TV02H2-02</x:v>
      </x:c>
      <x:c r="C63" s="2" t="str">
        <x:v>KI14-BAT-07</x:v>
      </x:c>
      <x:c r="D63" s="2" t="str">
        <x:v>H0408</x:v>
      </x:c>
      <x:c r="E63" s="2" t="str">
        <x:v>H0409</x:v>
      </x:c>
      <x:c r="F63" s="2" t="str">
        <x:v>3.5x20 domború fejű facsavar / tervezési specifikáció</x:v>
      </x:c>
    </x:row>
    <x:row r="64" ht="34" customHeight="1">
      <x:c r="A64" s="2" t="str">
        <x:v>R14-J059</x:v>
      </x:c>
      <x:c r="B64" s="2" t="str">
        <x:v>KI14-BAT-08</x:v>
      </x:c>
      <x:c r="C64" s="2" t="str">
        <x:v>KI12-TV02S-06</x:v>
      </x:c>
      <x:c r="D64" s="2" t="str">
        <x:v>H0410</x:v>
      </x:c>
      <x:c r="E64" s="2" t="str">
        <x:v>H0411</x:v>
      </x:c>
      <x:c r="F64" s="2" t="str">
        <x:v>4x30 domború fejű facsavar / tervezési specifikáció</x:v>
      </x:c>
    </x:row>
    <x:row r="65" ht="34" customHeight="1">
      <x:c r="A65" s="2" t="str">
        <x:v>R14-J060</x:v>
      </x:c>
      <x:c r="B65" s="2" t="str">
        <x:v>KI12-TV02H2-02</x:v>
      </x:c>
      <x:c r="C65" s="2" t="str">
        <x:v>KI14-BAT-08</x:v>
      </x:c>
      <x:c r="D65" s="2" t="str">
        <x:v>H0412</x:v>
      </x:c>
      <x:c r="E65" s="2" t="str">
        <x:v>H0413</x:v>
      </x:c>
      <x:c r="F65" s="2" t="str">
        <x:v>3.5x20 domború fejű facsavar / tervezési specifikáció</x:v>
      </x:c>
    </x:row>
    <x:row r="66" ht="34" customHeight="1">
      <x:c r="A66" s="2" t="str">
        <x:v>R14-J061</x:v>
      </x:c>
      <x:c r="B66" s="2" t="str">
        <x:v>KI14-BAT-08</x:v>
      </x:c>
      <x:c r="C66" s="2" t="str">
        <x:v>KI12-TV02S-06</x:v>
      </x:c>
      <x:c r="D66" s="2" t="str">
        <x:v>H0414</x:v>
      </x:c>
      <x:c r="E66" s="2" t="str">
        <x:v>H0415</x:v>
      </x:c>
      <x:c r="F66" s="2" t="str">
        <x:v>4x30 domború fejű facsavar / tervezési specifikáció</x:v>
      </x:c>
    </x:row>
    <x:row r="67" ht="34" customHeight="1">
      <x:c r="A67" s="2" t="str">
        <x:v>R14-J062</x:v>
      </x:c>
      <x:c r="B67" s="2" t="str">
        <x:v>KI12-TV02H2-02</x:v>
      </x:c>
      <x:c r="C67" s="2" t="str">
        <x:v>KI14-BAT-08</x:v>
      </x:c>
      <x:c r="D67" s="2" t="str">
        <x:v>H0416</x:v>
      </x:c>
      <x:c r="E67" s="2" t="str">
        <x:v>H0417</x:v>
      </x:c>
      <x:c r="F67" s="2" t="str">
        <x:v>3.5x20 domború fejű facsavar / tervezési specifikáció</x:v>
      </x:c>
    </x:row>
    <x:row r="68" ht="34" customHeight="1">
      <x:c r="A68" s="2" t="str">
        <x:v>R14-J063</x:v>
      </x:c>
      <x:c r="B68" s="2" t="str">
        <x:v>KI14-BAT-08</x:v>
      </x:c>
      <x:c r="C68" s="2" t="str">
        <x:v>KI12-TV02S-06</x:v>
      </x:c>
      <x:c r="D68" s="2" t="str">
        <x:v>H0418</x:v>
      </x:c>
      <x:c r="E68" s="2" t="str">
        <x:v>H0419</x:v>
      </x:c>
      <x:c r="F68" s="2" t="str">
        <x:v>4x30 domború fejű facsavar / tervezési specifikáció</x:v>
      </x:c>
    </x:row>
    <x:row r="69" ht="34" customHeight="1">
      <x:c r="A69" s="2" t="str">
        <x:v>R14-J064</x:v>
      </x:c>
      <x:c r="B69" s="2" t="str">
        <x:v>KI12-TV02H2-02</x:v>
      </x:c>
      <x:c r="C69" s="2" t="str">
        <x:v>KI14-BAT-08</x:v>
      </x:c>
      <x:c r="D69" s="2" t="str">
        <x:v>H0420</x:v>
      </x:c>
      <x:c r="E69" s="2" t="str">
        <x:v>H0421</x:v>
      </x:c>
      <x:c r="F69" s="2" t="str">
        <x:v>3.5x20 domború fejű facsavar / tervezési specifikáció</x:v>
      </x:c>
    </x:row>
    <x:row r="70" ht="34" customHeight="1">
      <x:c r="A70" s="2" t="str">
        <x:v>R14-J065</x:v>
      </x:c>
      <x:c r="B70" s="2" t="str">
        <x:v>KI14-BAT-09</x:v>
      </x:c>
      <x:c r="C70" s="2" t="str">
        <x:v>KI12-TV02S-07</x:v>
      </x:c>
      <x:c r="D70" s="2" t="str">
        <x:v>H0422</x:v>
      </x:c>
      <x:c r="E70" s="2" t="str">
        <x:v>H0423</x:v>
      </x:c>
      <x:c r="F70" s="2" t="str">
        <x:v>4x30 domború fejű facsavar / tervezési specifikáció</x:v>
      </x:c>
    </x:row>
    <x:row r="71" ht="34" customHeight="1">
      <x:c r="A71" s="2" t="str">
        <x:v>R14-J066</x:v>
      </x:c>
      <x:c r="B71" s="2" t="str">
        <x:v>KI12-TV02H2-03</x:v>
      </x:c>
      <x:c r="C71" s="2" t="str">
        <x:v>KI14-BAT-09</x:v>
      </x:c>
      <x:c r="D71" s="2" t="str">
        <x:v>H0424</x:v>
      </x:c>
      <x:c r="E71" s="2" t="str">
        <x:v>H0425</x:v>
      </x:c>
      <x:c r="F71" s="2" t="str">
        <x:v>3.5x20 domború fejű facsavar / tervezési specifikáció</x:v>
      </x:c>
    </x:row>
    <x:row r="72" ht="34" customHeight="1">
      <x:c r="A72" s="2" t="str">
        <x:v>R14-J067</x:v>
      </x:c>
      <x:c r="B72" s="2" t="str">
        <x:v>KI14-BAT-09</x:v>
      </x:c>
      <x:c r="C72" s="2" t="str">
        <x:v>KI12-TV02S-07</x:v>
      </x:c>
      <x:c r="D72" s="2" t="str">
        <x:v>H0426</x:v>
      </x:c>
      <x:c r="E72" s="2" t="str">
        <x:v>H0427</x:v>
      </x:c>
      <x:c r="F72" s="2" t="str">
        <x:v>4x30 domború fejű facsavar / tervezési specifikáció</x:v>
      </x:c>
    </x:row>
    <x:row r="73" ht="34" customHeight="1">
      <x:c r="A73" s="2" t="str">
        <x:v>R14-J068</x:v>
      </x:c>
      <x:c r="B73" s="2" t="str">
        <x:v>KI12-TV02H2-03</x:v>
      </x:c>
      <x:c r="C73" s="2" t="str">
        <x:v>KI14-BAT-09</x:v>
      </x:c>
      <x:c r="D73" s="2" t="str">
        <x:v>H0428</x:v>
      </x:c>
      <x:c r="E73" s="2" t="str">
        <x:v>H0429</x:v>
      </x:c>
      <x:c r="F73" s="2" t="str">
        <x:v>3.5x20 domború fejű facsavar / tervezési specifikáció</x:v>
      </x:c>
    </x:row>
    <x:row r="74" ht="34" customHeight="1">
      <x:c r="A74" s="2" t="str">
        <x:v>R14-J069</x:v>
      </x:c>
      <x:c r="B74" s="2" t="str">
        <x:v>KI14-BAT-09</x:v>
      </x:c>
      <x:c r="C74" s="2" t="str">
        <x:v>KI12-TV02S-07</x:v>
      </x:c>
      <x:c r="D74" s="2" t="str">
        <x:v>H0430</x:v>
      </x:c>
      <x:c r="E74" s="2" t="str">
        <x:v>H0431</x:v>
      </x:c>
      <x:c r="F74" s="2" t="str">
        <x:v>4x30 domború fejű facsavar / tervezési specifikáció</x:v>
      </x:c>
    </x:row>
    <x:row r="75" ht="34" customHeight="1">
      <x:c r="A75" s="2" t="str">
        <x:v>R14-J070</x:v>
      </x:c>
      <x:c r="B75" s="2" t="str">
        <x:v>KI12-TV02H2-03</x:v>
      </x:c>
      <x:c r="C75" s="2" t="str">
        <x:v>KI14-BAT-09</x:v>
      </x:c>
      <x:c r="D75" s="2" t="str">
        <x:v>H0432</x:v>
      </x:c>
      <x:c r="E75" s="2" t="str">
        <x:v>H0433</x:v>
      </x:c>
      <x:c r="F75" s="2" t="str">
        <x:v>3.5x20 domború fejű facsavar / tervezési specifikáció</x:v>
      </x:c>
    </x:row>
    <x:row r="76" ht="34" customHeight="1">
      <x:c r="A76" s="2" t="str">
        <x:v>R14-J071</x:v>
      </x:c>
      <x:c r="B76" s="2" t="str">
        <x:v>KI14-BAT-10</x:v>
      </x:c>
      <x:c r="C76" s="2" t="str">
        <x:v>KI12-TV02S-08</x:v>
      </x:c>
      <x:c r="D76" s="2" t="str">
        <x:v>H0434</x:v>
      </x:c>
      <x:c r="E76" s="2" t="str">
        <x:v>H0435</x:v>
      </x:c>
      <x:c r="F76" s="2" t="str">
        <x:v>4x30 domború fejű facsavar / tervezési specifikáció</x:v>
      </x:c>
    </x:row>
    <x:row r="77" ht="34" customHeight="1">
      <x:c r="A77" s="2" t="str">
        <x:v>R14-J072</x:v>
      </x:c>
      <x:c r="B77" s="2" t="str">
        <x:v>KI12-TV02H2-03</x:v>
      </x:c>
      <x:c r="C77" s="2" t="str">
        <x:v>KI14-BAT-10</x:v>
      </x:c>
      <x:c r="D77" s="2" t="str">
        <x:v>H0436</x:v>
      </x:c>
      <x:c r="E77" s="2" t="str">
        <x:v>H0437</x:v>
      </x:c>
      <x:c r="F77" s="2" t="str">
        <x:v>3.5x20 domború fejű facsavar / tervezési specifikáció</x:v>
      </x:c>
    </x:row>
    <x:row r="78" ht="34" customHeight="1">
      <x:c r="A78" s="2" t="str">
        <x:v>R14-J073</x:v>
      </x:c>
      <x:c r="B78" s="2" t="str">
        <x:v>KI14-BAT-10</x:v>
      </x:c>
      <x:c r="C78" s="2" t="str">
        <x:v>KI12-TV02S-08</x:v>
      </x:c>
      <x:c r="D78" s="2" t="str">
        <x:v>H0438</x:v>
      </x:c>
      <x:c r="E78" s="2" t="str">
        <x:v>H0439</x:v>
      </x:c>
      <x:c r="F78" s="2" t="str">
        <x:v>4x30 domború fejű facsavar / tervezési specifikáció</x:v>
      </x:c>
    </x:row>
    <x:row r="79" ht="34" customHeight="1">
      <x:c r="A79" s="2" t="str">
        <x:v>R14-J074</x:v>
      </x:c>
      <x:c r="B79" s="2" t="str">
        <x:v>KI12-TV02H2-03</x:v>
      </x:c>
      <x:c r="C79" s="2" t="str">
        <x:v>KI14-BAT-10</x:v>
      </x:c>
      <x:c r="D79" s="2" t="str">
        <x:v>H0440</x:v>
      </x:c>
      <x:c r="E79" s="2" t="str">
        <x:v>H0441</x:v>
      </x:c>
      <x:c r="F79" s="2" t="str">
        <x:v>3.5x20 domború fejű facsavar / tervezési specifikáció</x:v>
      </x:c>
    </x:row>
    <x:row r="80" ht="34" customHeight="1">
      <x:c r="A80" s="2" t="str">
        <x:v>R14-J075</x:v>
      </x:c>
      <x:c r="B80" s="2" t="str">
        <x:v>KI14-BAT-10</x:v>
      </x:c>
      <x:c r="C80" s="2" t="str">
        <x:v>KI12-TV02S-08</x:v>
      </x:c>
      <x:c r="D80" s="2" t="str">
        <x:v>H0442</x:v>
      </x:c>
      <x:c r="E80" s="2" t="str">
        <x:v>H0443</x:v>
      </x:c>
      <x:c r="F80" s="2" t="str">
        <x:v>4x30 domború fejű facsavar / tervezési specifikáció</x:v>
      </x:c>
    </x:row>
    <x:row r="81" ht="34" customHeight="1">
      <x:c r="A81" s="2" t="str">
        <x:v>R14-J076</x:v>
      </x:c>
      <x:c r="B81" s="2" t="str">
        <x:v>KI12-TV02H2-03</x:v>
      </x:c>
      <x:c r="C81" s="2" t="str">
        <x:v>KI14-BAT-10</x:v>
      </x:c>
      <x:c r="D81" s="2" t="str">
        <x:v>H0444</x:v>
      </x:c>
      <x:c r="E81" s="2" t="str">
        <x:v>H0445</x:v>
      </x:c>
      <x:c r="F81" s="2" t="str">
        <x:v>3.5x20 domború fejű facsavar / tervezési specifikáció</x:v>
      </x:c>
    </x:row>
    <x:row r="82" ht="34" customHeight="1">
      <x:c r="A82" s="2" t="str">
        <x:v>R14-J077</x:v>
      </x:c>
      <x:c r="B82" s="2" t="str">
        <x:v>KI14-BAT-11</x:v>
      </x:c>
      <x:c r="C82" s="2" t="str">
        <x:v>KI12-TV02S-09</x:v>
      </x:c>
      <x:c r="D82" s="2" t="str">
        <x:v>H0446</x:v>
      </x:c>
      <x:c r="E82" s="2" t="str">
        <x:v>H0447</x:v>
      </x:c>
      <x:c r="F82" s="2" t="str">
        <x:v>4x30 domború fejű facsavar / tervezési specifikáció</x:v>
      </x:c>
    </x:row>
    <x:row r="83" ht="34" customHeight="1">
      <x:c r="A83" s="2" t="str">
        <x:v>R14-J078</x:v>
      </x:c>
      <x:c r="B83" s="2" t="str">
        <x:v>KI12-TV02H2-04</x:v>
      </x:c>
      <x:c r="C83" s="2" t="str">
        <x:v>KI14-BAT-11</x:v>
      </x:c>
      <x:c r="D83" s="2" t="str">
        <x:v>H0448</x:v>
      </x:c>
      <x:c r="E83" s="2" t="str">
        <x:v>H0449</x:v>
      </x:c>
      <x:c r="F83" s="2" t="str">
        <x:v>3.5x20 domború fejű facsavar / tervezési specifikáció</x:v>
      </x:c>
    </x:row>
    <x:row r="84" ht="34" customHeight="1">
      <x:c r="A84" s="2" t="str">
        <x:v>R14-J079</x:v>
      </x:c>
      <x:c r="B84" s="2" t="str">
        <x:v>KI14-BAT-11</x:v>
      </x:c>
      <x:c r="C84" s="2" t="str">
        <x:v>KI12-TV02S-09</x:v>
      </x:c>
      <x:c r="D84" s="2" t="str">
        <x:v>H0450</x:v>
      </x:c>
      <x:c r="E84" s="2" t="str">
        <x:v>H0451</x:v>
      </x:c>
      <x:c r="F84" s="2" t="str">
        <x:v>4x30 domború fejű facsavar / tervezési specifikáció</x:v>
      </x:c>
    </x:row>
    <x:row r="85" ht="34" customHeight="1">
      <x:c r="A85" s="2" t="str">
        <x:v>R14-J080</x:v>
      </x:c>
      <x:c r="B85" s="2" t="str">
        <x:v>KI12-TV02H2-04</x:v>
      </x:c>
      <x:c r="C85" s="2" t="str">
        <x:v>KI14-BAT-11</x:v>
      </x:c>
      <x:c r="D85" s="2" t="str">
        <x:v>H0452</x:v>
      </x:c>
      <x:c r="E85" s="2" t="str">
        <x:v>H0453</x:v>
      </x:c>
      <x:c r="F85" s="2" t="str">
        <x:v>3.5x20 domború fejű facsavar / tervezési specifikáció</x:v>
      </x:c>
    </x:row>
    <x:row r="86" ht="34" customHeight="1">
      <x:c r="A86" s="2" t="str">
        <x:v>R14-J081</x:v>
      </x:c>
      <x:c r="B86" s="2" t="str">
        <x:v>KI14-BAT-11</x:v>
      </x:c>
      <x:c r="C86" s="2" t="str">
        <x:v>KI12-TV02S-09</x:v>
      </x:c>
      <x:c r="D86" s="2" t="str">
        <x:v>H0454</x:v>
      </x:c>
      <x:c r="E86" s="2" t="str">
        <x:v>H0455</x:v>
      </x:c>
      <x:c r="F86" s="2" t="str">
        <x:v>4x30 domború fejű facsavar / tervezési specifikáció</x:v>
      </x:c>
    </x:row>
    <x:row r="87" ht="34" customHeight="1">
      <x:c r="A87" s="2" t="str">
        <x:v>R14-J082</x:v>
      </x:c>
      <x:c r="B87" s="2" t="str">
        <x:v>KI12-TV02H2-04</x:v>
      </x:c>
      <x:c r="C87" s="2" t="str">
        <x:v>KI14-BAT-11</x:v>
      </x:c>
      <x:c r="D87" s="2" t="str">
        <x:v>H0456</x:v>
      </x:c>
      <x:c r="E87" s="2" t="str">
        <x:v>H0457</x:v>
      </x:c>
      <x:c r="F87" s="2" t="str">
        <x:v>3.5x20 domború fejű facsavar / tervezési specifikáció</x:v>
      </x:c>
    </x:row>
    <x:row r="88" ht="34" customHeight="1">
      <x:c r="A88" s="2" t="str">
        <x:v>R14-J083</x:v>
      </x:c>
      <x:c r="B88" s="2" t="str">
        <x:v>KI14-BAT-12</x:v>
      </x:c>
      <x:c r="C88" s="2" t="str">
        <x:v>KI12-TV02S-10</x:v>
      </x:c>
      <x:c r="D88" s="2" t="str">
        <x:v>H0458</x:v>
      </x:c>
      <x:c r="E88" s="2" t="str">
        <x:v>H0459</x:v>
      </x:c>
      <x:c r="F88" s="2" t="str">
        <x:v>4x30 domború fejű facsavar / tervezési specifikáció</x:v>
      </x:c>
    </x:row>
    <x:row r="89" ht="34" customHeight="1">
      <x:c r="A89" s="2" t="str">
        <x:v>R14-J084</x:v>
      </x:c>
      <x:c r="B89" s="2" t="str">
        <x:v>KI12-TV02H2-04</x:v>
      </x:c>
      <x:c r="C89" s="2" t="str">
        <x:v>KI14-BAT-12</x:v>
      </x:c>
      <x:c r="D89" s="2" t="str">
        <x:v>H0460</x:v>
      </x:c>
      <x:c r="E89" s="2" t="str">
        <x:v>H0461</x:v>
      </x:c>
      <x:c r="F89" s="2" t="str">
        <x:v>3.5x20 domború fejű facsavar / tervezési specifikáció</x:v>
      </x:c>
    </x:row>
    <x:row r="90" ht="34" customHeight="1">
      <x:c r="A90" s="2" t="str">
        <x:v>R14-J085</x:v>
      </x:c>
      <x:c r="B90" s="2" t="str">
        <x:v>KI14-BAT-12</x:v>
      </x:c>
      <x:c r="C90" s="2" t="str">
        <x:v>KI12-TV02S-10</x:v>
      </x:c>
      <x:c r="D90" s="2" t="str">
        <x:v>H0462</x:v>
      </x:c>
      <x:c r="E90" s="2" t="str">
        <x:v>H0463</x:v>
      </x:c>
      <x:c r="F90" s="2" t="str">
        <x:v>4x30 domború fejű facsavar / tervezési specifikáció</x:v>
      </x:c>
    </x:row>
    <x:row r="91" ht="34" customHeight="1">
      <x:c r="A91" s="2" t="str">
        <x:v>R14-J086</x:v>
      </x:c>
      <x:c r="B91" s="2" t="str">
        <x:v>KI12-TV02H2-04</x:v>
      </x:c>
      <x:c r="C91" s="2" t="str">
        <x:v>KI14-BAT-12</x:v>
      </x:c>
      <x:c r="D91" s="2" t="str">
        <x:v>H0464</x:v>
      </x:c>
      <x:c r="E91" s="2" t="str">
        <x:v>H0465</x:v>
      </x:c>
      <x:c r="F91" s="2" t="str">
        <x:v>3.5x20 domború fejű facsavar / tervezési specifikáció</x:v>
      </x:c>
    </x:row>
    <x:row r="92" ht="34" customHeight="1">
      <x:c r="A92" s="2" t="str">
        <x:v>R14-J087</x:v>
      </x:c>
      <x:c r="B92" s="2" t="str">
        <x:v>KI14-BAT-12</x:v>
      </x:c>
      <x:c r="C92" s="2" t="str">
        <x:v>KI12-TV02S-10</x:v>
      </x:c>
      <x:c r="D92" s="2" t="str">
        <x:v>H0466</x:v>
      </x:c>
      <x:c r="E92" s="2" t="str">
        <x:v>H0467</x:v>
      </x:c>
      <x:c r="F92" s="2" t="str">
        <x:v>4x30 domború fejű facsavar / tervezési specifikáció</x:v>
      </x:c>
    </x:row>
    <x:row r="93" ht="34" customHeight="1">
      <x:c r="A93" s="2" t="str">
        <x:v>R14-J088</x:v>
      </x:c>
      <x:c r="B93" s="2" t="str">
        <x:v>KI12-TV02H2-04</x:v>
      </x:c>
      <x:c r="C93" s="2" t="str">
        <x:v>KI14-BAT-12</x:v>
      </x:c>
      <x:c r="D93" s="2" t="str">
        <x:v>H0468</x:v>
      </x:c>
      <x:c r="E93" s="2" t="str">
        <x:v>H0469</x:v>
      </x:c>
      <x:c r="F93" s="2" t="str">
        <x:v>3.5x20 domború fejű facsavar / tervezési specifikáció</x:v>
      </x:c>
    </x:row>
    <x:row r="94" ht="34" customHeight="1">
      <x:c r="A94" s="2" t="str">
        <x:v>R14-J089</x:v>
      </x:c>
      <x:c r="B94" s="2" t="str">
        <x:v>KI14-GAPBAT-01</x:v>
      </x:c>
      <x:c r="C94" s="2" t="str">
        <x:v>KI12-TV02S-02</x:v>
      </x:c>
      <x:c r="D94" s="2" t="str">
        <x:v>H0470</x:v>
      </x:c>
      <x:c r="E94" s="2" t="str">
        <x:v>H0471</x:v>
      </x:c>
      <x:c r="F94" s="2" t="str">
        <x:v>4x30 domború fejű facsavar / tervezési specifikáció</x:v>
      </x:c>
    </x:row>
    <x:row r="95" ht="34" customHeight="1">
      <x:c r="A95" s="2" t="str">
        <x:v>R14-J090</x:v>
      </x:c>
      <x:c r="B95" s="2" t="str">
        <x:v>KI14-GAPBAT-01</x:v>
      </x:c>
      <x:c r="C95" s="2" t="str">
        <x:v>KI12-TV02S-02</x:v>
      </x:c>
      <x:c r="D95" s="2" t="str">
        <x:v>H0472</x:v>
      </x:c>
      <x:c r="E95" s="2" t="str">
        <x:v>H0473</x:v>
      </x:c>
      <x:c r="F95" s="2" t="str">
        <x:v>4x30 domború fejű facsavar / tervezési specifikáció</x:v>
      </x:c>
    </x:row>
    <x:row r="96" ht="34" customHeight="1">
      <x:c r="A96" s="2" t="str">
        <x:v>R14-J091</x:v>
      </x:c>
      <x:c r="B96" s="2" t="str">
        <x:v>KI14-GAPBAT-01</x:v>
      </x:c>
      <x:c r="C96" s="2" t="str">
        <x:v>KI13-GAP-LOW-01</x:v>
      </x:c>
      <x:c r="D96" s="2" t="str">
        <x:v>H0474</x:v>
      </x:c>
      <x:c r="E96" s="2" t="str">
        <x:v>H0475</x:v>
      </x:c>
      <x:c r="F96" s="2" t="str">
        <x:v>4x30 domború fejű facsavar / tervezési specifikáció</x:v>
      </x:c>
    </x:row>
    <x:row r="97" ht="34" customHeight="1">
      <x:c r="A97" s="2" t="str">
        <x:v>R14-J092</x:v>
      </x:c>
      <x:c r="B97" s="2" t="str">
        <x:v>KI14-GAPBAT-01</x:v>
      </x:c>
      <x:c r="C97" s="2" t="str">
        <x:v>KI13-GAP-LOW-01</x:v>
      </x:c>
      <x:c r="D97" s="2" t="str">
        <x:v>H0476</x:v>
      </x:c>
      <x:c r="E97" s="2" t="str">
        <x:v>H0477</x:v>
      </x:c>
      <x:c r="F97" s="2" t="str">
        <x:v>4x30 domború fejű facsavar / tervezési specifikáció</x:v>
      </x:c>
    </x:row>
    <x:row r="98" ht="34" customHeight="1">
      <x:c r="A98" s="2" t="str">
        <x:v>R14-J093</x:v>
      </x:c>
      <x:c r="B98" s="2" t="str">
        <x:v>KI14-GAPBAT-02</x:v>
      </x:c>
      <x:c r="C98" s="2" t="str">
        <x:v>KI12-TV02S-03</x:v>
      </x:c>
      <x:c r="D98" s="2" t="str">
        <x:v>H0478</x:v>
      </x:c>
      <x:c r="E98" s="2" t="str">
        <x:v>H0479</x:v>
      </x:c>
      <x:c r="F98" s="2" t="str">
        <x:v>4x30 domború fejű facsavar / tervezési specifikáció</x:v>
      </x:c>
    </x:row>
    <x:row r="99" ht="34" customHeight="1">
      <x:c r="A99" s="2" t="str">
        <x:v>R14-J094</x:v>
      </x:c>
      <x:c r="B99" s="2" t="str">
        <x:v>KI14-GAPBAT-02</x:v>
      </x:c>
      <x:c r="C99" s="2" t="str">
        <x:v>KI12-TV02S-03</x:v>
      </x:c>
      <x:c r="D99" s="2" t="str">
        <x:v>H0480</x:v>
      </x:c>
      <x:c r="E99" s="2" t="str">
        <x:v>H0481</x:v>
      </x:c>
      <x:c r="F99" s="2" t="str">
        <x:v>4x30 domború fejű facsavar / tervezési specifikáció</x:v>
      </x:c>
    </x:row>
    <x:row r="100" ht="34" customHeight="1">
      <x:c r="A100" s="2" t="str">
        <x:v>R14-J095</x:v>
      </x:c>
      <x:c r="B100" s="2" t="str">
        <x:v>KI14-GAPBAT-02</x:v>
      </x:c>
      <x:c r="C100" s="2" t="str">
        <x:v>KI13-GAP-LOW-01</x:v>
      </x:c>
      <x:c r="D100" s="2" t="str">
        <x:v>H0482</x:v>
      </x:c>
      <x:c r="E100" s="2" t="str">
        <x:v>H0483</x:v>
      </x:c>
      <x:c r="F100" s="2" t="str">
        <x:v>4x30 domború fejű facsavar / tervezési specifikáció</x:v>
      </x:c>
    </x:row>
    <x:row r="101" ht="34" customHeight="1">
      <x:c r="A101" s="2" t="str">
        <x:v>R14-J096</x:v>
      </x:c>
      <x:c r="B101" s="2" t="str">
        <x:v>KI14-GAPBAT-02</x:v>
      </x:c>
      <x:c r="C101" s="2" t="str">
        <x:v>KI13-GAP-LOW-01</x:v>
      </x:c>
      <x:c r="D101" s="2" t="str">
        <x:v>H0484</x:v>
      </x:c>
      <x:c r="E101" s="2" t="str">
        <x:v>H0485</x:v>
      </x:c>
      <x:c r="F101" s="2" t="str">
        <x:v>4x30 domború fejű facsavar / tervezési specifikáció</x:v>
      </x:c>
    </x:row>
    <x:row r="102" ht="34" customHeight="1">
      <x:c r="A102" s="2" t="str">
        <x:v>R14-J097</x:v>
      </x:c>
      <x:c r="B102" s="2" t="str">
        <x:v>KI14-RAIL-01</x:v>
      </x:c>
      <x:c r="C102" s="2" t="str">
        <x:v>KI12-TV02S-01</x:v>
      </x:c>
      <x:c r="D102" s="2" t="str">
        <x:v>H0486</x:v>
      </x:c>
      <x:c r="E102" s="2" t="str">
        <x:v>H0487</x:v>
      </x:c>
      <x:c r="F102" s="2" t="str">
        <x:v>8x30 bükk köldökcsap + anyaghoz választott ragasztó</x:v>
      </x:c>
    </x:row>
    <x:row r="103" ht="34" customHeight="1">
      <x:c r="A103" s="2" t="str">
        <x:v>R14-J098</x:v>
      </x:c>
      <x:c r="B103" s="2" t="str">
        <x:v>KI14-RAIL-01</x:v>
      </x:c>
      <x:c r="C103" s="2" t="str">
        <x:v>KI12-TV02S-01</x:v>
      </x:c>
      <x:c r="D103" s="2" t="str">
        <x:v>H0488</x:v>
      </x:c>
      <x:c r="E103" s="2" t="str">
        <x:v>H0489</x:v>
      </x:c>
      <x:c r="F103" s="2" t="str">
        <x:v>8x30 bükk köldökcsap + anyaghoz választott ragasztó</x:v>
      </x:c>
    </x:row>
    <x:row r="104" ht="34" customHeight="1">
      <x:c r="A104" s="2" t="str">
        <x:v>R14-J099</x:v>
      </x:c>
      <x:c r="B104" s="2" t="str">
        <x:v>KI14-RAIL-01</x:v>
      </x:c>
      <x:c r="C104" s="2" t="str">
        <x:v>KI12-TV02S-01</x:v>
      </x:c>
      <x:c r="D104" s="2" t="str">
        <x:v>H0490</x:v>
      </x:c>
      <x:c r="E104" s="2" t="str">
        <x:v>H0491</x:v>
      </x:c>
      <x:c r="F104" s="2" t="str">
        <x:v>8x30 bükk köldökcsap + anyaghoz választott ragasztó</x:v>
      </x:c>
    </x:row>
    <x:row r="105" ht="34" customHeight="1">
      <x:c r="A105" s="2" t="str">
        <x:v>R14-J100</x:v>
      </x:c>
      <x:c r="B105" s="2" t="str">
        <x:v>KI14-RAIL-01</x:v>
      </x:c>
      <x:c r="C105" s="2" t="str">
        <x:v>KI12-TV02S-02</x:v>
      </x:c>
      <x:c r="D105" s="2" t="str">
        <x:v>H0492</x:v>
      </x:c>
      <x:c r="E105" s="2" t="str">
        <x:v>H0493</x:v>
      </x:c>
      <x:c r="F105" s="2" t="str">
        <x:v>8x30 bükk köldökcsap + anyaghoz választott ragasztó</x:v>
      </x:c>
    </x:row>
    <x:row r="106" ht="34" customHeight="1">
      <x:c r="A106" s="2" t="str">
        <x:v>R14-J101</x:v>
      </x:c>
      <x:c r="B106" s="2" t="str">
        <x:v>KI14-RAIL-01</x:v>
      </x:c>
      <x:c r="C106" s="2" t="str">
        <x:v>KI12-TV02S-02</x:v>
      </x:c>
      <x:c r="D106" s="2" t="str">
        <x:v>H0494</x:v>
      </x:c>
      <x:c r="E106" s="2" t="str">
        <x:v>H0495</x:v>
      </x:c>
      <x:c r="F106" s="2" t="str">
        <x:v>8x30 bükk köldökcsap + anyaghoz választott ragasztó</x:v>
      </x:c>
    </x:row>
    <x:row r="107" ht="34" customHeight="1">
      <x:c r="A107" s="2" t="str">
        <x:v>R14-J102</x:v>
      </x:c>
      <x:c r="B107" s="2" t="str">
        <x:v>KI14-RAIL-01</x:v>
      </x:c>
      <x:c r="C107" s="2" t="str">
        <x:v>KI12-TV02S-02</x:v>
      </x:c>
      <x:c r="D107" s="2" t="str">
        <x:v>H0496</x:v>
      </x:c>
      <x:c r="E107" s="2" t="str">
        <x:v>H0497</x:v>
      </x:c>
      <x:c r="F107" s="2" t="str">
        <x:v>8x30 bükk köldökcsap + anyaghoz választott ragasztó</x:v>
      </x:c>
    </x:row>
    <x:row r="108" ht="34" customHeight="1">
      <x:c r="A108" s="2" t="str">
        <x:v>R14-J103</x:v>
      </x:c>
      <x:c r="B108" s="2" t="str">
        <x:v>KI14-RAIL-02</x:v>
      </x:c>
      <x:c r="C108" s="2" t="str">
        <x:v>KI12-TV02S-03</x:v>
      </x:c>
      <x:c r="D108" s="2" t="str">
        <x:v>H0498</x:v>
      </x:c>
      <x:c r="E108" s="2" t="str">
        <x:v>H0499</x:v>
      </x:c>
      <x:c r="F108" s="2" t="str">
        <x:v>8x30 bükk köldökcsap + anyaghoz választott ragasztó</x:v>
      </x:c>
    </x:row>
    <x:row r="109" ht="34" customHeight="1">
      <x:c r="A109" s="2" t="str">
        <x:v>R14-J104</x:v>
      </x:c>
      <x:c r="B109" s="2" t="str">
        <x:v>KI14-RAIL-02</x:v>
      </x:c>
      <x:c r="C109" s="2" t="str">
        <x:v>KI12-TV02S-03</x:v>
      </x:c>
      <x:c r="D109" s="2" t="str">
        <x:v>H0500</x:v>
      </x:c>
      <x:c r="E109" s="2" t="str">
        <x:v>H0501</x:v>
      </x:c>
      <x:c r="F109" s="2" t="str">
        <x:v>8x30 bükk köldökcsap + anyaghoz választott ragasztó</x:v>
      </x:c>
    </x:row>
    <x:row r="110" ht="34" customHeight="1">
      <x:c r="A110" s="2" t="str">
        <x:v>R14-J105</x:v>
      </x:c>
      <x:c r="B110" s="2" t="str">
        <x:v>KI14-RAIL-02</x:v>
      </x:c>
      <x:c r="C110" s="2" t="str">
        <x:v>KI12-TV02S-03</x:v>
      </x:c>
      <x:c r="D110" s="2" t="str">
        <x:v>H0502</x:v>
      </x:c>
      <x:c r="E110" s="2" t="str">
        <x:v>H0503</x:v>
      </x:c>
      <x:c r="F110" s="2" t="str">
        <x:v>8x30 bükk köldökcsap + anyaghoz választott ragasztó</x:v>
      </x:c>
    </x:row>
    <x:row r="111" ht="34" customHeight="1">
      <x:c r="A111" s="2" t="str">
        <x:v>R14-J106</x:v>
      </x:c>
      <x:c r="B111" s="2" t="str">
        <x:v>KI14-RAIL-02</x:v>
      </x:c>
      <x:c r="C111" s="2" t="str">
        <x:v>KI12-TV02S-04</x:v>
      </x:c>
      <x:c r="D111" s="2" t="str">
        <x:v>H0504</x:v>
      </x:c>
      <x:c r="E111" s="2" t="str">
        <x:v>H0505</x:v>
      </x:c>
      <x:c r="F111" s="2" t="str">
        <x:v>8x30 bükk köldökcsap + anyaghoz választott ragasztó</x:v>
      </x:c>
    </x:row>
    <x:row r="112" ht="34" customHeight="1">
      <x:c r="A112" s="2" t="str">
        <x:v>R14-J107</x:v>
      </x:c>
      <x:c r="B112" s="2" t="str">
        <x:v>KI14-RAIL-02</x:v>
      </x:c>
      <x:c r="C112" s="2" t="str">
        <x:v>KI12-TV02S-04</x:v>
      </x:c>
      <x:c r="D112" s="2" t="str">
        <x:v>H0506</x:v>
      </x:c>
      <x:c r="E112" s="2" t="str">
        <x:v>H0507</x:v>
      </x:c>
      <x:c r="F112" s="2" t="str">
        <x:v>8x30 bükk köldökcsap + anyaghoz választott ragasztó</x:v>
      </x:c>
    </x:row>
    <x:row r="113" ht="34" customHeight="1">
      <x:c r="A113" s="2" t="str">
        <x:v>R14-J108</x:v>
      </x:c>
      <x:c r="B113" s="2" t="str">
        <x:v>KI14-RAIL-02</x:v>
      </x:c>
      <x:c r="C113" s="2" t="str">
        <x:v>KI12-TV02S-04</x:v>
      </x:c>
      <x:c r="D113" s="2" t="str">
        <x:v>H0508</x:v>
      </x:c>
      <x:c r="E113" s="2" t="str">
        <x:v>H0509</x:v>
      </x:c>
      <x:c r="F113" s="2" t="str">
        <x:v>8x30 bükk köldökcsap + anyaghoz választott ragasztó</x:v>
      </x:c>
    </x:row>
    <x:row r="114" ht="34" customHeight="1">
      <x:c r="A114" s="2" t="str">
        <x:v>R14-J109</x:v>
      </x:c>
      <x:c r="B114" s="2" t="str">
        <x:v>KI14-RAIL-03</x:v>
      </x:c>
      <x:c r="C114" s="2" t="str">
        <x:v>KI12-TV02S-05</x:v>
      </x:c>
      <x:c r="D114" s="2" t="str">
        <x:v>H0510</x:v>
      </x:c>
      <x:c r="E114" s="2" t="str">
        <x:v>H0511</x:v>
      </x:c>
      <x:c r="F114" s="2" t="str">
        <x:v>8x30 bükk köldökcsap + anyaghoz választott ragasztó</x:v>
      </x:c>
    </x:row>
    <x:row r="115" ht="34" customHeight="1">
      <x:c r="A115" s="2" t="str">
        <x:v>R14-J110</x:v>
      </x:c>
      <x:c r="B115" s="2" t="str">
        <x:v>KI14-RAIL-03</x:v>
      </x:c>
      <x:c r="C115" s="2" t="str">
        <x:v>KI12-TV02S-05</x:v>
      </x:c>
      <x:c r="D115" s="2" t="str">
        <x:v>H0512</x:v>
      </x:c>
      <x:c r="E115" s="2" t="str">
        <x:v>H0513</x:v>
      </x:c>
      <x:c r="F115" s="2" t="str">
        <x:v>8x30 bükk köldökcsap + anyaghoz választott ragasztó</x:v>
      </x:c>
    </x:row>
    <x:row r="116" ht="34" customHeight="1">
      <x:c r="A116" s="2" t="str">
        <x:v>R14-J111</x:v>
      </x:c>
      <x:c r="B116" s="2" t="str">
        <x:v>KI14-RAIL-03</x:v>
      </x:c>
      <x:c r="C116" s="2" t="str">
        <x:v>KI12-TV02S-05</x:v>
      </x:c>
      <x:c r="D116" s="2" t="str">
        <x:v>H0514</x:v>
      </x:c>
      <x:c r="E116" s="2" t="str">
        <x:v>H0515</x:v>
      </x:c>
      <x:c r="F116" s="2" t="str">
        <x:v>8x30 bükk köldökcsap + anyaghoz választott ragasztó</x:v>
      </x:c>
    </x:row>
    <x:row r="117" ht="34" customHeight="1">
      <x:c r="A117" s="2" t="str">
        <x:v>R14-J112</x:v>
      </x:c>
      <x:c r="B117" s="2" t="str">
        <x:v>KI14-RAIL-03</x:v>
      </x:c>
      <x:c r="C117" s="2" t="str">
        <x:v>KI12-TV02S-06</x:v>
      </x:c>
      <x:c r="D117" s="2" t="str">
        <x:v>H0516</x:v>
      </x:c>
      <x:c r="E117" s="2" t="str">
        <x:v>H0517</x:v>
      </x:c>
      <x:c r="F117" s="2" t="str">
        <x:v>8x30 bükk köldökcsap + anyaghoz választott ragasztó</x:v>
      </x:c>
    </x:row>
    <x:row r="118" ht="34" customHeight="1">
      <x:c r="A118" s="2" t="str">
        <x:v>R14-J113</x:v>
      </x:c>
      <x:c r="B118" s="2" t="str">
        <x:v>KI14-RAIL-03</x:v>
      </x:c>
      <x:c r="C118" s="2" t="str">
        <x:v>KI12-TV02S-06</x:v>
      </x:c>
      <x:c r="D118" s="2" t="str">
        <x:v>H0518</x:v>
      </x:c>
      <x:c r="E118" s="2" t="str">
        <x:v>H0519</x:v>
      </x:c>
      <x:c r="F118" s="2" t="str">
        <x:v>8x30 bükk köldökcsap + anyaghoz választott ragasztó</x:v>
      </x:c>
    </x:row>
    <x:row r="119" ht="34" customHeight="1">
      <x:c r="A119" s="2" t="str">
        <x:v>R14-J114</x:v>
      </x:c>
      <x:c r="B119" s="2" t="str">
        <x:v>KI14-RAIL-03</x:v>
      </x:c>
      <x:c r="C119" s="2" t="str">
        <x:v>KI12-TV02S-06</x:v>
      </x:c>
      <x:c r="D119" s="2" t="str">
        <x:v>H0520</x:v>
      </x:c>
      <x:c r="E119" s="2" t="str">
        <x:v>H0521</x:v>
      </x:c>
      <x:c r="F119" s="2" t="str">
        <x:v>8x30 bükk köldökcsap + anyaghoz választott ragasztó</x:v>
      </x:c>
    </x:row>
    <x:row r="120" ht="34" customHeight="1">
      <x:c r="A120" s="2" t="str">
        <x:v>R14-J115</x:v>
      </x:c>
      <x:c r="B120" s="2" t="str">
        <x:v>KI14-RAIL-04</x:v>
      </x:c>
      <x:c r="C120" s="2" t="str">
        <x:v>KI12-TV02S-07</x:v>
      </x:c>
      <x:c r="D120" s="2" t="str">
        <x:v>H0522</x:v>
      </x:c>
      <x:c r="E120" s="2" t="str">
        <x:v>H0523</x:v>
      </x:c>
      <x:c r="F120" s="2" t="str">
        <x:v>8x30 bükk köldökcsap + anyaghoz választott ragasztó</x:v>
      </x:c>
    </x:row>
    <x:row r="121" ht="34" customHeight="1">
      <x:c r="A121" s="2" t="str">
        <x:v>R14-J116</x:v>
      </x:c>
      <x:c r="B121" s="2" t="str">
        <x:v>KI14-RAIL-04</x:v>
      </x:c>
      <x:c r="C121" s="2" t="str">
        <x:v>KI12-TV02S-07</x:v>
      </x:c>
      <x:c r="D121" s="2" t="str">
        <x:v>H0524</x:v>
      </x:c>
      <x:c r="E121" s="2" t="str">
        <x:v>H0525</x:v>
      </x:c>
      <x:c r="F121" s="2" t="str">
        <x:v>8x30 bükk köldökcsap + anyaghoz választott ragasztó</x:v>
      </x:c>
    </x:row>
    <x:row r="122" ht="34" customHeight="1">
      <x:c r="A122" s="2" t="str">
        <x:v>R14-J117</x:v>
      </x:c>
      <x:c r="B122" s="2" t="str">
        <x:v>KI14-RAIL-04</x:v>
      </x:c>
      <x:c r="C122" s="2" t="str">
        <x:v>KI12-TV02S-07</x:v>
      </x:c>
      <x:c r="D122" s="2" t="str">
        <x:v>H0526</x:v>
      </x:c>
      <x:c r="E122" s="2" t="str">
        <x:v>H0527</x:v>
      </x:c>
      <x:c r="F122" s="2" t="str">
        <x:v>8x30 bükk köldökcsap + anyaghoz választott ragasztó</x:v>
      </x:c>
    </x:row>
    <x:row r="123" ht="34" customHeight="1">
      <x:c r="A123" s="2" t="str">
        <x:v>R14-J118</x:v>
      </x:c>
      <x:c r="B123" s="2" t="str">
        <x:v>KI14-RAIL-04</x:v>
      </x:c>
      <x:c r="C123" s="2" t="str">
        <x:v>KI12-TV02S-08</x:v>
      </x:c>
      <x:c r="D123" s="2" t="str">
        <x:v>H0528</x:v>
      </x:c>
      <x:c r="E123" s="2" t="str">
        <x:v>H0529</x:v>
      </x:c>
      <x:c r="F123" s="2" t="str">
        <x:v>8x30 bükk köldökcsap + anyaghoz választott ragasztó</x:v>
      </x:c>
    </x:row>
    <x:row r="124" ht="34" customHeight="1">
      <x:c r="A124" s="2" t="str">
        <x:v>R14-J119</x:v>
      </x:c>
      <x:c r="B124" s="2" t="str">
        <x:v>KI14-RAIL-04</x:v>
      </x:c>
      <x:c r="C124" s="2" t="str">
        <x:v>KI12-TV02S-08</x:v>
      </x:c>
      <x:c r="D124" s="2" t="str">
        <x:v>H0530</x:v>
      </x:c>
      <x:c r="E124" s="2" t="str">
        <x:v>H0531</x:v>
      </x:c>
      <x:c r="F124" s="2" t="str">
        <x:v>8x30 bükk köldökcsap + anyaghoz választott ragasztó</x:v>
      </x:c>
    </x:row>
    <x:row r="125" ht="34" customHeight="1">
      <x:c r="A125" s="2" t="str">
        <x:v>R14-J120</x:v>
      </x:c>
      <x:c r="B125" s="2" t="str">
        <x:v>KI14-RAIL-04</x:v>
      </x:c>
      <x:c r="C125" s="2" t="str">
        <x:v>KI12-TV02S-08</x:v>
      </x:c>
      <x:c r="D125" s="2" t="str">
        <x:v>H0532</x:v>
      </x:c>
      <x:c r="E125" s="2" t="str">
        <x:v>H0533</x:v>
      </x:c>
      <x:c r="F125" s="2" t="str">
        <x:v>8x30 bükk köldökcsap + anyaghoz választott ragasztó</x:v>
      </x:c>
    </x:row>
    <x:row r="126" ht="34" customHeight="1">
      <x:c r="A126" s="2" t="str">
        <x:v>R14-J121</x:v>
      </x:c>
      <x:c r="B126" s="2" t="str">
        <x:v>KI14-RAIL-05</x:v>
      </x:c>
      <x:c r="C126" s="2" t="str">
        <x:v>KI12-TV02S-09</x:v>
      </x:c>
      <x:c r="D126" s="2" t="str">
        <x:v>H0534</x:v>
      </x:c>
      <x:c r="E126" s="2" t="str">
        <x:v>H0535</x:v>
      </x:c>
      <x:c r="F126" s="2" t="str">
        <x:v>8x30 bükk köldökcsap + anyaghoz választott ragasztó</x:v>
      </x:c>
    </x:row>
    <x:row r="127" ht="34" customHeight="1">
      <x:c r="A127" s="2" t="str">
        <x:v>R14-J122</x:v>
      </x:c>
      <x:c r="B127" s="2" t="str">
        <x:v>KI14-RAIL-05</x:v>
      </x:c>
      <x:c r="C127" s="2" t="str">
        <x:v>KI12-TV02S-09</x:v>
      </x:c>
      <x:c r="D127" s="2" t="str">
        <x:v>H0536</x:v>
      </x:c>
      <x:c r="E127" s="2" t="str">
        <x:v>H0537</x:v>
      </x:c>
      <x:c r="F127" s="2" t="str">
        <x:v>8x30 bükk köldökcsap + anyaghoz választott ragasztó</x:v>
      </x:c>
    </x:row>
    <x:row r="128" ht="34" customHeight="1">
      <x:c r="A128" s="2" t="str">
        <x:v>R14-J123</x:v>
      </x:c>
      <x:c r="B128" s="2" t="str">
        <x:v>KI14-RAIL-05</x:v>
      </x:c>
      <x:c r="C128" s="2" t="str">
        <x:v>KI12-TV02S-09</x:v>
      </x:c>
      <x:c r="D128" s="2" t="str">
        <x:v>H0538</x:v>
      </x:c>
      <x:c r="E128" s="2" t="str">
        <x:v>H0539</x:v>
      </x:c>
      <x:c r="F128" s="2" t="str">
        <x:v>8x30 bükk köldökcsap + anyaghoz választott ragasztó</x:v>
      </x:c>
    </x:row>
    <x:row r="129" ht="34" customHeight="1">
      <x:c r="A129" s="2" t="str">
        <x:v>R14-J124</x:v>
      </x:c>
      <x:c r="B129" s="2" t="str">
        <x:v>KI14-RAIL-05</x:v>
      </x:c>
      <x:c r="C129" s="2" t="str">
        <x:v>KI12-TV02S-10</x:v>
      </x:c>
      <x:c r="D129" s="2" t="str">
        <x:v>H0540</x:v>
      </x:c>
      <x:c r="E129" s="2" t="str">
        <x:v>H0541</x:v>
      </x:c>
      <x:c r="F129" s="2" t="str">
        <x:v>8x30 bükk köldökcsap + anyaghoz választott ragasztó</x:v>
      </x:c>
    </x:row>
    <x:row r="130" ht="34" customHeight="1">
      <x:c r="A130" s="2" t="str">
        <x:v>R14-J125</x:v>
      </x:c>
      <x:c r="B130" s="2" t="str">
        <x:v>KI14-RAIL-05</x:v>
      </x:c>
      <x:c r="C130" s="2" t="str">
        <x:v>KI12-TV02S-10</x:v>
      </x:c>
      <x:c r="D130" s="2" t="str">
        <x:v>H0542</x:v>
      </x:c>
      <x:c r="E130" s="2" t="str">
        <x:v>H0543</x:v>
      </x:c>
      <x:c r="F130" s="2" t="str">
        <x:v>8x30 bükk köldökcsap + anyaghoz választott ragasztó</x:v>
      </x:c>
    </x:row>
    <x:row r="131" ht="34" customHeight="1">
      <x:c r="A131" s="2" t="str">
        <x:v>R14-J126</x:v>
      </x:c>
      <x:c r="B131" s="2" t="str">
        <x:v>KI14-RAIL-05</x:v>
      </x:c>
      <x:c r="C131" s="2" t="str">
        <x:v>KI12-TV02S-10</x:v>
      </x:c>
      <x:c r="D131" s="2" t="str">
        <x:v>H0544</x:v>
      </x:c>
      <x:c r="E131" s="2" t="str">
        <x:v>H0545</x:v>
      </x:c>
      <x:c r="F131" s="2" t="str">
        <x:v>8x30 bükk köldökcsap + anyaghoz választott ragasztó</x:v>
      </x:c>
    </x:row>
    <x:row r="132" ht="34" customHeight="1">
      <x:c r="A132" s="2" t="str">
        <x:v>R14-J127</x:v>
      </x:c>
      <x:c r="B132" s="2" t="str">
        <x:v>KI14-RAIL-06</x:v>
      </x:c>
      <x:c r="C132" s="2" t="str">
        <x:v>KI12-TV01S-01</x:v>
      </x:c>
      <x:c r="D132" s="2" t="str">
        <x:v>H0546</x:v>
      </x:c>
      <x:c r="E132" s="2" t="str">
        <x:v>H0547</x:v>
      </x:c>
      <x:c r="F132" s="2" t="str">
        <x:v>8x30 bükk köldökcsap + anyaghoz választott ragasztó</x:v>
      </x:c>
    </x:row>
    <x:row r="133" ht="34" customHeight="1">
      <x:c r="A133" s="2" t="str">
        <x:v>R14-J128</x:v>
      </x:c>
      <x:c r="B133" s="2" t="str">
        <x:v>KI14-RAIL-06</x:v>
      </x:c>
      <x:c r="C133" s="2" t="str">
        <x:v>KI12-TV01S-01</x:v>
      </x:c>
      <x:c r="D133" s="2" t="str">
        <x:v>H0548</x:v>
      </x:c>
      <x:c r="E133" s="2" t="str">
        <x:v>H0549</x:v>
      </x:c>
      <x:c r="F133" s="2" t="str">
        <x:v>8x30 bükk köldökcsap + anyaghoz választott ragasztó</x:v>
      </x:c>
    </x:row>
    <x:row r="134" ht="34" customHeight="1">
      <x:c r="A134" s="2" t="str">
        <x:v>R14-J129</x:v>
      </x:c>
      <x:c r="B134" s="2" t="str">
        <x:v>KI14-RAIL-06</x:v>
      </x:c>
      <x:c r="C134" s="2" t="str">
        <x:v>KI12-TV01S-01</x:v>
      </x:c>
      <x:c r="D134" s="2" t="str">
        <x:v>H0550</x:v>
      </x:c>
      <x:c r="E134" s="2" t="str">
        <x:v>H0551</x:v>
      </x:c>
      <x:c r="F134" s="2" t="str">
        <x:v>8x30 bükk köldökcsap + anyaghoz választott ragasztó</x:v>
      </x:c>
    </x:row>
    <x:row r="135" ht="34" customHeight="1">
      <x:c r="A135" s="2" t="str">
        <x:v>R14-J130</x:v>
      </x:c>
      <x:c r="B135" s="2" t="str">
        <x:v>KI14-RAIL-06</x:v>
      </x:c>
      <x:c r="C135" s="2" t="str">
        <x:v>KI12-TV01C-01</x:v>
      </x:c>
      <x:c r="D135" s="2" t="str">
        <x:v>H0552</x:v>
      </x:c>
      <x:c r="E135" s="2" t="str">
        <x:v>H0553</x:v>
      </x:c>
      <x:c r="F135" s="2" t="str">
        <x:v>8x30 bükk köldökcsap + anyaghoz választott ragasztó</x:v>
      </x:c>
    </x:row>
    <x:row r="136" ht="34" customHeight="1">
      <x:c r="A136" s="2" t="str">
        <x:v>R14-J131</x:v>
      </x:c>
      <x:c r="B136" s="2" t="str">
        <x:v>KI14-RAIL-06</x:v>
      </x:c>
      <x:c r="C136" s="2" t="str">
        <x:v>KI12-TV01C-01</x:v>
      </x:c>
      <x:c r="D136" s="2" t="str">
        <x:v>H0554</x:v>
      </x:c>
      <x:c r="E136" s="2" t="str">
        <x:v>H0555</x:v>
      </x:c>
      <x:c r="F136" s="2" t="str">
        <x:v>8x30 bükk köldökcsap + anyaghoz választott ragasztó</x:v>
      </x:c>
    </x:row>
    <x:row r="137" ht="34" customHeight="1">
      <x:c r="A137" s="2" t="str">
        <x:v>R14-J132</x:v>
      </x:c>
      <x:c r="B137" s="2" t="str">
        <x:v>KI14-RAIL-06</x:v>
      </x:c>
      <x:c r="C137" s="2" t="str">
        <x:v>KI12-TV01C-01</x:v>
      </x:c>
      <x:c r="D137" s="2" t="str">
        <x:v>H0556</x:v>
      </x:c>
      <x:c r="E137" s="2" t="str">
        <x:v>H0557</x:v>
      </x:c>
      <x:c r="F137" s="2" t="str">
        <x:v>8x30 bükk köldökcsap + anyaghoz választott ragasztó</x:v>
      </x:c>
    </x:row>
    <x:row r="138" ht="34" customHeight="1">
      <x:c r="A138" s="2" t="str">
        <x:v>R14-J133</x:v>
      </x:c>
      <x:c r="B138" s="2" t="str">
        <x:v>KI14-RAIL-07</x:v>
      </x:c>
      <x:c r="C138" s="2" t="str">
        <x:v>KI12-TV01C-01</x:v>
      </x:c>
      <x:c r="D138" s="2" t="str">
        <x:v>H0558</x:v>
      </x:c>
      <x:c r="E138" s="2" t="str">
        <x:v>H0559</x:v>
      </x:c>
      <x:c r="F138" s="2" t="str">
        <x:v>8x30 bükk köldökcsap + anyaghoz választott ragasztó</x:v>
      </x:c>
    </x:row>
    <x:row r="139" ht="34" customHeight="1">
      <x:c r="A139" s="2" t="str">
        <x:v>R14-J134</x:v>
      </x:c>
      <x:c r="B139" s="2" t="str">
        <x:v>KI14-RAIL-07</x:v>
      </x:c>
      <x:c r="C139" s="2" t="str">
        <x:v>KI12-TV01C-01</x:v>
      </x:c>
      <x:c r="D139" s="2" t="str">
        <x:v>H0560</x:v>
      </x:c>
      <x:c r="E139" s="2" t="str">
        <x:v>H0561</x:v>
      </x:c>
      <x:c r="F139" s="2" t="str">
        <x:v>8x30 bükk köldökcsap + anyaghoz választott ragasztó</x:v>
      </x:c>
    </x:row>
    <x:row r="140" ht="34" customHeight="1">
      <x:c r="A140" s="2" t="str">
        <x:v>R14-J135</x:v>
      </x:c>
      <x:c r="B140" s="2" t="str">
        <x:v>KI14-RAIL-07</x:v>
      </x:c>
      <x:c r="C140" s="2" t="str">
        <x:v>KI12-TV01C-01</x:v>
      </x:c>
      <x:c r="D140" s="2" t="str">
        <x:v>H0562</x:v>
      </x:c>
      <x:c r="E140" s="2" t="str">
        <x:v>H0563</x:v>
      </x:c>
      <x:c r="F140" s="2" t="str">
        <x:v>8x30 bükk köldökcsap + anyaghoz választott ragasztó</x:v>
      </x:c>
    </x:row>
    <x:row r="141" ht="34" customHeight="1">
      <x:c r="A141" s="2" t="str">
        <x:v>R14-J136</x:v>
      </x:c>
      <x:c r="B141" s="2" t="str">
        <x:v>KI14-RAIL-07</x:v>
      </x:c>
      <x:c r="C141" s="2" t="str">
        <x:v>KI12-TV01S-02</x:v>
      </x:c>
      <x:c r="D141" s="2" t="str">
        <x:v>H0564</x:v>
      </x:c>
      <x:c r="E141" s="2" t="str">
        <x:v>H0565</x:v>
      </x:c>
      <x:c r="F141" s="2" t="str">
        <x:v>8x30 bükk köldökcsap + anyaghoz választott ragasztó</x:v>
      </x:c>
    </x:row>
    <x:row r="142" ht="34" customHeight="1">
      <x:c r="A142" s="2" t="str">
        <x:v>R14-J137</x:v>
      </x:c>
      <x:c r="B142" s="2" t="str">
        <x:v>KI14-RAIL-07</x:v>
      </x:c>
      <x:c r="C142" s="2" t="str">
        <x:v>KI12-TV01S-02</x:v>
      </x:c>
      <x:c r="D142" s="2" t="str">
        <x:v>H0566</x:v>
      </x:c>
      <x:c r="E142" s="2" t="str">
        <x:v>H0567</x:v>
      </x:c>
      <x:c r="F142" s="2" t="str">
        <x:v>8x30 bükk köldökcsap + anyaghoz választott ragasztó</x:v>
      </x:c>
    </x:row>
    <x:row r="143" ht="34" customHeight="1">
      <x:c r="A143" s="2" t="str">
        <x:v>R14-J138</x:v>
      </x:c>
      <x:c r="B143" s="2" t="str">
        <x:v>KI14-RAIL-07</x:v>
      </x:c>
      <x:c r="C143" s="2" t="str">
        <x:v>KI12-TV01S-02</x:v>
      </x:c>
      <x:c r="D143" s="2" t="str">
        <x:v>H0568</x:v>
      </x:c>
      <x:c r="E143" s="2" t="str">
        <x:v>H0569</x:v>
      </x:c>
      <x:c r="F143" s="2" t="str">
        <x:v>8x30 bükk köldökcsap + anyaghoz választott ragasztó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9.970000267028809" hidden="0" customWidth="1"/>
    <x:col min="2" max="2" width="9.970000267028809" hidden="0" customWidth="1"/>
    <x:col min="3" max="3" width="9.970000267028809" hidden="0" customWidth="1"/>
    <x:col min="4" max="4" width="9.970000267028809" hidden="0" customWidth="1"/>
    <x:col min="5" max="5" width="4.199999809265137" hidden="0" customWidth="1"/>
    <x:col min="6" max="6" width="9.970000267028809" hidden="0" customWidth="1"/>
    <x:col min="7" max="7" width="9.970000267028809" hidden="0" customWidth="1"/>
    <x:col min="8" max="8" width="9.970000267028809" hidden="0" customWidth="1"/>
    <x:col min="9" max="9" width="9.970000267028809" hidden="0" customWidth="1"/>
  </x:cols>
  <x:sheetData>
    <x:row r="1" ht="14.17322826385498" customHeight="1">
      <x:c r="A1" s="25" t="str">
        <x:f>Darabok!A6</x:f>
        <x:v>KI12-TV01S-01</x:v>
      </x:c>
      <x:c r="B1" s="26"/>
      <x:c r="C1" s="26"/>
      <x:c r="D1" s="27"/>
      <x:c r="E1" s="1"/>
      <x:c r="F1" s="25" t="str">
        <x:f>Darabok!A7</x:f>
        <x:v>KI12-TV01S-02</x:v>
      </x:c>
      <x:c r="G1" s="26"/>
      <x:c r="H1" s="26"/>
      <x:c r="I1" s="27"/>
    </x:row>
    <x:row r="2" ht="14.17322826385498" customHeight="1">
      <x:c r="A2" s="28" t="str">
        <x:v>R15 / TERV</x:v>
      </x:c>
      <x:c r="B2" s="1"/>
      <x:c r="C2" s="1"/>
      <x:c r="D2" s="29"/>
      <x:c r="E2" s="1"/>
      <x:c r="F2" s="28" t="str">
        <x:v>R15 / TERV</x:v>
      </x:c>
      <x:c r="G2" s="1"/>
      <x:c r="H2" s="1"/>
      <x:c r="I2" s="29"/>
    </x:row>
    <x:row r="3" ht="14.17322826385498" customHeight="1">
      <x:c r="A3" s="28" t="str">
        <x:f>Darabok!C6&amp;" x "&amp;Darabok!D6&amp;" x "&amp;Darabok!E6&amp;" mm"</x:f>
        <x:v>2330 x 382 x 18 mm</x:v>
      </x:c>
      <x:c r="B3" s="1"/>
      <x:c r="C3" s="1"/>
      <x:c r="D3" s="29"/>
      <x:c r="E3" s="1"/>
      <x:c r="F3" s="28" t="str">
        <x:f>Darabok!C7&amp;" x "&amp;Darabok!D7&amp;" x "&amp;Darabok!E7&amp;" mm"</x:f>
        <x:v>2330 x 382 x 18 mm</x:v>
      </x:c>
      <x:c r="G3" s="1"/>
      <x:c r="H3" s="1"/>
      <x:c r="I3" s="29"/>
    </x:row>
    <x:row r="4" ht="14.17322826385498" customHeight="1">
      <x:c r="A4" s="28" t="str">
        <x:v>M03</x:v>
      </x:c>
      <x:c r="B4" s="1"/>
      <x:c r="C4" s="1"/>
      <x:c r="D4" s="29"/>
      <x:c r="E4" s="1"/>
      <x:c r="F4" s="28" t="str">
        <x:v>M03</x:v>
      </x:c>
      <x:c r="G4" s="1"/>
      <x:c r="H4" s="1"/>
      <x:c r="I4" s="29"/>
    </x:row>
    <x:row r="5" ht="14.17322826385498" customHeight="1">
      <x:c r="A5" s="28" t="str">
        <x:v>A/B a rajzon / E1 V0 / E4 U0</x:v>
      </x:c>
      <x:c r="B5" s="1"/>
      <x:c r="C5" s="1"/>
      <x:c r="D5" s="29"/>
      <x:c r="E5" s="1"/>
      <x:c r="F5" s="28" t="str">
        <x:v>A/B a rajzon / E1 V0 / E4 U0</x:v>
      </x:c>
      <x:c r="G5" s="1"/>
      <x:c r="H5" s="1"/>
      <x:c r="I5" s="29"/>
    </x:row>
    <x:row r="6" ht="14.17322826385498" customHeight="1">
      <x:c r="A6" s="28" t="str">
        <x:f>"C elkod: "&amp;Darabok!P6</x:f>
        <x:v>C elkod: NYITOTT</x:v>
      </x:c>
      <x:c r="B6" s="1"/>
      <x:c r="C6" s="1"/>
      <x:c r="D6" s="29"/>
      <x:c r="E6" s="1"/>
      <x:c r="F6" s="28" t="str">
        <x:f>"C elkod: "&amp;Darabok!P7</x:f>
        <x:v>C elkod: NYITOTT</x:v>
      </x:c>
      <x:c r="G6" s="1"/>
      <x:c r="H6" s="1"/>
      <x:c r="I6" s="29"/>
    </x:row>
    <x:row r="7" ht="14.17322826385498" customHeight="1">
      <x:c r="A7" s="28" t="str">
        <x:v>AKTÍV FÚRÁSI TERV / NEM GYÁRTÁSI KIADÁS</x:v>
      </x:c>
      <x:c r="B7" s="1"/>
      <x:c r="C7" s="1"/>
      <x:c r="D7" s="29"/>
      <x:c r="E7" s="1"/>
      <x:c r="F7" s="28" t="str">
        <x:v>AKTÍV FÚRÁSI TERV / NEM GYÁRTÁSI KIADÁS</x:v>
      </x:c>
      <x:c r="G7" s="1"/>
      <x:c r="H7" s="1"/>
      <x:c r="I7" s="29"/>
    </x:row>
    <x:row r="8" ht="14.17322826385498" customHeight="1">
      <x:c r="A8" s="28" t="str">
        <x:v>R15:KI12-TV01S-01</x:v>
      </x:c>
      <x:c r="B8" s="1"/>
      <x:c r="C8" s="1"/>
      <x:c r="D8" s="29"/>
      <x:c r="E8" s="1"/>
      <x:c r="F8" s="28" t="str">
        <x:v>R15:KI12-TV01S-02</x:v>
      </x:c>
      <x:c r="G8" s="1"/>
      <x:c r="H8" s="1"/>
      <x:c r="I8" s="29"/>
    </x:row>
    <x:row r="9" ht="14.17322826385498" customHeight="1">
      <x:c r="A9" s="28" t="str">
        <x:v>PDF-címkén gépi vonalkód is van</x:v>
      </x:c>
      <x:c r="B9" s="1"/>
      <x:c r="C9" s="1"/>
      <x:c r="D9" s="29"/>
      <x:c r="E9" s="1"/>
      <x:c r="F9" s="28" t="str">
        <x:v>PDF-címkén gépi vonalkód is van</x:v>
      </x:c>
      <x:c r="G9" s="1"/>
      <x:c r="H9" s="1"/>
      <x:c r="I9" s="29"/>
    </x:row>
    <x:row r="10" ht="14.17322826385498" customHeight="1">
      <x:c r="A10" s="30"/>
      <x:c r="B10" s="31"/>
      <x:c r="C10" s="31"/>
      <x:c r="D10" s="32"/>
      <x:c r="E10" s="1"/>
      <x:c r="F10" s="30"/>
      <x:c r="G10" s="31"/>
      <x:c r="H10" s="31"/>
      <x:c r="I10" s="32"/>
    </x:row>
    <x:row r="11" ht="14.17322826385498" customHeight="1">
      <x:c r="A11" s="25" t="str">
        <x:f>Darabok!A8</x:f>
        <x:v>KI12-TV01T-01</x:v>
      </x:c>
      <x:c r="B11" s="26"/>
      <x:c r="C11" s="26"/>
      <x:c r="D11" s="27"/>
      <x:c r="E11" s="1"/>
      <x:c r="F11" s="25" t="str">
        <x:f>Darabok!A9</x:f>
        <x:v>KI12-TV01T-02</x:v>
      </x:c>
      <x:c r="G11" s="26"/>
      <x:c r="H11" s="26"/>
      <x:c r="I11" s="27"/>
    </x:row>
    <x:row r="12" ht="14.17322826385498" customHeight="1">
      <x:c r="A12" s="28" t="str">
        <x:v>R15 / TERV</x:v>
      </x:c>
      <x:c r="B12" s="1"/>
      <x:c r="C12" s="1"/>
      <x:c r="D12" s="29"/>
      <x:c r="E12" s="1"/>
      <x:c r="F12" s="28" t="str">
        <x:v>R15 / TERV</x:v>
      </x:c>
      <x:c r="G12" s="1"/>
      <x:c r="H12" s="1"/>
      <x:c r="I12" s="29"/>
    </x:row>
    <x:row r="13" ht="14.17322826385498" customHeight="1">
      <x:c r="A13" s="28" t="str">
        <x:f>Darabok!C8&amp;" x "&amp;Darabok!D8&amp;" x "&amp;Darabok!E8&amp;" mm"</x:f>
        <x:v>684 x 382 x 18 mm</x:v>
      </x:c>
      <x:c r="B13" s="1"/>
      <x:c r="C13" s="1"/>
      <x:c r="D13" s="29"/>
      <x:c r="E13" s="1"/>
      <x:c r="F13" s="28" t="str">
        <x:f>Darabok!C9&amp;" x "&amp;Darabok!D9&amp;" x "&amp;Darabok!E9&amp;" mm"</x:f>
        <x:v>684 x 382 x 18 mm</x:v>
      </x:c>
      <x:c r="G13" s="1"/>
      <x:c r="H13" s="1"/>
      <x:c r="I13" s="29"/>
    </x:row>
    <x:row r="14" ht="14.17322826385498" customHeight="1">
      <x:c r="A14" s="28" t="str">
        <x:v>M03</x:v>
      </x:c>
      <x:c r="B14" s="1"/>
      <x:c r="C14" s="1"/>
      <x:c r="D14" s="29"/>
      <x:c r="E14" s="1"/>
      <x:c r="F14" s="28" t="str">
        <x:v>M03</x:v>
      </x:c>
      <x:c r="G14" s="1"/>
      <x:c r="H14" s="1"/>
      <x:c r="I14" s="29"/>
    </x:row>
    <x:row r="15" ht="14.17322826385498" customHeight="1">
      <x:c r="A15" s="28" t="str">
        <x:v>A/B a rajzon / E1 V0 / E4 U0</x:v>
      </x:c>
      <x:c r="B15" s="1"/>
      <x:c r="C15" s="1"/>
      <x:c r="D15" s="29"/>
      <x:c r="E15" s="1"/>
      <x:c r="F15" s="28" t="str">
        <x:v>A/B a rajzon / E1 V0 / E4 U0</x:v>
      </x:c>
      <x:c r="G15" s="1"/>
      <x:c r="H15" s="1"/>
      <x:c r="I15" s="29"/>
    </x:row>
    <x:row r="16" ht="14.17322826385498" customHeight="1">
      <x:c r="A16" s="28" t="str">
        <x:f>"C elkod: "&amp;Darabok!P8</x:f>
        <x:v>C elkod: NYITOTT</x:v>
      </x:c>
      <x:c r="B16" s="1"/>
      <x:c r="C16" s="1"/>
      <x:c r="D16" s="29"/>
      <x:c r="E16" s="1"/>
      <x:c r="F16" s="28" t="str">
        <x:f>"C elkod: "&amp;Darabok!P9</x:f>
        <x:v>C elkod: NYITOTT</x:v>
      </x:c>
      <x:c r="G16" s="1"/>
      <x:c r="H16" s="1"/>
      <x:c r="I16" s="29"/>
    </x:row>
    <x:row r="17" ht="14.17322826385498" customHeight="1">
      <x:c r="A17" s="28" t="str">
        <x:v>AKTÍV FÚRÁSI TERV / NEM GYÁRTÁSI KIADÁS</x:v>
      </x:c>
      <x:c r="B17" s="1"/>
      <x:c r="C17" s="1"/>
      <x:c r="D17" s="29"/>
      <x:c r="E17" s="1"/>
      <x:c r="F17" s="28" t="str">
        <x:v>AKTÍV FÚRÁSI TERV / NEM GYÁRTÁSI KIADÁS</x:v>
      </x:c>
      <x:c r="G17" s="1"/>
      <x:c r="H17" s="1"/>
      <x:c r="I17" s="29"/>
    </x:row>
    <x:row r="18" ht="14.17322826385498" customHeight="1">
      <x:c r="A18" s="28" t="str">
        <x:v>R15:KI12-TV01T-01</x:v>
      </x:c>
      <x:c r="B18" s="1"/>
      <x:c r="C18" s="1"/>
      <x:c r="D18" s="29"/>
      <x:c r="E18" s="1"/>
      <x:c r="F18" s="28" t="str">
        <x:v>R15:KI12-TV01T-02</x:v>
      </x:c>
      <x:c r="G18" s="1"/>
      <x:c r="H18" s="1"/>
      <x:c r="I18" s="29"/>
    </x:row>
    <x:row r="19" ht="14.17322826385498" customHeight="1">
      <x:c r="A19" s="28" t="str">
        <x:v>PDF-címkén gépi vonalkód is van</x:v>
      </x:c>
      <x:c r="B19" s="1"/>
      <x:c r="C19" s="1"/>
      <x:c r="D19" s="29"/>
      <x:c r="E19" s="1"/>
      <x:c r="F19" s="28" t="str">
        <x:v>PDF-címkén gépi vonalkód is van</x:v>
      </x:c>
      <x:c r="G19" s="1"/>
      <x:c r="H19" s="1"/>
      <x:c r="I19" s="29"/>
    </x:row>
    <x:row r="20" ht="14.17322826385498" customHeight="1">
      <x:c r="A20" s="30"/>
      <x:c r="B20" s="31"/>
      <x:c r="C20" s="31"/>
      <x:c r="D20" s="32"/>
      <x:c r="E20" s="1"/>
      <x:c r="F20" s="30"/>
      <x:c r="G20" s="31"/>
      <x:c r="H20" s="31"/>
      <x:c r="I20" s="32"/>
    </x:row>
    <x:row r="21" ht="14.17322826385498" customHeight="1">
      <x:c r="A21" s="25" t="str">
        <x:f>Darabok!A10</x:f>
        <x:v>KI12-TV01C-01</x:v>
      </x:c>
      <x:c r="B21" s="26"/>
      <x:c r="C21" s="26"/>
      <x:c r="D21" s="27"/>
      <x:c r="E21" s="1"/>
      <x:c r="F21" s="25" t="str">
        <x:f>Darabok!A11</x:f>
        <x:v>KI12-TV01P-01</x:v>
      </x:c>
      <x:c r="G21" s="26"/>
      <x:c r="H21" s="26"/>
      <x:c r="I21" s="27"/>
    </x:row>
    <x:row r="22" ht="14.17322826385498" customHeight="1">
      <x:c r="A22" s="28" t="str">
        <x:v>R15 / TERV</x:v>
      </x:c>
      <x:c r="B22" s="1"/>
      <x:c r="C22" s="1"/>
      <x:c r="D22" s="29"/>
      <x:c r="E22" s="1"/>
      <x:c r="F22" s="28" t="str">
        <x:v>R15 / TERV</x:v>
      </x:c>
      <x:c r="G22" s="1"/>
      <x:c r="H22" s="1"/>
      <x:c r="I22" s="29"/>
    </x:row>
    <x:row r="23" ht="14.17322826385498" customHeight="1">
      <x:c r="A23" s="28" t="str">
        <x:f>Darabok!C10&amp;" x "&amp;Darabok!D10&amp;" x "&amp;Darabok!E10&amp;" mm"</x:f>
        <x:v>2294 x 354 x 18 mm</x:v>
      </x:c>
      <x:c r="B23" s="1"/>
      <x:c r="C23" s="1"/>
      <x:c r="D23" s="29"/>
      <x:c r="E23" s="1"/>
      <x:c r="F23" s="28" t="str">
        <x:f>Darabok!C11&amp;" x "&amp;Darabok!D11&amp;" x "&amp;Darabok!E11&amp;" mm"</x:f>
        <x:v>331 x 290 x 18 mm</x:v>
      </x:c>
      <x:c r="G23" s="1"/>
      <x:c r="H23" s="1"/>
      <x:c r="I23" s="29"/>
    </x:row>
    <x:row r="24" ht="14.17322826385498" customHeight="1">
      <x:c r="A24" s="28" t="str">
        <x:v>M03</x:v>
      </x:c>
      <x:c r="B24" s="1"/>
      <x:c r="C24" s="1"/>
      <x:c r="D24" s="29"/>
      <x:c r="E24" s="1"/>
      <x:c r="F24" s="28" t="str">
        <x:v>M03</x:v>
      </x:c>
      <x:c r="G24" s="1"/>
      <x:c r="H24" s="1"/>
      <x:c r="I24" s="29"/>
    </x:row>
    <x:row r="25" ht="14.17322826385498" customHeight="1">
      <x:c r="A25" s="28" t="str">
        <x:v>A/B a rajzon / E1 V0 / E4 U0</x:v>
      </x:c>
      <x:c r="B25" s="1"/>
      <x:c r="C25" s="1"/>
      <x:c r="D25" s="29"/>
      <x:c r="E25" s="1"/>
      <x:c r="F25" s="28" t="str">
        <x:v>A/B a rajzon / E1 V0 / E4 U0</x:v>
      </x:c>
      <x:c r="G25" s="1"/>
      <x:c r="H25" s="1"/>
      <x:c r="I25" s="29"/>
    </x:row>
    <x:row r="26" ht="14.17322826385498" customHeight="1">
      <x:c r="A26" s="28" t="str">
        <x:f>"C elkod: "&amp;Darabok!P10</x:f>
        <x:v>C elkod: NYITOTT</x:v>
      </x:c>
      <x:c r="B26" s="1"/>
      <x:c r="C26" s="1"/>
      <x:c r="D26" s="29"/>
      <x:c r="E26" s="1"/>
      <x:c r="F26" s="28" t="str">
        <x:f>"C elkod: "&amp;Darabok!P11</x:f>
        <x:v>C elkod: NYITOTT</x:v>
      </x:c>
      <x:c r="G26" s="1"/>
      <x:c r="H26" s="1"/>
      <x:c r="I26" s="29"/>
    </x:row>
    <x:row r="27" ht="14.17322826385498" customHeight="1">
      <x:c r="A27" s="28" t="str">
        <x:v>AKTÍV FÚRÁSI TERV / NEM GYÁRTÁSI KIADÁS</x:v>
      </x:c>
      <x:c r="B27" s="1"/>
      <x:c r="C27" s="1"/>
      <x:c r="D27" s="29"/>
      <x:c r="E27" s="1"/>
      <x:c r="F27" s="28" t="str">
        <x:v>AKTÍV FÚRÁSI TERV / NEM GYÁRTÁSI KIADÁS</x:v>
      </x:c>
      <x:c r="G27" s="1"/>
      <x:c r="H27" s="1"/>
      <x:c r="I27" s="29"/>
    </x:row>
    <x:row r="28" ht="14.17322826385498" customHeight="1">
      <x:c r="A28" s="28" t="str">
        <x:v>R15:KI12-TV01C-01</x:v>
      </x:c>
      <x:c r="B28" s="1"/>
      <x:c r="C28" s="1"/>
      <x:c r="D28" s="29"/>
      <x:c r="E28" s="1"/>
      <x:c r="F28" s="28" t="str">
        <x:v>R15:KI12-TV01P-01</x:v>
      </x:c>
      <x:c r="G28" s="1"/>
      <x:c r="H28" s="1"/>
      <x:c r="I28" s="29"/>
    </x:row>
    <x:row r="29" ht="14.17322826385498" customHeight="1">
      <x:c r="A29" s="28" t="str">
        <x:v>PDF-címkén gépi vonalkód is van</x:v>
      </x:c>
      <x:c r="B29" s="1"/>
      <x:c r="C29" s="1"/>
      <x:c r="D29" s="29"/>
      <x:c r="E29" s="1"/>
      <x:c r="F29" s="28" t="str">
        <x:v>PDF-címkén gépi vonalkód is van</x:v>
      </x:c>
      <x:c r="G29" s="1"/>
      <x:c r="H29" s="1"/>
      <x:c r="I29" s="29"/>
    </x:row>
    <x:row r="30" ht="14.17322826385498" customHeight="1">
      <x:c r="A30" s="30"/>
      <x:c r="B30" s="31"/>
      <x:c r="C30" s="31"/>
      <x:c r="D30" s="32"/>
      <x:c r="E30" s="1"/>
      <x:c r="F30" s="30"/>
      <x:c r="G30" s="31"/>
      <x:c r="H30" s="31"/>
      <x:c r="I30" s="32"/>
    </x:row>
    <x:row r="31" ht="14.17322826385498" customHeight="1">
      <x:c r="A31" s="25" t="str">
        <x:f>Darabok!A12</x:f>
        <x:v>KI12-TV01P-02</x:v>
      </x:c>
      <x:c r="B31" s="26"/>
      <x:c r="C31" s="26"/>
      <x:c r="D31" s="27"/>
      <x:c r="E31" s="1"/>
      <x:c r="F31" s="25" t="str">
        <x:f>Darabok!A13</x:f>
        <x:v>KI12-TV01P-03</x:v>
      </x:c>
      <x:c r="G31" s="26"/>
      <x:c r="H31" s="26"/>
      <x:c r="I31" s="27"/>
    </x:row>
    <x:row r="32" ht="14.17322826385498" customHeight="1">
      <x:c r="A32" s="28" t="str">
        <x:v>R15 / TERV</x:v>
      </x:c>
      <x:c r="B32" s="1"/>
      <x:c r="C32" s="1"/>
      <x:c r="D32" s="29"/>
      <x:c r="E32" s="1"/>
      <x:c r="F32" s="28" t="str">
        <x:v>R15 / TERV</x:v>
      </x:c>
      <x:c r="G32" s="1"/>
      <x:c r="H32" s="1"/>
      <x:c r="I32" s="29"/>
    </x:row>
    <x:row r="33" ht="14.17322826385498" customHeight="1">
      <x:c r="A33" s="28" t="str">
        <x:f>Darabok!C12&amp;" x "&amp;Darabok!D12&amp;" x "&amp;Darabok!E12&amp;" mm"</x:f>
        <x:v>331 x 290 x 18 mm</x:v>
      </x:c>
      <x:c r="B33" s="1"/>
      <x:c r="C33" s="1"/>
      <x:c r="D33" s="29"/>
      <x:c r="E33" s="1"/>
      <x:c r="F33" s="28" t="str">
        <x:f>Darabok!C13&amp;" x "&amp;Darabok!D13&amp;" x "&amp;Darabok!E13&amp;" mm"</x:f>
        <x:v>331 x 290 x 18 mm</x:v>
      </x:c>
      <x:c r="G33" s="1"/>
      <x:c r="H33" s="1"/>
      <x:c r="I33" s="29"/>
    </x:row>
    <x:row r="34" ht="14.17322826385498" customHeight="1">
      <x:c r="A34" s="28" t="str">
        <x:v>M03</x:v>
      </x:c>
      <x:c r="B34" s="1"/>
      <x:c r="C34" s="1"/>
      <x:c r="D34" s="29"/>
      <x:c r="E34" s="1"/>
      <x:c r="F34" s="28" t="str">
        <x:v>M03</x:v>
      </x:c>
      <x:c r="G34" s="1"/>
      <x:c r="H34" s="1"/>
      <x:c r="I34" s="29"/>
    </x:row>
    <x:row r="35" ht="14.17322826385498" customHeight="1">
      <x:c r="A35" s="28" t="str">
        <x:v>A/B a rajzon / E1 V0 / E4 U0</x:v>
      </x:c>
      <x:c r="B35" s="1"/>
      <x:c r="C35" s="1"/>
      <x:c r="D35" s="29"/>
      <x:c r="E35" s="1"/>
      <x:c r="F35" s="28" t="str">
        <x:v>A/B a rajzon / E1 V0 / E4 U0</x:v>
      </x:c>
      <x:c r="G35" s="1"/>
      <x:c r="H35" s="1"/>
      <x:c r="I35" s="29"/>
    </x:row>
    <x:row r="36" ht="14.17322826385498" customHeight="1">
      <x:c r="A36" s="28" t="str">
        <x:f>"C elkod: "&amp;Darabok!P12</x:f>
        <x:v>C elkod: NYITOTT</x:v>
      </x:c>
      <x:c r="B36" s="1"/>
      <x:c r="C36" s="1"/>
      <x:c r="D36" s="29"/>
      <x:c r="E36" s="1"/>
      <x:c r="F36" s="28" t="str">
        <x:f>"C elkod: "&amp;Darabok!P13</x:f>
        <x:v>C elkod: NYITOTT</x:v>
      </x:c>
      <x:c r="G36" s="1"/>
      <x:c r="H36" s="1"/>
      <x:c r="I36" s="29"/>
    </x:row>
    <x:row r="37" ht="14.17322826385498" customHeight="1">
      <x:c r="A37" s="28" t="str">
        <x:v>AKTÍV FÚRÁSI TERV / NEM GYÁRTÁSI KIADÁS</x:v>
      </x:c>
      <x:c r="B37" s="1"/>
      <x:c r="C37" s="1"/>
      <x:c r="D37" s="29"/>
      <x:c r="E37" s="1"/>
      <x:c r="F37" s="28" t="str">
        <x:v>AKTÍV FÚRÁSI TERV / NEM GYÁRTÁSI KIADÁS</x:v>
      </x:c>
      <x:c r="G37" s="1"/>
      <x:c r="H37" s="1"/>
      <x:c r="I37" s="29"/>
    </x:row>
    <x:row r="38" ht="14.17322826385498" customHeight="1">
      <x:c r="A38" s="28" t="str">
        <x:v>R15:KI12-TV01P-02</x:v>
      </x:c>
      <x:c r="B38" s="1"/>
      <x:c r="C38" s="1"/>
      <x:c r="D38" s="29"/>
      <x:c r="E38" s="1"/>
      <x:c r="F38" s="28" t="str">
        <x:v>R15:KI12-TV01P-03</x:v>
      </x:c>
      <x:c r="G38" s="1"/>
      <x:c r="H38" s="1"/>
      <x:c r="I38" s="29"/>
    </x:row>
    <x:row r="39" ht="14.17322826385498" customHeight="1">
      <x:c r="A39" s="28" t="str">
        <x:v>PDF-címkén gépi vonalkód is van</x:v>
      </x:c>
      <x:c r="B39" s="1"/>
      <x:c r="C39" s="1"/>
      <x:c r="D39" s="29"/>
      <x:c r="E39" s="1"/>
      <x:c r="F39" s="28" t="str">
        <x:v>PDF-címkén gépi vonalkód is van</x:v>
      </x:c>
      <x:c r="G39" s="1"/>
      <x:c r="H39" s="1"/>
      <x:c r="I39" s="29"/>
    </x:row>
    <x:row r="40" ht="14.17322826385498" customHeight="1">
      <x:c r="A40" s="30"/>
      <x:c r="B40" s="31"/>
      <x:c r="C40" s="31"/>
      <x:c r="D40" s="32"/>
      <x:c r="E40" s="1"/>
      <x:c r="F40" s="30"/>
      <x:c r="G40" s="31"/>
      <x:c r="H40" s="31"/>
      <x:c r="I40" s="32"/>
    </x:row>
    <x:row r="41" ht="14.17322826385498" customHeight="1">
      <x:c r="A41" s="25" t="str">
        <x:f>Darabok!A14</x:f>
        <x:v>KI12-TV01P-04</x:v>
      </x:c>
      <x:c r="B41" s="26"/>
      <x:c r="C41" s="26"/>
      <x:c r="D41" s="27"/>
      <x:c r="E41" s="1"/>
      <x:c r="F41" s="25" t="str">
        <x:f>Darabok!A15</x:f>
        <x:v>KI12-TV01P-05</x:v>
      </x:c>
      <x:c r="G41" s="26"/>
      <x:c r="H41" s="26"/>
      <x:c r="I41" s="27"/>
    </x:row>
    <x:row r="42" ht="14.17322826385498" customHeight="1">
      <x:c r="A42" s="28" t="str">
        <x:v>R15 / TERV</x:v>
      </x:c>
      <x:c r="B42" s="1"/>
      <x:c r="C42" s="1"/>
      <x:c r="D42" s="29"/>
      <x:c r="E42" s="1"/>
      <x:c r="F42" s="28" t="str">
        <x:v>R15 / TERV</x:v>
      </x:c>
      <x:c r="G42" s="1"/>
      <x:c r="H42" s="1"/>
      <x:c r="I42" s="29"/>
    </x:row>
    <x:row r="43" ht="14.17322826385498" customHeight="1">
      <x:c r="A43" s="28" t="str">
        <x:f>Darabok!C14&amp;" x "&amp;Darabok!D14&amp;" x "&amp;Darabok!E14&amp;" mm"</x:f>
        <x:v>331 x 290 x 18 mm</x:v>
      </x:c>
      <x:c r="B43" s="1"/>
      <x:c r="C43" s="1"/>
      <x:c r="D43" s="29"/>
      <x:c r="E43" s="1"/>
      <x:c r="F43" s="28" t="str">
        <x:f>Darabok!C15&amp;" x "&amp;Darabok!D15&amp;" x "&amp;Darabok!E15&amp;" mm"</x:f>
        <x:v>331 x 290 x 18 mm</x:v>
      </x:c>
      <x:c r="G43" s="1"/>
      <x:c r="H43" s="1"/>
      <x:c r="I43" s="29"/>
    </x:row>
    <x:row r="44" ht="14.17322826385498" customHeight="1">
      <x:c r="A44" s="28" t="str">
        <x:v>M03</x:v>
      </x:c>
      <x:c r="B44" s="1"/>
      <x:c r="C44" s="1"/>
      <x:c r="D44" s="29"/>
      <x:c r="E44" s="1"/>
      <x:c r="F44" s="28" t="str">
        <x:v>M03</x:v>
      </x:c>
      <x:c r="G44" s="1"/>
      <x:c r="H44" s="1"/>
      <x:c r="I44" s="29"/>
    </x:row>
    <x:row r="45" ht="14.17322826385498" customHeight="1">
      <x:c r="A45" s="28" t="str">
        <x:v>A/B a rajzon / E1 V0 / E4 U0</x:v>
      </x:c>
      <x:c r="B45" s="1"/>
      <x:c r="C45" s="1"/>
      <x:c r="D45" s="29"/>
      <x:c r="E45" s="1"/>
      <x:c r="F45" s="28" t="str">
        <x:v>A/B a rajzon / E1 V0 / E4 U0</x:v>
      </x:c>
      <x:c r="G45" s="1"/>
      <x:c r="H45" s="1"/>
      <x:c r="I45" s="29"/>
    </x:row>
    <x:row r="46" ht="14.17322826385498" customHeight="1">
      <x:c r="A46" s="28" t="str">
        <x:f>"C elkod: "&amp;Darabok!P14</x:f>
        <x:v>C elkod: NYITOTT</x:v>
      </x:c>
      <x:c r="B46" s="1"/>
      <x:c r="C46" s="1"/>
      <x:c r="D46" s="29"/>
      <x:c r="E46" s="1"/>
      <x:c r="F46" s="28" t="str">
        <x:f>"C elkod: "&amp;Darabok!P15</x:f>
        <x:v>C elkod: NYITOTT</x:v>
      </x:c>
      <x:c r="G46" s="1"/>
      <x:c r="H46" s="1"/>
      <x:c r="I46" s="29"/>
    </x:row>
    <x:row r="47" ht="14.17322826385498" customHeight="1">
      <x:c r="A47" s="28" t="str">
        <x:v>AKTÍV FÚRÁSI TERV / NEM GYÁRTÁSI KIADÁS</x:v>
      </x:c>
      <x:c r="B47" s="1"/>
      <x:c r="C47" s="1"/>
      <x:c r="D47" s="29"/>
      <x:c r="E47" s="1"/>
      <x:c r="F47" s="28" t="str">
        <x:v>AKTÍV FÚRÁSI TERV / NEM GYÁRTÁSI KIADÁS</x:v>
      </x:c>
      <x:c r="G47" s="1"/>
      <x:c r="H47" s="1"/>
      <x:c r="I47" s="29"/>
    </x:row>
    <x:row r="48" ht="14.17322826385498" customHeight="1">
      <x:c r="A48" s="28" t="str">
        <x:v>R15:KI12-TV01P-04</x:v>
      </x:c>
      <x:c r="B48" s="1"/>
      <x:c r="C48" s="1"/>
      <x:c r="D48" s="29"/>
      <x:c r="E48" s="1"/>
      <x:c r="F48" s="28" t="str">
        <x:v>R15:KI12-TV01P-05</x:v>
      </x:c>
      <x:c r="G48" s="1"/>
      <x:c r="H48" s="1"/>
      <x:c r="I48" s="29"/>
    </x:row>
    <x:row r="49" ht="14.17322826385498" customHeight="1">
      <x:c r="A49" s="28" t="str">
        <x:v>PDF-címkén gépi vonalkód is van</x:v>
      </x:c>
      <x:c r="B49" s="1"/>
      <x:c r="C49" s="1"/>
      <x:c r="D49" s="29"/>
      <x:c r="E49" s="1"/>
      <x:c r="F49" s="28" t="str">
        <x:v>PDF-címkén gépi vonalkód is van</x:v>
      </x:c>
      <x:c r="G49" s="1"/>
      <x:c r="H49" s="1"/>
      <x:c r="I49" s="29"/>
    </x:row>
    <x:row r="50" ht="14.17322826385498" customHeight="1">
      <x:c r="A50" s="30"/>
      <x:c r="B50" s="31"/>
      <x:c r="C50" s="31"/>
      <x:c r="D50" s="32"/>
      <x:c r="E50" s="1"/>
      <x:c r="F50" s="30"/>
      <x:c r="G50" s="31"/>
      <x:c r="H50" s="31"/>
      <x:c r="I50" s="32"/>
    </x:row>
    <x:row r="51" ht="14.17322826385498" customHeight="1">
      <x:c r="A51" s="25" t="str">
        <x:f>Darabok!A16</x:f>
        <x:v>KI12-TV01P-06</x:v>
      </x:c>
      <x:c r="B51" s="26"/>
      <x:c r="C51" s="26"/>
      <x:c r="D51" s="27"/>
      <x:c r="E51" s="1"/>
      <x:c r="F51" s="25" t="str">
        <x:f>Darabok!A17</x:f>
        <x:v>KI12-TV01P-07</x:v>
      </x:c>
      <x:c r="G51" s="26"/>
      <x:c r="H51" s="26"/>
      <x:c r="I51" s="27"/>
    </x:row>
    <x:row r="52" ht="14.17322826385498" customHeight="1">
      <x:c r="A52" s="28" t="str">
        <x:v>R15 / TERV</x:v>
      </x:c>
      <x:c r="B52" s="1"/>
      <x:c r="C52" s="1"/>
      <x:c r="D52" s="29"/>
      <x:c r="E52" s="1"/>
      <x:c r="F52" s="28" t="str">
        <x:v>R15 / TERV</x:v>
      </x:c>
      <x:c r="G52" s="1"/>
      <x:c r="H52" s="1"/>
      <x:c r="I52" s="29"/>
    </x:row>
    <x:row r="53" ht="14.17322826385498" customHeight="1">
      <x:c r="A53" s="28" t="str">
        <x:f>Darabok!C16&amp;" x "&amp;Darabok!D16&amp;" x "&amp;Darabok!E16&amp;" mm"</x:f>
        <x:v>331 x 290 x 18 mm</x:v>
      </x:c>
      <x:c r="B53" s="1"/>
      <x:c r="C53" s="1"/>
      <x:c r="D53" s="29"/>
      <x:c r="E53" s="1"/>
      <x:c r="F53" s="28" t="str">
        <x:f>Darabok!C17&amp;" x "&amp;Darabok!D17&amp;" x "&amp;Darabok!E17&amp;" mm"</x:f>
        <x:v>331 x 290 x 18 mm</x:v>
      </x:c>
      <x:c r="G53" s="1"/>
      <x:c r="H53" s="1"/>
      <x:c r="I53" s="29"/>
    </x:row>
    <x:row r="54" ht="14.17322826385498" customHeight="1">
      <x:c r="A54" s="28" t="str">
        <x:v>M03</x:v>
      </x:c>
      <x:c r="B54" s="1"/>
      <x:c r="C54" s="1"/>
      <x:c r="D54" s="29"/>
      <x:c r="E54" s="1"/>
      <x:c r="F54" s="28" t="str">
        <x:v>M03</x:v>
      </x:c>
      <x:c r="G54" s="1"/>
      <x:c r="H54" s="1"/>
      <x:c r="I54" s="29"/>
    </x:row>
    <x:row r="55" ht="14.17322826385498" customHeight="1">
      <x:c r="A55" s="28" t="str">
        <x:v>A/B a rajzon / E1 V0 / E4 U0</x:v>
      </x:c>
      <x:c r="B55" s="1"/>
      <x:c r="C55" s="1"/>
      <x:c r="D55" s="29"/>
      <x:c r="E55" s="1"/>
      <x:c r="F55" s="28" t="str">
        <x:v>A/B a rajzon / E1 V0 / E4 U0</x:v>
      </x:c>
      <x:c r="G55" s="1"/>
      <x:c r="H55" s="1"/>
      <x:c r="I55" s="29"/>
    </x:row>
    <x:row r="56" ht="14.17322826385498" customHeight="1">
      <x:c r="A56" s="28" t="str">
        <x:f>"C elkod: "&amp;Darabok!P16</x:f>
        <x:v>C elkod: NYITOTT</x:v>
      </x:c>
      <x:c r="B56" s="1"/>
      <x:c r="C56" s="1"/>
      <x:c r="D56" s="29"/>
      <x:c r="E56" s="1"/>
      <x:c r="F56" s="28" t="str">
        <x:f>"C elkod: "&amp;Darabok!P17</x:f>
        <x:v>C elkod: NYITOTT</x:v>
      </x:c>
      <x:c r="G56" s="1"/>
      <x:c r="H56" s="1"/>
      <x:c r="I56" s="29"/>
    </x:row>
    <x:row r="57" ht="14.17322826385498" customHeight="1">
      <x:c r="A57" s="28" t="str">
        <x:v>AKTÍV FÚRÁSI TERV / NEM GYÁRTÁSI KIADÁS</x:v>
      </x:c>
      <x:c r="B57" s="1"/>
      <x:c r="C57" s="1"/>
      <x:c r="D57" s="29"/>
      <x:c r="E57" s="1"/>
      <x:c r="F57" s="28" t="str">
        <x:v>AKTÍV FÚRÁSI TERV / NEM GYÁRTÁSI KIADÁS</x:v>
      </x:c>
      <x:c r="G57" s="1"/>
      <x:c r="H57" s="1"/>
      <x:c r="I57" s="29"/>
    </x:row>
    <x:row r="58" ht="14.17322826385498" customHeight="1">
      <x:c r="A58" s="28" t="str">
        <x:v>R15:KI12-TV01P-06</x:v>
      </x:c>
      <x:c r="B58" s="1"/>
      <x:c r="C58" s="1"/>
      <x:c r="D58" s="29"/>
      <x:c r="E58" s="1"/>
      <x:c r="F58" s="28" t="str">
        <x:v>R15:KI12-TV01P-07</x:v>
      </x:c>
      <x:c r="G58" s="1"/>
      <x:c r="H58" s="1"/>
      <x:c r="I58" s="29"/>
    </x:row>
    <x:row r="59" ht="14.17322826385498" customHeight="1">
      <x:c r="A59" s="28" t="str">
        <x:v>PDF-címkén gépi vonalkód is van</x:v>
      </x:c>
      <x:c r="B59" s="1"/>
      <x:c r="C59" s="1"/>
      <x:c r="D59" s="29"/>
      <x:c r="E59" s="1"/>
      <x:c r="F59" s="28" t="str">
        <x:v>PDF-címkén gépi vonalkód is van</x:v>
      </x:c>
      <x:c r="G59" s="1"/>
      <x:c r="H59" s="1"/>
      <x:c r="I59" s="29"/>
    </x:row>
    <x:row r="60" ht="14.17322826385498" customHeight="1">
      <x:c r="A60" s="30"/>
      <x:c r="B60" s="31"/>
      <x:c r="C60" s="31"/>
      <x:c r="D60" s="32"/>
      <x:c r="E60" s="1"/>
      <x:c r="F60" s="30"/>
      <x:c r="G60" s="31"/>
      <x:c r="H60" s="31"/>
      <x:c r="I60" s="32"/>
    </x:row>
    <x:row r="61" ht="14.17322826385498" customHeight="1">
      <x:c r="A61" s="25" t="str">
        <x:f>Darabok!A18</x:f>
        <x:v>KI12-TV01P-08</x:v>
      </x:c>
      <x:c r="B61" s="26"/>
      <x:c r="C61" s="26"/>
      <x:c r="D61" s="27"/>
      <x:c r="E61" s="1"/>
      <x:c r="F61" s="25" t="str">
        <x:f>Darabok!A19</x:f>
        <x:v>KI12-TV01P-09</x:v>
      </x:c>
      <x:c r="G61" s="26"/>
      <x:c r="H61" s="26"/>
      <x:c r="I61" s="27"/>
    </x:row>
    <x:row r="62" ht="14.17322826385498" customHeight="1">
      <x:c r="A62" s="28" t="str">
        <x:v>R15 / TERV</x:v>
      </x:c>
      <x:c r="B62" s="1"/>
      <x:c r="C62" s="1"/>
      <x:c r="D62" s="29"/>
      <x:c r="E62" s="1"/>
      <x:c r="F62" s="28" t="str">
        <x:v>R15 / TERV</x:v>
      </x:c>
      <x:c r="G62" s="1"/>
      <x:c r="H62" s="1"/>
      <x:c r="I62" s="29"/>
    </x:row>
    <x:row r="63" ht="14.17322826385498" customHeight="1">
      <x:c r="A63" s="28" t="str">
        <x:f>Darabok!C18&amp;" x "&amp;Darabok!D18&amp;" x "&amp;Darabok!E18&amp;" mm"</x:f>
        <x:v>331 x 290 x 18 mm</x:v>
      </x:c>
      <x:c r="B63" s="1"/>
      <x:c r="C63" s="1"/>
      <x:c r="D63" s="29"/>
      <x:c r="E63" s="1"/>
      <x:c r="F63" s="28" t="str">
        <x:f>Darabok!C19&amp;" x "&amp;Darabok!D19&amp;" x "&amp;Darabok!E19&amp;" mm"</x:f>
        <x:v>331 x 290 x 18 mm</x:v>
      </x:c>
      <x:c r="G63" s="1"/>
      <x:c r="H63" s="1"/>
      <x:c r="I63" s="29"/>
    </x:row>
    <x:row r="64" ht="14.17322826385498" customHeight="1">
      <x:c r="A64" s="28" t="str">
        <x:v>M03</x:v>
      </x:c>
      <x:c r="B64" s="1"/>
      <x:c r="C64" s="1"/>
      <x:c r="D64" s="29"/>
      <x:c r="E64" s="1"/>
      <x:c r="F64" s="28" t="str">
        <x:v>M03</x:v>
      </x:c>
      <x:c r="G64" s="1"/>
      <x:c r="H64" s="1"/>
      <x:c r="I64" s="29"/>
    </x:row>
    <x:row r="65" ht="14.17322826385498" customHeight="1">
      <x:c r="A65" s="28" t="str">
        <x:v>A/B a rajzon / E1 V0 / E4 U0</x:v>
      </x:c>
      <x:c r="B65" s="1"/>
      <x:c r="C65" s="1"/>
      <x:c r="D65" s="29"/>
      <x:c r="E65" s="1"/>
      <x:c r="F65" s="28" t="str">
        <x:v>A/B a rajzon / E1 V0 / E4 U0</x:v>
      </x:c>
      <x:c r="G65" s="1"/>
      <x:c r="H65" s="1"/>
      <x:c r="I65" s="29"/>
    </x:row>
    <x:row r="66" ht="14.17322826385498" customHeight="1">
      <x:c r="A66" s="28" t="str">
        <x:f>"C elkod: "&amp;Darabok!P18</x:f>
        <x:v>C elkod: NYITOTT</x:v>
      </x:c>
      <x:c r="B66" s="1"/>
      <x:c r="C66" s="1"/>
      <x:c r="D66" s="29"/>
      <x:c r="E66" s="1"/>
      <x:c r="F66" s="28" t="str">
        <x:f>"C elkod: "&amp;Darabok!P19</x:f>
        <x:v>C elkod: NYITOTT</x:v>
      </x:c>
      <x:c r="G66" s="1"/>
      <x:c r="H66" s="1"/>
      <x:c r="I66" s="29"/>
    </x:row>
    <x:row r="67" ht="14.17322826385498" customHeight="1">
      <x:c r="A67" s="28" t="str">
        <x:v>AKTÍV FÚRÁSI TERV / NEM GYÁRTÁSI KIADÁS</x:v>
      </x:c>
      <x:c r="B67" s="1"/>
      <x:c r="C67" s="1"/>
      <x:c r="D67" s="29"/>
      <x:c r="E67" s="1"/>
      <x:c r="F67" s="28" t="str">
        <x:v>AKTÍV FÚRÁSI TERV / NEM GYÁRTÁSI KIADÁS</x:v>
      </x:c>
      <x:c r="G67" s="1"/>
      <x:c r="H67" s="1"/>
      <x:c r="I67" s="29"/>
    </x:row>
    <x:row r="68" ht="14.17322826385498" customHeight="1">
      <x:c r="A68" s="28" t="str">
        <x:v>R15:KI12-TV01P-08</x:v>
      </x:c>
      <x:c r="B68" s="1"/>
      <x:c r="C68" s="1"/>
      <x:c r="D68" s="29"/>
      <x:c r="E68" s="1"/>
      <x:c r="F68" s="28" t="str">
        <x:v>R15:KI12-TV01P-09</x:v>
      </x:c>
      <x:c r="G68" s="1"/>
      <x:c r="H68" s="1"/>
      <x:c r="I68" s="29"/>
    </x:row>
    <x:row r="69" ht="14.17322826385498" customHeight="1">
      <x:c r="A69" s="28" t="str">
        <x:v>PDF-címkén gépi vonalkód is van</x:v>
      </x:c>
      <x:c r="B69" s="1"/>
      <x:c r="C69" s="1"/>
      <x:c r="D69" s="29"/>
      <x:c r="E69" s="1"/>
      <x:c r="F69" s="28" t="str">
        <x:v>PDF-címkén gépi vonalkód is van</x:v>
      </x:c>
      <x:c r="G69" s="1"/>
      <x:c r="H69" s="1"/>
      <x:c r="I69" s="29"/>
    </x:row>
    <x:row r="70" ht="14.17322826385498" customHeight="1">
      <x:c r="A70" s="30"/>
      <x:c r="B70" s="31"/>
      <x:c r="C70" s="31"/>
      <x:c r="D70" s="32"/>
      <x:c r="E70" s="1"/>
      <x:c r="F70" s="30"/>
      <x:c r="G70" s="31"/>
      <x:c r="H70" s="31"/>
      <x:c r="I70" s="32"/>
    </x:row>
    <x:row r="71" ht="14.17322826385498" customHeight="1">
      <x:c r="A71" s="25" t="str">
        <x:f>Darabok!A20</x:f>
        <x:v>KI12-TV01P-10</x:v>
      </x:c>
      <x:c r="B71" s="26"/>
      <x:c r="C71" s="26"/>
      <x:c r="D71" s="27"/>
      <x:c r="E71" s="1"/>
      <x:c r="F71" s="25" t="str">
        <x:f>Darabok!A21</x:f>
        <x:v>KI12-TV01F-01</x:v>
      </x:c>
      <x:c r="G71" s="26"/>
      <x:c r="H71" s="26"/>
      <x:c r="I71" s="27"/>
    </x:row>
    <x:row r="72" ht="14.17322826385498" customHeight="1">
      <x:c r="A72" s="28" t="str">
        <x:v>R15 / TERV</x:v>
      </x:c>
      <x:c r="B72" s="1"/>
      <x:c r="C72" s="1"/>
      <x:c r="D72" s="29"/>
      <x:c r="E72" s="1"/>
      <x:c r="F72" s="28" t="str">
        <x:v>R15 / TERV</x:v>
      </x:c>
      <x:c r="G72" s="1"/>
      <x:c r="H72" s="1"/>
      <x:c r="I72" s="29"/>
    </x:row>
    <x:row r="73" ht="14.17322826385498" customHeight="1">
      <x:c r="A73" s="28" t="str">
        <x:f>Darabok!C20&amp;" x "&amp;Darabok!D20&amp;" x "&amp;Darabok!E20&amp;" mm"</x:f>
        <x:v>331 x 290 x 18 mm</x:v>
      </x:c>
      <x:c r="B73" s="1"/>
      <x:c r="C73" s="1"/>
      <x:c r="D73" s="29"/>
      <x:c r="E73" s="1"/>
      <x:c r="F73" s="28" t="str">
        <x:f>Darabok!C21&amp;" x "&amp;Darabok!D21&amp;" x "&amp;Darabok!E21&amp;" mm"</x:f>
        <x:v>2327 x 357 x 18 mm</x:v>
      </x:c>
      <x:c r="G73" s="1"/>
      <x:c r="H73" s="1"/>
      <x:c r="I73" s="29"/>
    </x:row>
    <x:row r="74" ht="14.17322826385498" customHeight="1">
      <x:c r="A74" s="28" t="str">
        <x:v>M03</x:v>
      </x:c>
      <x:c r="B74" s="1"/>
      <x:c r="C74" s="1"/>
      <x:c r="D74" s="29"/>
      <x:c r="E74" s="1"/>
      <x:c r="F74" s="28" t="str">
        <x:v>M01+nyomat</x:v>
      </x:c>
      <x:c r="G74" s="1"/>
      <x:c r="H74" s="1"/>
      <x:c r="I74" s="29"/>
    </x:row>
    <x:row r="75" ht="14.17322826385498" customHeight="1">
      <x:c r="A75" s="28" t="str">
        <x:v>A/B a rajzon / E1 V0 / E4 U0</x:v>
      </x:c>
      <x:c r="B75" s="1"/>
      <x:c r="C75" s="1"/>
      <x:c r="D75" s="29"/>
      <x:c r="E75" s="1"/>
      <x:c r="F75" s="28" t="str">
        <x:v>A/B a rajzon / E1 V0 / E4 U0</x:v>
      </x:c>
      <x:c r="G75" s="1"/>
      <x:c r="H75" s="1"/>
      <x:c r="I75" s="29"/>
    </x:row>
    <x:row r="76" ht="14.17322826385498" customHeight="1">
      <x:c r="A76" s="28" t="str">
        <x:f>"C elkod: "&amp;Darabok!P20</x:f>
        <x:v>C elkod: NYITOTT</x:v>
      </x:c>
      <x:c r="B76" s="1"/>
      <x:c r="C76" s="1"/>
      <x:c r="D76" s="29"/>
      <x:c r="E76" s="1"/>
      <x:c r="F76" s="28" t="str">
        <x:f>"C elkod: "&amp;Darabok!P21</x:f>
        <x:v>C elkod: NYITOTT</x:v>
      </x:c>
      <x:c r="G76" s="1"/>
      <x:c r="H76" s="1"/>
      <x:c r="I76" s="29"/>
    </x:row>
    <x:row r="77" ht="14.17322826385498" customHeight="1">
      <x:c r="A77" s="28" t="str">
        <x:v>AKTÍV FÚRÁSI TERV / NEM GYÁRTÁSI KIADÁS</x:v>
      </x:c>
      <x:c r="B77" s="1"/>
      <x:c r="C77" s="1"/>
      <x:c r="D77" s="29"/>
      <x:c r="E77" s="1"/>
      <x:c r="F77" s="28" t="str">
        <x:v>AKTÍV FÚRÁSI TERV / NEM GYÁRTÁSI KIADÁS</x:v>
      </x:c>
      <x:c r="G77" s="1"/>
      <x:c r="H77" s="1"/>
      <x:c r="I77" s="29"/>
    </x:row>
    <x:row r="78" ht="14.17322826385498" customHeight="1">
      <x:c r="A78" s="28" t="str">
        <x:v>R15:KI12-TV01P-10</x:v>
      </x:c>
      <x:c r="B78" s="1"/>
      <x:c r="C78" s="1"/>
      <x:c r="D78" s="29"/>
      <x:c r="E78" s="1"/>
      <x:c r="F78" s="28" t="str">
        <x:v>R15:KI12-TV01F-01</x:v>
      </x:c>
      <x:c r="G78" s="1"/>
      <x:c r="H78" s="1"/>
      <x:c r="I78" s="29"/>
    </x:row>
    <x:row r="79" ht="14.17322826385498" customHeight="1">
      <x:c r="A79" s="28" t="str">
        <x:v>PDF-címkén gépi vonalkód is van</x:v>
      </x:c>
      <x:c r="B79" s="1"/>
      <x:c r="C79" s="1"/>
      <x:c r="D79" s="29"/>
      <x:c r="E79" s="1"/>
      <x:c r="F79" s="28" t="str">
        <x:v>PDF-címkén gépi vonalkód is van</x:v>
      </x:c>
      <x:c r="G79" s="1"/>
      <x:c r="H79" s="1"/>
      <x:c r="I79" s="29"/>
    </x:row>
    <x:row r="80" ht="14.17322826385498" customHeight="1">
      <x:c r="A80" s="30"/>
      <x:c r="B80" s="31"/>
      <x:c r="C80" s="31"/>
      <x:c r="D80" s="32"/>
      <x:c r="E80" s="1"/>
      <x:c r="F80" s="30"/>
      <x:c r="G80" s="31"/>
      <x:c r="H80" s="31"/>
      <x:c r="I80" s="32"/>
    </x:row>
    <x:row r="81" ht="14.17322826385498" customHeight="1">
      <x:c r="A81" s="25" t="str">
        <x:f>Darabok!A22</x:f>
        <x:v>KI12-TV01F-02</x:v>
      </x:c>
      <x:c r="B81" s="26"/>
      <x:c r="C81" s="26"/>
      <x:c r="D81" s="27"/>
      <x:c r="E81" s="1"/>
      <x:c r="F81" s="25" t="str">
        <x:f>Darabok!A23</x:f>
        <x:v>KI12-TV01H-01</x:v>
      </x:c>
      <x:c r="G81" s="26"/>
      <x:c r="H81" s="26"/>
      <x:c r="I81" s="27"/>
    </x:row>
    <x:row r="82" ht="14.17322826385498" customHeight="1">
      <x:c r="A82" s="28" t="str">
        <x:v>R15 / TERV</x:v>
      </x:c>
      <x:c r="B82" s="1"/>
      <x:c r="C82" s="1"/>
      <x:c r="D82" s="29"/>
      <x:c r="E82" s="1"/>
      <x:c r="F82" s="28" t="str">
        <x:v>R15 / TERV</x:v>
      </x:c>
      <x:c r="G82" s="1"/>
      <x:c r="H82" s="1"/>
      <x:c r="I82" s="29"/>
    </x:row>
    <x:row r="83" ht="14.17322826385498" customHeight="1">
      <x:c r="A83" s="28" t="str">
        <x:f>Darabok!C22&amp;" x "&amp;Darabok!D22&amp;" x "&amp;Darabok!E22&amp;" mm"</x:f>
        <x:v>2327 x 357 x 18 mm</x:v>
      </x:c>
      <x:c r="B83" s="1"/>
      <x:c r="C83" s="1"/>
      <x:c r="D83" s="29"/>
      <x:c r="E83" s="1"/>
      <x:c r="F83" s="28" t="str">
        <x:f>Darabok!C23&amp;" x "&amp;Darabok!D23&amp;" x "&amp;Darabok!E23&amp;" mm"</x:f>
        <x:v>2292 x 682 x 8 mm</x:v>
      </x:c>
      <x:c r="G83" s="1"/>
      <x:c r="H83" s="1"/>
      <x:c r="I83" s="29"/>
    </x:row>
    <x:row r="84" ht="14.17322826385498" customHeight="1">
      <x:c r="A84" s="28" t="str">
        <x:v>M01+nyomat</x:v>
      </x:c>
      <x:c r="B84" s="1"/>
      <x:c r="C84" s="1"/>
      <x:c r="D84" s="29"/>
      <x:c r="E84" s="1"/>
      <x:c r="F84" s="28" t="str">
        <x:v>M03</x:v>
      </x:c>
      <x:c r="G84" s="1"/>
      <x:c r="H84" s="1"/>
      <x:c r="I84" s="29"/>
    </x:row>
    <x:row r="85" ht="14.17322826385498" customHeight="1">
      <x:c r="A85" s="28" t="str">
        <x:v>A/B a rajzon / E1 V0 / E4 U0</x:v>
      </x:c>
      <x:c r="B85" s="1"/>
      <x:c r="C85" s="1"/>
      <x:c r="D85" s="29"/>
      <x:c r="E85" s="1"/>
      <x:c r="F85" s="28" t="str">
        <x:v>A/B a rajzon / E1 V0 / E4 U0</x:v>
      </x:c>
      <x:c r="G85" s="1"/>
      <x:c r="H85" s="1"/>
      <x:c r="I85" s="29"/>
    </x:row>
    <x:row r="86" ht="14.17322826385498" customHeight="1">
      <x:c r="A86" s="28" t="str">
        <x:f>"C elkod: "&amp;Darabok!P22</x:f>
        <x:v>C elkod: NYITOTT</x:v>
      </x:c>
      <x:c r="B86" s="1"/>
      <x:c r="C86" s="1"/>
      <x:c r="D86" s="29"/>
      <x:c r="E86" s="1"/>
      <x:c r="F86" s="28" t="str">
        <x:f>"C elkod: "&amp;Darabok!P23</x:f>
        <x:v>C elkod: NYITOTT</x:v>
      </x:c>
      <x:c r="G86" s="1"/>
      <x:c r="H86" s="1"/>
      <x:c r="I86" s="29"/>
    </x:row>
    <x:row r="87" ht="14.17322826385498" customHeight="1">
      <x:c r="A87" s="28" t="str">
        <x:v>AKTÍV FÚRÁSI TERV / NEM GYÁRTÁSI KIADÁS</x:v>
      </x:c>
      <x:c r="B87" s="1"/>
      <x:c r="C87" s="1"/>
      <x:c r="D87" s="29"/>
      <x:c r="E87" s="1"/>
      <x:c r="F87" s="28" t="str">
        <x:v>AKTÍV FÚRÁSI TERV / NEM GYÁRTÁSI KIADÁS</x:v>
      </x:c>
      <x:c r="G87" s="1"/>
      <x:c r="H87" s="1"/>
      <x:c r="I87" s="29"/>
    </x:row>
    <x:row r="88" ht="14.17322826385498" customHeight="1">
      <x:c r="A88" s="28" t="str">
        <x:v>R15:KI12-TV01F-02</x:v>
      </x:c>
      <x:c r="B88" s="1"/>
      <x:c r="C88" s="1"/>
      <x:c r="D88" s="29"/>
      <x:c r="E88" s="1"/>
      <x:c r="F88" s="28" t="str">
        <x:v>R15:KI12-TV01H-01</x:v>
      </x:c>
      <x:c r="G88" s="1"/>
      <x:c r="H88" s="1"/>
      <x:c r="I88" s="29"/>
    </x:row>
    <x:row r="89" ht="14.17322826385498" customHeight="1">
      <x:c r="A89" s="28" t="str">
        <x:v>PDF-címkén gépi vonalkód is van</x:v>
      </x:c>
      <x:c r="B89" s="1"/>
      <x:c r="C89" s="1"/>
      <x:c r="D89" s="29"/>
      <x:c r="E89" s="1"/>
      <x:c r="F89" s="28" t="str">
        <x:v>PDF-címkén gépi vonalkód is van</x:v>
      </x:c>
      <x:c r="G89" s="1"/>
      <x:c r="H89" s="1"/>
      <x:c r="I89" s="29"/>
    </x:row>
    <x:row r="90" ht="14.17322826385498" customHeight="1">
      <x:c r="A90" s="30"/>
      <x:c r="B90" s="31"/>
      <x:c r="C90" s="31"/>
      <x:c r="D90" s="32"/>
      <x:c r="E90" s="1"/>
      <x:c r="F90" s="30"/>
      <x:c r="G90" s="31"/>
      <x:c r="H90" s="31"/>
      <x:c r="I90" s="32"/>
    </x:row>
    <x:row r="91" ht="14.17322826385498" customHeight="1">
      <x:c r="A91" s="25" t="str">
        <x:f>Darabok!A24</x:f>
        <x:v>KI12-TV02S-01</x:v>
      </x:c>
      <x:c r="B91" s="26"/>
      <x:c r="C91" s="26"/>
      <x:c r="D91" s="27"/>
      <x:c r="E91" s="1"/>
      <x:c r="F91" s="25" t="str">
        <x:f>Darabok!A25</x:f>
        <x:v>KI12-TV02S-02</x:v>
      </x:c>
      <x:c r="G91" s="26"/>
      <x:c r="H91" s="26"/>
      <x:c r="I91" s="27"/>
    </x:row>
    <x:row r="92" ht="14.17322826385498" customHeight="1">
      <x:c r="A92" s="28" t="str">
        <x:v>R15 / TERV</x:v>
      </x:c>
      <x:c r="B92" s="1"/>
      <x:c r="C92" s="1"/>
      <x:c r="D92" s="29"/>
      <x:c r="E92" s="1"/>
      <x:c r="F92" s="28" t="str">
        <x:v>R15 / TERV</x:v>
      </x:c>
      <x:c r="G92" s="1"/>
      <x:c r="H92" s="1"/>
      <x:c r="I92" s="29"/>
    </x:row>
    <x:row r="93" ht="14.17322826385498" customHeight="1">
      <x:c r="A93" s="28" t="str">
        <x:f>Darabok!C24&amp;" x "&amp;Darabok!D24&amp;" x "&amp;Darabok!E24&amp;" mm"</x:f>
        <x:v>382 x 382 x 18 mm</x:v>
      </x:c>
      <x:c r="B93" s="1"/>
      <x:c r="C93" s="1"/>
      <x:c r="D93" s="29"/>
      <x:c r="E93" s="1"/>
      <x:c r="F93" s="28" t="str">
        <x:f>Darabok!C25&amp;" x "&amp;Darabok!D25&amp;" x "&amp;Darabok!E25&amp;" mm"</x:f>
        <x:v>382 x 382 x 18 mm</x:v>
      </x:c>
      <x:c r="G93" s="1"/>
      <x:c r="H93" s="1"/>
      <x:c r="I93" s="29"/>
    </x:row>
    <x:row r="94" ht="14.17322826385498" customHeight="1">
      <x:c r="A94" s="28" t="str">
        <x:v>M03</x:v>
      </x:c>
      <x:c r="B94" s="1"/>
      <x:c r="C94" s="1"/>
      <x:c r="D94" s="29"/>
      <x:c r="E94" s="1"/>
      <x:c r="F94" s="28" t="str">
        <x:v>M03</x:v>
      </x:c>
      <x:c r="G94" s="1"/>
      <x:c r="H94" s="1"/>
      <x:c r="I94" s="29"/>
    </x:row>
    <x:row r="95" ht="14.17322826385498" customHeight="1">
      <x:c r="A95" s="28" t="str">
        <x:v>A/B a rajzon / E1 V0 / E4 U0</x:v>
      </x:c>
      <x:c r="B95" s="1"/>
      <x:c r="C95" s="1"/>
      <x:c r="D95" s="29"/>
      <x:c r="E95" s="1"/>
      <x:c r="F95" s="28" t="str">
        <x:v>A/B a rajzon / E1 V0 / E4 U0</x:v>
      </x:c>
      <x:c r="G95" s="1"/>
      <x:c r="H95" s="1"/>
      <x:c r="I95" s="29"/>
    </x:row>
    <x:row r="96" ht="14.17322826385498" customHeight="1">
      <x:c r="A96" s="28" t="str">
        <x:f>"C elkod: "&amp;Darabok!P24</x:f>
        <x:v>C elkod: NYITOTT</x:v>
      </x:c>
      <x:c r="B96" s="1"/>
      <x:c r="C96" s="1"/>
      <x:c r="D96" s="29"/>
      <x:c r="E96" s="1"/>
      <x:c r="F96" s="28" t="str">
        <x:f>"C elkod: "&amp;Darabok!P25</x:f>
        <x:v>C elkod: NYITOTT</x:v>
      </x:c>
      <x:c r="G96" s="1"/>
      <x:c r="H96" s="1"/>
      <x:c r="I96" s="29"/>
    </x:row>
    <x:row r="97" ht="14.17322826385498" customHeight="1">
      <x:c r="A97" s="28" t="str">
        <x:v>AKTÍV FÚRÁSI TERV / NEM GYÁRTÁSI KIADÁS</x:v>
      </x:c>
      <x:c r="B97" s="1"/>
      <x:c r="C97" s="1"/>
      <x:c r="D97" s="29"/>
      <x:c r="E97" s="1"/>
      <x:c r="F97" s="28" t="str">
        <x:v>AKTÍV FÚRÁSI TERV / NEM GYÁRTÁSI KIADÁS</x:v>
      </x:c>
      <x:c r="G97" s="1"/>
      <x:c r="H97" s="1"/>
      <x:c r="I97" s="29"/>
    </x:row>
    <x:row r="98" ht="14.17322826385498" customHeight="1">
      <x:c r="A98" s="28" t="str">
        <x:v>R15:KI12-TV02S-01</x:v>
      </x:c>
      <x:c r="B98" s="1"/>
      <x:c r="C98" s="1"/>
      <x:c r="D98" s="29"/>
      <x:c r="E98" s="1"/>
      <x:c r="F98" s="28" t="str">
        <x:v>R15:KI12-TV02S-02</x:v>
      </x:c>
      <x:c r="G98" s="1"/>
      <x:c r="H98" s="1"/>
      <x:c r="I98" s="29"/>
    </x:row>
    <x:row r="99" ht="14.17322826385498" customHeight="1">
      <x:c r="A99" s="28" t="str">
        <x:v>PDF-címkén gépi vonalkód is van</x:v>
      </x:c>
      <x:c r="B99" s="1"/>
      <x:c r="C99" s="1"/>
      <x:c r="D99" s="29"/>
      <x:c r="E99" s="1"/>
      <x:c r="F99" s="28" t="str">
        <x:v>PDF-címkén gépi vonalkód is van</x:v>
      </x:c>
      <x:c r="G99" s="1"/>
      <x:c r="H99" s="1"/>
      <x:c r="I99" s="29"/>
    </x:row>
    <x:row r="100" ht="14.17322826385498" customHeight="1">
      <x:c r="A100" s="30"/>
      <x:c r="B100" s="31"/>
      <x:c r="C100" s="31"/>
      <x:c r="D100" s="32"/>
      <x:c r="E100" s="1"/>
      <x:c r="F100" s="30"/>
      <x:c r="G100" s="31"/>
      <x:c r="H100" s="31"/>
      <x:c r="I100" s="32"/>
    </x:row>
    <x:row r="101" ht="14.17322826385498" customHeight="1">
      <x:c r="A101" s="25" t="str">
        <x:f>Darabok!A26</x:f>
        <x:v>KI12-TV02S-03</x:v>
      </x:c>
      <x:c r="B101" s="26"/>
      <x:c r="C101" s="26"/>
      <x:c r="D101" s="27"/>
      <x:c r="E101" s="1"/>
      <x:c r="F101" s="25" t="str">
        <x:f>Darabok!A27</x:f>
        <x:v>KI12-TV02S-04</x:v>
      </x:c>
      <x:c r="G101" s="26"/>
      <x:c r="H101" s="26"/>
      <x:c r="I101" s="27"/>
    </x:row>
    <x:row r="102" ht="14.17322826385498" customHeight="1">
      <x:c r="A102" s="28" t="str">
        <x:v>R15 / TERV</x:v>
      </x:c>
      <x:c r="B102" s="1"/>
      <x:c r="C102" s="1"/>
      <x:c r="D102" s="29"/>
      <x:c r="E102" s="1"/>
      <x:c r="F102" s="28" t="str">
        <x:v>R15 / TERV</x:v>
      </x:c>
      <x:c r="G102" s="1"/>
      <x:c r="H102" s="1"/>
      <x:c r="I102" s="29"/>
    </x:row>
    <x:row r="103" ht="14.17322826385498" customHeight="1">
      <x:c r="A103" s="28" t="str">
        <x:f>Darabok!C26&amp;" x "&amp;Darabok!D26&amp;" x "&amp;Darabok!E26&amp;" mm"</x:f>
        <x:v>382 x 382 x 18 mm</x:v>
      </x:c>
      <x:c r="B103" s="1"/>
      <x:c r="C103" s="1"/>
      <x:c r="D103" s="29"/>
      <x:c r="E103" s="1"/>
      <x:c r="F103" s="28" t="str">
        <x:f>Darabok!C27&amp;" x "&amp;Darabok!D27&amp;" x "&amp;Darabok!E27&amp;" mm"</x:f>
        <x:v>382 x 382 x 18 mm</x:v>
      </x:c>
      <x:c r="G103" s="1"/>
      <x:c r="H103" s="1"/>
      <x:c r="I103" s="29"/>
    </x:row>
    <x:row r="104" ht="14.17322826385498" customHeight="1">
      <x:c r="A104" s="28" t="str">
        <x:v>M03</x:v>
      </x:c>
      <x:c r="B104" s="1"/>
      <x:c r="C104" s="1"/>
      <x:c r="D104" s="29"/>
      <x:c r="E104" s="1"/>
      <x:c r="F104" s="28" t="str">
        <x:v>M03</x:v>
      </x:c>
      <x:c r="G104" s="1"/>
      <x:c r="H104" s="1"/>
      <x:c r="I104" s="29"/>
    </x:row>
    <x:row r="105" ht="14.17322826385498" customHeight="1">
      <x:c r="A105" s="28" t="str">
        <x:v>A/B a rajzon / E1 V0 / E4 U0</x:v>
      </x:c>
      <x:c r="B105" s="1"/>
      <x:c r="C105" s="1"/>
      <x:c r="D105" s="29"/>
      <x:c r="E105" s="1"/>
      <x:c r="F105" s="28" t="str">
        <x:v>A/B a rajzon / E1 V0 / E4 U0</x:v>
      </x:c>
      <x:c r="G105" s="1"/>
      <x:c r="H105" s="1"/>
      <x:c r="I105" s="29"/>
    </x:row>
    <x:row r="106" ht="14.17322826385498" customHeight="1">
      <x:c r="A106" s="28" t="str">
        <x:f>"C elkod: "&amp;Darabok!P26</x:f>
        <x:v>C elkod: NYITOTT</x:v>
      </x:c>
      <x:c r="B106" s="1"/>
      <x:c r="C106" s="1"/>
      <x:c r="D106" s="29"/>
      <x:c r="E106" s="1"/>
      <x:c r="F106" s="28" t="str">
        <x:f>"C elkod: "&amp;Darabok!P27</x:f>
        <x:v>C elkod: NYITOTT</x:v>
      </x:c>
      <x:c r="G106" s="1"/>
      <x:c r="H106" s="1"/>
      <x:c r="I106" s="29"/>
    </x:row>
    <x:row r="107" ht="14.17322826385498" customHeight="1">
      <x:c r="A107" s="28" t="str">
        <x:v>AKTÍV FÚRÁSI TERV / NEM GYÁRTÁSI KIADÁS</x:v>
      </x:c>
      <x:c r="B107" s="1"/>
      <x:c r="C107" s="1"/>
      <x:c r="D107" s="29"/>
      <x:c r="E107" s="1"/>
      <x:c r="F107" s="28" t="str">
        <x:v>AKTÍV FÚRÁSI TERV / NEM GYÁRTÁSI KIADÁS</x:v>
      </x:c>
      <x:c r="G107" s="1"/>
      <x:c r="H107" s="1"/>
      <x:c r="I107" s="29"/>
    </x:row>
    <x:row r="108" ht="14.17322826385498" customHeight="1">
      <x:c r="A108" s="28" t="str">
        <x:v>R15:KI12-TV02S-03</x:v>
      </x:c>
      <x:c r="B108" s="1"/>
      <x:c r="C108" s="1"/>
      <x:c r="D108" s="29"/>
      <x:c r="E108" s="1"/>
      <x:c r="F108" s="28" t="str">
        <x:v>R15:KI12-TV02S-04</x:v>
      </x:c>
      <x:c r="G108" s="1"/>
      <x:c r="H108" s="1"/>
      <x:c r="I108" s="29"/>
    </x:row>
    <x:row r="109" ht="14.17322826385498" customHeight="1">
      <x:c r="A109" s="28" t="str">
        <x:v>PDF-címkén gépi vonalkód is van</x:v>
      </x:c>
      <x:c r="B109" s="1"/>
      <x:c r="C109" s="1"/>
      <x:c r="D109" s="29"/>
      <x:c r="E109" s="1"/>
      <x:c r="F109" s="28" t="str">
        <x:v>PDF-címkén gépi vonalkód is van</x:v>
      </x:c>
      <x:c r="G109" s="1"/>
      <x:c r="H109" s="1"/>
      <x:c r="I109" s="29"/>
    </x:row>
    <x:row r="110" ht="14.17322826385498" customHeight="1">
      <x:c r="A110" s="30"/>
      <x:c r="B110" s="31"/>
      <x:c r="C110" s="31"/>
      <x:c r="D110" s="32"/>
      <x:c r="E110" s="1"/>
      <x:c r="F110" s="30"/>
      <x:c r="G110" s="31"/>
      <x:c r="H110" s="31"/>
      <x:c r="I110" s="32"/>
    </x:row>
    <x:row r="111" ht="14.17322826385498" customHeight="1">
      <x:c r="A111" s="25" t="str">
        <x:f>Darabok!A28</x:f>
        <x:v>KI12-TV02S-05</x:v>
      </x:c>
      <x:c r="B111" s="26"/>
      <x:c r="C111" s="26"/>
      <x:c r="D111" s="27"/>
      <x:c r="E111" s="1"/>
      <x:c r="F111" s="25" t="str">
        <x:f>Darabok!A29</x:f>
        <x:v>KI12-TV02S-06</x:v>
      </x:c>
      <x:c r="G111" s="26"/>
      <x:c r="H111" s="26"/>
      <x:c r="I111" s="27"/>
    </x:row>
    <x:row r="112" ht="14.17322826385498" customHeight="1">
      <x:c r="A112" s="28" t="str">
        <x:v>R15 / TERV</x:v>
      </x:c>
      <x:c r="B112" s="1"/>
      <x:c r="C112" s="1"/>
      <x:c r="D112" s="29"/>
      <x:c r="E112" s="1"/>
      <x:c r="F112" s="28" t="str">
        <x:v>R15 / TERV</x:v>
      </x:c>
      <x:c r="G112" s="1"/>
      <x:c r="H112" s="1"/>
      <x:c r="I112" s="29"/>
    </x:row>
    <x:row r="113" ht="14.17322826385498" customHeight="1">
      <x:c r="A113" s="28" t="str">
        <x:f>Darabok!C28&amp;" x "&amp;Darabok!D28&amp;" x "&amp;Darabok!E28&amp;" mm"</x:f>
        <x:v>382 x 382 x 18 mm</x:v>
      </x:c>
      <x:c r="B113" s="1"/>
      <x:c r="C113" s="1"/>
      <x:c r="D113" s="29"/>
      <x:c r="E113" s="1"/>
      <x:c r="F113" s="28" t="str">
        <x:f>Darabok!C29&amp;" x "&amp;Darabok!D29&amp;" x "&amp;Darabok!E29&amp;" mm"</x:f>
        <x:v>382 x 382 x 18 mm</x:v>
      </x:c>
      <x:c r="G113" s="1"/>
      <x:c r="H113" s="1"/>
      <x:c r="I113" s="29"/>
    </x:row>
    <x:row r="114" ht="14.17322826385498" customHeight="1">
      <x:c r="A114" s="28" t="str">
        <x:v>M03</x:v>
      </x:c>
      <x:c r="B114" s="1"/>
      <x:c r="C114" s="1"/>
      <x:c r="D114" s="29"/>
      <x:c r="E114" s="1"/>
      <x:c r="F114" s="28" t="str">
        <x:v>M03</x:v>
      </x:c>
      <x:c r="G114" s="1"/>
      <x:c r="H114" s="1"/>
      <x:c r="I114" s="29"/>
    </x:row>
    <x:row r="115" ht="14.17322826385498" customHeight="1">
      <x:c r="A115" s="28" t="str">
        <x:v>A/B a rajzon / E1 V0 / E4 U0</x:v>
      </x:c>
      <x:c r="B115" s="1"/>
      <x:c r="C115" s="1"/>
      <x:c r="D115" s="29"/>
      <x:c r="E115" s="1"/>
      <x:c r="F115" s="28" t="str">
        <x:v>A/B a rajzon / E1 V0 / E4 U0</x:v>
      </x:c>
      <x:c r="G115" s="1"/>
      <x:c r="H115" s="1"/>
      <x:c r="I115" s="29"/>
    </x:row>
    <x:row r="116" ht="14.17322826385498" customHeight="1">
      <x:c r="A116" s="28" t="str">
        <x:f>"C elkod: "&amp;Darabok!P28</x:f>
        <x:v>C elkod: NYITOTT</x:v>
      </x:c>
      <x:c r="B116" s="1"/>
      <x:c r="C116" s="1"/>
      <x:c r="D116" s="29"/>
      <x:c r="E116" s="1"/>
      <x:c r="F116" s="28" t="str">
        <x:f>"C elkod: "&amp;Darabok!P29</x:f>
        <x:v>C elkod: NYITOTT</x:v>
      </x:c>
      <x:c r="G116" s="1"/>
      <x:c r="H116" s="1"/>
      <x:c r="I116" s="29"/>
    </x:row>
    <x:row r="117" ht="14.17322826385498" customHeight="1">
      <x:c r="A117" s="28" t="str">
        <x:v>AKTÍV FÚRÁSI TERV / NEM GYÁRTÁSI KIADÁS</x:v>
      </x:c>
      <x:c r="B117" s="1"/>
      <x:c r="C117" s="1"/>
      <x:c r="D117" s="29"/>
      <x:c r="E117" s="1"/>
      <x:c r="F117" s="28" t="str">
        <x:v>AKTÍV FÚRÁSI TERV / NEM GYÁRTÁSI KIADÁS</x:v>
      </x:c>
      <x:c r="G117" s="1"/>
      <x:c r="H117" s="1"/>
      <x:c r="I117" s="29"/>
    </x:row>
    <x:row r="118" ht="14.17322826385498" customHeight="1">
      <x:c r="A118" s="28" t="str">
        <x:v>R15:KI12-TV02S-05</x:v>
      </x:c>
      <x:c r="B118" s="1"/>
      <x:c r="C118" s="1"/>
      <x:c r="D118" s="29"/>
      <x:c r="E118" s="1"/>
      <x:c r="F118" s="28" t="str">
        <x:v>R15:KI12-TV02S-06</x:v>
      </x:c>
      <x:c r="G118" s="1"/>
      <x:c r="H118" s="1"/>
      <x:c r="I118" s="29"/>
    </x:row>
    <x:row r="119" ht="14.17322826385498" customHeight="1">
      <x:c r="A119" s="28" t="str">
        <x:v>PDF-címkén gépi vonalkód is van</x:v>
      </x:c>
      <x:c r="B119" s="1"/>
      <x:c r="C119" s="1"/>
      <x:c r="D119" s="29"/>
      <x:c r="E119" s="1"/>
      <x:c r="F119" s="28" t="str">
        <x:v>PDF-címkén gépi vonalkód is van</x:v>
      </x:c>
      <x:c r="G119" s="1"/>
      <x:c r="H119" s="1"/>
      <x:c r="I119" s="29"/>
    </x:row>
    <x:row r="120" ht="14.17322826385498" customHeight="1">
      <x:c r="A120" s="30"/>
      <x:c r="B120" s="31"/>
      <x:c r="C120" s="31"/>
      <x:c r="D120" s="32"/>
      <x:c r="E120" s="1"/>
      <x:c r="F120" s="30"/>
      <x:c r="G120" s="31"/>
      <x:c r="H120" s="31"/>
      <x:c r="I120" s="32"/>
    </x:row>
    <x:row r="121" ht="14.17322826385498" customHeight="1">
      <x:c r="A121" s="25" t="str">
        <x:f>Darabok!A30</x:f>
        <x:v>KI12-TV02S-07</x:v>
      </x:c>
      <x:c r="B121" s="26"/>
      <x:c r="C121" s="26"/>
      <x:c r="D121" s="27"/>
      <x:c r="E121" s="1"/>
      <x:c r="F121" s="25" t="str">
        <x:f>Darabok!A31</x:f>
        <x:v>KI12-TV02S-08</x:v>
      </x:c>
      <x:c r="G121" s="26"/>
      <x:c r="H121" s="26"/>
      <x:c r="I121" s="27"/>
    </x:row>
    <x:row r="122" ht="14.17322826385498" customHeight="1">
      <x:c r="A122" s="28" t="str">
        <x:v>R15 / TERV</x:v>
      </x:c>
      <x:c r="B122" s="1"/>
      <x:c r="C122" s="1"/>
      <x:c r="D122" s="29"/>
      <x:c r="E122" s="1"/>
      <x:c r="F122" s="28" t="str">
        <x:v>R15 / TERV</x:v>
      </x:c>
      <x:c r="G122" s="1"/>
      <x:c r="H122" s="1"/>
      <x:c r="I122" s="29"/>
    </x:row>
    <x:row r="123" ht="14.17322826385498" customHeight="1">
      <x:c r="A123" s="28" t="str">
        <x:f>Darabok!C30&amp;" x "&amp;Darabok!D30&amp;" x "&amp;Darabok!E30&amp;" mm"</x:f>
        <x:v>382 x 382 x 18 mm</x:v>
      </x:c>
      <x:c r="B123" s="1"/>
      <x:c r="C123" s="1"/>
      <x:c r="D123" s="29"/>
      <x:c r="E123" s="1"/>
      <x:c r="F123" s="28" t="str">
        <x:f>Darabok!C31&amp;" x "&amp;Darabok!D31&amp;" x "&amp;Darabok!E31&amp;" mm"</x:f>
        <x:v>382 x 382 x 18 mm</x:v>
      </x:c>
      <x:c r="G123" s="1"/>
      <x:c r="H123" s="1"/>
      <x:c r="I123" s="29"/>
    </x:row>
    <x:row r="124" ht="14.17322826385498" customHeight="1">
      <x:c r="A124" s="28" t="str">
        <x:v>M03</x:v>
      </x:c>
      <x:c r="B124" s="1"/>
      <x:c r="C124" s="1"/>
      <x:c r="D124" s="29"/>
      <x:c r="E124" s="1"/>
      <x:c r="F124" s="28" t="str">
        <x:v>M03</x:v>
      </x:c>
      <x:c r="G124" s="1"/>
      <x:c r="H124" s="1"/>
      <x:c r="I124" s="29"/>
    </x:row>
    <x:row r="125" ht="14.17322826385498" customHeight="1">
      <x:c r="A125" s="28" t="str">
        <x:v>A/B a rajzon / E1 V0 / E4 U0</x:v>
      </x:c>
      <x:c r="B125" s="1"/>
      <x:c r="C125" s="1"/>
      <x:c r="D125" s="29"/>
      <x:c r="E125" s="1"/>
      <x:c r="F125" s="28" t="str">
        <x:v>A/B a rajzon / E1 V0 / E4 U0</x:v>
      </x:c>
      <x:c r="G125" s="1"/>
      <x:c r="H125" s="1"/>
      <x:c r="I125" s="29"/>
    </x:row>
    <x:row r="126" ht="14.17322826385498" customHeight="1">
      <x:c r="A126" s="28" t="str">
        <x:f>"C elkod: "&amp;Darabok!P30</x:f>
        <x:v>C elkod: NYITOTT</x:v>
      </x:c>
      <x:c r="B126" s="1"/>
      <x:c r="C126" s="1"/>
      <x:c r="D126" s="29"/>
      <x:c r="E126" s="1"/>
      <x:c r="F126" s="28" t="str">
        <x:f>"C elkod: "&amp;Darabok!P31</x:f>
        <x:v>C elkod: NYITOTT</x:v>
      </x:c>
      <x:c r="G126" s="1"/>
      <x:c r="H126" s="1"/>
      <x:c r="I126" s="29"/>
    </x:row>
    <x:row r="127" ht="14.17322826385498" customHeight="1">
      <x:c r="A127" s="28" t="str">
        <x:v>AKTÍV FÚRÁSI TERV / NEM GYÁRTÁSI KIADÁS</x:v>
      </x:c>
      <x:c r="B127" s="1"/>
      <x:c r="C127" s="1"/>
      <x:c r="D127" s="29"/>
      <x:c r="E127" s="1"/>
      <x:c r="F127" s="28" t="str">
        <x:v>AKTÍV FÚRÁSI TERV / NEM GYÁRTÁSI KIADÁS</x:v>
      </x:c>
      <x:c r="G127" s="1"/>
      <x:c r="H127" s="1"/>
      <x:c r="I127" s="29"/>
    </x:row>
    <x:row r="128" ht="14.17322826385498" customHeight="1">
      <x:c r="A128" s="28" t="str">
        <x:v>R15:KI12-TV02S-07</x:v>
      </x:c>
      <x:c r="B128" s="1"/>
      <x:c r="C128" s="1"/>
      <x:c r="D128" s="29"/>
      <x:c r="E128" s="1"/>
      <x:c r="F128" s="28" t="str">
        <x:v>R15:KI12-TV02S-08</x:v>
      </x:c>
      <x:c r="G128" s="1"/>
      <x:c r="H128" s="1"/>
      <x:c r="I128" s="29"/>
    </x:row>
    <x:row r="129" ht="14.17322826385498" customHeight="1">
      <x:c r="A129" s="28" t="str">
        <x:v>PDF-címkén gépi vonalkód is van</x:v>
      </x:c>
      <x:c r="B129" s="1"/>
      <x:c r="C129" s="1"/>
      <x:c r="D129" s="29"/>
      <x:c r="E129" s="1"/>
      <x:c r="F129" s="28" t="str">
        <x:v>PDF-címkén gépi vonalkód is van</x:v>
      </x:c>
      <x:c r="G129" s="1"/>
      <x:c r="H129" s="1"/>
      <x:c r="I129" s="29"/>
    </x:row>
    <x:row r="130" ht="14.17322826385498" customHeight="1">
      <x:c r="A130" s="30"/>
      <x:c r="B130" s="31"/>
      <x:c r="C130" s="31"/>
      <x:c r="D130" s="32"/>
      <x:c r="E130" s="1"/>
      <x:c r="F130" s="30"/>
      <x:c r="G130" s="31"/>
      <x:c r="H130" s="31"/>
      <x:c r="I130" s="32"/>
    </x:row>
    <x:row r="131" ht="14.17322826385498" customHeight="1">
      <x:c r="A131" s="25" t="str">
        <x:f>Darabok!A32</x:f>
        <x:v>KI12-TV02S-09</x:v>
      </x:c>
      <x:c r="B131" s="26"/>
      <x:c r="C131" s="26"/>
      <x:c r="D131" s="27"/>
      <x:c r="E131" s="1"/>
      <x:c r="F131" s="25" t="str">
        <x:f>Darabok!A33</x:f>
        <x:v>KI12-TV02S-10</x:v>
      </x:c>
      <x:c r="G131" s="26"/>
      <x:c r="H131" s="26"/>
      <x:c r="I131" s="27"/>
    </x:row>
    <x:row r="132" ht="14.17322826385498" customHeight="1">
      <x:c r="A132" s="28" t="str">
        <x:v>R15 / TERV</x:v>
      </x:c>
      <x:c r="B132" s="1"/>
      <x:c r="C132" s="1"/>
      <x:c r="D132" s="29"/>
      <x:c r="E132" s="1"/>
      <x:c r="F132" s="28" t="str">
        <x:v>R15 / TERV</x:v>
      </x:c>
      <x:c r="G132" s="1"/>
      <x:c r="H132" s="1"/>
      <x:c r="I132" s="29"/>
    </x:row>
    <x:row r="133" ht="14.17322826385498" customHeight="1">
      <x:c r="A133" s="28" t="str">
        <x:f>Darabok!C32&amp;" x "&amp;Darabok!D32&amp;" x "&amp;Darabok!E32&amp;" mm"</x:f>
        <x:v>382 x 382 x 18 mm</x:v>
      </x:c>
      <x:c r="B133" s="1"/>
      <x:c r="C133" s="1"/>
      <x:c r="D133" s="29"/>
      <x:c r="E133" s="1"/>
      <x:c r="F133" s="28" t="str">
        <x:f>Darabok!C33&amp;" x "&amp;Darabok!D33&amp;" x "&amp;Darabok!E33&amp;" mm"</x:f>
        <x:v>382 x 382 x 18 mm</x:v>
      </x:c>
      <x:c r="G133" s="1"/>
      <x:c r="H133" s="1"/>
      <x:c r="I133" s="29"/>
    </x:row>
    <x:row r="134" ht="14.17322826385498" customHeight="1">
      <x:c r="A134" s="28" t="str">
        <x:v>M03</x:v>
      </x:c>
      <x:c r="B134" s="1"/>
      <x:c r="C134" s="1"/>
      <x:c r="D134" s="29"/>
      <x:c r="E134" s="1"/>
      <x:c r="F134" s="28" t="str">
        <x:v>M03</x:v>
      </x:c>
      <x:c r="G134" s="1"/>
      <x:c r="H134" s="1"/>
      <x:c r="I134" s="29"/>
    </x:row>
    <x:row r="135" ht="14.17322826385498" customHeight="1">
      <x:c r="A135" s="28" t="str">
        <x:v>A/B a rajzon / E1 V0 / E4 U0</x:v>
      </x:c>
      <x:c r="B135" s="1"/>
      <x:c r="C135" s="1"/>
      <x:c r="D135" s="29"/>
      <x:c r="E135" s="1"/>
      <x:c r="F135" s="28" t="str">
        <x:v>A/B a rajzon / E1 V0 / E4 U0</x:v>
      </x:c>
      <x:c r="G135" s="1"/>
      <x:c r="H135" s="1"/>
      <x:c r="I135" s="29"/>
    </x:row>
    <x:row r="136" ht="14.17322826385498" customHeight="1">
      <x:c r="A136" s="28" t="str">
        <x:f>"C elkod: "&amp;Darabok!P32</x:f>
        <x:v>C elkod: NYITOTT</x:v>
      </x:c>
      <x:c r="B136" s="1"/>
      <x:c r="C136" s="1"/>
      <x:c r="D136" s="29"/>
      <x:c r="E136" s="1"/>
      <x:c r="F136" s="28" t="str">
        <x:f>"C elkod: "&amp;Darabok!P33</x:f>
        <x:v>C elkod: NYITOTT</x:v>
      </x:c>
      <x:c r="G136" s="1"/>
      <x:c r="H136" s="1"/>
      <x:c r="I136" s="29"/>
    </x:row>
    <x:row r="137" ht="14.17322826385498" customHeight="1">
      <x:c r="A137" s="28" t="str">
        <x:v>AKTÍV FÚRÁSI TERV / NEM GYÁRTÁSI KIADÁS</x:v>
      </x:c>
      <x:c r="B137" s="1"/>
      <x:c r="C137" s="1"/>
      <x:c r="D137" s="29"/>
      <x:c r="E137" s="1"/>
      <x:c r="F137" s="28" t="str">
        <x:v>AKTÍV FÚRÁSI TERV / NEM GYÁRTÁSI KIADÁS</x:v>
      </x:c>
      <x:c r="G137" s="1"/>
      <x:c r="H137" s="1"/>
      <x:c r="I137" s="29"/>
    </x:row>
    <x:row r="138" ht="14.17322826385498" customHeight="1">
      <x:c r="A138" s="28" t="str">
        <x:v>R15:KI12-TV02S-09</x:v>
      </x:c>
      <x:c r="B138" s="1"/>
      <x:c r="C138" s="1"/>
      <x:c r="D138" s="29"/>
      <x:c r="E138" s="1"/>
      <x:c r="F138" s="28" t="str">
        <x:v>R15:KI12-TV02S-10</x:v>
      </x:c>
      <x:c r="G138" s="1"/>
      <x:c r="H138" s="1"/>
      <x:c r="I138" s="29"/>
    </x:row>
    <x:row r="139" ht="14.17322826385498" customHeight="1">
      <x:c r="A139" s="28" t="str">
        <x:v>PDF-címkén gépi vonalkód is van</x:v>
      </x:c>
      <x:c r="B139" s="1"/>
      <x:c r="C139" s="1"/>
      <x:c r="D139" s="29"/>
      <x:c r="E139" s="1"/>
      <x:c r="F139" s="28" t="str">
        <x:v>PDF-címkén gépi vonalkód is van</x:v>
      </x:c>
      <x:c r="G139" s="1"/>
      <x:c r="H139" s="1"/>
      <x:c r="I139" s="29"/>
    </x:row>
    <x:row r="140" ht="14.17322826385498" customHeight="1">
      <x:c r="A140" s="30"/>
      <x:c r="B140" s="31"/>
      <x:c r="C140" s="31"/>
      <x:c r="D140" s="32"/>
      <x:c r="E140" s="1"/>
      <x:c r="F140" s="30"/>
      <x:c r="G140" s="31"/>
      <x:c r="H140" s="31"/>
      <x:c r="I140" s="32"/>
    </x:row>
    <x:row r="141" ht="14.17322826385498" customHeight="1">
      <x:c r="A141" s="25" t="str">
        <x:f>Darabok!A34</x:f>
        <x:v>KI12-TV02T1-01</x:v>
      </x:c>
      <x:c r="B141" s="26"/>
      <x:c r="C141" s="26"/>
      <x:c r="D141" s="27"/>
      <x:c r="E141" s="1"/>
      <x:c r="F141" s="25" t="str">
        <x:f>Darabok!A35</x:f>
        <x:v>KI12-TV02T2-01</x:v>
      </x:c>
      <x:c r="G141" s="26"/>
      <x:c r="H141" s="26"/>
      <x:c r="I141" s="27"/>
    </x:row>
    <x:row r="142" ht="14.17322826385498" customHeight="1">
      <x:c r="A142" s="28" t="str">
        <x:v>R15 / TERV</x:v>
      </x:c>
      <x:c r="B142" s="1"/>
      <x:c r="C142" s="1"/>
      <x:c r="D142" s="29"/>
      <x:c r="E142" s="1"/>
      <x:c r="F142" s="28" t="str">
        <x:v>R15 / TERV</x:v>
      </x:c>
      <x:c r="G142" s="1"/>
      <x:c r="H142" s="1"/>
      <x:c r="I142" s="29"/>
    </x:row>
    <x:row r="143" ht="14.17322826385498" customHeight="1">
      <x:c r="A143" s="28" t="str">
        <x:f>Darabok!C34&amp;" x "&amp;Darabok!D34&amp;" x "&amp;Darabok!E34&amp;" mm"</x:f>
        <x:v>684 x 382 x 18 mm</x:v>
      </x:c>
      <x:c r="B143" s="1"/>
      <x:c r="C143" s="1"/>
      <x:c r="D143" s="29"/>
      <x:c r="E143" s="1"/>
      <x:c r="F143" s="28" t="str">
        <x:f>Darabok!C35&amp;" x "&amp;Darabok!D35&amp;" x "&amp;Darabok!E35&amp;" mm"</x:f>
        <x:v>654 x 382 x 18 mm</x:v>
      </x:c>
      <x:c r="G143" s="1"/>
      <x:c r="H143" s="1"/>
      <x:c r="I143" s="29"/>
    </x:row>
    <x:row r="144" ht="14.17322826385498" customHeight="1">
      <x:c r="A144" s="28" t="str">
        <x:v>M03</x:v>
      </x:c>
      <x:c r="B144" s="1"/>
      <x:c r="C144" s="1"/>
      <x:c r="D144" s="29"/>
      <x:c r="E144" s="1"/>
      <x:c r="F144" s="28" t="str">
        <x:v>M03</x:v>
      </x:c>
      <x:c r="G144" s="1"/>
      <x:c r="H144" s="1"/>
      <x:c r="I144" s="29"/>
    </x:row>
    <x:row r="145" ht="14.17322826385498" customHeight="1">
      <x:c r="A145" s="28" t="str">
        <x:v>A/B a rajzon / E1 V0 / E4 U0</x:v>
      </x:c>
      <x:c r="B145" s="1"/>
      <x:c r="C145" s="1"/>
      <x:c r="D145" s="29"/>
      <x:c r="E145" s="1"/>
      <x:c r="F145" s="28" t="str">
        <x:v>A/B a rajzon / E1 V0 / E4 U0</x:v>
      </x:c>
      <x:c r="G145" s="1"/>
      <x:c r="H145" s="1"/>
      <x:c r="I145" s="29"/>
    </x:row>
    <x:row r="146" ht="14.17322826385498" customHeight="1">
      <x:c r="A146" s="28" t="str">
        <x:f>"C elkod: "&amp;Darabok!P34</x:f>
        <x:v>C elkod: NYITOTT</x:v>
      </x:c>
      <x:c r="B146" s="1"/>
      <x:c r="C146" s="1"/>
      <x:c r="D146" s="29"/>
      <x:c r="E146" s="1"/>
      <x:c r="F146" s="28" t="str">
        <x:f>"C elkod: "&amp;Darabok!P35</x:f>
        <x:v>C elkod: NYITOTT</x:v>
      </x:c>
      <x:c r="G146" s="1"/>
      <x:c r="H146" s="1"/>
      <x:c r="I146" s="29"/>
    </x:row>
    <x:row r="147" ht="14.17322826385498" customHeight="1">
      <x:c r="A147" s="28" t="str">
        <x:v>AKTÍV FÚRÁSI TERV / NEM GYÁRTÁSI KIADÁS</x:v>
      </x:c>
      <x:c r="B147" s="1"/>
      <x:c r="C147" s="1"/>
      <x:c r="D147" s="29"/>
      <x:c r="E147" s="1"/>
      <x:c r="F147" s="28" t="str">
        <x:v>AKTÍV FÚRÁSI TERV / NEM GYÁRTÁSI KIADÁS</x:v>
      </x:c>
      <x:c r="G147" s="1"/>
      <x:c r="H147" s="1"/>
      <x:c r="I147" s="29"/>
    </x:row>
    <x:row r="148" ht="14.17322826385498" customHeight="1">
      <x:c r="A148" s="28" t="str">
        <x:v>R15:KI12-TV02T1-01</x:v>
      </x:c>
      <x:c r="B148" s="1"/>
      <x:c r="C148" s="1"/>
      <x:c r="D148" s="29"/>
      <x:c r="E148" s="1"/>
      <x:c r="F148" s="28" t="str">
        <x:v>R15:KI12-TV02T2-01</x:v>
      </x:c>
      <x:c r="G148" s="1"/>
      <x:c r="H148" s="1"/>
      <x:c r="I148" s="29"/>
    </x:row>
    <x:row r="149" ht="14.17322826385498" customHeight="1">
      <x:c r="A149" s="28" t="str">
        <x:v>PDF-címkén gépi vonalkód is van</x:v>
      </x:c>
      <x:c r="B149" s="1"/>
      <x:c r="C149" s="1"/>
      <x:c r="D149" s="29"/>
      <x:c r="E149" s="1"/>
      <x:c r="F149" s="28" t="str">
        <x:v>PDF-címkén gépi vonalkód is van</x:v>
      </x:c>
      <x:c r="G149" s="1"/>
      <x:c r="H149" s="1"/>
      <x:c r="I149" s="29"/>
    </x:row>
    <x:row r="150" ht="14.17322826385498" customHeight="1">
      <x:c r="A150" s="30"/>
      <x:c r="B150" s="31"/>
      <x:c r="C150" s="31"/>
      <x:c r="D150" s="32"/>
      <x:c r="E150" s="1"/>
      <x:c r="F150" s="30"/>
      <x:c r="G150" s="31"/>
      <x:c r="H150" s="31"/>
      <x:c r="I150" s="32"/>
    </x:row>
    <x:row r="151" ht="14.17322826385498" customHeight="1">
      <x:c r="A151" s="25" t="str">
        <x:f>Darabok!A36</x:f>
        <x:v>KI12-TV02T2-02</x:v>
      </x:c>
      <x:c r="B151" s="26"/>
      <x:c r="C151" s="26"/>
      <x:c r="D151" s="27"/>
      <x:c r="E151" s="1"/>
      <x:c r="F151" s="25" t="str">
        <x:f>Darabok!A37</x:f>
        <x:v>KI12-TV02T2-03</x:v>
      </x:c>
      <x:c r="G151" s="26"/>
      <x:c r="H151" s="26"/>
      <x:c r="I151" s="27"/>
    </x:row>
    <x:row r="152" ht="14.17322826385498" customHeight="1">
      <x:c r="A152" s="28" t="str">
        <x:v>R15 / TERV</x:v>
      </x:c>
      <x:c r="B152" s="1"/>
      <x:c r="C152" s="1"/>
      <x:c r="D152" s="29"/>
      <x:c r="E152" s="1"/>
      <x:c r="F152" s="28" t="str">
        <x:v>R15 / TERV</x:v>
      </x:c>
      <x:c r="G152" s="1"/>
      <x:c r="H152" s="1"/>
      <x:c r="I152" s="29"/>
    </x:row>
    <x:row r="153" ht="14.17322826385498" customHeight="1">
      <x:c r="A153" s="28" t="str">
        <x:f>Darabok!C36&amp;" x "&amp;Darabok!D36&amp;" x "&amp;Darabok!E36&amp;" mm"</x:f>
        <x:v>654 x 382 x 18 mm</x:v>
      </x:c>
      <x:c r="B153" s="1"/>
      <x:c r="C153" s="1"/>
      <x:c r="D153" s="29"/>
      <x:c r="E153" s="1"/>
      <x:c r="F153" s="28" t="str">
        <x:f>Darabok!C37&amp;" x "&amp;Darabok!D37&amp;" x "&amp;Darabok!E37&amp;" mm"</x:f>
        <x:v>654 x 382 x 18 mm</x:v>
      </x:c>
      <x:c r="G153" s="1"/>
      <x:c r="H153" s="1"/>
      <x:c r="I153" s="29"/>
    </x:row>
    <x:row r="154" ht="14.17322826385498" customHeight="1">
      <x:c r="A154" s="28" t="str">
        <x:v>M03</x:v>
      </x:c>
      <x:c r="B154" s="1"/>
      <x:c r="C154" s="1"/>
      <x:c r="D154" s="29"/>
      <x:c r="E154" s="1"/>
      <x:c r="F154" s="28" t="str">
        <x:v>M03</x:v>
      </x:c>
      <x:c r="G154" s="1"/>
      <x:c r="H154" s="1"/>
      <x:c r="I154" s="29"/>
    </x:row>
    <x:row r="155" ht="14.17322826385498" customHeight="1">
      <x:c r="A155" s="28" t="str">
        <x:v>A/B a rajzon / E1 V0 / E4 U0</x:v>
      </x:c>
      <x:c r="B155" s="1"/>
      <x:c r="C155" s="1"/>
      <x:c r="D155" s="29"/>
      <x:c r="E155" s="1"/>
      <x:c r="F155" s="28" t="str">
        <x:v>A/B a rajzon / E1 V0 / E4 U0</x:v>
      </x:c>
      <x:c r="G155" s="1"/>
      <x:c r="H155" s="1"/>
      <x:c r="I155" s="29"/>
    </x:row>
    <x:row r="156" ht="14.17322826385498" customHeight="1">
      <x:c r="A156" s="28" t="str">
        <x:f>"C elkod: "&amp;Darabok!P36</x:f>
        <x:v>C elkod: NYITOTT</x:v>
      </x:c>
      <x:c r="B156" s="1"/>
      <x:c r="C156" s="1"/>
      <x:c r="D156" s="29"/>
      <x:c r="E156" s="1"/>
      <x:c r="F156" s="28" t="str">
        <x:f>"C elkod: "&amp;Darabok!P37</x:f>
        <x:v>C elkod: NYITOTT</x:v>
      </x:c>
      <x:c r="G156" s="1"/>
      <x:c r="H156" s="1"/>
      <x:c r="I156" s="29"/>
    </x:row>
    <x:row r="157" ht="14.17322826385498" customHeight="1">
      <x:c r="A157" s="28" t="str">
        <x:v>AKTÍV FÚRÁSI TERV / NEM GYÁRTÁSI KIADÁS</x:v>
      </x:c>
      <x:c r="B157" s="1"/>
      <x:c r="C157" s="1"/>
      <x:c r="D157" s="29"/>
      <x:c r="E157" s="1"/>
      <x:c r="F157" s="28" t="str">
        <x:v>AKTÍV FÚRÁSI TERV / NEM GYÁRTÁSI KIADÁS</x:v>
      </x:c>
      <x:c r="G157" s="1"/>
      <x:c r="H157" s="1"/>
      <x:c r="I157" s="29"/>
    </x:row>
    <x:row r="158" ht="14.17322826385498" customHeight="1">
      <x:c r="A158" s="28" t="str">
        <x:v>R15:KI12-TV02T2-02</x:v>
      </x:c>
      <x:c r="B158" s="1"/>
      <x:c r="C158" s="1"/>
      <x:c r="D158" s="29"/>
      <x:c r="E158" s="1"/>
      <x:c r="F158" s="28" t="str">
        <x:v>R15:KI12-TV02T2-03</x:v>
      </x:c>
      <x:c r="G158" s="1"/>
      <x:c r="H158" s="1"/>
      <x:c r="I158" s="29"/>
    </x:row>
    <x:row r="159" ht="14.17322826385498" customHeight="1">
      <x:c r="A159" s="28" t="str">
        <x:v>PDF-címkén gépi vonalkód is van</x:v>
      </x:c>
      <x:c r="B159" s="1"/>
      <x:c r="C159" s="1"/>
      <x:c r="D159" s="29"/>
      <x:c r="E159" s="1"/>
      <x:c r="F159" s="28" t="str">
        <x:v>PDF-címkén gépi vonalkód is van</x:v>
      </x:c>
      <x:c r="G159" s="1"/>
      <x:c r="H159" s="1"/>
      <x:c r="I159" s="29"/>
    </x:row>
    <x:row r="160" ht="14.17322826385498" customHeight="1">
      <x:c r="A160" s="30"/>
      <x:c r="B160" s="31"/>
      <x:c r="C160" s="31"/>
      <x:c r="D160" s="32"/>
      <x:c r="E160" s="1"/>
      <x:c r="F160" s="30"/>
      <x:c r="G160" s="31"/>
      <x:c r="H160" s="31"/>
      <x:c r="I160" s="32"/>
    </x:row>
    <x:row r="161" ht="14.17322826385498" customHeight="1">
      <x:c r="A161" s="25" t="str">
        <x:f>Darabok!A38</x:f>
        <x:v>KI12-TV02T2-04</x:v>
      </x:c>
      <x:c r="B161" s="26"/>
      <x:c r="C161" s="26"/>
      <x:c r="D161" s="27"/>
      <x:c r="E161" s="1"/>
      <x:c r="F161" s="25" t="str">
        <x:f>Darabok!A39</x:f>
        <x:v>KI12-TV02P1-01</x:v>
      </x:c>
      <x:c r="G161" s="26"/>
      <x:c r="H161" s="26"/>
      <x:c r="I161" s="27"/>
    </x:row>
    <x:row r="162" ht="14.17322826385498" customHeight="1">
      <x:c r="A162" s="28" t="str">
        <x:v>R15 / TERV</x:v>
      </x:c>
      <x:c r="B162" s="1"/>
      <x:c r="C162" s="1"/>
      <x:c r="D162" s="29"/>
      <x:c r="E162" s="1"/>
      <x:c r="F162" s="28" t="str">
        <x:v>R15 / TERV</x:v>
      </x:c>
      <x:c r="G162" s="1"/>
      <x:c r="H162" s="1"/>
      <x:c r="I162" s="29"/>
    </x:row>
    <x:row r="163" ht="14.17322826385498" customHeight="1">
      <x:c r="A163" s="28" t="str">
        <x:f>Darabok!C38&amp;" x "&amp;Darabok!D38&amp;" x "&amp;Darabok!E38&amp;" mm"</x:f>
        <x:v>654 x 382 x 18 mm</x:v>
      </x:c>
      <x:c r="B163" s="1"/>
      <x:c r="C163" s="1"/>
      <x:c r="D163" s="29"/>
      <x:c r="E163" s="1"/>
      <x:c r="F163" s="28" t="str">
        <x:f>Darabok!C39&amp;" x "&amp;Darabok!D39&amp;" x "&amp;Darabok!E39&amp;" mm"</x:f>
        <x:v>682 x 290 x 18 mm</x:v>
      </x:c>
      <x:c r="G163" s="1"/>
      <x:c r="H163" s="1"/>
      <x:c r="I163" s="29"/>
    </x:row>
    <x:row r="164" ht="14.17322826385498" customHeight="1">
      <x:c r="A164" s="28" t="str">
        <x:v>M03</x:v>
      </x:c>
      <x:c r="B164" s="1"/>
      <x:c r="C164" s="1"/>
      <x:c r="D164" s="29"/>
      <x:c r="E164" s="1"/>
      <x:c r="F164" s="28" t="str">
        <x:v>M03</x:v>
      </x:c>
      <x:c r="G164" s="1"/>
      <x:c r="H164" s="1"/>
      <x:c r="I164" s="29"/>
    </x:row>
    <x:row r="165" ht="14.17322826385498" customHeight="1">
      <x:c r="A165" s="28" t="str">
        <x:v>A/B a rajzon / E1 V0 / E4 U0</x:v>
      </x:c>
      <x:c r="B165" s="1"/>
      <x:c r="C165" s="1"/>
      <x:c r="D165" s="29"/>
      <x:c r="E165" s="1"/>
      <x:c r="F165" s="28" t="str">
        <x:v>A/B a rajzon / E1 V0 / E4 U0</x:v>
      </x:c>
      <x:c r="G165" s="1"/>
      <x:c r="H165" s="1"/>
      <x:c r="I165" s="29"/>
    </x:row>
    <x:row r="166" ht="14.17322826385498" customHeight="1">
      <x:c r="A166" s="28" t="str">
        <x:f>"C elkod: "&amp;Darabok!P38</x:f>
        <x:v>C elkod: NYITOTT</x:v>
      </x:c>
      <x:c r="B166" s="1"/>
      <x:c r="C166" s="1"/>
      <x:c r="D166" s="29"/>
      <x:c r="E166" s="1"/>
      <x:c r="F166" s="28" t="str">
        <x:f>"C elkod: "&amp;Darabok!P39</x:f>
        <x:v>C elkod: NYITOTT</x:v>
      </x:c>
      <x:c r="G166" s="1"/>
      <x:c r="H166" s="1"/>
      <x:c r="I166" s="29"/>
    </x:row>
    <x:row r="167" ht="14.17322826385498" customHeight="1">
      <x:c r="A167" s="28" t="str">
        <x:v>AKTÍV FÚRÁSI TERV / NEM GYÁRTÁSI KIADÁS</x:v>
      </x:c>
      <x:c r="B167" s="1"/>
      <x:c r="C167" s="1"/>
      <x:c r="D167" s="29"/>
      <x:c r="E167" s="1"/>
      <x:c r="F167" s="28" t="str">
        <x:v>AKTÍV FÚRÁSI TERV / NEM GYÁRTÁSI KIADÁS</x:v>
      </x:c>
      <x:c r="G167" s="1"/>
      <x:c r="H167" s="1"/>
      <x:c r="I167" s="29"/>
    </x:row>
    <x:row r="168" ht="14.17322826385498" customHeight="1">
      <x:c r="A168" s="28" t="str">
        <x:v>R15:KI12-TV02T2-04</x:v>
      </x:c>
      <x:c r="B168" s="1"/>
      <x:c r="C168" s="1"/>
      <x:c r="D168" s="29"/>
      <x:c r="E168" s="1"/>
      <x:c r="F168" s="28" t="str">
        <x:v>R15:KI12-TV02P1-01</x:v>
      </x:c>
      <x:c r="G168" s="1"/>
      <x:c r="H168" s="1"/>
      <x:c r="I168" s="29"/>
    </x:row>
    <x:row r="169" ht="14.17322826385498" customHeight="1">
      <x:c r="A169" s="28" t="str">
        <x:v>PDF-címkén gépi vonalkód is van</x:v>
      </x:c>
      <x:c r="B169" s="1"/>
      <x:c r="C169" s="1"/>
      <x:c r="D169" s="29"/>
      <x:c r="E169" s="1"/>
      <x:c r="F169" s="28" t="str">
        <x:v>PDF-címkén gépi vonalkód is van</x:v>
      </x:c>
      <x:c r="G169" s="1"/>
      <x:c r="H169" s="1"/>
      <x:c r="I169" s="29"/>
    </x:row>
    <x:row r="170" ht="14.17322826385498" customHeight="1">
      <x:c r="A170" s="30"/>
      <x:c r="B170" s="31"/>
      <x:c r="C170" s="31"/>
      <x:c r="D170" s="32"/>
      <x:c r="E170" s="1"/>
      <x:c r="F170" s="30"/>
      <x:c r="G170" s="31"/>
      <x:c r="H170" s="31"/>
      <x:c r="I170" s="32"/>
    </x:row>
    <x:row r="171" ht="14.17322826385498" customHeight="1">
      <x:c r="A171" s="25" t="str">
        <x:f>Darabok!A40</x:f>
        <x:v>KI12-TV02P2-01</x:v>
      </x:c>
      <x:c r="B171" s="26"/>
      <x:c r="C171" s="26"/>
      <x:c r="D171" s="27"/>
      <x:c r="E171" s="1"/>
      <x:c r="F171" s="25" t="str">
        <x:f>Darabok!A41</x:f>
        <x:v>KI12-TV02P2-02</x:v>
      </x:c>
      <x:c r="G171" s="26"/>
      <x:c r="H171" s="26"/>
      <x:c r="I171" s="27"/>
    </x:row>
    <x:row r="172" ht="14.17322826385498" customHeight="1">
      <x:c r="A172" s="28" t="str">
        <x:v>R15 / TERV</x:v>
      </x:c>
      <x:c r="B172" s="1"/>
      <x:c r="C172" s="1"/>
      <x:c r="D172" s="29"/>
      <x:c r="E172" s="1"/>
      <x:c r="F172" s="28" t="str">
        <x:v>R15 / TERV</x:v>
      </x:c>
      <x:c r="G172" s="1"/>
      <x:c r="H172" s="1"/>
      <x:c r="I172" s="29"/>
    </x:row>
    <x:row r="173" ht="14.17322826385498" customHeight="1">
      <x:c r="A173" s="28" t="str">
        <x:f>Darabok!C40&amp;" x "&amp;Darabok!D40&amp;" x "&amp;Darabok!E40&amp;" mm"</x:f>
        <x:v>652 x 290 x 18 mm</x:v>
      </x:c>
      <x:c r="B173" s="1"/>
      <x:c r="C173" s="1"/>
      <x:c r="D173" s="29"/>
      <x:c r="E173" s="1"/>
      <x:c r="F173" s="28" t="str">
        <x:f>Darabok!C41&amp;" x "&amp;Darabok!D41&amp;" x "&amp;Darabok!E41&amp;" mm"</x:f>
        <x:v>652 x 290 x 18 mm</x:v>
      </x:c>
      <x:c r="G173" s="1"/>
      <x:c r="H173" s="1"/>
      <x:c r="I173" s="29"/>
    </x:row>
    <x:row r="174" ht="14.17322826385498" customHeight="1">
      <x:c r="A174" s="28" t="str">
        <x:v>M03</x:v>
      </x:c>
      <x:c r="B174" s="1"/>
      <x:c r="C174" s="1"/>
      <x:c r="D174" s="29"/>
      <x:c r="E174" s="1"/>
      <x:c r="F174" s="28" t="str">
        <x:v>M03</x:v>
      </x:c>
      <x:c r="G174" s="1"/>
      <x:c r="H174" s="1"/>
      <x:c r="I174" s="29"/>
    </x:row>
    <x:row r="175" ht="14.17322826385498" customHeight="1">
      <x:c r="A175" s="28" t="str">
        <x:v>A/B a rajzon / E1 V0 / E4 U0</x:v>
      </x:c>
      <x:c r="B175" s="1"/>
      <x:c r="C175" s="1"/>
      <x:c r="D175" s="29"/>
      <x:c r="E175" s="1"/>
      <x:c r="F175" s="28" t="str">
        <x:v>A/B a rajzon / E1 V0 / E4 U0</x:v>
      </x:c>
      <x:c r="G175" s="1"/>
      <x:c r="H175" s="1"/>
      <x:c r="I175" s="29"/>
    </x:row>
    <x:row r="176" ht="14.17322826385498" customHeight="1">
      <x:c r="A176" s="28" t="str">
        <x:f>"C elkod: "&amp;Darabok!P40</x:f>
        <x:v>C elkod: NYITOTT</x:v>
      </x:c>
      <x:c r="B176" s="1"/>
      <x:c r="C176" s="1"/>
      <x:c r="D176" s="29"/>
      <x:c r="E176" s="1"/>
      <x:c r="F176" s="28" t="str">
        <x:f>"C elkod: "&amp;Darabok!P41</x:f>
        <x:v>C elkod: NYITOTT</x:v>
      </x:c>
      <x:c r="G176" s="1"/>
      <x:c r="H176" s="1"/>
      <x:c r="I176" s="29"/>
    </x:row>
    <x:row r="177" ht="14.17322826385498" customHeight="1">
      <x:c r="A177" s="28" t="str">
        <x:v>AKTÍV FÚRÁSI TERV / NEM GYÁRTÁSI KIADÁS</x:v>
      </x:c>
      <x:c r="B177" s="1"/>
      <x:c r="C177" s="1"/>
      <x:c r="D177" s="29"/>
      <x:c r="E177" s="1"/>
      <x:c r="F177" s="28" t="str">
        <x:v>AKTÍV FÚRÁSI TERV / NEM GYÁRTÁSI KIADÁS</x:v>
      </x:c>
      <x:c r="G177" s="1"/>
      <x:c r="H177" s="1"/>
      <x:c r="I177" s="29"/>
    </x:row>
    <x:row r="178" ht="14.17322826385498" customHeight="1">
      <x:c r="A178" s="28" t="str">
        <x:v>R15:KI12-TV02P2-01</x:v>
      </x:c>
      <x:c r="B178" s="1"/>
      <x:c r="C178" s="1"/>
      <x:c r="D178" s="29"/>
      <x:c r="E178" s="1"/>
      <x:c r="F178" s="28" t="str">
        <x:v>R15:KI12-TV02P2-02</x:v>
      </x:c>
      <x:c r="G178" s="1"/>
      <x:c r="H178" s="1"/>
      <x:c r="I178" s="29"/>
    </x:row>
    <x:row r="179" ht="14.17322826385498" customHeight="1">
      <x:c r="A179" s="28" t="str">
        <x:v>PDF-címkén gépi vonalkód is van</x:v>
      </x:c>
      <x:c r="B179" s="1"/>
      <x:c r="C179" s="1"/>
      <x:c r="D179" s="29"/>
      <x:c r="E179" s="1"/>
      <x:c r="F179" s="28" t="str">
        <x:v>PDF-címkén gépi vonalkód is van</x:v>
      </x:c>
      <x:c r="G179" s="1"/>
      <x:c r="H179" s="1"/>
      <x:c r="I179" s="29"/>
    </x:row>
    <x:row r="180" ht="14.17322826385498" customHeight="1">
      <x:c r="A180" s="30"/>
      <x:c r="B180" s="31"/>
      <x:c r="C180" s="31"/>
      <x:c r="D180" s="32"/>
      <x:c r="E180" s="1"/>
      <x:c r="F180" s="30"/>
      <x:c r="G180" s="31"/>
      <x:c r="H180" s="31"/>
      <x:c r="I180" s="32"/>
    </x:row>
    <x:row r="181" ht="14.17322826385498" customHeight="1">
      <x:c r="A181" s="25" t="str">
        <x:f>Darabok!A42</x:f>
        <x:v>KI12-TV02P2-03</x:v>
      </x:c>
      <x:c r="B181" s="26"/>
      <x:c r="C181" s="26"/>
      <x:c r="D181" s="27"/>
      <x:c r="E181" s="1"/>
      <x:c r="F181" s="25" t="str">
        <x:f>Darabok!A43</x:f>
        <x:v>KI12-TV02F1-01</x:v>
      </x:c>
      <x:c r="G181" s="26"/>
      <x:c r="H181" s="26"/>
      <x:c r="I181" s="27"/>
    </x:row>
    <x:row r="182" ht="14.17322826385498" customHeight="1">
      <x:c r="A182" s="28" t="str">
        <x:v>R15 / TERV</x:v>
      </x:c>
      <x:c r="B182" s="1"/>
      <x:c r="C182" s="1"/>
      <x:c r="D182" s="29"/>
      <x:c r="E182" s="1"/>
      <x:c r="F182" s="28" t="str">
        <x:v>R15 / TERV</x:v>
      </x:c>
      <x:c r="G182" s="1"/>
      <x:c r="H182" s="1"/>
      <x:c r="I182" s="29"/>
    </x:row>
    <x:row r="183" ht="14.17322826385498" customHeight="1">
      <x:c r="A183" s="28" t="str">
        <x:f>Darabok!C42&amp;" x "&amp;Darabok!D42&amp;" x "&amp;Darabok!E42&amp;" mm"</x:f>
        <x:v>652 x 290 x 18 mm</x:v>
      </x:c>
      <x:c r="B183" s="1"/>
      <x:c r="C183" s="1"/>
      <x:c r="D183" s="29"/>
      <x:c r="E183" s="1"/>
      <x:c r="F183" s="28" t="str">
        <x:f>Darabok!C43&amp;" x "&amp;Darabok!D43&amp;" x "&amp;Darabok!E43&amp;" mm"</x:f>
        <x:v>717 x 397 x 18 mm</x:v>
      </x:c>
      <x:c r="G183" s="1"/>
      <x:c r="H183" s="1"/>
      <x:c r="I183" s="29"/>
    </x:row>
    <x:row r="184" ht="14.17322826385498" customHeight="1">
      <x:c r="A184" s="28" t="str">
        <x:v>M03</x:v>
      </x:c>
      <x:c r="B184" s="1"/>
      <x:c r="C184" s="1"/>
      <x:c r="D184" s="29"/>
      <x:c r="E184" s="1"/>
      <x:c r="F184" s="28" t="str">
        <x:v>M01</x:v>
      </x:c>
      <x:c r="G184" s="1"/>
      <x:c r="H184" s="1"/>
      <x:c r="I184" s="29"/>
    </x:row>
    <x:row r="185" ht="14.17322826385498" customHeight="1">
      <x:c r="A185" s="28" t="str">
        <x:v>A/B a rajzon / E1 V0 / E4 U0</x:v>
      </x:c>
      <x:c r="B185" s="1"/>
      <x:c r="C185" s="1"/>
      <x:c r="D185" s="29"/>
      <x:c r="E185" s="1"/>
      <x:c r="F185" s="28" t="str">
        <x:v>A/B a rajzon / E1 V0 / E4 U0</x:v>
      </x:c>
      <x:c r="G185" s="1"/>
      <x:c r="H185" s="1"/>
      <x:c r="I185" s="29"/>
    </x:row>
    <x:row r="186" ht="14.17322826385498" customHeight="1">
      <x:c r="A186" s="28" t="str">
        <x:f>"C elkod: "&amp;Darabok!P42</x:f>
        <x:v>C elkod: NYITOTT</x:v>
      </x:c>
      <x:c r="B186" s="1"/>
      <x:c r="C186" s="1"/>
      <x:c r="D186" s="29"/>
      <x:c r="E186" s="1"/>
      <x:c r="F186" s="28" t="str">
        <x:f>"C elkod: "&amp;Darabok!P43</x:f>
        <x:v>C elkod: NYITOTT</x:v>
      </x:c>
      <x:c r="G186" s="1"/>
      <x:c r="H186" s="1"/>
      <x:c r="I186" s="29"/>
    </x:row>
    <x:row r="187" ht="14.17322826385498" customHeight="1">
      <x:c r="A187" s="28" t="str">
        <x:v>AKTÍV FÚRÁSI TERV / NEM GYÁRTÁSI KIADÁS</x:v>
      </x:c>
      <x:c r="B187" s="1"/>
      <x:c r="C187" s="1"/>
      <x:c r="D187" s="29"/>
      <x:c r="E187" s="1"/>
      <x:c r="F187" s="28" t="str">
        <x:v>AKTÍV FÚRÁSI TERV / NEM GYÁRTÁSI KIADÁS</x:v>
      </x:c>
      <x:c r="G187" s="1"/>
      <x:c r="H187" s="1"/>
      <x:c r="I187" s="29"/>
    </x:row>
    <x:row r="188" ht="14.17322826385498" customHeight="1">
      <x:c r="A188" s="28" t="str">
        <x:v>R15:KI12-TV02P2-03</x:v>
      </x:c>
      <x:c r="B188" s="1"/>
      <x:c r="C188" s="1"/>
      <x:c r="D188" s="29"/>
      <x:c r="E188" s="1"/>
      <x:c r="F188" s="28" t="str">
        <x:v>R15:KI12-TV02F1-01</x:v>
      </x:c>
      <x:c r="G188" s="1"/>
      <x:c r="H188" s="1"/>
      <x:c r="I188" s="29"/>
    </x:row>
    <x:row r="189" ht="14.17322826385498" customHeight="1">
      <x:c r="A189" s="28" t="str">
        <x:v>PDF-címkén gépi vonalkód is van</x:v>
      </x:c>
      <x:c r="B189" s="1"/>
      <x:c r="C189" s="1"/>
      <x:c r="D189" s="29"/>
      <x:c r="E189" s="1"/>
      <x:c r="F189" s="28" t="str">
        <x:v>PDF-címkén gépi vonalkód is van</x:v>
      </x:c>
      <x:c r="G189" s="1"/>
      <x:c r="H189" s="1"/>
      <x:c r="I189" s="29"/>
    </x:row>
    <x:row r="190" ht="14.17322826385498" customHeight="1">
      <x:c r="A190" s="30"/>
      <x:c r="B190" s="31"/>
      <x:c r="C190" s="31"/>
      <x:c r="D190" s="32"/>
      <x:c r="E190" s="1"/>
      <x:c r="F190" s="30"/>
      <x:c r="G190" s="31"/>
      <x:c r="H190" s="31"/>
      <x:c r="I190" s="32"/>
    </x:row>
    <x:row r="191" ht="14.17322826385498" customHeight="1">
      <x:c r="A191" s="25" t="str">
        <x:f>Darabok!A44</x:f>
        <x:v>KI12-TV02F2-01</x:v>
      </x:c>
      <x:c r="B191" s="26"/>
      <x:c r="C191" s="26"/>
      <x:c r="D191" s="27"/>
      <x:c r="E191" s="1"/>
      <x:c r="F191" s="25" t="str">
        <x:f>Darabok!A45</x:f>
        <x:v>KI12-TV02F2-02</x:v>
      </x:c>
      <x:c r="G191" s="26"/>
      <x:c r="H191" s="26"/>
      <x:c r="I191" s="27"/>
    </x:row>
    <x:row r="192" ht="14.17322826385498" customHeight="1">
      <x:c r="A192" s="28" t="str">
        <x:v>R15 / TERV</x:v>
      </x:c>
      <x:c r="B192" s="1"/>
      <x:c r="C192" s="1"/>
      <x:c r="D192" s="29"/>
      <x:c r="E192" s="1"/>
      <x:c r="F192" s="28" t="str">
        <x:v>R15 / TERV</x:v>
      </x:c>
      <x:c r="G192" s="1"/>
      <x:c r="H192" s="1"/>
      <x:c r="I192" s="29"/>
    </x:row>
    <x:row r="193" ht="14.17322826385498" customHeight="1">
      <x:c r="A193" s="28" t="str">
        <x:f>Darabok!C44&amp;" x "&amp;Darabok!D44&amp;" x "&amp;Darabok!E44&amp;" mm"</x:f>
        <x:v>687 x 397 x 18 mm</x:v>
      </x:c>
      <x:c r="B193" s="1"/>
      <x:c r="C193" s="1"/>
      <x:c r="D193" s="29"/>
      <x:c r="E193" s="1"/>
      <x:c r="F193" s="28" t="str">
        <x:f>Darabok!C45&amp;" x "&amp;Darabok!D45&amp;" x "&amp;Darabok!E45&amp;" mm"</x:f>
        <x:v>687 x 397 x 18 mm</x:v>
      </x:c>
      <x:c r="G193" s="1"/>
      <x:c r="H193" s="1"/>
      <x:c r="I193" s="29"/>
    </x:row>
    <x:row r="194" ht="14.17322826385498" customHeight="1">
      <x:c r="A194" s="28" t="str">
        <x:v>M01</x:v>
      </x:c>
      <x:c r="B194" s="1"/>
      <x:c r="C194" s="1"/>
      <x:c r="D194" s="29"/>
      <x:c r="E194" s="1"/>
      <x:c r="F194" s="28" t="str">
        <x:v>M01</x:v>
      </x:c>
      <x:c r="G194" s="1"/>
      <x:c r="H194" s="1"/>
      <x:c r="I194" s="29"/>
    </x:row>
    <x:row r="195" ht="14.17322826385498" customHeight="1">
      <x:c r="A195" s="28" t="str">
        <x:v>A/B a rajzon / E1 V0 / E4 U0</x:v>
      </x:c>
      <x:c r="B195" s="1"/>
      <x:c r="C195" s="1"/>
      <x:c r="D195" s="29"/>
      <x:c r="E195" s="1"/>
      <x:c r="F195" s="28" t="str">
        <x:v>A/B a rajzon / E1 V0 / E4 U0</x:v>
      </x:c>
      <x:c r="G195" s="1"/>
      <x:c r="H195" s="1"/>
      <x:c r="I195" s="29"/>
    </x:row>
    <x:row r="196" ht="14.17322826385498" customHeight="1">
      <x:c r="A196" s="28" t="str">
        <x:f>"C elkod: "&amp;Darabok!P44</x:f>
        <x:v>C elkod: NYITOTT</x:v>
      </x:c>
      <x:c r="B196" s="1"/>
      <x:c r="C196" s="1"/>
      <x:c r="D196" s="29"/>
      <x:c r="E196" s="1"/>
      <x:c r="F196" s="28" t="str">
        <x:f>"C elkod: "&amp;Darabok!P45</x:f>
        <x:v>C elkod: NYITOTT</x:v>
      </x:c>
      <x:c r="G196" s="1"/>
      <x:c r="H196" s="1"/>
      <x:c r="I196" s="29"/>
    </x:row>
    <x:row r="197" ht="14.17322826385498" customHeight="1">
      <x:c r="A197" s="28" t="str">
        <x:v>AKTÍV FÚRÁSI TERV / NEM GYÁRTÁSI KIADÁS</x:v>
      </x:c>
      <x:c r="B197" s="1"/>
      <x:c r="C197" s="1"/>
      <x:c r="D197" s="29"/>
      <x:c r="E197" s="1"/>
      <x:c r="F197" s="28" t="str">
        <x:v>AKTÍV FÚRÁSI TERV / NEM GYÁRTÁSI KIADÁS</x:v>
      </x:c>
      <x:c r="G197" s="1"/>
      <x:c r="H197" s="1"/>
      <x:c r="I197" s="29"/>
    </x:row>
    <x:row r="198" ht="14.17322826385498" customHeight="1">
      <x:c r="A198" s="28" t="str">
        <x:v>R15:KI12-TV02F2-01</x:v>
      </x:c>
      <x:c r="B198" s="1"/>
      <x:c r="C198" s="1"/>
      <x:c r="D198" s="29"/>
      <x:c r="E198" s="1"/>
      <x:c r="F198" s="28" t="str">
        <x:v>R15:KI12-TV02F2-02</x:v>
      </x:c>
      <x:c r="G198" s="1"/>
      <x:c r="H198" s="1"/>
      <x:c r="I198" s="29"/>
    </x:row>
    <x:row r="199" ht="14.17322826385498" customHeight="1">
      <x:c r="A199" s="28" t="str">
        <x:v>PDF-címkén gépi vonalkód is van</x:v>
      </x:c>
      <x:c r="B199" s="1"/>
      <x:c r="C199" s="1"/>
      <x:c r="D199" s="29"/>
      <x:c r="E199" s="1"/>
      <x:c r="F199" s="28" t="str">
        <x:v>PDF-címkén gépi vonalkód is van</x:v>
      </x:c>
      <x:c r="G199" s="1"/>
      <x:c r="H199" s="1"/>
      <x:c r="I199" s="29"/>
    </x:row>
    <x:row r="200" ht="14.17322826385498" customHeight="1">
      <x:c r="A200" s="30"/>
      <x:c r="B200" s="31"/>
      <x:c r="C200" s="31"/>
      <x:c r="D200" s="32"/>
      <x:c r="E200" s="1"/>
      <x:c r="F200" s="30"/>
      <x:c r="G200" s="31"/>
      <x:c r="H200" s="31"/>
      <x:c r="I200" s="32"/>
    </x:row>
    <x:row r="201" ht="14.17322826385498" customHeight="1">
      <x:c r="A201" s="25" t="str">
        <x:f>Darabok!A46</x:f>
        <x:v>KI12-TV02F2-03</x:v>
      </x:c>
      <x:c r="B201" s="26"/>
      <x:c r="C201" s="26"/>
      <x:c r="D201" s="27"/>
      <x:c r="E201" s="1"/>
      <x:c r="F201" s="25" t="str">
        <x:f>Darabok!A47</x:f>
        <x:v>KI12-TV02F2-04</x:v>
      </x:c>
      <x:c r="G201" s="26"/>
      <x:c r="H201" s="26"/>
      <x:c r="I201" s="27"/>
    </x:row>
    <x:row r="202" ht="14.17322826385498" customHeight="1">
      <x:c r="A202" s="28" t="str">
        <x:v>R15 / TERV</x:v>
      </x:c>
      <x:c r="B202" s="1"/>
      <x:c r="C202" s="1"/>
      <x:c r="D202" s="29"/>
      <x:c r="E202" s="1"/>
      <x:c r="F202" s="28" t="str">
        <x:v>R15 / TERV</x:v>
      </x:c>
      <x:c r="G202" s="1"/>
      <x:c r="H202" s="1"/>
      <x:c r="I202" s="29"/>
    </x:row>
    <x:row r="203" ht="14.17322826385498" customHeight="1">
      <x:c r="A203" s="28" t="str">
        <x:f>Darabok!C46&amp;" x "&amp;Darabok!D46&amp;" x "&amp;Darabok!E46&amp;" mm"</x:f>
        <x:v>687 x 397 x 18 mm</x:v>
      </x:c>
      <x:c r="B203" s="1"/>
      <x:c r="C203" s="1"/>
      <x:c r="D203" s="29"/>
      <x:c r="E203" s="1"/>
      <x:c r="F203" s="28" t="str">
        <x:f>Darabok!C47&amp;" x "&amp;Darabok!D47&amp;" x "&amp;Darabok!E47&amp;" mm"</x:f>
        <x:v>687 x 397 x 18 mm</x:v>
      </x:c>
      <x:c r="G203" s="1"/>
      <x:c r="H203" s="1"/>
      <x:c r="I203" s="29"/>
    </x:row>
    <x:row r="204" ht="14.17322826385498" customHeight="1">
      <x:c r="A204" s="28" t="str">
        <x:v>M01</x:v>
      </x:c>
      <x:c r="B204" s="1"/>
      <x:c r="C204" s="1"/>
      <x:c r="D204" s="29"/>
      <x:c r="E204" s="1"/>
      <x:c r="F204" s="28" t="str">
        <x:v>M01</x:v>
      </x:c>
      <x:c r="G204" s="1"/>
      <x:c r="H204" s="1"/>
      <x:c r="I204" s="29"/>
    </x:row>
    <x:row r="205" ht="14.17322826385498" customHeight="1">
      <x:c r="A205" s="28" t="str">
        <x:v>A/B a rajzon / E1 V0 / E4 U0</x:v>
      </x:c>
      <x:c r="B205" s="1"/>
      <x:c r="C205" s="1"/>
      <x:c r="D205" s="29"/>
      <x:c r="E205" s="1"/>
      <x:c r="F205" s="28" t="str">
        <x:v>A/B a rajzon / E1 V0 / E4 U0</x:v>
      </x:c>
      <x:c r="G205" s="1"/>
      <x:c r="H205" s="1"/>
      <x:c r="I205" s="29"/>
    </x:row>
    <x:row r="206" ht="14.17322826385498" customHeight="1">
      <x:c r="A206" s="28" t="str">
        <x:f>"C elkod: "&amp;Darabok!P46</x:f>
        <x:v>C elkod: NYITOTT</x:v>
      </x:c>
      <x:c r="B206" s="1"/>
      <x:c r="C206" s="1"/>
      <x:c r="D206" s="29"/>
      <x:c r="E206" s="1"/>
      <x:c r="F206" s="28" t="str">
        <x:f>"C elkod: "&amp;Darabok!P47</x:f>
        <x:v>C elkod: NYITOTT</x:v>
      </x:c>
      <x:c r="G206" s="1"/>
      <x:c r="H206" s="1"/>
      <x:c r="I206" s="29"/>
    </x:row>
    <x:row r="207" ht="14.17322826385498" customHeight="1">
      <x:c r="A207" s="28" t="str">
        <x:v>AKTÍV FÚRÁSI TERV / NEM GYÁRTÁSI KIADÁS</x:v>
      </x:c>
      <x:c r="B207" s="1"/>
      <x:c r="C207" s="1"/>
      <x:c r="D207" s="29"/>
      <x:c r="E207" s="1"/>
      <x:c r="F207" s="28" t="str">
        <x:v>AKTÍV FÚRÁSI TERV / NEM GYÁRTÁSI KIADÁS</x:v>
      </x:c>
      <x:c r="G207" s="1"/>
      <x:c r="H207" s="1"/>
      <x:c r="I207" s="29"/>
    </x:row>
    <x:row r="208" ht="14.17322826385498" customHeight="1">
      <x:c r="A208" s="28" t="str">
        <x:v>R15:KI12-TV02F2-03</x:v>
      </x:c>
      <x:c r="B208" s="1"/>
      <x:c r="C208" s="1"/>
      <x:c r="D208" s="29"/>
      <x:c r="E208" s="1"/>
      <x:c r="F208" s="28" t="str">
        <x:v>R15:KI12-TV02F2-04</x:v>
      </x:c>
      <x:c r="G208" s="1"/>
      <x:c r="H208" s="1"/>
      <x:c r="I208" s="29"/>
    </x:row>
    <x:row r="209" ht="14.17322826385498" customHeight="1">
      <x:c r="A209" s="28" t="str">
        <x:v>PDF-címkén gépi vonalkód is van</x:v>
      </x:c>
      <x:c r="B209" s="1"/>
      <x:c r="C209" s="1"/>
      <x:c r="D209" s="29"/>
      <x:c r="E209" s="1"/>
      <x:c r="F209" s="28" t="str">
        <x:v>PDF-címkén gépi vonalkód is van</x:v>
      </x:c>
      <x:c r="G209" s="1"/>
      <x:c r="H209" s="1"/>
      <x:c r="I209" s="29"/>
    </x:row>
    <x:row r="210" ht="14.17322826385498" customHeight="1">
      <x:c r="A210" s="30"/>
      <x:c r="B210" s="31"/>
      <x:c r="C210" s="31"/>
      <x:c r="D210" s="32"/>
      <x:c r="E210" s="1"/>
      <x:c r="F210" s="30"/>
      <x:c r="G210" s="31"/>
      <x:c r="H210" s="31"/>
      <x:c r="I210" s="32"/>
    </x:row>
    <x:row r="211" ht="14.17322826385498" customHeight="1">
      <x:c r="A211" s="25" t="str">
        <x:f>Darabok!A48</x:f>
        <x:v>KI12-TV02H1-01</x:v>
      </x:c>
      <x:c r="B211" s="26"/>
      <x:c r="C211" s="26"/>
      <x:c r="D211" s="27"/>
      <x:c r="E211" s="1"/>
      <x:c r="F211" s="25" t="str">
        <x:f>Darabok!A49</x:f>
        <x:v>KI12-TV02H2-01</x:v>
      </x:c>
      <x:c r="G211" s="26"/>
      <x:c r="H211" s="26"/>
      <x:c r="I211" s="27"/>
    </x:row>
    <x:row r="212" ht="14.17322826385498" customHeight="1">
      <x:c r="A212" s="28" t="str">
        <x:v>R15 / TERV</x:v>
      </x:c>
      <x:c r="B212" s="1"/>
      <x:c r="C212" s="1"/>
      <x:c r="D212" s="29"/>
      <x:c r="E212" s="1"/>
      <x:c r="F212" s="28" t="str">
        <x:v>R15 / TERV</x:v>
      </x:c>
      <x:c r="G212" s="1"/>
      <x:c r="H212" s="1"/>
      <x:c r="I212" s="29"/>
    </x:row>
    <x:row r="213" ht="14.17322826385498" customHeight="1">
      <x:c r="A213" s="28" t="str">
        <x:f>Darabok!C48&amp;" x "&amp;Darabok!D48&amp;" x "&amp;Darabok!E48&amp;" mm"</x:f>
        <x:v>682 x 362 x 8 mm</x:v>
      </x:c>
      <x:c r="B213" s="1"/>
      <x:c r="C213" s="1"/>
      <x:c r="D213" s="29"/>
      <x:c r="E213" s="1"/>
      <x:c r="F213" s="28" t="str">
        <x:f>Darabok!C49&amp;" x "&amp;Darabok!D49&amp;" x "&amp;Darabok!E49&amp;" mm"</x:f>
        <x:v>652 x 362 x 8 mm</x:v>
      </x:c>
      <x:c r="G213" s="1"/>
      <x:c r="H213" s="1"/>
      <x:c r="I213" s="29"/>
    </x:row>
    <x:row r="214" ht="14.17322826385498" customHeight="1">
      <x:c r="A214" s="28" t="str">
        <x:v>M03</x:v>
      </x:c>
      <x:c r="B214" s="1"/>
      <x:c r="C214" s="1"/>
      <x:c r="D214" s="29"/>
      <x:c r="E214" s="1"/>
      <x:c r="F214" s="28" t="str">
        <x:v>M03</x:v>
      </x:c>
      <x:c r="G214" s="1"/>
      <x:c r="H214" s="1"/>
      <x:c r="I214" s="29"/>
    </x:row>
    <x:row r="215" ht="14.17322826385498" customHeight="1">
      <x:c r="A215" s="28" t="str">
        <x:v>A/B a rajzon / E1 V0 / E4 U0</x:v>
      </x:c>
      <x:c r="B215" s="1"/>
      <x:c r="C215" s="1"/>
      <x:c r="D215" s="29"/>
      <x:c r="E215" s="1"/>
      <x:c r="F215" s="28" t="str">
        <x:v>A/B a rajzon / E1 V0 / E4 U0</x:v>
      </x:c>
      <x:c r="G215" s="1"/>
      <x:c r="H215" s="1"/>
      <x:c r="I215" s="29"/>
    </x:row>
    <x:row r="216" ht="14.17322826385498" customHeight="1">
      <x:c r="A216" s="28" t="str">
        <x:f>"C elkod: "&amp;Darabok!P48</x:f>
        <x:v>C elkod: NYITOTT</x:v>
      </x:c>
      <x:c r="B216" s="1"/>
      <x:c r="C216" s="1"/>
      <x:c r="D216" s="29"/>
      <x:c r="E216" s="1"/>
      <x:c r="F216" s="28" t="str">
        <x:f>"C elkod: "&amp;Darabok!P49</x:f>
        <x:v>C elkod: NYITOTT</x:v>
      </x:c>
      <x:c r="G216" s="1"/>
      <x:c r="H216" s="1"/>
      <x:c r="I216" s="29"/>
    </x:row>
    <x:row r="217" ht="14.17322826385498" customHeight="1">
      <x:c r="A217" s="28" t="str">
        <x:v>AKTÍV FÚRÁSI TERV / NEM GYÁRTÁSI KIADÁS</x:v>
      </x:c>
      <x:c r="B217" s="1"/>
      <x:c r="C217" s="1"/>
      <x:c r="D217" s="29"/>
      <x:c r="E217" s="1"/>
      <x:c r="F217" s="28" t="str">
        <x:v>AKTÍV FÚRÁSI TERV / NEM GYÁRTÁSI KIADÁS</x:v>
      </x:c>
      <x:c r="G217" s="1"/>
      <x:c r="H217" s="1"/>
      <x:c r="I217" s="29"/>
    </x:row>
    <x:row r="218" ht="14.17322826385498" customHeight="1">
      <x:c r="A218" s="28" t="str">
        <x:v>R15:KI12-TV02H1-01</x:v>
      </x:c>
      <x:c r="B218" s="1"/>
      <x:c r="C218" s="1"/>
      <x:c r="D218" s="29"/>
      <x:c r="E218" s="1"/>
      <x:c r="F218" s="28" t="str">
        <x:v>R15:KI12-TV02H2-01</x:v>
      </x:c>
      <x:c r="G218" s="1"/>
      <x:c r="H218" s="1"/>
      <x:c r="I218" s="29"/>
    </x:row>
    <x:row r="219" ht="14.17322826385498" customHeight="1">
      <x:c r="A219" s="28" t="str">
        <x:v>PDF-címkén gépi vonalkód is van</x:v>
      </x:c>
      <x:c r="B219" s="1"/>
      <x:c r="C219" s="1"/>
      <x:c r="D219" s="29"/>
      <x:c r="E219" s="1"/>
      <x:c r="F219" s="28" t="str">
        <x:v>PDF-címkén gépi vonalkód is van</x:v>
      </x:c>
      <x:c r="G219" s="1"/>
      <x:c r="H219" s="1"/>
      <x:c r="I219" s="29"/>
    </x:row>
    <x:row r="220" ht="14.17322826385498" customHeight="1">
      <x:c r="A220" s="30"/>
      <x:c r="B220" s="31"/>
      <x:c r="C220" s="31"/>
      <x:c r="D220" s="32"/>
      <x:c r="E220" s="1"/>
      <x:c r="F220" s="30"/>
      <x:c r="G220" s="31"/>
      <x:c r="H220" s="31"/>
      <x:c r="I220" s="32"/>
    </x:row>
    <x:row r="221" ht="14.17322826385498" customHeight="1">
      <x:c r="A221" s="25" t="str">
        <x:f>Darabok!A50</x:f>
        <x:v>KI12-TV02H2-02</x:v>
      </x:c>
      <x:c r="B221" s="26"/>
      <x:c r="C221" s="26"/>
      <x:c r="D221" s="27"/>
      <x:c r="E221" s="1"/>
      <x:c r="F221" s="25" t="str">
        <x:f>Darabok!A51</x:f>
        <x:v>KI12-TV02H2-03</x:v>
      </x:c>
      <x:c r="G221" s="26"/>
      <x:c r="H221" s="26"/>
      <x:c r="I221" s="27"/>
    </x:row>
    <x:row r="222" ht="14.17322826385498" customHeight="1">
      <x:c r="A222" s="28" t="str">
        <x:v>R15 / TERV</x:v>
      </x:c>
      <x:c r="B222" s="1"/>
      <x:c r="C222" s="1"/>
      <x:c r="D222" s="29"/>
      <x:c r="E222" s="1"/>
      <x:c r="F222" s="28" t="str">
        <x:v>R15 / TERV</x:v>
      </x:c>
      <x:c r="G222" s="1"/>
      <x:c r="H222" s="1"/>
      <x:c r="I222" s="29"/>
    </x:row>
    <x:row r="223" ht="14.17322826385498" customHeight="1">
      <x:c r="A223" s="28" t="str">
        <x:f>Darabok!C50&amp;" x "&amp;Darabok!D50&amp;" x "&amp;Darabok!E50&amp;" mm"</x:f>
        <x:v>652 x 362 x 8 mm</x:v>
      </x:c>
      <x:c r="B223" s="1"/>
      <x:c r="C223" s="1"/>
      <x:c r="D223" s="29"/>
      <x:c r="E223" s="1"/>
      <x:c r="F223" s="28" t="str">
        <x:f>Darabok!C51&amp;" x "&amp;Darabok!D51&amp;" x "&amp;Darabok!E51&amp;" mm"</x:f>
        <x:v>652 x 362 x 8 mm</x:v>
      </x:c>
      <x:c r="G223" s="1"/>
      <x:c r="H223" s="1"/>
      <x:c r="I223" s="29"/>
    </x:row>
    <x:row r="224" ht="14.17322826385498" customHeight="1">
      <x:c r="A224" s="28" t="str">
        <x:v>M03</x:v>
      </x:c>
      <x:c r="B224" s="1"/>
      <x:c r="C224" s="1"/>
      <x:c r="D224" s="29"/>
      <x:c r="E224" s="1"/>
      <x:c r="F224" s="28" t="str">
        <x:v>M03</x:v>
      </x:c>
      <x:c r="G224" s="1"/>
      <x:c r="H224" s="1"/>
      <x:c r="I224" s="29"/>
    </x:row>
    <x:row r="225" ht="14.17322826385498" customHeight="1">
      <x:c r="A225" s="28" t="str">
        <x:v>A/B a rajzon / E1 V0 / E4 U0</x:v>
      </x:c>
      <x:c r="B225" s="1"/>
      <x:c r="C225" s="1"/>
      <x:c r="D225" s="29"/>
      <x:c r="E225" s="1"/>
      <x:c r="F225" s="28" t="str">
        <x:v>A/B a rajzon / E1 V0 / E4 U0</x:v>
      </x:c>
      <x:c r="G225" s="1"/>
      <x:c r="H225" s="1"/>
      <x:c r="I225" s="29"/>
    </x:row>
    <x:row r="226" ht="14.17322826385498" customHeight="1">
      <x:c r="A226" s="28" t="str">
        <x:f>"C elkod: "&amp;Darabok!P50</x:f>
        <x:v>C elkod: NYITOTT</x:v>
      </x:c>
      <x:c r="B226" s="1"/>
      <x:c r="C226" s="1"/>
      <x:c r="D226" s="29"/>
      <x:c r="E226" s="1"/>
      <x:c r="F226" s="28" t="str">
        <x:f>"C elkod: "&amp;Darabok!P51</x:f>
        <x:v>C elkod: NYITOTT</x:v>
      </x:c>
      <x:c r="G226" s="1"/>
      <x:c r="H226" s="1"/>
      <x:c r="I226" s="29"/>
    </x:row>
    <x:row r="227" ht="14.17322826385498" customHeight="1">
      <x:c r="A227" s="28" t="str">
        <x:v>AKTÍV FÚRÁSI TERV / NEM GYÁRTÁSI KIADÁS</x:v>
      </x:c>
      <x:c r="B227" s="1"/>
      <x:c r="C227" s="1"/>
      <x:c r="D227" s="29"/>
      <x:c r="E227" s="1"/>
      <x:c r="F227" s="28" t="str">
        <x:v>AKTÍV FÚRÁSI TERV / NEM GYÁRTÁSI KIADÁS</x:v>
      </x:c>
      <x:c r="G227" s="1"/>
      <x:c r="H227" s="1"/>
      <x:c r="I227" s="29"/>
    </x:row>
    <x:row r="228" ht="14.17322826385498" customHeight="1">
      <x:c r="A228" s="28" t="str">
        <x:v>R15:KI12-TV02H2-02</x:v>
      </x:c>
      <x:c r="B228" s="1"/>
      <x:c r="C228" s="1"/>
      <x:c r="D228" s="29"/>
      <x:c r="E228" s="1"/>
      <x:c r="F228" s="28" t="str">
        <x:v>R15:KI12-TV02H2-03</x:v>
      </x:c>
      <x:c r="G228" s="1"/>
      <x:c r="H228" s="1"/>
      <x:c r="I228" s="29"/>
    </x:row>
    <x:row r="229" ht="14.17322826385498" customHeight="1">
      <x:c r="A229" s="28" t="str">
        <x:v>PDF-címkén gépi vonalkód is van</x:v>
      </x:c>
      <x:c r="B229" s="1"/>
      <x:c r="C229" s="1"/>
      <x:c r="D229" s="29"/>
      <x:c r="E229" s="1"/>
      <x:c r="F229" s="28" t="str">
        <x:v>PDF-címkén gépi vonalkód is van</x:v>
      </x:c>
      <x:c r="G229" s="1"/>
      <x:c r="H229" s="1"/>
      <x:c r="I229" s="29"/>
    </x:row>
    <x:row r="230" ht="14.17322826385498" customHeight="1">
      <x:c r="A230" s="30"/>
      <x:c r="B230" s="31"/>
      <x:c r="C230" s="31"/>
      <x:c r="D230" s="32"/>
      <x:c r="E230" s="1"/>
      <x:c r="F230" s="30"/>
      <x:c r="G230" s="31"/>
      <x:c r="H230" s="31"/>
      <x:c r="I230" s="32"/>
    </x:row>
    <x:row r="231" ht="14.17322826385498" customHeight="1">
      <x:c r="A231" s="25" t="str">
        <x:f>Darabok!A52</x:f>
        <x:v>KI12-TV02H2-04</x:v>
      </x:c>
      <x:c r="B231" s="26"/>
      <x:c r="C231" s="26"/>
      <x:c r="D231" s="27"/>
      <x:c r="E231" s="1"/>
      <x:c r="F231" s="25" t="str">
        <x:f>Darabok!A53</x:f>
        <x:v>KI12-TV02CAP-01</x:v>
      </x:c>
      <x:c r="G231" s="26"/>
      <x:c r="H231" s="26"/>
      <x:c r="I231" s="27"/>
    </x:row>
    <x:row r="232" ht="14.17322826385498" customHeight="1">
      <x:c r="A232" s="28" t="str">
        <x:v>R15 / TERV</x:v>
      </x:c>
      <x:c r="B232" s="1"/>
      <x:c r="C232" s="1"/>
      <x:c r="D232" s="29"/>
      <x:c r="E232" s="1"/>
      <x:c r="F232" s="28" t="str">
        <x:v>R15 / TERV</x:v>
      </x:c>
      <x:c r="G232" s="1"/>
      <x:c r="H232" s="1"/>
      <x:c r="I232" s="29"/>
    </x:row>
    <x:row r="233" ht="14.17322826385498" customHeight="1">
      <x:c r="A233" s="28" t="str">
        <x:f>Darabok!C52&amp;" x "&amp;Darabok!D52&amp;" x "&amp;Darabok!E52&amp;" mm"</x:f>
        <x:v>652 x 362 x 8 mm</x:v>
      </x:c>
      <x:c r="B233" s="1"/>
      <x:c r="C233" s="1"/>
      <x:c r="D233" s="29"/>
      <x:c r="E233" s="1"/>
      <x:c r="F233" s="28" t="str">
        <x:f>Darabok!C53&amp;" x "&amp;Darabok!D53&amp;" x "&amp;Darabok!E53&amp;" mm"</x:f>
        <x:v>3600 x 382 x 18 mm</x:v>
      </x:c>
      <x:c r="G233" s="1"/>
      <x:c r="H233" s="1"/>
      <x:c r="I233" s="29"/>
    </x:row>
    <x:row r="234" ht="14.17322826385498" customHeight="1">
      <x:c r="A234" s="28" t="str">
        <x:v>M03</x:v>
      </x:c>
      <x:c r="B234" s="1"/>
      <x:c r="C234" s="1"/>
      <x:c r="D234" s="29"/>
      <x:c r="E234" s="1"/>
      <x:c r="F234" s="28" t="str">
        <x:v>M01</x:v>
      </x:c>
      <x:c r="G234" s="1"/>
      <x:c r="H234" s="1"/>
      <x:c r="I234" s="29"/>
    </x:row>
    <x:row r="235" ht="14.17322826385498" customHeight="1">
      <x:c r="A235" s="28" t="str">
        <x:v>A/B a rajzon / E1 V0 / E4 U0</x:v>
      </x:c>
      <x:c r="B235" s="1"/>
      <x:c r="C235" s="1"/>
      <x:c r="D235" s="29"/>
      <x:c r="E235" s="1"/>
      <x:c r="F235" s="28" t="str">
        <x:v>A/B a rajzon / E1 V0 / E4 U0</x:v>
      </x:c>
      <x:c r="G235" s="1"/>
      <x:c r="H235" s="1"/>
      <x:c r="I235" s="29"/>
    </x:row>
    <x:row r="236" ht="14.17322826385498" customHeight="1">
      <x:c r="A236" s="28" t="str">
        <x:f>"C elkod: "&amp;Darabok!P52</x:f>
        <x:v>C elkod: NYITOTT</x:v>
      </x:c>
      <x:c r="B236" s="1"/>
      <x:c r="C236" s="1"/>
      <x:c r="D236" s="29"/>
      <x:c r="E236" s="1"/>
      <x:c r="F236" s="28" t="str">
        <x:f>"C elkod: "&amp;Darabok!P53</x:f>
        <x:v>C elkod: NYITOTT</x:v>
      </x:c>
      <x:c r="G236" s="1"/>
      <x:c r="H236" s="1"/>
      <x:c r="I236" s="29"/>
    </x:row>
    <x:row r="237" ht="14.17322826385498" customHeight="1">
      <x:c r="A237" s="28" t="str">
        <x:v>AKTÍV FÚRÁSI TERV / NEM GYÁRTÁSI KIADÁS</x:v>
      </x:c>
      <x:c r="B237" s="1"/>
      <x:c r="C237" s="1"/>
      <x:c r="D237" s="29"/>
      <x:c r="E237" s="1"/>
      <x:c r="F237" s="28" t="str">
        <x:v>AKTÍV FÚRÁSI TERV / NEM GYÁRTÁSI KIADÁS</x:v>
      </x:c>
      <x:c r="G237" s="1"/>
      <x:c r="H237" s="1"/>
      <x:c r="I237" s="29"/>
    </x:row>
    <x:row r="238" ht="14.17322826385498" customHeight="1">
      <x:c r="A238" s="28" t="str">
        <x:v>R15:KI12-TV02H2-04</x:v>
      </x:c>
      <x:c r="B238" s="1"/>
      <x:c r="C238" s="1"/>
      <x:c r="D238" s="29"/>
      <x:c r="E238" s="1"/>
      <x:c r="F238" s="28" t="str">
        <x:v>R15:KI12-TV02CAP-01</x:v>
      </x:c>
      <x:c r="G238" s="1"/>
      <x:c r="H238" s="1"/>
      <x:c r="I238" s="29"/>
    </x:row>
    <x:row r="239" ht="14.17322826385498" customHeight="1">
      <x:c r="A239" s="28" t="str">
        <x:v>PDF-címkén gépi vonalkód is van</x:v>
      </x:c>
      <x:c r="B239" s="1"/>
      <x:c r="C239" s="1"/>
      <x:c r="D239" s="29"/>
      <x:c r="E239" s="1"/>
      <x:c r="F239" s="28" t="str">
        <x:v>PDF-címkén gépi vonalkód is van</x:v>
      </x:c>
      <x:c r="G239" s="1"/>
      <x:c r="H239" s="1"/>
      <x:c r="I239" s="29"/>
    </x:row>
    <x:row r="240" ht="14.17322826385498" customHeight="1">
      <x:c r="A240" s="30"/>
      <x:c r="B240" s="31"/>
      <x:c r="C240" s="31"/>
      <x:c r="D240" s="32"/>
      <x:c r="E240" s="1"/>
      <x:c r="F240" s="30"/>
      <x:c r="G240" s="31"/>
      <x:c r="H240" s="31"/>
      <x:c r="I240" s="32"/>
    </x:row>
    <x:row r="241" ht="14.17322826385498" customHeight="1">
      <x:c r="A241" s="25" t="str">
        <x:f>Darabok!A54</x:f>
        <x:v>KI12-TV03P-01</x:v>
      </x:c>
      <x:c r="B241" s="26"/>
      <x:c r="C241" s="26"/>
      <x:c r="D241" s="27"/>
      <x:c r="E241" s="1"/>
      <x:c r="F241" s="25" t="str">
        <x:f>Darabok!A55</x:f>
        <x:v>KI12-TV03P-02</x:v>
      </x:c>
      <x:c r="G241" s="26"/>
      <x:c r="H241" s="26"/>
      <x:c r="I241" s="27"/>
    </x:row>
    <x:row r="242" ht="14.17322826385498" customHeight="1">
      <x:c r="A242" s="28" t="str">
        <x:v>R15 / TERV</x:v>
      </x:c>
      <x:c r="B242" s="1"/>
      <x:c r="C242" s="1"/>
      <x:c r="D242" s="29"/>
      <x:c r="E242" s="1"/>
      <x:c r="F242" s="28" t="str">
        <x:v>R15 / TERV</x:v>
      </x:c>
      <x:c r="G242" s="1"/>
      <x:c r="H242" s="1"/>
      <x:c r="I242" s="29"/>
    </x:row>
    <x:row r="243" ht="14.17322826385498" customHeight="1">
      <x:c r="A243" s="28" t="str">
        <x:f>Darabok!C54&amp;" x "&amp;Darabok!D54&amp;" x "&amp;Darabok!E54&amp;" mm"</x:f>
        <x:v>2330 x 687 x 18 mm</x:v>
      </x:c>
      <x:c r="B243" s="1"/>
      <x:c r="C243" s="1"/>
      <x:c r="D243" s="29"/>
      <x:c r="E243" s="1"/>
      <x:c r="F243" s="28" t="str">
        <x:f>Darabok!C55&amp;" x "&amp;Darabok!D55&amp;" x "&amp;Darabok!E55&amp;" mm"</x:f>
        <x:v>2330 x 687 x 18 mm</x:v>
      </x:c>
      <x:c r="G243" s="1"/>
      <x:c r="H243" s="1"/>
      <x:c r="I243" s="29"/>
    </x:row>
    <x:row r="244" ht="14.17322826385498" customHeight="1">
      <x:c r="A244" s="28" t="str">
        <x:v>M02</x:v>
      </x:c>
      <x:c r="B244" s="1"/>
      <x:c r="C244" s="1"/>
      <x:c r="D244" s="29"/>
      <x:c r="E244" s="1"/>
      <x:c r="F244" s="28" t="str">
        <x:v>M02</x:v>
      </x:c>
      <x:c r="G244" s="1"/>
      <x:c r="H244" s="1"/>
      <x:c r="I244" s="29"/>
    </x:row>
    <x:row r="245" ht="14.17322826385498" customHeight="1">
      <x:c r="A245" s="28" t="str">
        <x:v>A/B a rajzon / E1 V0 / E4 U0</x:v>
      </x:c>
      <x:c r="B245" s="1"/>
      <x:c r="C245" s="1"/>
      <x:c r="D245" s="29"/>
      <x:c r="E245" s="1"/>
      <x:c r="F245" s="28" t="str">
        <x:v>A/B a rajzon / E1 V0 / E4 U0</x:v>
      </x:c>
      <x:c r="G245" s="1"/>
      <x:c r="H245" s="1"/>
      <x:c r="I245" s="29"/>
    </x:row>
    <x:row r="246" ht="14.17322826385498" customHeight="1">
      <x:c r="A246" s="28" t="str">
        <x:f>"C elkod: "&amp;Darabok!P54</x:f>
        <x:v>C elkod: NYITOTT</x:v>
      </x:c>
      <x:c r="B246" s="1"/>
      <x:c r="C246" s="1"/>
      <x:c r="D246" s="29"/>
      <x:c r="E246" s="1"/>
      <x:c r="F246" s="28" t="str">
        <x:f>"C elkod: "&amp;Darabok!P55</x:f>
        <x:v>C elkod: NYITOTT</x:v>
      </x:c>
      <x:c r="G246" s="1"/>
      <x:c r="H246" s="1"/>
      <x:c r="I246" s="29"/>
    </x:row>
    <x:row r="247" ht="14.17322826385498" customHeight="1">
      <x:c r="A247" s="28" t="str">
        <x:v>AKTÍV FÚRÁSI TERV / NEM GYÁRTÁSI KIADÁS</x:v>
      </x:c>
      <x:c r="B247" s="1"/>
      <x:c r="C247" s="1"/>
      <x:c r="D247" s="29"/>
      <x:c r="E247" s="1"/>
      <x:c r="F247" s="28" t="str">
        <x:v>AKTÍV FÚRÁSI TERV / NEM GYÁRTÁSI KIADÁS</x:v>
      </x:c>
      <x:c r="G247" s="1"/>
      <x:c r="H247" s="1"/>
      <x:c r="I247" s="29"/>
    </x:row>
    <x:row r="248" ht="14.17322826385498" customHeight="1">
      <x:c r="A248" s="28" t="str">
        <x:v>R15:KI12-TV03P-01</x:v>
      </x:c>
      <x:c r="B248" s="1"/>
      <x:c r="C248" s="1"/>
      <x:c r="D248" s="29"/>
      <x:c r="E248" s="1"/>
      <x:c r="F248" s="28" t="str">
        <x:v>R15:KI12-TV03P-02</x:v>
      </x:c>
      <x:c r="G248" s="1"/>
      <x:c r="H248" s="1"/>
      <x:c r="I248" s="29"/>
    </x:row>
    <x:row r="249" ht="14.17322826385498" customHeight="1">
      <x:c r="A249" s="28" t="str">
        <x:v>PDF-címkén gépi vonalkód is van</x:v>
      </x:c>
      <x:c r="B249" s="1"/>
      <x:c r="C249" s="1"/>
      <x:c r="D249" s="29"/>
      <x:c r="E249" s="1"/>
      <x:c r="F249" s="28" t="str">
        <x:v>PDF-címkén gépi vonalkód is van</x:v>
      </x:c>
      <x:c r="G249" s="1"/>
      <x:c r="H249" s="1"/>
      <x:c r="I249" s="29"/>
    </x:row>
    <x:row r="250" ht="14.17322826385498" customHeight="1">
      <x:c r="A250" s="30"/>
      <x:c r="B250" s="31"/>
      <x:c r="C250" s="31"/>
      <x:c r="D250" s="32"/>
      <x:c r="E250" s="1"/>
      <x:c r="F250" s="30"/>
      <x:c r="G250" s="31"/>
      <x:c r="H250" s="31"/>
      <x:c r="I250" s="32"/>
    </x:row>
    <x:row r="251" ht="14.17322826385498" customHeight="1">
      <x:c r="A251" s="25" t="str">
        <x:f>Darabok!A56</x:f>
        <x:v>KI12-TV03P-03</x:v>
      </x:c>
      <x:c r="B251" s="26"/>
      <x:c r="C251" s="26"/>
      <x:c r="D251" s="27"/>
      <x:c r="E251" s="1"/>
      <x:c r="F251" s="25" t="str">
        <x:f>Darabok!A57</x:f>
        <x:v>KI12-TV03P-04</x:v>
      </x:c>
      <x:c r="G251" s="26"/>
      <x:c r="H251" s="26"/>
      <x:c r="I251" s="27"/>
    </x:row>
    <x:row r="252" ht="14.17322826385498" customHeight="1">
      <x:c r="A252" s="28" t="str">
        <x:v>R15 / TERV</x:v>
      </x:c>
      <x:c r="B252" s="1"/>
      <x:c r="C252" s="1"/>
      <x:c r="D252" s="29"/>
      <x:c r="E252" s="1"/>
      <x:c r="F252" s="28" t="str">
        <x:v>R15 / TERV</x:v>
      </x:c>
      <x:c r="G252" s="1"/>
      <x:c r="H252" s="1"/>
      <x:c r="I252" s="29"/>
    </x:row>
    <x:row r="253" ht="14.17322826385498" customHeight="1">
      <x:c r="A253" s="28" t="str">
        <x:f>Darabok!C56&amp;" x "&amp;Darabok!D56&amp;" x "&amp;Darabok!E56&amp;" mm"</x:f>
        <x:v>2330 x 687 x 18 mm</x:v>
      </x:c>
      <x:c r="B253" s="1"/>
      <x:c r="C253" s="1"/>
      <x:c r="D253" s="29"/>
      <x:c r="E253" s="1"/>
      <x:c r="F253" s="28" t="str">
        <x:f>Darabok!C57&amp;" x "&amp;Darabok!D57&amp;" x "&amp;Darabok!E57&amp;" mm"</x:f>
        <x:v>2330 x 687 x 18 mm</x:v>
      </x:c>
      <x:c r="G253" s="1"/>
      <x:c r="H253" s="1"/>
      <x:c r="I253" s="29"/>
    </x:row>
    <x:row r="254" ht="14.17322826385498" customHeight="1">
      <x:c r="A254" s="28" t="str">
        <x:v>M02</x:v>
      </x:c>
      <x:c r="B254" s="1"/>
      <x:c r="C254" s="1"/>
      <x:c r="D254" s="29"/>
      <x:c r="E254" s="1"/>
      <x:c r="F254" s="28" t="str">
        <x:v>M02</x:v>
      </x:c>
      <x:c r="G254" s="1"/>
      <x:c r="H254" s="1"/>
      <x:c r="I254" s="29"/>
    </x:row>
    <x:row r="255" ht="14.17322826385498" customHeight="1">
      <x:c r="A255" s="28" t="str">
        <x:v>A/B a rajzon / E1 V0 / E4 U0</x:v>
      </x:c>
      <x:c r="B255" s="1"/>
      <x:c r="C255" s="1"/>
      <x:c r="D255" s="29"/>
      <x:c r="E255" s="1"/>
      <x:c r="F255" s="28" t="str">
        <x:v>A/B a rajzon / E1 V0 / E4 U0</x:v>
      </x:c>
      <x:c r="G255" s="1"/>
      <x:c r="H255" s="1"/>
      <x:c r="I255" s="29"/>
    </x:row>
    <x:row r="256" ht="14.17322826385498" customHeight="1">
      <x:c r="A256" s="28" t="str">
        <x:f>"C elkod: "&amp;Darabok!P56</x:f>
        <x:v>C elkod: NYITOTT</x:v>
      </x:c>
      <x:c r="B256" s="1"/>
      <x:c r="C256" s="1"/>
      <x:c r="D256" s="29"/>
      <x:c r="E256" s="1"/>
      <x:c r="F256" s="28" t="str">
        <x:f>"C elkod: "&amp;Darabok!P57</x:f>
        <x:v>C elkod: NYITOTT</x:v>
      </x:c>
      <x:c r="G256" s="1"/>
      <x:c r="H256" s="1"/>
      <x:c r="I256" s="29"/>
    </x:row>
    <x:row r="257" ht="14.17322826385498" customHeight="1">
      <x:c r="A257" s="28" t="str">
        <x:v>AKTÍV FÚRÁSI TERV / NEM GYÁRTÁSI KIADÁS</x:v>
      </x:c>
      <x:c r="B257" s="1"/>
      <x:c r="C257" s="1"/>
      <x:c r="D257" s="29"/>
      <x:c r="E257" s="1"/>
      <x:c r="F257" s="28" t="str">
        <x:v>AKTÍV FÚRÁSI TERV / NEM GYÁRTÁSI KIADÁS</x:v>
      </x:c>
      <x:c r="G257" s="1"/>
      <x:c r="H257" s="1"/>
      <x:c r="I257" s="29"/>
    </x:row>
    <x:row r="258" ht="14.17322826385498" customHeight="1">
      <x:c r="A258" s="28" t="str">
        <x:v>R15:KI12-TV03P-03</x:v>
      </x:c>
      <x:c r="B258" s="1"/>
      <x:c r="C258" s="1"/>
      <x:c r="D258" s="29"/>
      <x:c r="E258" s="1"/>
      <x:c r="F258" s="28" t="str">
        <x:v>R15:KI12-TV03P-04</x:v>
      </x:c>
      <x:c r="G258" s="1"/>
      <x:c r="H258" s="1"/>
      <x:c r="I258" s="29"/>
    </x:row>
    <x:row r="259" ht="14.17322826385498" customHeight="1">
      <x:c r="A259" s="28" t="str">
        <x:v>PDF-címkén gépi vonalkód is van</x:v>
      </x:c>
      <x:c r="B259" s="1"/>
      <x:c r="C259" s="1"/>
      <x:c r="D259" s="29"/>
      <x:c r="E259" s="1"/>
      <x:c r="F259" s="28" t="str">
        <x:v>PDF-címkén gépi vonalkód is van</x:v>
      </x:c>
      <x:c r="G259" s="1"/>
      <x:c r="H259" s="1"/>
      <x:c r="I259" s="29"/>
    </x:row>
    <x:row r="260" ht="14.17322826385498" customHeight="1">
      <x:c r="A260" s="30"/>
      <x:c r="B260" s="31"/>
      <x:c r="C260" s="31"/>
      <x:c r="D260" s="32"/>
      <x:c r="E260" s="1"/>
      <x:c r="F260" s="30"/>
      <x:c r="G260" s="31"/>
      <x:c r="H260" s="31"/>
      <x:c r="I260" s="32"/>
    </x:row>
    <x:row r="261" ht="14.17322826385498" customHeight="1">
      <x:c r="A261" s="25" t="str">
        <x:f>Darabok!A58</x:f>
        <x:v>KI12-GAP-01</x:v>
      </x:c>
      <x:c r="B261" s="26"/>
      <x:c r="C261" s="26"/>
      <x:c r="D261" s="27"/>
      <x:c r="E261" s="1"/>
      <x:c r="F261" s="25" t="str">
        <x:f>Darabok!A59</x:f>
        <x:v>KI13-GAP-LOW-01</x:v>
      </x:c>
      <x:c r="G261" s="26"/>
      <x:c r="H261" s="26"/>
      <x:c r="I261" s="27"/>
    </x:row>
    <x:row r="262" ht="14.17322826385498" customHeight="1">
      <x:c r="A262" s="28" t="str">
        <x:v>R15 / TERV</x:v>
      </x:c>
      <x:c r="B262" s="1"/>
      <x:c r="C262" s="1"/>
      <x:c r="D262" s="29"/>
      <x:c r="E262" s="1"/>
      <x:c r="F262" s="28" t="str">
        <x:v>R15 / TERV</x:v>
      </x:c>
      <x:c r="G262" s="1"/>
      <x:c r="H262" s="1"/>
      <x:c r="I262" s="29"/>
    </x:row>
    <x:row r="263" ht="14.17322826385498" customHeight="1">
      <x:c r="A263" s="28" t="str">
        <x:f>Darabok!C58&amp;" x "&amp;Darabok!D58&amp;" x "&amp;Darabok!E58&amp;" mm"</x:f>
        <x:v>2330 x 120 x 18 mm</x:v>
      </x:c>
      <x:c r="B263" s="1"/>
      <x:c r="C263" s="1"/>
      <x:c r="D263" s="29"/>
      <x:c r="E263" s="1"/>
      <x:c r="F263" s="28" t="str">
        <x:f>Darabok!C59&amp;" x "&amp;Darabok!D59&amp;" x "&amp;Darabok!E59&amp;" mm"</x:f>
        <x:v>380 x 117 x 18 mm</x:v>
      </x:c>
      <x:c r="G263" s="1"/>
      <x:c r="H263" s="1"/>
      <x:c r="I263" s="29"/>
    </x:row>
    <x:row r="264" ht="14.17322826385498" customHeight="1">
      <x:c r="A264" s="28" t="str">
        <x:v>M01</x:v>
      </x:c>
      <x:c r="B264" s="1"/>
      <x:c r="C264" s="1"/>
      <x:c r="D264" s="29"/>
      <x:c r="E264" s="1"/>
      <x:c r="F264" s="28" t="str">
        <x:v>M01</x:v>
      </x:c>
      <x:c r="G264" s="1"/>
      <x:c r="H264" s="1"/>
      <x:c r="I264" s="29"/>
    </x:row>
    <x:row r="265" ht="14.17322826385498" customHeight="1">
      <x:c r="A265" s="28" t="str">
        <x:v>A/B a rajzon / E1 V0 / E4 U0</x:v>
      </x:c>
      <x:c r="B265" s="1"/>
      <x:c r="C265" s="1"/>
      <x:c r="D265" s="29"/>
      <x:c r="E265" s="1"/>
      <x:c r="F265" s="28" t="str">
        <x:v>A/B a rajzon / E1 V0 / E4 U0</x:v>
      </x:c>
      <x:c r="G265" s="1"/>
      <x:c r="H265" s="1"/>
      <x:c r="I265" s="29"/>
    </x:row>
    <x:row r="266" ht="14.17322826385498" customHeight="1">
      <x:c r="A266" s="28" t="str">
        <x:f>"C elkod: "&amp;Darabok!P58</x:f>
        <x:v>C elkod: NYITOTT</x:v>
      </x:c>
      <x:c r="B266" s="1"/>
      <x:c r="C266" s="1"/>
      <x:c r="D266" s="29"/>
      <x:c r="E266" s="1"/>
      <x:c r="F266" s="28" t="str">
        <x:f>"C elkod: "&amp;Darabok!P59</x:f>
        <x:v>C elkod: NYITOTT</x:v>
      </x:c>
      <x:c r="G266" s="1"/>
      <x:c r="H266" s="1"/>
      <x:c r="I266" s="29"/>
    </x:row>
    <x:row r="267" ht="14.17322826385498" customHeight="1">
      <x:c r="A267" s="28" t="str">
        <x:v>AKTÍV FÚRÁSI TERV / NEM GYÁRTÁSI KIADÁS</x:v>
      </x:c>
      <x:c r="B267" s="1"/>
      <x:c r="C267" s="1"/>
      <x:c r="D267" s="29"/>
      <x:c r="E267" s="1"/>
      <x:c r="F267" s="28" t="str">
        <x:v>AKTÍV FÚRÁSI TERV / NEM GYÁRTÁSI KIADÁS</x:v>
      </x:c>
      <x:c r="G267" s="1"/>
      <x:c r="H267" s="1"/>
      <x:c r="I267" s="29"/>
    </x:row>
    <x:row r="268" ht="14.17322826385498" customHeight="1">
      <x:c r="A268" s="28" t="str">
        <x:v>R15:KI12-GAP-01</x:v>
      </x:c>
      <x:c r="B268" s="1"/>
      <x:c r="C268" s="1"/>
      <x:c r="D268" s="29"/>
      <x:c r="E268" s="1"/>
      <x:c r="F268" s="28" t="str">
        <x:v>R15:KI13-GAP-LOW-01</x:v>
      </x:c>
      <x:c r="G268" s="1"/>
      <x:c r="H268" s="1"/>
      <x:c r="I268" s="29"/>
    </x:row>
    <x:row r="269" ht="14.17322826385498" customHeight="1">
      <x:c r="A269" s="28" t="str">
        <x:v>PDF-címkén gépi vonalkód is van</x:v>
      </x:c>
      <x:c r="B269" s="1"/>
      <x:c r="C269" s="1"/>
      <x:c r="D269" s="29"/>
      <x:c r="E269" s="1"/>
      <x:c r="F269" s="28" t="str">
        <x:v>PDF-címkén gépi vonalkód is van</x:v>
      </x:c>
      <x:c r="G269" s="1"/>
      <x:c r="H269" s="1"/>
      <x:c r="I269" s="29"/>
    </x:row>
    <x:row r="270" ht="14.17322826385498" customHeight="1">
      <x:c r="A270" s="30"/>
      <x:c r="B270" s="31"/>
      <x:c r="C270" s="31"/>
      <x:c r="D270" s="32"/>
      <x:c r="E270" s="1"/>
      <x:c r="F270" s="30"/>
      <x:c r="G270" s="31"/>
      <x:c r="H270" s="31"/>
      <x:c r="I270" s="32"/>
    </x:row>
    <x:row r="271" ht="14.17322826385498" customHeight="1">
      <x:c r="A271" s="25" t="str">
        <x:f>Darabok!A60</x:f>
        <x:v>KI14-BAT-01</x:v>
      </x:c>
      <x:c r="B271" s="26"/>
      <x:c r="C271" s="26"/>
      <x:c r="D271" s="27"/>
      <x:c r="E271" s="1"/>
      <x:c r="F271" s="25" t="str">
        <x:f>Darabok!A61</x:f>
        <x:v>KI14-BAT-02</x:v>
      </x:c>
      <x:c r="G271" s="26"/>
      <x:c r="H271" s="26"/>
      <x:c r="I271" s="27"/>
    </x:row>
    <x:row r="272" ht="14.17322826385498" customHeight="1">
      <x:c r="A272" s="28" t="str">
        <x:v>R15 / TERV</x:v>
      </x:c>
      <x:c r="B272" s="1"/>
      <x:c r="C272" s="1"/>
      <x:c r="D272" s="29"/>
      <x:c r="E272" s="1"/>
      <x:c r="F272" s="28" t="str">
        <x:v>R15 / TERV</x:v>
      </x:c>
      <x:c r="G272" s="1"/>
      <x:c r="H272" s="1"/>
      <x:c r="I272" s="29"/>
    </x:row>
    <x:row r="273" ht="14.17322826385498" customHeight="1">
      <x:c r="A273" s="28" t="str">
        <x:f>Darabok!C60&amp;" x "&amp;Darabok!D60&amp;" x "&amp;Darabok!E60&amp;" mm"</x:f>
        <x:v>2142 x 18 x 18 mm</x:v>
      </x:c>
      <x:c r="B273" s="1"/>
      <x:c r="C273" s="1"/>
      <x:c r="D273" s="29"/>
      <x:c r="E273" s="1"/>
      <x:c r="F273" s="28" t="str">
        <x:f>Darabok!C61&amp;" x "&amp;Darabok!D61&amp;" x "&amp;Darabok!E61&amp;" mm"</x:f>
        <x:v>2142 x 18 x 18 mm</x:v>
      </x:c>
      <x:c r="G273" s="1"/>
      <x:c r="H273" s="1"/>
      <x:c r="I273" s="29"/>
    </x:row>
    <x:row r="274" ht="14.17322826385498" customHeight="1">
      <x:c r="A274" s="28" t="str">
        <x:v>BEECH18</x:v>
      </x:c>
      <x:c r="B274" s="1"/>
      <x:c r="C274" s="1"/>
      <x:c r="D274" s="29"/>
      <x:c r="E274" s="1"/>
      <x:c r="F274" s="28" t="str">
        <x:v>BEECH18</x:v>
      </x:c>
      <x:c r="G274" s="1"/>
      <x:c r="H274" s="1"/>
      <x:c r="I274" s="29"/>
    </x:row>
    <x:row r="275" ht="14.17322826385498" customHeight="1">
      <x:c r="A275" s="28" t="str">
        <x:v>A/B a rajzon / E1 V0 / E4 U0</x:v>
      </x:c>
      <x:c r="B275" s="1"/>
      <x:c r="C275" s="1"/>
      <x:c r="D275" s="29"/>
      <x:c r="E275" s="1"/>
      <x:c r="F275" s="28" t="str">
        <x:v>A/B a rajzon / E1 V0 / E4 U0</x:v>
      </x:c>
      <x:c r="G275" s="1"/>
      <x:c r="H275" s="1"/>
      <x:c r="I275" s="29"/>
    </x:row>
    <x:row r="276" ht="14.17322826385498" customHeight="1">
      <x:c r="A276" s="28" t="str">
        <x:f>"C elkod: "&amp;Darabok!P60</x:f>
        <x:v>C elkod: NYITOTT</x:v>
      </x:c>
      <x:c r="B276" s="1"/>
      <x:c r="C276" s="1"/>
      <x:c r="D276" s="29"/>
      <x:c r="E276" s="1"/>
      <x:c r="F276" s="28" t="str">
        <x:f>"C elkod: "&amp;Darabok!P61</x:f>
        <x:v>C elkod: NYITOTT</x:v>
      </x:c>
      <x:c r="G276" s="1"/>
      <x:c r="H276" s="1"/>
      <x:c r="I276" s="29"/>
    </x:row>
    <x:row r="277" ht="14.17322826385498" customHeight="1">
      <x:c r="A277" s="28" t="str">
        <x:v>AKTÍV FÚRÁSI TERV / NEM GYÁRTÁSI KIADÁS</x:v>
      </x:c>
      <x:c r="B277" s="1"/>
      <x:c r="C277" s="1"/>
      <x:c r="D277" s="29"/>
      <x:c r="E277" s="1"/>
      <x:c r="F277" s="28" t="str">
        <x:v>AKTÍV FÚRÁSI TERV / NEM GYÁRTÁSI KIADÁS</x:v>
      </x:c>
      <x:c r="G277" s="1"/>
      <x:c r="H277" s="1"/>
      <x:c r="I277" s="29"/>
    </x:row>
    <x:row r="278" ht="14.17322826385498" customHeight="1">
      <x:c r="A278" s="28" t="str">
        <x:v>R15:KI14-BAT-01</x:v>
      </x:c>
      <x:c r="B278" s="1"/>
      <x:c r="C278" s="1"/>
      <x:c r="D278" s="29"/>
      <x:c r="E278" s="1"/>
      <x:c r="F278" s="28" t="str">
        <x:v>R15:KI14-BAT-02</x:v>
      </x:c>
      <x:c r="G278" s="1"/>
      <x:c r="H278" s="1"/>
      <x:c r="I278" s="29"/>
    </x:row>
    <x:row r="279" ht="14.17322826385498" customHeight="1">
      <x:c r="A279" s="28" t="str">
        <x:v>PDF-címkén gépi vonalkód is van</x:v>
      </x:c>
      <x:c r="B279" s="1"/>
      <x:c r="C279" s="1"/>
      <x:c r="D279" s="29"/>
      <x:c r="E279" s="1"/>
      <x:c r="F279" s="28" t="str">
        <x:v>PDF-címkén gépi vonalkód is van</x:v>
      </x:c>
      <x:c r="G279" s="1"/>
      <x:c r="H279" s="1"/>
      <x:c r="I279" s="29"/>
    </x:row>
    <x:row r="280" ht="14.17322826385498" customHeight="1">
      <x:c r="A280" s="30"/>
      <x:c r="B280" s="31"/>
      <x:c r="C280" s="31"/>
      <x:c r="D280" s="32"/>
      <x:c r="E280" s="1"/>
      <x:c r="F280" s="30"/>
      <x:c r="G280" s="31"/>
      <x:c r="H280" s="31"/>
      <x:c r="I280" s="32"/>
    </x:row>
    <x:row r="281" ht="14.17322826385498" customHeight="1">
      <x:c r="A281" s="25" t="str">
        <x:f>Darabok!A62</x:f>
        <x:v>KI14-BAT-03</x:v>
      </x:c>
      <x:c r="B281" s="26"/>
      <x:c r="C281" s="26"/>
      <x:c r="D281" s="27"/>
      <x:c r="E281" s="1"/>
      <x:c r="F281" s="25" t="str">
        <x:f>Darabok!A63</x:f>
        <x:v>KI14-BAT-04</x:v>
      </x:c>
      <x:c r="G281" s="26"/>
      <x:c r="H281" s="26"/>
      <x:c r="I281" s="27"/>
    </x:row>
    <x:row r="282" ht="14.17322826385498" customHeight="1">
      <x:c r="A282" s="28" t="str">
        <x:v>R15 / TERV</x:v>
      </x:c>
      <x:c r="B282" s="1"/>
      <x:c r="C282" s="1"/>
      <x:c r="D282" s="29"/>
      <x:c r="E282" s="1"/>
      <x:c r="F282" s="28" t="str">
        <x:v>R15 / TERV</x:v>
      </x:c>
      <x:c r="G282" s="1"/>
      <x:c r="H282" s="1"/>
      <x:c r="I282" s="29"/>
    </x:row>
    <x:row r="283" ht="14.17322826385498" customHeight="1">
      <x:c r="A283" s="28" t="str">
        <x:f>Darabok!C62&amp;" x "&amp;Darabok!D62&amp;" x "&amp;Darabok!E62&amp;" mm"</x:f>
        <x:v>212 x 18 x 18 mm</x:v>
      </x:c>
      <x:c r="B283" s="1"/>
      <x:c r="C283" s="1"/>
      <x:c r="D283" s="29"/>
      <x:c r="E283" s="1"/>
      <x:c r="F283" s="28" t="str">
        <x:f>Darabok!C63&amp;" x "&amp;Darabok!D63&amp;" x "&amp;Darabok!E63&amp;" mm"</x:f>
        <x:v>212 x 18 x 18 mm</x:v>
      </x:c>
      <x:c r="G283" s="1"/>
      <x:c r="H283" s="1"/>
      <x:c r="I283" s="29"/>
    </x:row>
    <x:row r="284" ht="14.17322826385498" customHeight="1">
      <x:c r="A284" s="28" t="str">
        <x:v>BEECH18</x:v>
      </x:c>
      <x:c r="B284" s="1"/>
      <x:c r="C284" s="1"/>
      <x:c r="D284" s="29"/>
      <x:c r="E284" s="1"/>
      <x:c r="F284" s="28" t="str">
        <x:v>BEECH18</x:v>
      </x:c>
      <x:c r="G284" s="1"/>
      <x:c r="H284" s="1"/>
      <x:c r="I284" s="29"/>
    </x:row>
    <x:row r="285" ht="14.17322826385498" customHeight="1">
      <x:c r="A285" s="28" t="str">
        <x:v>A/B a rajzon / E1 V0 / E4 U0</x:v>
      </x:c>
      <x:c r="B285" s="1"/>
      <x:c r="C285" s="1"/>
      <x:c r="D285" s="29"/>
      <x:c r="E285" s="1"/>
      <x:c r="F285" s="28" t="str">
        <x:v>A/B a rajzon / E1 V0 / E4 U0</x:v>
      </x:c>
      <x:c r="G285" s="1"/>
      <x:c r="H285" s="1"/>
      <x:c r="I285" s="29"/>
    </x:row>
    <x:row r="286" ht="14.17322826385498" customHeight="1">
      <x:c r="A286" s="28" t="str">
        <x:f>"C elkod: "&amp;Darabok!P62</x:f>
        <x:v>C elkod: NYITOTT</x:v>
      </x:c>
      <x:c r="B286" s="1"/>
      <x:c r="C286" s="1"/>
      <x:c r="D286" s="29"/>
      <x:c r="E286" s="1"/>
      <x:c r="F286" s="28" t="str">
        <x:f>"C elkod: "&amp;Darabok!P63</x:f>
        <x:v>C elkod: NYITOTT</x:v>
      </x:c>
      <x:c r="G286" s="1"/>
      <x:c r="H286" s="1"/>
      <x:c r="I286" s="29"/>
    </x:row>
    <x:row r="287" ht="14.17322826385498" customHeight="1">
      <x:c r="A287" s="28" t="str">
        <x:v>AKTÍV FÚRÁSI TERV / NEM GYÁRTÁSI KIADÁS</x:v>
      </x:c>
      <x:c r="B287" s="1"/>
      <x:c r="C287" s="1"/>
      <x:c r="D287" s="29"/>
      <x:c r="E287" s="1"/>
      <x:c r="F287" s="28" t="str">
        <x:v>AKTÍV FÚRÁSI TERV / NEM GYÁRTÁSI KIADÁS</x:v>
      </x:c>
      <x:c r="G287" s="1"/>
      <x:c r="H287" s="1"/>
      <x:c r="I287" s="29"/>
    </x:row>
    <x:row r="288" ht="14.17322826385498" customHeight="1">
      <x:c r="A288" s="28" t="str">
        <x:v>R15:KI14-BAT-03</x:v>
      </x:c>
      <x:c r="B288" s="1"/>
      <x:c r="C288" s="1"/>
      <x:c r="D288" s="29"/>
      <x:c r="E288" s="1"/>
      <x:c r="F288" s="28" t="str">
        <x:v>R15:KI14-BAT-04</x:v>
      </x:c>
      <x:c r="G288" s="1"/>
      <x:c r="H288" s="1"/>
      <x:c r="I288" s="29"/>
    </x:row>
    <x:row r="289" ht="14.17322826385498" customHeight="1">
      <x:c r="A289" s="28" t="str">
        <x:v>PDF-címkén gépi vonalkód is van</x:v>
      </x:c>
      <x:c r="B289" s="1"/>
      <x:c r="C289" s="1"/>
      <x:c r="D289" s="29"/>
      <x:c r="E289" s="1"/>
      <x:c r="F289" s="28" t="str">
        <x:v>PDF-címkén gépi vonalkód is van</x:v>
      </x:c>
      <x:c r="G289" s="1"/>
      <x:c r="H289" s="1"/>
      <x:c r="I289" s="29"/>
    </x:row>
    <x:row r="290" ht="14.17322826385498" customHeight="1">
      <x:c r="A290" s="30"/>
      <x:c r="B290" s="31"/>
      <x:c r="C290" s="31"/>
      <x:c r="D290" s="32"/>
      <x:c r="E290" s="1"/>
      <x:c r="F290" s="30"/>
      <x:c r="G290" s="31"/>
      <x:c r="H290" s="31"/>
      <x:c r="I290" s="32"/>
    </x:row>
    <x:row r="291" ht="14.17322826385498" customHeight="1">
      <x:c r="A291" s="25" t="str">
        <x:f>Darabok!A64</x:f>
        <x:v>KI14-BAT-05</x:v>
      </x:c>
      <x:c r="B291" s="26"/>
      <x:c r="C291" s="26"/>
      <x:c r="D291" s="27"/>
      <x:c r="E291" s="1"/>
      <x:c r="F291" s="25" t="str">
        <x:f>Darabok!A65</x:f>
        <x:v>KI14-BAT-06</x:v>
      </x:c>
      <x:c r="G291" s="26"/>
      <x:c r="H291" s="26"/>
      <x:c r="I291" s="27"/>
    </x:row>
    <x:row r="292" ht="14.17322826385498" customHeight="1">
      <x:c r="A292" s="28" t="str">
        <x:v>R15 / TERV</x:v>
      </x:c>
      <x:c r="B292" s="1"/>
      <x:c r="C292" s="1"/>
      <x:c r="D292" s="29"/>
      <x:c r="E292" s="1"/>
      <x:c r="F292" s="28" t="str">
        <x:v>R15 / TERV</x:v>
      </x:c>
      <x:c r="G292" s="1"/>
      <x:c r="H292" s="1"/>
      <x:c r="I292" s="29"/>
    </x:row>
    <x:row r="293" ht="14.17322826385498" customHeight="1">
      <x:c r="A293" s="28" t="str">
        <x:f>Darabok!C64&amp;" x "&amp;Darabok!D64&amp;" x "&amp;Darabok!E64&amp;" mm"</x:f>
        <x:v>212 x 18 x 18 mm</x:v>
      </x:c>
      <x:c r="B293" s="1"/>
      <x:c r="C293" s="1"/>
      <x:c r="D293" s="29"/>
      <x:c r="E293" s="1"/>
      <x:c r="F293" s="28" t="str">
        <x:f>Darabok!C65&amp;" x "&amp;Darabok!D65&amp;" x "&amp;Darabok!E65&amp;" mm"</x:f>
        <x:v>212 x 18 x 18 mm</x:v>
      </x:c>
      <x:c r="G293" s="1"/>
      <x:c r="H293" s="1"/>
      <x:c r="I293" s="29"/>
    </x:row>
    <x:row r="294" ht="14.17322826385498" customHeight="1">
      <x:c r="A294" s="28" t="str">
        <x:v>BEECH18</x:v>
      </x:c>
      <x:c r="B294" s="1"/>
      <x:c r="C294" s="1"/>
      <x:c r="D294" s="29"/>
      <x:c r="E294" s="1"/>
      <x:c r="F294" s="28" t="str">
        <x:v>BEECH18</x:v>
      </x:c>
      <x:c r="G294" s="1"/>
      <x:c r="H294" s="1"/>
      <x:c r="I294" s="29"/>
    </x:row>
    <x:row r="295" ht="14.17322826385498" customHeight="1">
      <x:c r="A295" s="28" t="str">
        <x:v>A/B a rajzon / E1 V0 / E4 U0</x:v>
      </x:c>
      <x:c r="B295" s="1"/>
      <x:c r="C295" s="1"/>
      <x:c r="D295" s="29"/>
      <x:c r="E295" s="1"/>
      <x:c r="F295" s="28" t="str">
        <x:v>A/B a rajzon / E1 V0 / E4 U0</x:v>
      </x:c>
      <x:c r="G295" s="1"/>
      <x:c r="H295" s="1"/>
      <x:c r="I295" s="29"/>
    </x:row>
    <x:row r="296" ht="14.17322826385498" customHeight="1">
      <x:c r="A296" s="28" t="str">
        <x:f>"C elkod: "&amp;Darabok!P64</x:f>
        <x:v>C elkod: NYITOTT</x:v>
      </x:c>
      <x:c r="B296" s="1"/>
      <x:c r="C296" s="1"/>
      <x:c r="D296" s="29"/>
      <x:c r="E296" s="1"/>
      <x:c r="F296" s="28" t="str">
        <x:f>"C elkod: "&amp;Darabok!P65</x:f>
        <x:v>C elkod: NYITOTT</x:v>
      </x:c>
      <x:c r="G296" s="1"/>
      <x:c r="H296" s="1"/>
      <x:c r="I296" s="29"/>
    </x:row>
    <x:row r="297" ht="14.17322826385498" customHeight="1">
      <x:c r="A297" s="28" t="str">
        <x:v>AKTÍV FÚRÁSI TERV / NEM GYÁRTÁSI KIADÁS</x:v>
      </x:c>
      <x:c r="B297" s="1"/>
      <x:c r="C297" s="1"/>
      <x:c r="D297" s="29"/>
      <x:c r="E297" s="1"/>
      <x:c r="F297" s="28" t="str">
        <x:v>AKTÍV FÚRÁSI TERV / NEM GYÁRTÁSI KIADÁS</x:v>
      </x:c>
      <x:c r="G297" s="1"/>
      <x:c r="H297" s="1"/>
      <x:c r="I297" s="29"/>
    </x:row>
    <x:row r="298" ht="14.17322826385498" customHeight="1">
      <x:c r="A298" s="28" t="str">
        <x:v>R15:KI14-BAT-05</x:v>
      </x:c>
      <x:c r="B298" s="1"/>
      <x:c r="C298" s="1"/>
      <x:c r="D298" s="29"/>
      <x:c r="E298" s="1"/>
      <x:c r="F298" s="28" t="str">
        <x:v>R15:KI14-BAT-06</x:v>
      </x:c>
      <x:c r="G298" s="1"/>
      <x:c r="H298" s="1"/>
      <x:c r="I298" s="29"/>
    </x:row>
    <x:row r="299" ht="14.17322826385498" customHeight="1">
      <x:c r="A299" s="28" t="str">
        <x:v>PDF-címkén gépi vonalkód is van</x:v>
      </x:c>
      <x:c r="B299" s="1"/>
      <x:c r="C299" s="1"/>
      <x:c r="D299" s="29"/>
      <x:c r="E299" s="1"/>
      <x:c r="F299" s="28" t="str">
        <x:v>PDF-címkén gépi vonalkód is van</x:v>
      </x:c>
      <x:c r="G299" s="1"/>
      <x:c r="H299" s="1"/>
      <x:c r="I299" s="29"/>
    </x:row>
    <x:row r="300" ht="14.17322826385498" customHeight="1">
      <x:c r="A300" s="30"/>
      <x:c r="B300" s="31"/>
      <x:c r="C300" s="31"/>
      <x:c r="D300" s="32"/>
      <x:c r="E300" s="1"/>
      <x:c r="F300" s="30"/>
      <x:c r="G300" s="31"/>
      <x:c r="H300" s="31"/>
      <x:c r="I300" s="32"/>
    </x:row>
    <x:row r="301" ht="14.17322826385498" customHeight="1">
      <x:c r="A301" s="25" t="str">
        <x:f>Darabok!A66</x:f>
        <x:v>KI14-BAT-07</x:v>
      </x:c>
      <x:c r="B301" s="26"/>
      <x:c r="C301" s="26"/>
      <x:c r="D301" s="27"/>
      <x:c r="E301" s="1"/>
      <x:c r="F301" s="25" t="str">
        <x:f>Darabok!A67</x:f>
        <x:v>KI14-BAT-08</x:v>
      </x:c>
      <x:c r="G301" s="26"/>
      <x:c r="H301" s="26"/>
      <x:c r="I301" s="27"/>
    </x:row>
    <x:row r="302" ht="14.17322826385498" customHeight="1">
      <x:c r="A302" s="28" t="str">
        <x:v>R15 / TERV</x:v>
      </x:c>
      <x:c r="B302" s="1"/>
      <x:c r="C302" s="1"/>
      <x:c r="D302" s="29"/>
      <x:c r="E302" s="1"/>
      <x:c r="F302" s="28" t="str">
        <x:v>R15 / TERV</x:v>
      </x:c>
      <x:c r="G302" s="1"/>
      <x:c r="H302" s="1"/>
      <x:c r="I302" s="29"/>
    </x:row>
    <x:row r="303" ht="14.17322826385498" customHeight="1">
      <x:c r="A303" s="28" t="str">
        <x:f>Darabok!C66&amp;" x "&amp;Darabok!D66&amp;" x "&amp;Darabok!E66&amp;" mm"</x:f>
        <x:v>212 x 18 x 18 mm</x:v>
      </x:c>
      <x:c r="B303" s="1"/>
      <x:c r="C303" s="1"/>
      <x:c r="D303" s="29"/>
      <x:c r="E303" s="1"/>
      <x:c r="F303" s="28" t="str">
        <x:f>Darabok!C67&amp;" x "&amp;Darabok!D67&amp;" x "&amp;Darabok!E67&amp;" mm"</x:f>
        <x:v>212 x 18 x 18 mm</x:v>
      </x:c>
      <x:c r="G303" s="1"/>
      <x:c r="H303" s="1"/>
      <x:c r="I303" s="29"/>
    </x:row>
    <x:row r="304" ht="14.17322826385498" customHeight="1">
      <x:c r="A304" s="28" t="str">
        <x:v>BEECH18</x:v>
      </x:c>
      <x:c r="B304" s="1"/>
      <x:c r="C304" s="1"/>
      <x:c r="D304" s="29"/>
      <x:c r="E304" s="1"/>
      <x:c r="F304" s="28" t="str">
        <x:v>BEECH18</x:v>
      </x:c>
      <x:c r="G304" s="1"/>
      <x:c r="H304" s="1"/>
      <x:c r="I304" s="29"/>
    </x:row>
    <x:row r="305" ht="14.17322826385498" customHeight="1">
      <x:c r="A305" s="28" t="str">
        <x:v>A/B a rajzon / E1 V0 / E4 U0</x:v>
      </x:c>
      <x:c r="B305" s="1"/>
      <x:c r="C305" s="1"/>
      <x:c r="D305" s="29"/>
      <x:c r="E305" s="1"/>
      <x:c r="F305" s="28" t="str">
        <x:v>A/B a rajzon / E1 V0 / E4 U0</x:v>
      </x:c>
      <x:c r="G305" s="1"/>
      <x:c r="H305" s="1"/>
      <x:c r="I305" s="29"/>
    </x:row>
    <x:row r="306" ht="14.17322826385498" customHeight="1">
      <x:c r="A306" s="28" t="str">
        <x:f>"C elkod: "&amp;Darabok!P66</x:f>
        <x:v>C elkod: NYITOTT</x:v>
      </x:c>
      <x:c r="B306" s="1"/>
      <x:c r="C306" s="1"/>
      <x:c r="D306" s="29"/>
      <x:c r="E306" s="1"/>
      <x:c r="F306" s="28" t="str">
        <x:f>"C elkod: "&amp;Darabok!P67</x:f>
        <x:v>C elkod: NYITOTT</x:v>
      </x:c>
      <x:c r="G306" s="1"/>
      <x:c r="H306" s="1"/>
      <x:c r="I306" s="29"/>
    </x:row>
    <x:row r="307" ht="14.17322826385498" customHeight="1">
      <x:c r="A307" s="28" t="str">
        <x:v>AKTÍV FÚRÁSI TERV / NEM GYÁRTÁSI KIADÁS</x:v>
      </x:c>
      <x:c r="B307" s="1"/>
      <x:c r="C307" s="1"/>
      <x:c r="D307" s="29"/>
      <x:c r="E307" s="1"/>
      <x:c r="F307" s="28" t="str">
        <x:v>AKTÍV FÚRÁSI TERV / NEM GYÁRTÁSI KIADÁS</x:v>
      </x:c>
      <x:c r="G307" s="1"/>
      <x:c r="H307" s="1"/>
      <x:c r="I307" s="29"/>
    </x:row>
    <x:row r="308" ht="14.17322826385498" customHeight="1">
      <x:c r="A308" s="28" t="str">
        <x:v>R15:KI14-BAT-07</x:v>
      </x:c>
      <x:c r="B308" s="1"/>
      <x:c r="C308" s="1"/>
      <x:c r="D308" s="29"/>
      <x:c r="E308" s="1"/>
      <x:c r="F308" s="28" t="str">
        <x:v>R15:KI14-BAT-08</x:v>
      </x:c>
      <x:c r="G308" s="1"/>
      <x:c r="H308" s="1"/>
      <x:c r="I308" s="29"/>
    </x:row>
    <x:row r="309" ht="14.17322826385498" customHeight="1">
      <x:c r="A309" s="28" t="str">
        <x:v>PDF-címkén gépi vonalkód is van</x:v>
      </x:c>
      <x:c r="B309" s="1"/>
      <x:c r="C309" s="1"/>
      <x:c r="D309" s="29"/>
      <x:c r="E309" s="1"/>
      <x:c r="F309" s="28" t="str">
        <x:v>PDF-címkén gépi vonalkód is van</x:v>
      </x:c>
      <x:c r="G309" s="1"/>
      <x:c r="H309" s="1"/>
      <x:c r="I309" s="29"/>
    </x:row>
    <x:row r="310" ht="14.17322826385498" customHeight="1">
      <x:c r="A310" s="30"/>
      <x:c r="B310" s="31"/>
      <x:c r="C310" s="31"/>
      <x:c r="D310" s="32"/>
      <x:c r="E310" s="1"/>
      <x:c r="F310" s="30"/>
      <x:c r="G310" s="31"/>
      <x:c r="H310" s="31"/>
      <x:c r="I310" s="32"/>
    </x:row>
    <x:row r="311" ht="14.17322826385498" customHeight="1">
      <x:c r="A311" s="25" t="str">
        <x:f>Darabok!A68</x:f>
        <x:v>KI14-BAT-09</x:v>
      </x:c>
      <x:c r="B311" s="26"/>
      <x:c r="C311" s="26"/>
      <x:c r="D311" s="27"/>
      <x:c r="E311" s="1"/>
      <x:c r="F311" s="25" t="str">
        <x:f>Darabok!A69</x:f>
        <x:v>KI14-BAT-10</x:v>
      </x:c>
      <x:c r="G311" s="26"/>
      <x:c r="H311" s="26"/>
      <x:c r="I311" s="27"/>
    </x:row>
    <x:row r="312" ht="14.17322826385498" customHeight="1">
      <x:c r="A312" s="28" t="str">
        <x:v>R15 / TERV</x:v>
      </x:c>
      <x:c r="B312" s="1"/>
      <x:c r="C312" s="1"/>
      <x:c r="D312" s="29"/>
      <x:c r="E312" s="1"/>
      <x:c r="F312" s="28" t="str">
        <x:v>R15 / TERV</x:v>
      </x:c>
      <x:c r="G312" s="1"/>
      <x:c r="H312" s="1"/>
      <x:c r="I312" s="29"/>
    </x:row>
    <x:row r="313" ht="14.17322826385498" customHeight="1">
      <x:c r="A313" s="28" t="str">
        <x:f>Darabok!C68&amp;" x "&amp;Darabok!D68&amp;" x "&amp;Darabok!E68&amp;" mm"</x:f>
        <x:v>212 x 18 x 18 mm</x:v>
      </x:c>
      <x:c r="B313" s="1"/>
      <x:c r="C313" s="1"/>
      <x:c r="D313" s="29"/>
      <x:c r="E313" s="1"/>
      <x:c r="F313" s="28" t="str">
        <x:f>Darabok!C69&amp;" x "&amp;Darabok!D69&amp;" x "&amp;Darabok!E69&amp;" mm"</x:f>
        <x:v>212 x 18 x 18 mm</x:v>
      </x:c>
      <x:c r="G313" s="1"/>
      <x:c r="H313" s="1"/>
      <x:c r="I313" s="29"/>
    </x:row>
    <x:row r="314" ht="14.17322826385498" customHeight="1">
      <x:c r="A314" s="28" t="str">
        <x:v>BEECH18</x:v>
      </x:c>
      <x:c r="B314" s="1"/>
      <x:c r="C314" s="1"/>
      <x:c r="D314" s="29"/>
      <x:c r="E314" s="1"/>
      <x:c r="F314" s="28" t="str">
        <x:v>BEECH18</x:v>
      </x:c>
      <x:c r="G314" s="1"/>
      <x:c r="H314" s="1"/>
      <x:c r="I314" s="29"/>
    </x:row>
    <x:row r="315" ht="14.17322826385498" customHeight="1">
      <x:c r="A315" s="28" t="str">
        <x:v>A/B a rajzon / E1 V0 / E4 U0</x:v>
      </x:c>
      <x:c r="B315" s="1"/>
      <x:c r="C315" s="1"/>
      <x:c r="D315" s="29"/>
      <x:c r="E315" s="1"/>
      <x:c r="F315" s="28" t="str">
        <x:v>A/B a rajzon / E1 V0 / E4 U0</x:v>
      </x:c>
      <x:c r="G315" s="1"/>
      <x:c r="H315" s="1"/>
      <x:c r="I315" s="29"/>
    </x:row>
    <x:row r="316" ht="14.17322826385498" customHeight="1">
      <x:c r="A316" s="28" t="str">
        <x:f>"C elkod: "&amp;Darabok!P68</x:f>
        <x:v>C elkod: NYITOTT</x:v>
      </x:c>
      <x:c r="B316" s="1"/>
      <x:c r="C316" s="1"/>
      <x:c r="D316" s="29"/>
      <x:c r="E316" s="1"/>
      <x:c r="F316" s="28" t="str">
        <x:f>"C elkod: "&amp;Darabok!P69</x:f>
        <x:v>C elkod: NYITOTT</x:v>
      </x:c>
      <x:c r="G316" s="1"/>
      <x:c r="H316" s="1"/>
      <x:c r="I316" s="29"/>
    </x:row>
    <x:row r="317" ht="14.17322826385498" customHeight="1">
      <x:c r="A317" s="28" t="str">
        <x:v>AKTÍV FÚRÁSI TERV / NEM GYÁRTÁSI KIADÁS</x:v>
      </x:c>
      <x:c r="B317" s="1"/>
      <x:c r="C317" s="1"/>
      <x:c r="D317" s="29"/>
      <x:c r="E317" s="1"/>
      <x:c r="F317" s="28" t="str">
        <x:v>AKTÍV FÚRÁSI TERV / NEM GYÁRTÁSI KIADÁS</x:v>
      </x:c>
      <x:c r="G317" s="1"/>
      <x:c r="H317" s="1"/>
      <x:c r="I317" s="29"/>
    </x:row>
    <x:row r="318" ht="14.17322826385498" customHeight="1">
      <x:c r="A318" s="28" t="str">
        <x:v>R15:KI14-BAT-09</x:v>
      </x:c>
      <x:c r="B318" s="1"/>
      <x:c r="C318" s="1"/>
      <x:c r="D318" s="29"/>
      <x:c r="E318" s="1"/>
      <x:c r="F318" s="28" t="str">
        <x:v>R15:KI14-BAT-10</x:v>
      </x:c>
      <x:c r="G318" s="1"/>
      <x:c r="H318" s="1"/>
      <x:c r="I318" s="29"/>
    </x:row>
    <x:row r="319" ht="14.17322826385498" customHeight="1">
      <x:c r="A319" s="28" t="str">
        <x:v>PDF-címkén gépi vonalkód is van</x:v>
      </x:c>
      <x:c r="B319" s="1"/>
      <x:c r="C319" s="1"/>
      <x:c r="D319" s="29"/>
      <x:c r="E319" s="1"/>
      <x:c r="F319" s="28" t="str">
        <x:v>PDF-címkén gépi vonalkód is van</x:v>
      </x:c>
      <x:c r="G319" s="1"/>
      <x:c r="H319" s="1"/>
      <x:c r="I319" s="29"/>
    </x:row>
    <x:row r="320" ht="14.17322826385498" customHeight="1">
      <x:c r="A320" s="30"/>
      <x:c r="B320" s="31"/>
      <x:c r="C320" s="31"/>
      <x:c r="D320" s="32"/>
      <x:c r="E320" s="1"/>
      <x:c r="F320" s="30"/>
      <x:c r="G320" s="31"/>
      <x:c r="H320" s="31"/>
      <x:c r="I320" s="32"/>
    </x:row>
    <x:row r="321" ht="14.17322826385498" customHeight="1">
      <x:c r="A321" s="25" t="str">
        <x:f>Darabok!A70</x:f>
        <x:v>KI14-BAT-11</x:v>
      </x:c>
      <x:c r="B321" s="26"/>
      <x:c r="C321" s="26"/>
      <x:c r="D321" s="27"/>
      <x:c r="E321" s="1"/>
      <x:c r="F321" s="25" t="str">
        <x:f>Darabok!A71</x:f>
        <x:v>KI14-BAT-12</x:v>
      </x:c>
      <x:c r="G321" s="26"/>
      <x:c r="H321" s="26"/>
      <x:c r="I321" s="27"/>
    </x:row>
    <x:row r="322" ht="14.17322826385498" customHeight="1">
      <x:c r="A322" s="28" t="str">
        <x:v>R15 / TERV</x:v>
      </x:c>
      <x:c r="B322" s="1"/>
      <x:c r="C322" s="1"/>
      <x:c r="D322" s="29"/>
      <x:c r="E322" s="1"/>
      <x:c r="F322" s="28" t="str">
        <x:v>R15 / TERV</x:v>
      </x:c>
      <x:c r="G322" s="1"/>
      <x:c r="H322" s="1"/>
      <x:c r="I322" s="29"/>
    </x:row>
    <x:row r="323" ht="14.17322826385498" customHeight="1">
      <x:c r="A323" s="28" t="str">
        <x:f>Darabok!C70&amp;" x "&amp;Darabok!D70&amp;" x "&amp;Darabok!E70&amp;" mm"</x:f>
        <x:v>212 x 18 x 18 mm</x:v>
      </x:c>
      <x:c r="B323" s="1"/>
      <x:c r="C323" s="1"/>
      <x:c r="D323" s="29"/>
      <x:c r="E323" s="1"/>
      <x:c r="F323" s="28" t="str">
        <x:f>Darabok!C71&amp;" x "&amp;Darabok!D71&amp;" x "&amp;Darabok!E71&amp;" mm"</x:f>
        <x:v>212 x 18 x 18 mm</x:v>
      </x:c>
      <x:c r="G323" s="1"/>
      <x:c r="H323" s="1"/>
      <x:c r="I323" s="29"/>
    </x:row>
    <x:row r="324" ht="14.17322826385498" customHeight="1">
      <x:c r="A324" s="28" t="str">
        <x:v>BEECH18</x:v>
      </x:c>
      <x:c r="B324" s="1"/>
      <x:c r="C324" s="1"/>
      <x:c r="D324" s="29"/>
      <x:c r="E324" s="1"/>
      <x:c r="F324" s="28" t="str">
        <x:v>BEECH18</x:v>
      </x:c>
      <x:c r="G324" s="1"/>
      <x:c r="H324" s="1"/>
      <x:c r="I324" s="29"/>
    </x:row>
    <x:row r="325" ht="14.17322826385498" customHeight="1">
      <x:c r="A325" s="28" t="str">
        <x:v>A/B a rajzon / E1 V0 / E4 U0</x:v>
      </x:c>
      <x:c r="B325" s="1"/>
      <x:c r="C325" s="1"/>
      <x:c r="D325" s="29"/>
      <x:c r="E325" s="1"/>
      <x:c r="F325" s="28" t="str">
        <x:v>A/B a rajzon / E1 V0 / E4 U0</x:v>
      </x:c>
      <x:c r="G325" s="1"/>
      <x:c r="H325" s="1"/>
      <x:c r="I325" s="29"/>
    </x:row>
    <x:row r="326" ht="14.17322826385498" customHeight="1">
      <x:c r="A326" s="28" t="str">
        <x:f>"C elkod: "&amp;Darabok!P70</x:f>
        <x:v>C elkod: NYITOTT</x:v>
      </x:c>
      <x:c r="B326" s="1"/>
      <x:c r="C326" s="1"/>
      <x:c r="D326" s="29"/>
      <x:c r="E326" s="1"/>
      <x:c r="F326" s="28" t="str">
        <x:f>"C elkod: "&amp;Darabok!P71</x:f>
        <x:v>C elkod: NYITOTT</x:v>
      </x:c>
      <x:c r="G326" s="1"/>
      <x:c r="H326" s="1"/>
      <x:c r="I326" s="29"/>
    </x:row>
    <x:row r="327" ht="14.17322826385498" customHeight="1">
      <x:c r="A327" s="28" t="str">
        <x:v>AKTÍV FÚRÁSI TERV / NEM GYÁRTÁSI KIADÁS</x:v>
      </x:c>
      <x:c r="B327" s="1"/>
      <x:c r="C327" s="1"/>
      <x:c r="D327" s="29"/>
      <x:c r="E327" s="1"/>
      <x:c r="F327" s="28" t="str">
        <x:v>AKTÍV FÚRÁSI TERV / NEM GYÁRTÁSI KIADÁS</x:v>
      </x:c>
      <x:c r="G327" s="1"/>
      <x:c r="H327" s="1"/>
      <x:c r="I327" s="29"/>
    </x:row>
    <x:row r="328" ht="14.17322826385498" customHeight="1">
      <x:c r="A328" s="28" t="str">
        <x:v>R15:KI14-BAT-11</x:v>
      </x:c>
      <x:c r="B328" s="1"/>
      <x:c r="C328" s="1"/>
      <x:c r="D328" s="29"/>
      <x:c r="E328" s="1"/>
      <x:c r="F328" s="28" t="str">
        <x:v>R15:KI14-BAT-12</x:v>
      </x:c>
      <x:c r="G328" s="1"/>
      <x:c r="H328" s="1"/>
      <x:c r="I328" s="29"/>
    </x:row>
    <x:row r="329" ht="14.17322826385498" customHeight="1">
      <x:c r="A329" s="28" t="str">
        <x:v>PDF-címkén gépi vonalkód is van</x:v>
      </x:c>
      <x:c r="B329" s="1"/>
      <x:c r="C329" s="1"/>
      <x:c r="D329" s="29"/>
      <x:c r="E329" s="1"/>
      <x:c r="F329" s="28" t="str">
        <x:v>PDF-címkén gépi vonalkód is van</x:v>
      </x:c>
      <x:c r="G329" s="1"/>
      <x:c r="H329" s="1"/>
      <x:c r="I329" s="29"/>
    </x:row>
    <x:row r="330" ht="14.17322826385498" customHeight="1">
      <x:c r="A330" s="30"/>
      <x:c r="B330" s="31"/>
      <x:c r="C330" s="31"/>
      <x:c r="D330" s="32"/>
      <x:c r="E330" s="1"/>
      <x:c r="F330" s="30"/>
      <x:c r="G330" s="31"/>
      <x:c r="H330" s="31"/>
      <x:c r="I330" s="32"/>
    </x:row>
    <x:row r="331" ht="14.17322826385498" customHeight="1">
      <x:c r="A331" s="25" t="str">
        <x:f>Darabok!A72</x:f>
        <x:v>KI14-GAPBAT-01</x:v>
      </x:c>
      <x:c r="B331" s="26"/>
      <x:c r="C331" s="26"/>
      <x:c r="D331" s="27"/>
      <x:c r="E331" s="1"/>
      <x:c r="F331" s="25" t="str">
        <x:f>Darabok!A73</x:f>
        <x:v>KI14-GAPBAT-02</x:v>
      </x:c>
      <x:c r="G331" s="26"/>
      <x:c r="H331" s="26"/>
      <x:c r="I331" s="27"/>
    </x:row>
    <x:row r="332" ht="14.17322826385498" customHeight="1">
      <x:c r="A332" s="28" t="str">
        <x:v>R15 / TERV</x:v>
      </x:c>
      <x:c r="B332" s="1"/>
      <x:c r="C332" s="1"/>
      <x:c r="D332" s="29"/>
      <x:c r="E332" s="1"/>
      <x:c r="F332" s="28" t="str">
        <x:v>R15 / TERV</x:v>
      </x:c>
      <x:c r="G332" s="1"/>
      <x:c r="H332" s="1"/>
      <x:c r="I332" s="29"/>
    </x:row>
    <x:row r="333" ht="14.17322826385498" customHeight="1">
      <x:c r="A333" s="28" t="str">
        <x:f>Darabok!C72&amp;" x "&amp;Darabok!D72&amp;" x "&amp;Darabok!E72&amp;" mm"</x:f>
        <x:v>320 x 18 x 18 mm</x:v>
      </x:c>
      <x:c r="B333" s="1"/>
      <x:c r="C333" s="1"/>
      <x:c r="D333" s="29"/>
      <x:c r="E333" s="1"/>
      <x:c r="F333" s="28" t="str">
        <x:f>Darabok!C73&amp;" x "&amp;Darabok!D73&amp;" x "&amp;Darabok!E73&amp;" mm"</x:f>
        <x:v>320 x 18 x 18 mm</x:v>
      </x:c>
      <x:c r="G333" s="1"/>
      <x:c r="H333" s="1"/>
      <x:c r="I333" s="29"/>
    </x:row>
    <x:row r="334" ht="14.17322826385498" customHeight="1">
      <x:c r="A334" s="28" t="str">
        <x:v>BEECH18</x:v>
      </x:c>
      <x:c r="B334" s="1"/>
      <x:c r="C334" s="1"/>
      <x:c r="D334" s="29"/>
      <x:c r="E334" s="1"/>
      <x:c r="F334" s="28" t="str">
        <x:v>BEECH18</x:v>
      </x:c>
      <x:c r="G334" s="1"/>
      <x:c r="H334" s="1"/>
      <x:c r="I334" s="29"/>
    </x:row>
    <x:row r="335" ht="14.17322826385498" customHeight="1">
      <x:c r="A335" s="28" t="str">
        <x:v>A/B a rajzon / E1 V0 / E4 U0</x:v>
      </x:c>
      <x:c r="B335" s="1"/>
      <x:c r="C335" s="1"/>
      <x:c r="D335" s="29"/>
      <x:c r="E335" s="1"/>
      <x:c r="F335" s="28" t="str">
        <x:v>A/B a rajzon / E1 V0 / E4 U0</x:v>
      </x:c>
      <x:c r="G335" s="1"/>
      <x:c r="H335" s="1"/>
      <x:c r="I335" s="29"/>
    </x:row>
    <x:row r="336" ht="14.17322826385498" customHeight="1">
      <x:c r="A336" s="28" t="str">
        <x:f>"C elkod: "&amp;Darabok!P72</x:f>
        <x:v>C elkod: NYITOTT</x:v>
      </x:c>
      <x:c r="B336" s="1"/>
      <x:c r="C336" s="1"/>
      <x:c r="D336" s="29"/>
      <x:c r="E336" s="1"/>
      <x:c r="F336" s="28" t="str">
        <x:f>"C elkod: "&amp;Darabok!P73</x:f>
        <x:v>C elkod: NYITOTT</x:v>
      </x:c>
      <x:c r="G336" s="1"/>
      <x:c r="H336" s="1"/>
      <x:c r="I336" s="29"/>
    </x:row>
    <x:row r="337" ht="14.17322826385498" customHeight="1">
      <x:c r="A337" s="28" t="str">
        <x:v>AKTÍV FÚRÁSI TERV / NEM GYÁRTÁSI KIADÁS</x:v>
      </x:c>
      <x:c r="B337" s="1"/>
      <x:c r="C337" s="1"/>
      <x:c r="D337" s="29"/>
      <x:c r="E337" s="1"/>
      <x:c r="F337" s="28" t="str">
        <x:v>AKTÍV FÚRÁSI TERV / NEM GYÁRTÁSI KIADÁS</x:v>
      </x:c>
      <x:c r="G337" s="1"/>
      <x:c r="H337" s="1"/>
      <x:c r="I337" s="29"/>
    </x:row>
    <x:row r="338" ht="14.17322826385498" customHeight="1">
      <x:c r="A338" s="28" t="str">
        <x:v>R15:KI14-GAPBAT-01</x:v>
      </x:c>
      <x:c r="B338" s="1"/>
      <x:c r="C338" s="1"/>
      <x:c r="D338" s="29"/>
      <x:c r="E338" s="1"/>
      <x:c r="F338" s="28" t="str">
        <x:v>R15:KI14-GAPBAT-02</x:v>
      </x:c>
      <x:c r="G338" s="1"/>
      <x:c r="H338" s="1"/>
      <x:c r="I338" s="29"/>
    </x:row>
    <x:row r="339" ht="14.17322826385498" customHeight="1">
      <x:c r="A339" s="28" t="str">
        <x:v>PDF-címkén gépi vonalkód is van</x:v>
      </x:c>
      <x:c r="B339" s="1"/>
      <x:c r="C339" s="1"/>
      <x:c r="D339" s="29"/>
      <x:c r="E339" s="1"/>
      <x:c r="F339" s="28" t="str">
        <x:v>PDF-címkén gépi vonalkód is van</x:v>
      </x:c>
      <x:c r="G339" s="1"/>
      <x:c r="H339" s="1"/>
      <x:c r="I339" s="29"/>
    </x:row>
    <x:row r="340" ht="14.17322826385498" customHeight="1">
      <x:c r="A340" s="30"/>
      <x:c r="B340" s="31"/>
      <x:c r="C340" s="31"/>
      <x:c r="D340" s="32"/>
      <x:c r="E340" s="1"/>
      <x:c r="F340" s="30"/>
      <x:c r="G340" s="31"/>
      <x:c r="H340" s="31"/>
      <x:c r="I340" s="32"/>
    </x:row>
    <x:row r="341" ht="14.17322826385498" customHeight="1">
      <x:c r="A341" s="25" t="str">
        <x:f>Darabok!A74</x:f>
        <x:v>KI14-RAIL-01</x:v>
      </x:c>
      <x:c r="B341" s="26"/>
      <x:c r="C341" s="26"/>
      <x:c r="D341" s="27"/>
      <x:c r="E341" s="1"/>
      <x:c r="F341" s="25" t="str">
        <x:f>Darabok!A75</x:f>
        <x:v>KI14-RAIL-02</x:v>
      </x:c>
      <x:c r="G341" s="26"/>
      <x:c r="H341" s="26"/>
      <x:c r="I341" s="27"/>
    </x:row>
    <x:row r="342" ht="14.17322826385498" customHeight="1">
      <x:c r="A342" s="28" t="str">
        <x:v>R15 / TERV</x:v>
      </x:c>
      <x:c r="B342" s="1"/>
      <x:c r="C342" s="1"/>
      <x:c r="D342" s="29"/>
      <x:c r="E342" s="1"/>
      <x:c r="F342" s="28" t="str">
        <x:v>R15 / TERV</x:v>
      </x:c>
      <x:c r="G342" s="1"/>
      <x:c r="H342" s="1"/>
      <x:c r="I342" s="29"/>
    </x:row>
    <x:row r="343" ht="14.17322826385498" customHeight="1">
      <x:c r="A343" s="28" t="str">
        <x:f>Darabok!C74&amp;" x "&amp;Darabok!D74&amp;" x "&amp;Darabok!E74&amp;" mm"</x:f>
        <x:v>684 x 100 x 18 mm</x:v>
      </x:c>
      <x:c r="B343" s="1"/>
      <x:c r="C343" s="1"/>
      <x:c r="D343" s="29"/>
      <x:c r="E343" s="1"/>
      <x:c r="F343" s="28" t="str">
        <x:f>Darabok!C75&amp;" x "&amp;Darabok!D75&amp;" x "&amp;Darabok!E75&amp;" mm"</x:f>
        <x:v>654 x 100 x 18 mm</x:v>
      </x:c>
      <x:c r="G343" s="1"/>
      <x:c r="H343" s="1"/>
      <x:c r="I343" s="29"/>
    </x:row>
    <x:row r="344" ht="14.17322826385498" customHeight="1">
      <x:c r="A344" s="28" t="str">
        <x:v>PLY18</x:v>
      </x:c>
      <x:c r="B344" s="1"/>
      <x:c r="C344" s="1"/>
      <x:c r="D344" s="29"/>
      <x:c r="E344" s="1"/>
      <x:c r="F344" s="28" t="str">
        <x:v>PLY18</x:v>
      </x:c>
      <x:c r="G344" s="1"/>
      <x:c r="H344" s="1"/>
      <x:c r="I344" s="29"/>
    </x:row>
    <x:row r="345" ht="14.17322826385498" customHeight="1">
      <x:c r="A345" s="28" t="str">
        <x:v>A/B a rajzon / E1 V0 / E4 U0</x:v>
      </x:c>
      <x:c r="B345" s="1"/>
      <x:c r="C345" s="1"/>
      <x:c r="D345" s="29"/>
      <x:c r="E345" s="1"/>
      <x:c r="F345" s="28" t="str">
        <x:v>A/B a rajzon / E1 V0 / E4 U0</x:v>
      </x:c>
      <x:c r="G345" s="1"/>
      <x:c r="H345" s="1"/>
      <x:c r="I345" s="29"/>
    </x:row>
    <x:row r="346" ht="14.17322826385498" customHeight="1">
      <x:c r="A346" s="28" t="str">
        <x:f>"C elkod: "&amp;Darabok!P74</x:f>
        <x:v>C elkod: NYITOTT</x:v>
      </x:c>
      <x:c r="B346" s="1"/>
      <x:c r="C346" s="1"/>
      <x:c r="D346" s="29"/>
      <x:c r="E346" s="1"/>
      <x:c r="F346" s="28" t="str">
        <x:f>"C elkod: "&amp;Darabok!P75</x:f>
        <x:v>C elkod: NYITOTT</x:v>
      </x:c>
      <x:c r="G346" s="1"/>
      <x:c r="H346" s="1"/>
      <x:c r="I346" s="29"/>
    </x:row>
    <x:row r="347" ht="14.17322826385498" customHeight="1">
      <x:c r="A347" s="28" t="str">
        <x:v>AKTÍV FÚRÁSI TERV / NEM GYÁRTÁSI KIADÁS</x:v>
      </x:c>
      <x:c r="B347" s="1"/>
      <x:c r="C347" s="1"/>
      <x:c r="D347" s="29"/>
      <x:c r="E347" s="1"/>
      <x:c r="F347" s="28" t="str">
        <x:v>AKTÍV FÚRÁSI TERV / NEM GYÁRTÁSI KIADÁS</x:v>
      </x:c>
      <x:c r="G347" s="1"/>
      <x:c r="H347" s="1"/>
      <x:c r="I347" s="29"/>
    </x:row>
    <x:row r="348" ht="14.17322826385498" customHeight="1">
      <x:c r="A348" s="28" t="str">
        <x:v>R15:KI14-RAIL-01</x:v>
      </x:c>
      <x:c r="B348" s="1"/>
      <x:c r="C348" s="1"/>
      <x:c r="D348" s="29"/>
      <x:c r="E348" s="1"/>
      <x:c r="F348" s="28" t="str">
        <x:v>R15:KI14-RAIL-02</x:v>
      </x:c>
      <x:c r="G348" s="1"/>
      <x:c r="H348" s="1"/>
      <x:c r="I348" s="29"/>
    </x:row>
    <x:row r="349" ht="14.17322826385498" customHeight="1">
      <x:c r="A349" s="28" t="str">
        <x:v>PDF-címkén gépi vonalkód is van</x:v>
      </x:c>
      <x:c r="B349" s="1"/>
      <x:c r="C349" s="1"/>
      <x:c r="D349" s="29"/>
      <x:c r="E349" s="1"/>
      <x:c r="F349" s="28" t="str">
        <x:v>PDF-címkén gépi vonalkód is van</x:v>
      </x:c>
      <x:c r="G349" s="1"/>
      <x:c r="H349" s="1"/>
      <x:c r="I349" s="29"/>
    </x:row>
    <x:row r="350" ht="14.17322826385498" customHeight="1">
      <x:c r="A350" s="30"/>
      <x:c r="B350" s="31"/>
      <x:c r="C350" s="31"/>
      <x:c r="D350" s="32"/>
      <x:c r="E350" s="1"/>
      <x:c r="F350" s="30"/>
      <x:c r="G350" s="31"/>
      <x:c r="H350" s="31"/>
      <x:c r="I350" s="32"/>
    </x:row>
    <x:row r="351" ht="14.17322826385498" customHeight="1">
      <x:c r="A351" s="25" t="str">
        <x:f>Darabok!A76</x:f>
        <x:v>KI14-RAIL-03</x:v>
      </x:c>
      <x:c r="B351" s="26"/>
      <x:c r="C351" s="26"/>
      <x:c r="D351" s="27"/>
      <x:c r="E351" s="1"/>
      <x:c r="F351" s="25" t="str">
        <x:f>Darabok!A77</x:f>
        <x:v>KI14-RAIL-04</x:v>
      </x:c>
      <x:c r="G351" s="26"/>
      <x:c r="H351" s="26"/>
      <x:c r="I351" s="27"/>
    </x:row>
    <x:row r="352" ht="14.17322826385498" customHeight="1">
      <x:c r="A352" s="28" t="str">
        <x:v>R15 / TERV</x:v>
      </x:c>
      <x:c r="B352" s="1"/>
      <x:c r="C352" s="1"/>
      <x:c r="D352" s="29"/>
      <x:c r="E352" s="1"/>
      <x:c r="F352" s="28" t="str">
        <x:v>R15 / TERV</x:v>
      </x:c>
      <x:c r="G352" s="1"/>
      <x:c r="H352" s="1"/>
      <x:c r="I352" s="29"/>
    </x:row>
    <x:row r="353" ht="14.17322826385498" customHeight="1">
      <x:c r="A353" s="28" t="str">
        <x:f>Darabok!C76&amp;" x "&amp;Darabok!D76&amp;" x "&amp;Darabok!E76&amp;" mm"</x:f>
        <x:v>654 x 100 x 18 mm</x:v>
      </x:c>
      <x:c r="B353" s="1"/>
      <x:c r="C353" s="1"/>
      <x:c r="D353" s="29"/>
      <x:c r="E353" s="1"/>
      <x:c r="F353" s="28" t="str">
        <x:f>Darabok!C77&amp;" x "&amp;Darabok!D77&amp;" x "&amp;Darabok!E77&amp;" mm"</x:f>
        <x:v>654 x 100 x 18 mm</x:v>
      </x:c>
      <x:c r="G353" s="1"/>
      <x:c r="H353" s="1"/>
      <x:c r="I353" s="29"/>
    </x:row>
    <x:row r="354" ht="14.17322826385498" customHeight="1">
      <x:c r="A354" s="28" t="str">
        <x:v>PLY18</x:v>
      </x:c>
      <x:c r="B354" s="1"/>
      <x:c r="C354" s="1"/>
      <x:c r="D354" s="29"/>
      <x:c r="E354" s="1"/>
      <x:c r="F354" s="28" t="str">
        <x:v>PLY18</x:v>
      </x:c>
      <x:c r="G354" s="1"/>
      <x:c r="H354" s="1"/>
      <x:c r="I354" s="29"/>
    </x:row>
    <x:row r="355" ht="14.17322826385498" customHeight="1">
      <x:c r="A355" s="28" t="str">
        <x:v>A/B a rajzon / E1 V0 / E4 U0</x:v>
      </x:c>
      <x:c r="B355" s="1"/>
      <x:c r="C355" s="1"/>
      <x:c r="D355" s="29"/>
      <x:c r="E355" s="1"/>
      <x:c r="F355" s="28" t="str">
        <x:v>A/B a rajzon / E1 V0 / E4 U0</x:v>
      </x:c>
      <x:c r="G355" s="1"/>
      <x:c r="H355" s="1"/>
      <x:c r="I355" s="29"/>
    </x:row>
    <x:row r="356" ht="14.17322826385498" customHeight="1">
      <x:c r="A356" s="28" t="str">
        <x:f>"C elkod: "&amp;Darabok!P76</x:f>
        <x:v>C elkod: NYITOTT</x:v>
      </x:c>
      <x:c r="B356" s="1"/>
      <x:c r="C356" s="1"/>
      <x:c r="D356" s="29"/>
      <x:c r="E356" s="1"/>
      <x:c r="F356" s="28" t="str">
        <x:f>"C elkod: "&amp;Darabok!P77</x:f>
        <x:v>C elkod: NYITOTT</x:v>
      </x:c>
      <x:c r="G356" s="1"/>
      <x:c r="H356" s="1"/>
      <x:c r="I356" s="29"/>
    </x:row>
    <x:row r="357" ht="14.17322826385498" customHeight="1">
      <x:c r="A357" s="28" t="str">
        <x:v>AKTÍV FÚRÁSI TERV / NEM GYÁRTÁSI KIADÁS</x:v>
      </x:c>
      <x:c r="B357" s="1"/>
      <x:c r="C357" s="1"/>
      <x:c r="D357" s="29"/>
      <x:c r="E357" s="1"/>
      <x:c r="F357" s="28" t="str">
        <x:v>AKTÍV FÚRÁSI TERV / NEM GYÁRTÁSI KIADÁS</x:v>
      </x:c>
      <x:c r="G357" s="1"/>
      <x:c r="H357" s="1"/>
      <x:c r="I357" s="29"/>
    </x:row>
    <x:row r="358" ht="14.17322826385498" customHeight="1">
      <x:c r="A358" s="28" t="str">
        <x:v>R15:KI14-RAIL-03</x:v>
      </x:c>
      <x:c r="B358" s="1"/>
      <x:c r="C358" s="1"/>
      <x:c r="D358" s="29"/>
      <x:c r="E358" s="1"/>
      <x:c r="F358" s="28" t="str">
        <x:v>R15:KI14-RAIL-04</x:v>
      </x:c>
      <x:c r="G358" s="1"/>
      <x:c r="H358" s="1"/>
      <x:c r="I358" s="29"/>
    </x:row>
    <x:row r="359" ht="14.17322826385498" customHeight="1">
      <x:c r="A359" s="28" t="str">
        <x:v>PDF-címkén gépi vonalkód is van</x:v>
      </x:c>
      <x:c r="B359" s="1"/>
      <x:c r="C359" s="1"/>
      <x:c r="D359" s="29"/>
      <x:c r="E359" s="1"/>
      <x:c r="F359" s="28" t="str">
        <x:v>PDF-címkén gépi vonalkód is van</x:v>
      </x:c>
      <x:c r="G359" s="1"/>
      <x:c r="H359" s="1"/>
      <x:c r="I359" s="29"/>
    </x:row>
    <x:row r="360" ht="14.17322826385498" customHeight="1">
      <x:c r="A360" s="30"/>
      <x:c r="B360" s="31"/>
      <x:c r="C360" s="31"/>
      <x:c r="D360" s="32"/>
      <x:c r="E360" s="1"/>
      <x:c r="F360" s="30"/>
      <x:c r="G360" s="31"/>
      <x:c r="H360" s="31"/>
      <x:c r="I360" s="32"/>
    </x:row>
    <x:row r="361" ht="14.17322826385498" customHeight="1">
      <x:c r="A361" s="25" t="str">
        <x:f>Darabok!A78</x:f>
        <x:v>KI14-RAIL-05</x:v>
      </x:c>
      <x:c r="B361" s="26"/>
      <x:c r="C361" s="26"/>
      <x:c r="D361" s="27"/>
      <x:c r="E361" s="1"/>
      <x:c r="F361" s="25" t="str">
        <x:f>Darabok!A79</x:f>
        <x:v>KI14-RAIL-06</x:v>
      </x:c>
      <x:c r="G361" s="26"/>
      <x:c r="H361" s="26"/>
      <x:c r="I361" s="27"/>
    </x:row>
    <x:row r="362" ht="14.17322826385498" customHeight="1">
      <x:c r="A362" s="28" t="str">
        <x:v>R15 / TERV</x:v>
      </x:c>
      <x:c r="B362" s="1"/>
      <x:c r="C362" s="1"/>
      <x:c r="D362" s="29"/>
      <x:c r="E362" s="1"/>
      <x:c r="F362" s="28" t="str">
        <x:v>R15 / TERV</x:v>
      </x:c>
      <x:c r="G362" s="1"/>
      <x:c r="H362" s="1"/>
      <x:c r="I362" s="29"/>
    </x:row>
    <x:row r="363" ht="14.17322826385498" customHeight="1">
      <x:c r="A363" s="28" t="str">
        <x:f>Darabok!C78&amp;" x "&amp;Darabok!D78&amp;" x "&amp;Darabok!E78&amp;" mm"</x:f>
        <x:v>654 x 100 x 18 mm</x:v>
      </x:c>
      <x:c r="B363" s="1"/>
      <x:c r="C363" s="1"/>
      <x:c r="D363" s="29"/>
      <x:c r="E363" s="1"/>
      <x:c r="F363" s="28" t="str">
        <x:f>Darabok!C79&amp;" x "&amp;Darabok!D79&amp;" x "&amp;Darabok!E79&amp;" mm"</x:f>
        <x:v>333 x 100 x 18 mm</x:v>
      </x:c>
      <x:c r="G363" s="1"/>
      <x:c r="H363" s="1"/>
      <x:c r="I363" s="29"/>
    </x:row>
    <x:row r="364" ht="14.17322826385498" customHeight="1">
      <x:c r="A364" s="28" t="str">
        <x:v>PLY18</x:v>
      </x:c>
      <x:c r="B364" s="1"/>
      <x:c r="C364" s="1"/>
      <x:c r="D364" s="29"/>
      <x:c r="E364" s="1"/>
      <x:c r="F364" s="28" t="str">
        <x:v>PLY18</x:v>
      </x:c>
      <x:c r="G364" s="1"/>
      <x:c r="H364" s="1"/>
      <x:c r="I364" s="29"/>
    </x:row>
    <x:row r="365" ht="14.17322826385498" customHeight="1">
      <x:c r="A365" s="28" t="str">
        <x:v>A/B a rajzon / E1 V0 / E4 U0</x:v>
      </x:c>
      <x:c r="B365" s="1"/>
      <x:c r="C365" s="1"/>
      <x:c r="D365" s="29"/>
      <x:c r="E365" s="1"/>
      <x:c r="F365" s="28" t="str">
        <x:v>A/B a rajzon / E1 V0 / E4 U0</x:v>
      </x:c>
      <x:c r="G365" s="1"/>
      <x:c r="H365" s="1"/>
      <x:c r="I365" s="29"/>
    </x:row>
    <x:row r="366" ht="14.17322826385498" customHeight="1">
      <x:c r="A366" s="28" t="str">
        <x:f>"C elkod: "&amp;Darabok!P78</x:f>
        <x:v>C elkod: NYITOTT</x:v>
      </x:c>
      <x:c r="B366" s="1"/>
      <x:c r="C366" s="1"/>
      <x:c r="D366" s="29"/>
      <x:c r="E366" s="1"/>
      <x:c r="F366" s="28" t="str">
        <x:f>"C elkod: "&amp;Darabok!P79</x:f>
        <x:v>C elkod: NYITOTT</x:v>
      </x:c>
      <x:c r="G366" s="1"/>
      <x:c r="H366" s="1"/>
      <x:c r="I366" s="29"/>
    </x:row>
    <x:row r="367" ht="14.17322826385498" customHeight="1">
      <x:c r="A367" s="28" t="str">
        <x:v>AKTÍV FÚRÁSI TERV / NEM GYÁRTÁSI KIADÁS</x:v>
      </x:c>
      <x:c r="B367" s="1"/>
      <x:c r="C367" s="1"/>
      <x:c r="D367" s="29"/>
      <x:c r="E367" s="1"/>
      <x:c r="F367" s="28" t="str">
        <x:v>AKTÍV FÚRÁSI TERV / NEM GYÁRTÁSI KIADÁS</x:v>
      </x:c>
      <x:c r="G367" s="1"/>
      <x:c r="H367" s="1"/>
      <x:c r="I367" s="29"/>
    </x:row>
    <x:row r="368" ht="14.17322826385498" customHeight="1">
      <x:c r="A368" s="28" t="str">
        <x:v>R15:KI14-RAIL-05</x:v>
      </x:c>
      <x:c r="B368" s="1"/>
      <x:c r="C368" s="1"/>
      <x:c r="D368" s="29"/>
      <x:c r="E368" s="1"/>
      <x:c r="F368" s="28" t="str">
        <x:v>R15:KI14-RAIL-06</x:v>
      </x:c>
      <x:c r="G368" s="1"/>
      <x:c r="H368" s="1"/>
      <x:c r="I368" s="29"/>
    </x:row>
    <x:row r="369" ht="14.17322826385498" customHeight="1">
      <x:c r="A369" s="28" t="str">
        <x:v>PDF-címkén gépi vonalkód is van</x:v>
      </x:c>
      <x:c r="B369" s="1"/>
      <x:c r="C369" s="1"/>
      <x:c r="D369" s="29"/>
      <x:c r="E369" s="1"/>
      <x:c r="F369" s="28" t="str">
        <x:v>PDF-címkén gépi vonalkód is van</x:v>
      </x:c>
      <x:c r="G369" s="1"/>
      <x:c r="H369" s="1"/>
      <x:c r="I369" s="29"/>
    </x:row>
    <x:row r="370" ht="14.17322826385498" customHeight="1">
      <x:c r="A370" s="30"/>
      <x:c r="B370" s="31"/>
      <x:c r="C370" s="31"/>
      <x:c r="D370" s="32"/>
      <x:c r="E370" s="1"/>
      <x:c r="F370" s="30"/>
      <x:c r="G370" s="31"/>
      <x:c r="H370" s="31"/>
      <x:c r="I370" s="32"/>
    </x:row>
    <x:row r="371" ht="14.17322826385498" customHeight="1">
      <x:c r="A371" s="25" t="str">
        <x:f>Darabok!A80</x:f>
        <x:v>KI14-RAIL-07</x:v>
      </x:c>
      <x:c r="B371" s="26"/>
      <x:c r="C371" s="26"/>
      <x:c r="D371" s="27"/>
      <x:c r="E371" s="1"/>
      <x:c r="F371" s="25" t="str">
        <x:f>Pilot!A15</x:f>
        <x:v>KI15-PILOT-CAP-M5</x:v>
      </x:c>
      <x:c r="G371" s="26"/>
      <x:c r="H371" s="26"/>
      <x:c r="I371" s="27"/>
    </x:row>
    <x:row r="372" ht="14.17322826385498" customHeight="1">
      <x:c r="A372" s="28" t="str">
        <x:v>R15 / TERV</x:v>
      </x:c>
      <x:c r="B372" s="1"/>
      <x:c r="C372" s="1"/>
      <x:c r="D372" s="29"/>
      <x:c r="E372" s="1"/>
      <x:c r="F372" s="28" t="str">
        <x:v>R15 / TERV / CSAK PILOT</x:v>
      </x:c>
      <x:c r="G372" s="1"/>
      <x:c r="H372" s="1"/>
      <x:c r="I372" s="29"/>
    </x:row>
    <x:row r="373" ht="14.17322826385498" customHeight="1">
      <x:c r="A373" s="28" t="str">
        <x:f>Darabok!C80&amp;" x "&amp;Darabok!D80&amp;" x "&amp;Darabok!E80&amp;" mm"</x:f>
        <x:v>333 x 100 x 18 mm</x:v>
      </x:c>
      <x:c r="B373" s="1"/>
      <x:c r="C373" s="1"/>
      <x:c r="D373" s="29"/>
      <x:c r="E373" s="1"/>
      <x:c r="F373" s="28" t="str">
        <x:f>Pilot!C15&amp;" x "&amp;Pilot!D15&amp;" x "&amp;Pilot!E15&amp;" mm"</x:f>
        <x:v>690 x 382 x 18 mm</x:v>
      </x:c>
      <x:c r="G373" s="1"/>
      <x:c r="H373" s="1"/>
      <x:c r="I373" s="29"/>
    </x:row>
    <x:row r="374" ht="14.17322826385498" customHeight="1">
      <x:c r="A374" s="28" t="str">
        <x:v>PLY18</x:v>
      </x:c>
      <x:c r="B374" s="1"/>
      <x:c r="C374" s="1"/>
      <x:c r="D374" s="29"/>
      <x:c r="E374" s="1"/>
      <x:c r="F374" s="28" t="str">
        <x:v>M01</x:v>
      </x:c>
      <x:c r="G374" s="1"/>
      <x:c r="H374" s="1"/>
      <x:c r="I374" s="29"/>
    </x:row>
    <x:row r="375" ht="14.17322826385498" customHeight="1">
      <x:c r="A375" s="28" t="str">
        <x:v>A/B a rajzon / E1 V0 / E4 U0</x:v>
      </x:c>
      <x:c r="B375" s="1"/>
      <x:c r="C375" s="1"/>
      <x:c r="D375" s="29"/>
      <x:c r="E375" s="1"/>
      <x:c r="F375" s="28" t="str">
        <x:v>A/B a rajzon / E1 V0 / E4 U0</x:v>
      </x:c>
      <x:c r="G375" s="1"/>
      <x:c r="H375" s="1"/>
      <x:c r="I375" s="29"/>
    </x:row>
    <x:row r="376" ht="14.17322826385498" customHeight="1">
      <x:c r="A376" s="28" t="str">
        <x:f>"C elkod: "&amp;Darabok!P80</x:f>
        <x:v>C elkod: NYITOTT</x:v>
      </x:c>
      <x:c r="B376" s="1"/>
      <x:c r="C376" s="1"/>
      <x:c r="D376" s="29"/>
      <x:c r="E376" s="1"/>
      <x:c r="F376" s="28" t="str">
        <x:f>"C elkod: NYITOTT"</x:f>
        <x:v>C elkod: NYITOTT</x:v>
      </x:c>
      <x:c r="G376" s="1"/>
      <x:c r="H376" s="1"/>
      <x:c r="I376" s="29"/>
    </x:row>
    <x:row r="377" ht="14.17322826385498" customHeight="1">
      <x:c r="A377" s="28" t="str">
        <x:v>AKTÍV FÚRÁSI TERV / NEM GYÁRTÁSI KIADÁS</x:v>
      </x:c>
      <x:c r="B377" s="1"/>
      <x:c r="C377" s="1"/>
      <x:c r="D377" s="29"/>
      <x:c r="E377" s="1"/>
      <x:c r="F377" s="28" t="str">
        <x:v>AKTÍV FÚRÁSI TERV / NEM GYÁRTÁSI KIADÁS</x:v>
      </x:c>
      <x:c r="G377" s="1"/>
      <x:c r="H377" s="1"/>
      <x:c r="I377" s="29"/>
    </x:row>
    <x:row r="378" ht="14.17322826385498" customHeight="1">
      <x:c r="A378" s="28" t="str">
        <x:v>R15:KI14-RAIL-07</x:v>
      </x:c>
      <x:c r="B378" s="1"/>
      <x:c r="C378" s="1"/>
      <x:c r="D378" s="29"/>
      <x:c r="E378" s="1"/>
      <x:c r="F378" s="28" t="str">
        <x:v>R15:KI15-PILOT-CAP-M5</x:v>
      </x:c>
      <x:c r="G378" s="1"/>
      <x:c r="H378" s="1"/>
      <x:c r="I378" s="29"/>
    </x:row>
    <x:row r="379" ht="14.17322826385498" customHeight="1">
      <x:c r="A379" s="28" t="str">
        <x:v>PDF-címkén gépi vonalkód is van</x:v>
      </x:c>
      <x:c r="B379" s="1"/>
      <x:c r="C379" s="1"/>
      <x:c r="D379" s="29"/>
      <x:c r="E379" s="1"/>
      <x:c r="F379" s="28" t="str">
        <x:v>PDF-címkén gépi vonalkód is van</x:v>
      </x:c>
      <x:c r="G379" s="1"/>
      <x:c r="H379" s="1"/>
      <x:c r="I379" s="29"/>
    </x:row>
    <x:row r="380" ht="14.17322826385498" customHeight="1">
      <x:c r="A380" s="30"/>
      <x:c r="B380" s="31"/>
      <x:c r="C380" s="31"/>
      <x:c r="D380" s="32"/>
      <x:c r="E380" s="1"/>
      <x:c r="F380" s="30"/>
      <x:c r="G380" s="31"/>
      <x:c r="H380" s="31"/>
      <x:c r="I380" s="32"/>
    </x:row>
  </x:sheetData>
  <x:mergeCells>
    <x:mergeCell ref="A1:D1"/>
    <x:mergeCell ref="A2:D2"/>
    <x:mergeCell ref="A3:D3"/>
    <x:mergeCell ref="A4:D4"/>
    <x:mergeCell ref="A5:D5"/>
    <x:mergeCell ref="A6:D6"/>
    <x:mergeCell ref="A7:D7"/>
    <x:mergeCell ref="A8:D8"/>
    <x:mergeCell ref="A9:D9"/>
    <x:mergeCell ref="A10:D10"/>
    <x:mergeCell ref="F1:I1"/>
    <x:mergeCell ref="F2:I2"/>
    <x:mergeCell ref="F3:I3"/>
    <x:mergeCell ref="F4:I4"/>
    <x:mergeCell ref="F5:I5"/>
    <x:mergeCell ref="F6:I6"/>
    <x:mergeCell ref="F7:I7"/>
    <x:mergeCell ref="F8:I8"/>
    <x:mergeCell ref="F9:I9"/>
    <x:mergeCell ref="F10:I10"/>
    <x:mergeCell ref="A11:D11"/>
    <x:mergeCell ref="A12:D12"/>
    <x:mergeCell ref="A13:D13"/>
    <x:mergeCell ref="A14:D14"/>
    <x:mergeCell ref="A15:D15"/>
    <x:mergeCell ref="A16:D16"/>
    <x:mergeCell ref="A17:D17"/>
    <x:mergeCell ref="A18:D18"/>
    <x:mergeCell ref="A19:D19"/>
    <x:mergeCell ref="A20:D20"/>
    <x:mergeCell ref="F11:I11"/>
    <x:mergeCell ref="F12:I12"/>
    <x:mergeCell ref="F13:I13"/>
    <x:mergeCell ref="F14:I14"/>
    <x:mergeCell ref="F15:I15"/>
    <x:mergeCell ref="F16:I16"/>
    <x:mergeCell ref="F17:I17"/>
    <x:mergeCell ref="F18:I18"/>
    <x:mergeCell ref="F19:I19"/>
    <x:mergeCell ref="F20:I20"/>
    <x:mergeCell ref="A21:D21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F21:I21"/>
    <x:mergeCell ref="F22:I22"/>
    <x:mergeCell ref="F23:I23"/>
    <x:mergeCell ref="F24:I24"/>
    <x:mergeCell ref="F25:I25"/>
    <x:mergeCell ref="F26:I26"/>
    <x:mergeCell ref="F27:I27"/>
    <x:mergeCell ref="F28:I28"/>
    <x:mergeCell ref="F29:I29"/>
    <x:mergeCell ref="F30:I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F31:I31"/>
    <x:mergeCell ref="F32:I32"/>
    <x:mergeCell ref="F33:I33"/>
    <x:mergeCell ref="F34:I34"/>
    <x:mergeCell ref="F35:I35"/>
    <x:mergeCell ref="F36:I36"/>
    <x:mergeCell ref="F37:I37"/>
    <x:mergeCell ref="F38:I38"/>
    <x:mergeCell ref="F39:I39"/>
    <x:mergeCell ref="F40:I40"/>
    <x:mergeCell ref="A41:D4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F41:I41"/>
    <x:mergeCell ref="F42:I42"/>
    <x:mergeCell ref="F43:I43"/>
    <x:mergeCell ref="F44:I44"/>
    <x:mergeCell ref="F45:I45"/>
    <x:mergeCell ref="F46:I46"/>
    <x:mergeCell ref="F47:I47"/>
    <x:mergeCell ref="F48:I48"/>
    <x:mergeCell ref="F49:I49"/>
    <x:mergeCell ref="F50:I50"/>
    <x:mergeCell ref="A51:D51"/>
    <x:mergeCell ref="A52:D52"/>
    <x:mergeCell ref="A53:D53"/>
    <x:mergeCell ref="A54:D54"/>
    <x:mergeCell ref="A55:D55"/>
    <x:mergeCell ref="A56:D56"/>
    <x:mergeCell ref="A57:D57"/>
    <x:mergeCell ref="A58:D58"/>
    <x:mergeCell ref="A59:D59"/>
    <x:mergeCell ref="A60:D60"/>
    <x:mergeCell ref="F51:I51"/>
    <x:mergeCell ref="F52:I52"/>
    <x:mergeCell ref="F53:I53"/>
    <x:mergeCell ref="F54:I54"/>
    <x:mergeCell ref="F55:I55"/>
    <x:mergeCell ref="F56:I56"/>
    <x:mergeCell ref="F57:I57"/>
    <x:mergeCell ref="F58:I58"/>
    <x:mergeCell ref="F59:I59"/>
    <x:mergeCell ref="F60:I60"/>
    <x:mergeCell ref="A61:D61"/>
    <x:mergeCell ref="A62:D62"/>
    <x:mergeCell ref="A63:D63"/>
    <x:mergeCell ref="A64:D64"/>
    <x:mergeCell ref="A65:D65"/>
    <x:mergeCell ref="A66:D66"/>
    <x:mergeCell ref="A67:D67"/>
    <x:mergeCell ref="A68:D68"/>
    <x:mergeCell ref="A69:D69"/>
    <x:mergeCell ref="A70:D70"/>
    <x:mergeCell ref="F61:I61"/>
    <x:mergeCell ref="F62:I62"/>
    <x:mergeCell ref="F63:I63"/>
    <x:mergeCell ref="F64:I64"/>
    <x:mergeCell ref="F65:I65"/>
    <x:mergeCell ref="F66:I66"/>
    <x:mergeCell ref="F67:I67"/>
    <x:mergeCell ref="F68:I68"/>
    <x:mergeCell ref="F69:I69"/>
    <x:mergeCell ref="F70:I70"/>
    <x:mergeCell ref="A71:D71"/>
    <x:mergeCell ref="A72:D72"/>
    <x:mergeCell ref="A73:D73"/>
    <x:mergeCell ref="A74:D74"/>
    <x:mergeCell ref="A75:D75"/>
    <x:mergeCell ref="A76:D76"/>
    <x:mergeCell ref="A77:D77"/>
    <x:mergeCell ref="A78:D78"/>
    <x:mergeCell ref="A79:D79"/>
    <x:mergeCell ref="A80:D80"/>
    <x:mergeCell ref="F71:I71"/>
    <x:mergeCell ref="F72:I72"/>
    <x:mergeCell ref="F73:I73"/>
    <x:mergeCell ref="F74:I74"/>
    <x:mergeCell ref="F75:I75"/>
    <x:mergeCell ref="F76:I76"/>
    <x:mergeCell ref="F77:I77"/>
    <x:mergeCell ref="F78:I78"/>
    <x:mergeCell ref="F79:I79"/>
    <x:mergeCell ref="F80:I80"/>
    <x:mergeCell ref="A81:D81"/>
    <x:mergeCell ref="A82:D82"/>
    <x:mergeCell ref="A83:D83"/>
    <x:mergeCell ref="A84:D84"/>
    <x:mergeCell ref="A85:D85"/>
    <x:mergeCell ref="A86:D86"/>
    <x:mergeCell ref="A87:D87"/>
    <x:mergeCell ref="A88:D88"/>
    <x:mergeCell ref="A89:D89"/>
    <x:mergeCell ref="A90:D90"/>
    <x:mergeCell ref="F81:I81"/>
    <x:mergeCell ref="F82:I82"/>
    <x:mergeCell ref="F83:I83"/>
    <x:mergeCell ref="F84:I84"/>
    <x:mergeCell ref="F85:I85"/>
    <x:mergeCell ref="F86:I86"/>
    <x:mergeCell ref="F87:I87"/>
    <x:mergeCell ref="F88:I88"/>
    <x:mergeCell ref="F89:I89"/>
    <x:mergeCell ref="F90:I90"/>
    <x:mergeCell ref="A91:D91"/>
    <x:mergeCell ref="A92:D92"/>
    <x:mergeCell ref="A93:D93"/>
    <x:mergeCell ref="A94:D94"/>
    <x:mergeCell ref="A95:D95"/>
    <x:mergeCell ref="A96:D96"/>
    <x:mergeCell ref="A97:D97"/>
    <x:mergeCell ref="A98:D98"/>
    <x:mergeCell ref="A99:D99"/>
    <x:mergeCell ref="A100:D100"/>
    <x:mergeCell ref="F91:I91"/>
    <x:mergeCell ref="F92:I92"/>
    <x:mergeCell ref="F93:I93"/>
    <x:mergeCell ref="F94:I94"/>
    <x:mergeCell ref="F95:I95"/>
    <x:mergeCell ref="F96:I96"/>
    <x:mergeCell ref="F97:I97"/>
    <x:mergeCell ref="F98:I98"/>
    <x:mergeCell ref="F99:I99"/>
    <x:mergeCell ref="F100:I100"/>
    <x:mergeCell ref="A101:D101"/>
    <x:mergeCell ref="A102:D102"/>
    <x:mergeCell ref="A103:D103"/>
    <x:mergeCell ref="A104:D104"/>
    <x:mergeCell ref="A105:D105"/>
    <x:mergeCell ref="A106:D106"/>
    <x:mergeCell ref="A107:D107"/>
    <x:mergeCell ref="A108:D108"/>
    <x:mergeCell ref="A109:D109"/>
    <x:mergeCell ref="A110:D110"/>
    <x:mergeCell ref="F101:I101"/>
    <x:mergeCell ref="F102:I102"/>
    <x:mergeCell ref="F103:I103"/>
    <x:mergeCell ref="F104:I104"/>
    <x:mergeCell ref="F105:I105"/>
    <x:mergeCell ref="F106:I106"/>
    <x:mergeCell ref="F107:I107"/>
    <x:mergeCell ref="F108:I108"/>
    <x:mergeCell ref="F109:I109"/>
    <x:mergeCell ref="F110:I110"/>
    <x:mergeCell ref="A111:D111"/>
    <x:mergeCell ref="A112:D112"/>
    <x:mergeCell ref="A113:D113"/>
    <x:mergeCell ref="A114:D114"/>
    <x:mergeCell ref="A115:D115"/>
    <x:mergeCell ref="A116:D116"/>
    <x:mergeCell ref="A117:D117"/>
    <x:mergeCell ref="A118:D118"/>
    <x:mergeCell ref="A119:D119"/>
    <x:mergeCell ref="A120:D120"/>
    <x:mergeCell ref="F111:I111"/>
    <x:mergeCell ref="F112:I112"/>
    <x:mergeCell ref="F113:I113"/>
    <x:mergeCell ref="F114:I114"/>
    <x:mergeCell ref="F115:I115"/>
    <x:mergeCell ref="F116:I116"/>
    <x:mergeCell ref="F117:I117"/>
    <x:mergeCell ref="F118:I118"/>
    <x:mergeCell ref="F119:I119"/>
    <x:mergeCell ref="F120:I120"/>
    <x:mergeCell ref="A121:D121"/>
    <x:mergeCell ref="A122:D122"/>
    <x:mergeCell ref="A123:D123"/>
    <x:mergeCell ref="A124:D124"/>
    <x:mergeCell ref="A125:D125"/>
    <x:mergeCell ref="A126:D126"/>
    <x:mergeCell ref="A127:D127"/>
    <x:mergeCell ref="A128:D128"/>
    <x:mergeCell ref="A129:D129"/>
    <x:mergeCell ref="A130:D130"/>
    <x:mergeCell ref="F121:I121"/>
    <x:mergeCell ref="F122:I122"/>
    <x:mergeCell ref="F123:I123"/>
    <x:mergeCell ref="F124:I124"/>
    <x:mergeCell ref="F125:I125"/>
    <x:mergeCell ref="F126:I126"/>
    <x:mergeCell ref="F127:I127"/>
    <x:mergeCell ref="F128:I128"/>
    <x:mergeCell ref="F129:I129"/>
    <x:mergeCell ref="F130:I130"/>
    <x:mergeCell ref="A131:D131"/>
    <x:mergeCell ref="A132:D132"/>
    <x:mergeCell ref="A133:D133"/>
    <x:mergeCell ref="A134:D134"/>
    <x:mergeCell ref="A135:D135"/>
    <x:mergeCell ref="A136:D136"/>
    <x:mergeCell ref="A137:D137"/>
    <x:mergeCell ref="A138:D138"/>
    <x:mergeCell ref="A139:D139"/>
    <x:mergeCell ref="A140:D140"/>
    <x:mergeCell ref="F131:I131"/>
    <x:mergeCell ref="F132:I132"/>
    <x:mergeCell ref="F133:I133"/>
    <x:mergeCell ref="F134:I134"/>
    <x:mergeCell ref="F135:I135"/>
    <x:mergeCell ref="F136:I136"/>
    <x:mergeCell ref="F137:I137"/>
    <x:mergeCell ref="F138:I138"/>
    <x:mergeCell ref="F139:I139"/>
    <x:mergeCell ref="F140:I140"/>
    <x:mergeCell ref="A141:D141"/>
    <x:mergeCell ref="A142:D142"/>
    <x:mergeCell ref="A143:D143"/>
    <x:mergeCell ref="A144:D144"/>
    <x:mergeCell ref="A145:D145"/>
    <x:mergeCell ref="A146:D146"/>
    <x:mergeCell ref="A147:D147"/>
    <x:mergeCell ref="A148:D148"/>
    <x:mergeCell ref="A149:D149"/>
    <x:mergeCell ref="A150:D150"/>
    <x:mergeCell ref="F141:I141"/>
    <x:mergeCell ref="F142:I142"/>
    <x:mergeCell ref="F143:I143"/>
    <x:mergeCell ref="F144:I144"/>
    <x:mergeCell ref="F145:I145"/>
    <x:mergeCell ref="F146:I146"/>
    <x:mergeCell ref="F147:I147"/>
    <x:mergeCell ref="F148:I148"/>
    <x:mergeCell ref="F149:I149"/>
    <x:mergeCell ref="F150:I150"/>
    <x:mergeCell ref="A151:D151"/>
    <x:mergeCell ref="A152:D152"/>
    <x:mergeCell ref="A153:D153"/>
    <x:mergeCell ref="A154:D154"/>
    <x:mergeCell ref="A155:D155"/>
    <x:mergeCell ref="A156:D156"/>
    <x:mergeCell ref="A157:D157"/>
    <x:mergeCell ref="A158:D158"/>
    <x:mergeCell ref="A159:D159"/>
    <x:mergeCell ref="A160:D160"/>
    <x:mergeCell ref="F151:I151"/>
    <x:mergeCell ref="F152:I152"/>
    <x:mergeCell ref="F153:I153"/>
    <x:mergeCell ref="F154:I154"/>
    <x:mergeCell ref="F155:I155"/>
    <x:mergeCell ref="F156:I156"/>
    <x:mergeCell ref="F157:I157"/>
    <x:mergeCell ref="F158:I158"/>
    <x:mergeCell ref="F159:I159"/>
    <x:mergeCell ref="F160:I160"/>
    <x:mergeCell ref="A161:D161"/>
    <x:mergeCell ref="A162:D162"/>
    <x:mergeCell ref="A163:D163"/>
    <x:mergeCell ref="A164:D164"/>
    <x:mergeCell ref="A165:D165"/>
    <x:mergeCell ref="A166:D166"/>
    <x:mergeCell ref="A167:D167"/>
    <x:mergeCell ref="A168:D168"/>
    <x:mergeCell ref="A169:D169"/>
    <x:mergeCell ref="A170:D170"/>
    <x:mergeCell ref="F161:I161"/>
    <x:mergeCell ref="F162:I162"/>
    <x:mergeCell ref="F163:I163"/>
    <x:mergeCell ref="F164:I164"/>
    <x:mergeCell ref="F165:I165"/>
    <x:mergeCell ref="F166:I166"/>
    <x:mergeCell ref="F167:I167"/>
    <x:mergeCell ref="F168:I168"/>
    <x:mergeCell ref="F169:I169"/>
    <x:mergeCell ref="F170:I170"/>
    <x:mergeCell ref="A171:D171"/>
    <x:mergeCell ref="A172:D172"/>
    <x:mergeCell ref="A173:D173"/>
    <x:mergeCell ref="A174:D174"/>
    <x:mergeCell ref="A175:D175"/>
    <x:mergeCell ref="A176:D176"/>
    <x:mergeCell ref="A177:D177"/>
    <x:mergeCell ref="A178:D178"/>
    <x:mergeCell ref="A179:D179"/>
    <x:mergeCell ref="A180:D180"/>
    <x:mergeCell ref="F171:I171"/>
    <x:mergeCell ref="F172:I172"/>
    <x:mergeCell ref="F173:I173"/>
    <x:mergeCell ref="F174:I174"/>
    <x:mergeCell ref="F175:I175"/>
    <x:mergeCell ref="F176:I176"/>
    <x:mergeCell ref="F177:I177"/>
    <x:mergeCell ref="F178:I178"/>
    <x:mergeCell ref="F179:I179"/>
    <x:mergeCell ref="F180:I180"/>
    <x:mergeCell ref="A181:D181"/>
    <x:mergeCell ref="A182:D182"/>
    <x:mergeCell ref="A183:D183"/>
    <x:mergeCell ref="A184:D184"/>
    <x:mergeCell ref="A185:D185"/>
    <x:mergeCell ref="A186:D186"/>
    <x:mergeCell ref="A187:D187"/>
    <x:mergeCell ref="A188:D188"/>
    <x:mergeCell ref="A189:D189"/>
    <x:mergeCell ref="A190:D190"/>
    <x:mergeCell ref="F181:I181"/>
    <x:mergeCell ref="F182:I182"/>
    <x:mergeCell ref="F183:I183"/>
    <x:mergeCell ref="F184:I184"/>
    <x:mergeCell ref="F185:I185"/>
    <x:mergeCell ref="F186:I186"/>
    <x:mergeCell ref="F187:I187"/>
    <x:mergeCell ref="F188:I188"/>
    <x:mergeCell ref="F189:I189"/>
    <x:mergeCell ref="F190:I190"/>
    <x:mergeCell ref="A191:D191"/>
    <x:mergeCell ref="A192:D192"/>
    <x:mergeCell ref="A193:D193"/>
    <x:mergeCell ref="A194:D194"/>
    <x:mergeCell ref="A195:D195"/>
    <x:mergeCell ref="A196:D196"/>
    <x:mergeCell ref="A197:D197"/>
    <x:mergeCell ref="A198:D198"/>
    <x:mergeCell ref="A199:D199"/>
    <x:mergeCell ref="A200:D200"/>
    <x:mergeCell ref="F191:I191"/>
    <x:mergeCell ref="F192:I192"/>
    <x:mergeCell ref="F193:I193"/>
    <x:mergeCell ref="F194:I194"/>
    <x:mergeCell ref="F195:I195"/>
    <x:mergeCell ref="F196:I196"/>
    <x:mergeCell ref="F197:I197"/>
    <x:mergeCell ref="F198:I198"/>
    <x:mergeCell ref="F199:I199"/>
    <x:mergeCell ref="F200:I200"/>
    <x:mergeCell ref="A201:D201"/>
    <x:mergeCell ref="A202:D202"/>
    <x:mergeCell ref="A203:D203"/>
    <x:mergeCell ref="A204:D204"/>
    <x:mergeCell ref="A205:D205"/>
    <x:mergeCell ref="A206:D206"/>
    <x:mergeCell ref="A207:D207"/>
    <x:mergeCell ref="A208:D208"/>
    <x:mergeCell ref="A209:D209"/>
    <x:mergeCell ref="A210:D210"/>
    <x:mergeCell ref="F201:I201"/>
    <x:mergeCell ref="F202:I202"/>
    <x:mergeCell ref="F203:I203"/>
    <x:mergeCell ref="F204:I204"/>
    <x:mergeCell ref="F205:I205"/>
    <x:mergeCell ref="F206:I206"/>
    <x:mergeCell ref="F207:I207"/>
    <x:mergeCell ref="F208:I208"/>
    <x:mergeCell ref="F209:I209"/>
    <x:mergeCell ref="F210:I210"/>
    <x:mergeCell ref="A211:D211"/>
    <x:mergeCell ref="A212:D212"/>
    <x:mergeCell ref="A213:D213"/>
    <x:mergeCell ref="A214:D214"/>
    <x:mergeCell ref="A215:D215"/>
    <x:mergeCell ref="A216:D216"/>
    <x:mergeCell ref="A217:D217"/>
    <x:mergeCell ref="A218:D218"/>
    <x:mergeCell ref="A219:D219"/>
    <x:mergeCell ref="A220:D220"/>
    <x:mergeCell ref="F211:I211"/>
    <x:mergeCell ref="F212:I212"/>
    <x:mergeCell ref="F213:I213"/>
    <x:mergeCell ref="F214:I214"/>
    <x:mergeCell ref="F215:I215"/>
    <x:mergeCell ref="F216:I216"/>
    <x:mergeCell ref="F217:I217"/>
    <x:mergeCell ref="F218:I218"/>
    <x:mergeCell ref="F219:I219"/>
    <x:mergeCell ref="F220:I220"/>
    <x:mergeCell ref="A221:D221"/>
    <x:mergeCell ref="A222:D222"/>
    <x:mergeCell ref="A223:D223"/>
    <x:mergeCell ref="A224:D224"/>
    <x:mergeCell ref="A225:D225"/>
    <x:mergeCell ref="A226:D226"/>
    <x:mergeCell ref="A227:D227"/>
    <x:mergeCell ref="A228:D228"/>
    <x:mergeCell ref="A229:D229"/>
    <x:mergeCell ref="A230:D230"/>
    <x:mergeCell ref="F221:I221"/>
    <x:mergeCell ref="F222:I222"/>
    <x:mergeCell ref="F223:I223"/>
    <x:mergeCell ref="F224:I224"/>
    <x:mergeCell ref="F225:I225"/>
    <x:mergeCell ref="F226:I226"/>
    <x:mergeCell ref="F227:I227"/>
    <x:mergeCell ref="F228:I228"/>
    <x:mergeCell ref="F229:I229"/>
    <x:mergeCell ref="F230:I230"/>
    <x:mergeCell ref="A231:D231"/>
    <x:mergeCell ref="A232:D232"/>
    <x:mergeCell ref="A233:D233"/>
    <x:mergeCell ref="A234:D234"/>
    <x:mergeCell ref="A235:D235"/>
    <x:mergeCell ref="A236:D236"/>
    <x:mergeCell ref="A237:D237"/>
    <x:mergeCell ref="A238:D238"/>
    <x:mergeCell ref="A239:D239"/>
    <x:mergeCell ref="A240:D240"/>
    <x:mergeCell ref="F231:I231"/>
    <x:mergeCell ref="F232:I232"/>
    <x:mergeCell ref="F233:I233"/>
    <x:mergeCell ref="F234:I234"/>
    <x:mergeCell ref="F235:I235"/>
    <x:mergeCell ref="F236:I236"/>
    <x:mergeCell ref="F237:I237"/>
    <x:mergeCell ref="F238:I238"/>
    <x:mergeCell ref="F239:I239"/>
    <x:mergeCell ref="F240:I240"/>
    <x:mergeCell ref="A241:D241"/>
    <x:mergeCell ref="A242:D242"/>
    <x:mergeCell ref="A243:D243"/>
    <x:mergeCell ref="A244:D244"/>
    <x:mergeCell ref="A245:D245"/>
    <x:mergeCell ref="A246:D246"/>
    <x:mergeCell ref="A247:D247"/>
    <x:mergeCell ref="A248:D248"/>
    <x:mergeCell ref="A249:D249"/>
    <x:mergeCell ref="A250:D250"/>
    <x:mergeCell ref="F241:I241"/>
    <x:mergeCell ref="F242:I242"/>
    <x:mergeCell ref="F243:I243"/>
    <x:mergeCell ref="F244:I244"/>
    <x:mergeCell ref="F245:I245"/>
    <x:mergeCell ref="F246:I246"/>
    <x:mergeCell ref="F247:I247"/>
    <x:mergeCell ref="F248:I248"/>
    <x:mergeCell ref="F249:I249"/>
    <x:mergeCell ref="F250:I250"/>
    <x:mergeCell ref="A251:D251"/>
    <x:mergeCell ref="A252:D252"/>
    <x:mergeCell ref="A253:D253"/>
    <x:mergeCell ref="A254:D254"/>
    <x:mergeCell ref="A255:D255"/>
    <x:mergeCell ref="A256:D256"/>
    <x:mergeCell ref="A257:D257"/>
    <x:mergeCell ref="A258:D258"/>
    <x:mergeCell ref="A259:D259"/>
    <x:mergeCell ref="A260:D260"/>
    <x:mergeCell ref="F251:I251"/>
    <x:mergeCell ref="F252:I252"/>
    <x:mergeCell ref="F253:I253"/>
    <x:mergeCell ref="F254:I254"/>
    <x:mergeCell ref="F255:I255"/>
    <x:mergeCell ref="F256:I256"/>
    <x:mergeCell ref="F257:I257"/>
    <x:mergeCell ref="F258:I258"/>
    <x:mergeCell ref="F259:I259"/>
    <x:mergeCell ref="F260:I260"/>
    <x:mergeCell ref="A261:D261"/>
    <x:mergeCell ref="A262:D262"/>
    <x:mergeCell ref="A263:D263"/>
    <x:mergeCell ref="A264:D264"/>
    <x:mergeCell ref="A265:D265"/>
    <x:mergeCell ref="A266:D266"/>
    <x:mergeCell ref="A267:D267"/>
    <x:mergeCell ref="A268:D268"/>
    <x:mergeCell ref="A269:D269"/>
    <x:mergeCell ref="A270:D270"/>
    <x:mergeCell ref="F261:I261"/>
    <x:mergeCell ref="F262:I262"/>
    <x:mergeCell ref="F263:I263"/>
    <x:mergeCell ref="F264:I264"/>
    <x:mergeCell ref="F265:I265"/>
    <x:mergeCell ref="F266:I266"/>
    <x:mergeCell ref="F267:I267"/>
    <x:mergeCell ref="F268:I268"/>
    <x:mergeCell ref="F269:I269"/>
    <x:mergeCell ref="F270:I270"/>
    <x:mergeCell ref="A271:D271"/>
    <x:mergeCell ref="A272:D272"/>
    <x:mergeCell ref="A273:D273"/>
    <x:mergeCell ref="A274:D274"/>
    <x:mergeCell ref="A275:D275"/>
    <x:mergeCell ref="A276:D276"/>
    <x:mergeCell ref="A277:D277"/>
    <x:mergeCell ref="A278:D278"/>
    <x:mergeCell ref="A279:D279"/>
    <x:mergeCell ref="A280:D280"/>
    <x:mergeCell ref="F271:I271"/>
    <x:mergeCell ref="F272:I272"/>
    <x:mergeCell ref="F273:I273"/>
    <x:mergeCell ref="F274:I274"/>
    <x:mergeCell ref="F275:I275"/>
    <x:mergeCell ref="F276:I276"/>
    <x:mergeCell ref="F277:I277"/>
    <x:mergeCell ref="F278:I278"/>
    <x:mergeCell ref="F279:I279"/>
    <x:mergeCell ref="F280:I280"/>
    <x:mergeCell ref="A281:D281"/>
    <x:mergeCell ref="A282:D282"/>
    <x:mergeCell ref="A283:D283"/>
    <x:mergeCell ref="A284:D284"/>
    <x:mergeCell ref="A285:D285"/>
    <x:mergeCell ref="A286:D286"/>
    <x:mergeCell ref="A287:D287"/>
    <x:mergeCell ref="A288:D288"/>
    <x:mergeCell ref="A289:D289"/>
    <x:mergeCell ref="A290:D290"/>
    <x:mergeCell ref="F281:I281"/>
    <x:mergeCell ref="F282:I282"/>
    <x:mergeCell ref="F283:I283"/>
    <x:mergeCell ref="F284:I284"/>
    <x:mergeCell ref="F285:I285"/>
    <x:mergeCell ref="F286:I286"/>
    <x:mergeCell ref="F287:I287"/>
    <x:mergeCell ref="F288:I288"/>
    <x:mergeCell ref="F289:I289"/>
    <x:mergeCell ref="F290:I290"/>
    <x:mergeCell ref="A291:D291"/>
    <x:mergeCell ref="A292:D292"/>
    <x:mergeCell ref="A293:D293"/>
    <x:mergeCell ref="A294:D294"/>
    <x:mergeCell ref="A295:D295"/>
    <x:mergeCell ref="A296:D296"/>
    <x:mergeCell ref="A297:D297"/>
    <x:mergeCell ref="A298:D298"/>
    <x:mergeCell ref="A299:D299"/>
    <x:mergeCell ref="A300:D300"/>
    <x:mergeCell ref="F291:I291"/>
    <x:mergeCell ref="F292:I292"/>
    <x:mergeCell ref="F293:I293"/>
    <x:mergeCell ref="F294:I294"/>
    <x:mergeCell ref="F295:I295"/>
    <x:mergeCell ref="F296:I296"/>
    <x:mergeCell ref="F297:I297"/>
    <x:mergeCell ref="F298:I298"/>
    <x:mergeCell ref="F299:I299"/>
    <x:mergeCell ref="F300:I300"/>
    <x:mergeCell ref="A301:D301"/>
    <x:mergeCell ref="A302:D302"/>
    <x:mergeCell ref="A303:D303"/>
    <x:mergeCell ref="A304:D304"/>
    <x:mergeCell ref="A305:D305"/>
    <x:mergeCell ref="A306:D306"/>
    <x:mergeCell ref="A307:D307"/>
    <x:mergeCell ref="A308:D308"/>
    <x:mergeCell ref="A309:D309"/>
    <x:mergeCell ref="A310:D310"/>
    <x:mergeCell ref="F301:I301"/>
    <x:mergeCell ref="F302:I302"/>
    <x:mergeCell ref="F303:I303"/>
    <x:mergeCell ref="F304:I304"/>
    <x:mergeCell ref="F305:I305"/>
    <x:mergeCell ref="F306:I306"/>
    <x:mergeCell ref="F307:I307"/>
    <x:mergeCell ref="F308:I308"/>
    <x:mergeCell ref="F309:I309"/>
    <x:mergeCell ref="F310:I310"/>
    <x:mergeCell ref="A311:D311"/>
    <x:mergeCell ref="A312:D312"/>
    <x:mergeCell ref="A313:D313"/>
    <x:mergeCell ref="A314:D314"/>
    <x:mergeCell ref="A315:D315"/>
    <x:mergeCell ref="A316:D316"/>
    <x:mergeCell ref="A317:D317"/>
    <x:mergeCell ref="A318:D318"/>
    <x:mergeCell ref="A319:D319"/>
    <x:mergeCell ref="A320:D320"/>
    <x:mergeCell ref="F311:I311"/>
    <x:mergeCell ref="F312:I312"/>
    <x:mergeCell ref="F313:I313"/>
    <x:mergeCell ref="F314:I314"/>
    <x:mergeCell ref="F315:I315"/>
    <x:mergeCell ref="F316:I316"/>
    <x:mergeCell ref="F317:I317"/>
    <x:mergeCell ref="F318:I318"/>
    <x:mergeCell ref="F319:I319"/>
    <x:mergeCell ref="F320:I320"/>
    <x:mergeCell ref="A321:D321"/>
    <x:mergeCell ref="A322:D322"/>
    <x:mergeCell ref="A323:D323"/>
    <x:mergeCell ref="A324:D324"/>
    <x:mergeCell ref="A325:D325"/>
    <x:mergeCell ref="A326:D326"/>
    <x:mergeCell ref="A327:D327"/>
    <x:mergeCell ref="A328:D328"/>
    <x:mergeCell ref="A329:D329"/>
    <x:mergeCell ref="A330:D330"/>
    <x:mergeCell ref="F321:I321"/>
    <x:mergeCell ref="F322:I322"/>
    <x:mergeCell ref="F323:I323"/>
    <x:mergeCell ref="F324:I324"/>
    <x:mergeCell ref="F325:I325"/>
    <x:mergeCell ref="F326:I326"/>
    <x:mergeCell ref="F327:I327"/>
    <x:mergeCell ref="F328:I328"/>
    <x:mergeCell ref="F329:I329"/>
    <x:mergeCell ref="F330:I330"/>
    <x:mergeCell ref="A331:D331"/>
    <x:mergeCell ref="A332:D332"/>
    <x:mergeCell ref="A333:D333"/>
    <x:mergeCell ref="A334:D334"/>
    <x:mergeCell ref="A335:D335"/>
    <x:mergeCell ref="A336:D336"/>
    <x:mergeCell ref="A337:D337"/>
    <x:mergeCell ref="A338:D338"/>
    <x:mergeCell ref="A339:D339"/>
    <x:mergeCell ref="A340:D340"/>
    <x:mergeCell ref="F331:I331"/>
    <x:mergeCell ref="F332:I332"/>
    <x:mergeCell ref="F333:I333"/>
    <x:mergeCell ref="F334:I334"/>
    <x:mergeCell ref="F335:I335"/>
    <x:mergeCell ref="F336:I336"/>
    <x:mergeCell ref="F337:I337"/>
    <x:mergeCell ref="F338:I338"/>
    <x:mergeCell ref="F339:I339"/>
    <x:mergeCell ref="F340:I340"/>
    <x:mergeCell ref="A341:D341"/>
    <x:mergeCell ref="A342:D342"/>
    <x:mergeCell ref="A343:D343"/>
    <x:mergeCell ref="A344:D344"/>
    <x:mergeCell ref="A345:D345"/>
    <x:mergeCell ref="A346:D346"/>
    <x:mergeCell ref="A347:D347"/>
    <x:mergeCell ref="A348:D348"/>
    <x:mergeCell ref="A349:D349"/>
    <x:mergeCell ref="A350:D350"/>
    <x:mergeCell ref="F341:I341"/>
    <x:mergeCell ref="F342:I342"/>
    <x:mergeCell ref="F343:I343"/>
    <x:mergeCell ref="F344:I344"/>
    <x:mergeCell ref="F345:I345"/>
    <x:mergeCell ref="F346:I346"/>
    <x:mergeCell ref="F347:I347"/>
    <x:mergeCell ref="F348:I348"/>
    <x:mergeCell ref="F349:I349"/>
    <x:mergeCell ref="F350:I350"/>
    <x:mergeCell ref="A351:D351"/>
    <x:mergeCell ref="A352:D352"/>
    <x:mergeCell ref="A353:D353"/>
    <x:mergeCell ref="A354:D354"/>
    <x:mergeCell ref="A355:D355"/>
    <x:mergeCell ref="A356:D356"/>
    <x:mergeCell ref="A357:D357"/>
    <x:mergeCell ref="A358:D358"/>
    <x:mergeCell ref="A359:D359"/>
    <x:mergeCell ref="A360:D360"/>
    <x:mergeCell ref="F351:I351"/>
    <x:mergeCell ref="F352:I352"/>
    <x:mergeCell ref="F353:I353"/>
    <x:mergeCell ref="F354:I354"/>
    <x:mergeCell ref="F355:I355"/>
    <x:mergeCell ref="F356:I356"/>
    <x:mergeCell ref="F357:I357"/>
    <x:mergeCell ref="F358:I358"/>
    <x:mergeCell ref="F359:I359"/>
    <x:mergeCell ref="F360:I360"/>
    <x:mergeCell ref="A361:D361"/>
    <x:mergeCell ref="A362:D362"/>
    <x:mergeCell ref="A363:D363"/>
    <x:mergeCell ref="A364:D364"/>
    <x:mergeCell ref="A365:D365"/>
    <x:mergeCell ref="A366:D366"/>
    <x:mergeCell ref="A367:D367"/>
    <x:mergeCell ref="A368:D368"/>
    <x:mergeCell ref="A369:D369"/>
    <x:mergeCell ref="A370:D370"/>
    <x:mergeCell ref="F361:I361"/>
    <x:mergeCell ref="F362:I362"/>
    <x:mergeCell ref="F363:I363"/>
    <x:mergeCell ref="F364:I364"/>
    <x:mergeCell ref="F365:I365"/>
    <x:mergeCell ref="F366:I366"/>
    <x:mergeCell ref="F367:I367"/>
    <x:mergeCell ref="F368:I368"/>
    <x:mergeCell ref="F369:I369"/>
    <x:mergeCell ref="F370:I370"/>
    <x:mergeCell ref="A371:D371"/>
    <x:mergeCell ref="A372:D372"/>
    <x:mergeCell ref="A373:D373"/>
    <x:mergeCell ref="A374:D374"/>
    <x:mergeCell ref="A375:D375"/>
    <x:mergeCell ref="A376:D376"/>
    <x:mergeCell ref="A377:D377"/>
    <x:mergeCell ref="A378:D378"/>
    <x:mergeCell ref="A379:D379"/>
    <x:mergeCell ref="A380:D380"/>
    <x:mergeCell ref="F371:I371"/>
    <x:mergeCell ref="F372:I372"/>
    <x:mergeCell ref="F373:I373"/>
    <x:mergeCell ref="F374:I374"/>
    <x:mergeCell ref="F375:I375"/>
    <x:mergeCell ref="F376:I376"/>
    <x:mergeCell ref="F377:I377"/>
    <x:mergeCell ref="F378:I378"/>
    <x:mergeCell ref="F379:I379"/>
    <x:mergeCell ref="F380:I380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2" hidden="0" customWidth="1"/>
    <x:col min="2" max="2" width="110" hidden="0" customWidth="1"/>
  </x:cols>
  <x:sheetData>
    <x:row r="1">
      <x:c r="A1" s="5" t="str">
        <x:v>R16 / ÉRVÉNYES TERVI RE VÍZIÓ /6 magas fiók</x:v>
      </x:c>
    </x:row>
    <x:row r="5" ht="36" customHeight="1">
      <x:c r="A5" s="34" t="str">
        <x:v>Kérdés</x:v>
      </x:c>
      <x:c r="B5" s="34" t="str">
        <x:v>Válasz</x:v>
      </x:c>
    </x:row>
    <x:row r="6" ht="36" customHeight="1">
      <x:c r="A6" s="2" t="str">
        <x:v>Állapot</x:v>
      </x:c>
      <x:c r="B6" s="2" t="str">
        <x:v>A régiR15 lapok változatlan archívum. Műhelyi alap: azR16 lapok és azR16 címkék.</x:v>
      </x:c>
    </x:row>
    <x:row r="7" ht="36" customHeight="1">
      <x:c r="A7" s="2" t="str">
        <x:v>Alsó sor</x:v>
      </x:c>
      <x:c r="B7" s="2" t="str">
        <x:v>720+450+450+1080+450+450mm; mindenfront egy magas fiók.</x:v>
      </x:c>
    </x:row>
    <x:row r="8" ht="36" customHeight="1">
      <x:c r="A8" s="2" t="str">
        <x:v>Felső sor</x:v>
      </x:c>
      <x:c r="B8" s="2" t="str">
        <x:v>720mm torony +200mm bronzbetét +4x670mm panelosztás.</x:v>
      </x:c>
    </x:row>
    <x:row r="9" ht="36" customHeight="1">
      <x:c r="A9" s="2" t="str">
        <x:v>Működés</x:v>
      </x:c>
      <x:c r="B9" s="2" t="str">
        <x:v>Blum MOVENTO +TIPONBLUMOTION; hat külön fiókszenzor, két ajtószenzor.</x:v>
      </x:c>
    </x:row>
    <x:row r="10" ht="36" customHeight="1">
      <x:c r="A10" s="2" t="str">
        <x:v>Alkatrész</x:v>
      </x:c>
      <x:c r="B10" s="2" t="n">
        <x:v>106</x:v>
      </x:c>
    </x:row>
    <x:row r="11" ht="36" customHeight="1">
      <x:c r="A11" s="2" t="str">
        <x:v>Furat</x:v>
      </x:c>
      <x:c r="B11" s="2" t="n">
        <x:v>956</x:v>
      </x:c>
    </x:row>
    <x:row r="12" ht="36" customHeight="1">
      <x:c r="A12" s="2" t="str">
        <x:v>Fiókok nettó belső tere, liter</x:v>
      </x:c>
      <x:c r="B12" s="2" t="n">
        <x:f>SUM(R16_Fiokok!G6:G11)</x:f>
        <x:v>180.77904</x:v>
      </x:c>
    </x:row>
    <x:row r="13" ht="36" customHeight="1">
      <x:c r="A13" s="2" t="str">
        <x:v>Összes fényforrás W</x:v>
      </x:c>
      <x:c r="B13" s="2" t="n">
        <x:f>R16_Feny!B20</x:f>
        <x:v>102.79999999999998</x:v>
      </x:c>
    </x:row>
    <x:row r="14" ht="36" customHeight="1">
      <x:c r="A14" s="2" t="str">
        <x:v>Feltételes projektösszeg Ft</x:v>
      </x:c>
      <x:c r="B14" s="2" t="n">
        <x:f>R16_Koltseg!B23</x:f>
        <x:v>26212190</x:v>
      </x:c>
    </x:row>
    <x:row r="15" ht="36" customHeight="1">
      <x:c r="A15" s="2" t="str">
        <x:v>Még nyitott</x:v>
      </x:c>
      <x:c r="B15" s="2" t="str">
        <x:v>Felmérés, anyag/nyomatminta, MOVENTO sablonfuratok, gépi próba, asztaleltolás, fal/villamos jóváhagyás.</x:v>
      </x:c>
    </x:row>
    <x:row r="16" ht="36" customHeight="1">
      <x:c r="A16" s="2" t="str">
        <x:v>Keret</x:v>
      </x:c>
      <x:c r="B16" s="2" t="str">
        <x:v>18M cél +külön2M tartalék. A terv jelenleg nincs18Mkereten belül.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>
      <x:c r="A1" s="5" t="str">
        <x:v>Készméretek / megőrzött kézi éladatok / újraszámolt nyersméret</x:v>
      </x:c>
    </x:row>
    <x:row r="5" ht="36" customHeight="1">
      <x:c r="A5" s="34" t="str">
        <x:v>ID</x:v>
      </x:c>
      <x:c r="B5" s="34" t="str">
        <x:v>Név</x:v>
      </x:c>
      <x:c r="C5" s="34" t="str">
        <x:v>Umm</x:v>
      </x:c>
      <x:c r="D5" s="34" t="str">
        <x:v>Vmm</x:v>
      </x:c>
      <x:c r="E5" s="34" t="str">
        <x:v>tmm</x:v>
      </x:c>
      <x:c r="F5" s="34" t="str">
        <x:v>Anyag</x:v>
      </x:c>
      <x:c r="G5" s="34" t="str">
        <x:v>E1</x:v>
      </x:c>
      <x:c r="H5" s="34" t="str">
        <x:v>E2</x:v>
      </x:c>
      <x:c r="I5" s="34" t="str">
        <x:v>E3</x:v>
      </x:c>
      <x:c r="J5" s="34" t="str">
        <x:v>E4</x:v>
      </x:c>
      <x:c r="K5" s="34" t="str">
        <x:v>Uráhagyás</x:v>
      </x:c>
      <x:c r="L5" s="34" t="str">
        <x:v>Vráhagyás</x:v>
      </x:c>
      <x:c r="M5" s="34" t="str">
        <x:v>NyersU</x:v>
      </x:c>
      <x:c r="N5" s="34" t="str">
        <x:v>NyersV</x:v>
      </x:c>
      <x:c r="O5" s="34" t="str">
        <x:v>Ckód</x:v>
      </x:c>
      <x:c r="P5" s="34" t="str">
        <x:v>Műhelymegjegyzés</x:v>
      </x:c>
      <x:c r="Q5" s="34" t="str">
        <x:v>Furat</x:v>
      </x:c>
      <x:c r="R5" s="34" t="str">
        <x:v>Revízió</x:v>
      </x:c>
    </x:row>
    <x:row r="6" ht="36" customHeight="1">
      <x:c r="A6" s="2" t="str">
        <x:v>KI12-TV01S-01</x:v>
      </x:c>
      <x:c r="B6" s="2" t="str">
        <x:v>Torony oldalak / bal oldallap</x:v>
      </x:c>
      <x:c r="C6" s="2" t="n">
        <x:v>2330</x:v>
      </x:c>
      <x:c r="D6" s="2" t="n">
        <x:v>382</x:v>
      </x:c>
      <x:c r="E6" s="2" t="n">
        <x:v>18</x:v>
      </x:c>
      <x:c r="F6" s="2" t="str">
        <x:v>M03</x:v>
      </x:c>
      <x:c r="G6" s="35" t="n">
        <x:v>1</x:v>
      </x:c>
      <x:c r="H6" s="35" t="n">
        <x:v>0</x:v>
      </x:c>
      <x:c r="I6" s="35" t="n">
        <x:v>0</x:v>
      </x:c>
      <x:c r="J6" s="35" t="n">
        <x:v>0</x:v>
      </x:c>
      <x:c r="K6" s="35"/>
      <x:c r="L6" s="35"/>
      <x:c r="M6" s="2" t="str">
        <x:f>IF(COUNT(H6,J6,K6)=3,C6-H6-J6+K6,"NYITOTT")</x:f>
        <x:v>NYITOTT</x:v>
      </x:c>
      <x:c r="N6" s="2" t="str">
        <x:f>IF(COUNT(G6,I6,L6)=3,D6-G6-I6+L6,"NYITOTT")</x:f>
        <x:v>NYITOTT</x:v>
      </x:c>
      <x:c r="O6" s="35" t="str">
        <x:v>NYITOTT</x:v>
      </x:c>
      <x:c r="P6" s="35" t="str">
        <x:v>NEM</x:v>
      </x:c>
      <x:c r="Q6" s="2" t="n">
        <x:v>40</x:v>
      </x:c>
      <x:c r="R6" s="2" t="str">
        <x:v>R16:KI12-TV01S-01</x:v>
      </x:c>
    </x:row>
    <x:row r="7" ht="36" customHeight="1">
      <x:c r="A7" s="2" t="str">
        <x:v>KI12-TV01S-02</x:v>
      </x:c>
      <x:c r="B7" s="2" t="str">
        <x:v>Torony oldalak / jobb oldallap</x:v>
      </x:c>
      <x:c r="C7" s="2" t="n">
        <x:v>2330</x:v>
      </x:c>
      <x:c r="D7" s="2" t="n">
        <x:v>382</x:v>
      </x:c>
      <x:c r="E7" s="2" t="n">
        <x:v>18</x:v>
      </x:c>
      <x:c r="F7" s="2" t="str">
        <x:v>M03</x:v>
      </x:c>
      <x:c r="G7" s="35" t="n">
        <x:v>1</x:v>
      </x:c>
      <x:c r="H7" s="35" t="n">
        <x:v>0</x:v>
      </x:c>
      <x:c r="I7" s="35" t="n">
        <x:v>0</x:v>
      </x:c>
      <x:c r="J7" s="35" t="n">
        <x:v>0</x:v>
      </x:c>
      <x:c r="K7" s="35"/>
      <x:c r="L7" s="35"/>
      <x:c r="M7" s="2" t="str">
        <x:f>IF(COUNT(H7,J7,K7)=3,C7-H7-J7+K7,"NYITOTT")</x:f>
        <x:v>NYITOTT</x:v>
      </x:c>
      <x:c r="N7" s="2" t="str">
        <x:f>IF(COUNT(G7,I7,L7)=3,D7-G7-I7+L7,"NYITOTT")</x:f>
        <x:v>NYITOTT</x:v>
      </x:c>
      <x:c r="O7" s="35" t="str">
        <x:v>NYITOTT</x:v>
      </x:c>
      <x:c r="P7" s="35" t="str">
        <x:v>NEM</x:v>
      </x:c>
      <x:c r="Q7" s="2" t="n">
        <x:v>40</x:v>
      </x:c>
      <x:c r="R7" s="2" t="str">
        <x:v>R16:KI12-TV01S-02</x:v>
      </x:c>
    </x:row>
    <x:row r="8" ht="36" customHeight="1">
      <x:c r="A8" s="2" t="str">
        <x:v>KI12-TV01T-01</x:v>
      </x:c>
      <x:c r="B8" s="2" t="str">
        <x:v>Torony tető/fenék / alsó</x:v>
      </x:c>
      <x:c r="C8" s="2" t="n">
        <x:v>684</x:v>
      </x:c>
      <x:c r="D8" s="2" t="n">
        <x:v>382</x:v>
      </x:c>
      <x:c r="E8" s="2" t="n">
        <x:v>18</x:v>
      </x:c>
      <x:c r="F8" s="2" t="str">
        <x:v>M03</x:v>
      </x:c>
      <x:c r="G8" s="35" t="n">
        <x:v>1</x:v>
      </x:c>
      <x:c r="H8" s="35" t="n">
        <x:v>0</x:v>
      </x:c>
      <x:c r="I8" s="35" t="n">
        <x:v>0</x:v>
      </x:c>
      <x:c r="J8" s="35" t="n">
        <x:v>0</x:v>
      </x:c>
      <x:c r="K8" s="35"/>
      <x:c r="L8" s="35"/>
      <x:c r="M8" s="2" t="str">
        <x:f>IF(COUNT(H8,J8,K8)=3,C8-H8-J8+K8,"NYITOTT")</x:f>
        <x:v>NYITOTT</x:v>
      </x:c>
      <x:c r="N8" s="2" t="str">
        <x:f>IF(COUNT(G8,I8,L8)=3,D8-G8-I8+L8,"NYITOTT")</x:f>
        <x:v>NYITOTT</x:v>
      </x:c>
      <x:c r="O8" s="35" t="str">
        <x:v>NYITOTT</x:v>
      </x:c>
      <x:c r="P8" s="35" t="str">
        <x:v>NEM</x:v>
      </x:c>
      <x:c r="Q8" s="2" t="n">
        <x:v>9</x:v>
      </x:c>
      <x:c r="R8" s="2" t="str">
        <x:v>R16:KI12-TV01T-01</x:v>
      </x:c>
    </x:row>
    <x:row r="9" ht="36" customHeight="1">
      <x:c r="A9" s="2" t="str">
        <x:v>KI12-TV01T-02</x:v>
      </x:c>
      <x:c r="B9" s="2" t="str">
        <x:v>Torony tető/fenék / felső</x:v>
      </x:c>
      <x:c r="C9" s="2" t="n">
        <x:v>684</x:v>
      </x:c>
      <x:c r="D9" s="2" t="n">
        <x:v>382</x:v>
      </x:c>
      <x:c r="E9" s="2" t="n">
        <x:v>18</x:v>
      </x:c>
      <x:c r="F9" s="2" t="str">
        <x:v>M03</x:v>
      </x:c>
      <x:c r="G9" s="35" t="n">
        <x:v>1</x:v>
      </x:c>
      <x:c r="H9" s="35" t="n">
        <x:v>0</x:v>
      </x:c>
      <x:c r="I9" s="35" t="n">
        <x:v>0</x:v>
      </x:c>
      <x:c r="J9" s="35" t="n">
        <x:v>0</x:v>
      </x:c>
      <x:c r="K9" s="35"/>
      <x:c r="L9" s="35"/>
      <x:c r="M9" s="2" t="str">
        <x:f>IF(COUNT(H9,J9,K9)=3,C9-H9-J9+K9,"NYITOTT")</x:f>
        <x:v>NYITOTT</x:v>
      </x:c>
      <x:c r="N9" s="2" t="str">
        <x:f>IF(COUNT(G9,I9,L9)=3,D9-G9-I9+L9,"NYITOTT")</x:f>
        <x:v>NYITOTT</x:v>
      </x:c>
      <x:c r="O9" s="35" t="str">
        <x:v>NYITOTT</x:v>
      </x:c>
      <x:c r="P9" s="35" t="str">
        <x:v>NEM</x:v>
      </x:c>
      <x:c r="Q9" s="2" t="n">
        <x:v>9</x:v>
      </x:c>
      <x:c r="R9" s="2" t="str">
        <x:v>R16:KI12-TV01T-02</x:v>
      </x:c>
    </x:row>
    <x:row r="10" ht="36" customHeight="1">
      <x:c r="A10" s="2" t="str">
        <x:v>KI12-TV01C-01</x:v>
      </x:c>
      <x:c r="B10" s="2" t="str">
        <x:v>Torony középosztó / példány 1</x:v>
      </x:c>
      <x:c r="C10" s="2" t="n">
        <x:v>2294</x:v>
      </x:c>
      <x:c r="D10" s="2" t="n">
        <x:v>354</x:v>
      </x:c>
      <x:c r="E10" s="2" t="n">
        <x:v>18</x:v>
      </x:c>
      <x:c r="F10" s="2" t="str">
        <x:v>M03</x:v>
      </x:c>
      <x:c r="G10" s="35" t="n">
        <x:v>1</x:v>
      </x:c>
      <x:c r="H10" s="35" t="n">
        <x:v>0</x:v>
      </x:c>
      <x:c r="I10" s="35" t="n">
        <x:v>0</x:v>
      </x:c>
      <x:c r="J10" s="35" t="n">
        <x:v>0</x:v>
      </x:c>
      <x:c r="K10" s="35"/>
      <x:c r="L10" s="35"/>
      <x:c r="M10" s="2" t="str">
        <x:f>IF(COUNT(H10,J10,K10)=3,C10-H10-J10+K10,"NYITOTT")</x:f>
        <x:v>NYITOTT</x:v>
      </x:c>
      <x:c r="N10" s="2" t="str">
        <x:f>IF(COUNT(G10,I10,L10)=3,D10-G10-I10+L10,"NYITOTT")</x:f>
        <x:v>NYITOTT</x:v>
      </x:c>
      <x:c r="O10" s="35" t="str">
        <x:v>NYITOTT</x:v>
      </x:c>
      <x:c r="P10" s="35" t="str">
        <x:v>NEM</x:v>
      </x:c>
      <x:c r="Q10" s="2" t="n">
        <x:v>36</x:v>
      </x:c>
      <x:c r="R10" s="2" t="str">
        <x:v>R16:KI12-TV01C-01</x:v>
      </x:c>
    </x:row>
    <x:row r="11" ht="36" customHeight="1">
      <x:c r="A11" s="2" t="str">
        <x:v>KI12-TV01P-01</x:v>
      </x:c>
      <x:c r="B11" s="2" t="str">
        <x:v>Torony állítható polc / példány 1</x:v>
      </x:c>
      <x:c r="C11" s="2" t="n">
        <x:v>331</x:v>
      </x:c>
      <x:c r="D11" s="2" t="n">
        <x:v>290</x:v>
      </x:c>
      <x:c r="E11" s="2" t="n">
        <x:v>18</x:v>
      </x:c>
      <x:c r="F11" s="2" t="str">
        <x:v>M03</x:v>
      </x:c>
      <x:c r="G11" s="35" t="n">
        <x:v>1</x:v>
      </x:c>
      <x:c r="H11" s="35" t="n">
        <x:v>0</x:v>
      </x:c>
      <x:c r="I11" s="35" t="n">
        <x:v>0</x:v>
      </x:c>
      <x:c r="J11" s="35" t="n">
        <x:v>0</x:v>
      </x:c>
      <x:c r="K11" s="35"/>
      <x:c r="L11" s="35"/>
      <x:c r="M11" s="2" t="str">
        <x:f>IF(COUNT(H11,J11,K11)=3,C11-H11-J11+K11,"NYITOTT")</x:f>
        <x:v>NYITOTT</x:v>
      </x:c>
      <x:c r="N11" s="2" t="str">
        <x:f>IF(COUNT(G11,I11,L11)=3,D11-G11-I11+L11,"NYITOTT")</x:f>
        <x:v>NYITOTT</x:v>
      </x:c>
      <x:c r="O11" s="35" t="str">
        <x:v>NYITOTT</x:v>
      </x:c>
      <x:c r="P11" s="35" t="str">
        <x:v>NEM</x:v>
      </x:c>
      <x:c r="Q11" s="2" t="n">
        <x:v>0</x:v>
      </x:c>
      <x:c r="R11" s="2" t="str">
        <x:v>R16:KI12-TV01P-01</x:v>
      </x:c>
    </x:row>
    <x:row r="12" ht="36" customHeight="1">
      <x:c r="A12" s="2" t="str">
        <x:v>KI12-TV01P-02</x:v>
      </x:c>
      <x:c r="B12" s="2" t="str">
        <x:v>Torony állítható polc / példány 2</x:v>
      </x:c>
      <x:c r="C12" s="2" t="n">
        <x:v>331</x:v>
      </x:c>
      <x:c r="D12" s="2" t="n">
        <x:v>290</x:v>
      </x:c>
      <x:c r="E12" s="2" t="n">
        <x:v>18</x:v>
      </x:c>
      <x:c r="F12" s="2" t="str">
        <x:v>M03</x:v>
      </x:c>
      <x:c r="G12" s="35" t="n">
        <x:v>1</x:v>
      </x:c>
      <x:c r="H12" s="35" t="n">
        <x:v>0</x:v>
      </x:c>
      <x:c r="I12" s="35" t="n">
        <x:v>0</x:v>
      </x:c>
      <x:c r="J12" s="35" t="n">
        <x:v>0</x:v>
      </x:c>
      <x:c r="K12" s="35"/>
      <x:c r="L12" s="35"/>
      <x:c r="M12" s="2" t="str">
        <x:f>IF(COUNT(H12,J12,K12)=3,C12-H12-J12+K12,"NYITOTT")</x:f>
        <x:v>NYITOTT</x:v>
      </x:c>
      <x:c r="N12" s="2" t="str">
        <x:f>IF(COUNT(G12,I12,L12)=3,D12-G12-I12+L12,"NYITOTT")</x:f>
        <x:v>NYITOTT</x:v>
      </x:c>
      <x:c r="O12" s="35" t="str">
        <x:v>NYITOTT</x:v>
      </x:c>
      <x:c r="P12" s="35" t="str">
        <x:v>NEM</x:v>
      </x:c>
      <x:c r="Q12" s="2" t="n">
        <x:v>0</x:v>
      </x:c>
      <x:c r="R12" s="2" t="str">
        <x:v>R16:KI12-TV01P-02</x:v>
      </x:c>
    </x:row>
    <x:row r="13" ht="36" customHeight="1">
      <x:c r="A13" s="2" t="str">
        <x:v>KI12-TV01P-03</x:v>
      </x:c>
      <x:c r="B13" s="2" t="str">
        <x:v>Torony állítható polc / példány 3</x:v>
      </x:c>
      <x:c r="C13" s="2" t="n">
        <x:v>331</x:v>
      </x:c>
      <x:c r="D13" s="2" t="n">
        <x:v>290</x:v>
      </x:c>
      <x:c r="E13" s="2" t="n">
        <x:v>18</x:v>
      </x:c>
      <x:c r="F13" s="2" t="str">
        <x:v>M03</x:v>
      </x:c>
      <x:c r="G13" s="35" t="n">
        <x:v>1</x:v>
      </x:c>
      <x:c r="H13" s="35" t="n">
        <x:v>0</x:v>
      </x:c>
      <x:c r="I13" s="35" t="n">
        <x:v>0</x:v>
      </x:c>
      <x:c r="J13" s="35" t="n">
        <x:v>0</x:v>
      </x:c>
      <x:c r="K13" s="35"/>
      <x:c r="L13" s="35"/>
      <x:c r="M13" s="2" t="str">
        <x:f>IF(COUNT(H13,J13,K13)=3,C13-H13-J13+K13,"NYITOTT")</x:f>
        <x:v>NYITOTT</x:v>
      </x:c>
      <x:c r="N13" s="2" t="str">
        <x:f>IF(COUNT(G13,I13,L13)=3,D13-G13-I13+L13,"NYITOTT")</x:f>
        <x:v>NYITOTT</x:v>
      </x:c>
      <x:c r="O13" s="35" t="str">
        <x:v>NYITOTT</x:v>
      </x:c>
      <x:c r="P13" s="35" t="str">
        <x:v>NEM</x:v>
      </x:c>
      <x:c r="Q13" s="2" t="n">
        <x:v>0</x:v>
      </x:c>
      <x:c r="R13" s="2" t="str">
        <x:v>R16:KI12-TV01P-03</x:v>
      </x:c>
    </x:row>
    <x:row r="14" ht="36" customHeight="1">
      <x:c r="A14" s="2" t="str">
        <x:v>KI12-TV01P-04</x:v>
      </x:c>
      <x:c r="B14" s="2" t="str">
        <x:v>Torony állítható polc / példány 4</x:v>
      </x:c>
      <x:c r="C14" s="2" t="n">
        <x:v>331</x:v>
      </x:c>
      <x:c r="D14" s="2" t="n">
        <x:v>290</x:v>
      </x:c>
      <x:c r="E14" s="2" t="n">
        <x:v>18</x:v>
      </x:c>
      <x:c r="F14" s="2" t="str">
        <x:v>M03</x:v>
      </x:c>
      <x:c r="G14" s="35" t="n">
        <x:v>1</x:v>
      </x:c>
      <x:c r="H14" s="35" t="n">
        <x:v>0</x:v>
      </x:c>
      <x:c r="I14" s="35" t="n">
        <x:v>0</x:v>
      </x:c>
      <x:c r="J14" s="35" t="n">
        <x:v>0</x:v>
      </x:c>
      <x:c r="K14" s="35"/>
      <x:c r="L14" s="35"/>
      <x:c r="M14" s="2" t="str">
        <x:f>IF(COUNT(H14,J14,K14)=3,C14-H14-J14+K14,"NYITOTT")</x:f>
        <x:v>NYITOTT</x:v>
      </x:c>
      <x:c r="N14" s="2" t="str">
        <x:f>IF(COUNT(G14,I14,L14)=3,D14-G14-I14+L14,"NYITOTT")</x:f>
        <x:v>NYITOTT</x:v>
      </x:c>
      <x:c r="O14" s="35" t="str">
        <x:v>NYITOTT</x:v>
      </x:c>
      <x:c r="P14" s="35" t="str">
        <x:v>NEM</x:v>
      </x:c>
      <x:c r="Q14" s="2" t="n">
        <x:v>0</x:v>
      </x:c>
      <x:c r="R14" s="2" t="str">
        <x:v>R16:KI12-TV01P-04</x:v>
      </x:c>
    </x:row>
    <x:row r="15" ht="36" customHeight="1">
      <x:c r="A15" s="2" t="str">
        <x:v>KI12-TV01P-05</x:v>
      </x:c>
      <x:c r="B15" s="2" t="str">
        <x:v>Torony állítható polc / példány 5</x:v>
      </x:c>
      <x:c r="C15" s="2" t="n">
        <x:v>331</x:v>
      </x:c>
      <x:c r="D15" s="2" t="n">
        <x:v>290</x:v>
      </x:c>
      <x:c r="E15" s="2" t="n">
        <x:v>18</x:v>
      </x:c>
      <x:c r="F15" s="2" t="str">
        <x:v>M03</x:v>
      </x:c>
      <x:c r="G15" s="35" t="n">
        <x:v>1</x:v>
      </x:c>
      <x:c r="H15" s="35" t="n">
        <x:v>0</x:v>
      </x:c>
      <x:c r="I15" s="35" t="n">
        <x:v>0</x:v>
      </x:c>
      <x:c r="J15" s="35" t="n">
        <x:v>0</x:v>
      </x:c>
      <x:c r="K15" s="35"/>
      <x:c r="L15" s="35"/>
      <x:c r="M15" s="2" t="str">
        <x:f>IF(COUNT(H15,J15,K15)=3,C15-H15-J15+K15,"NYITOTT")</x:f>
        <x:v>NYITOTT</x:v>
      </x:c>
      <x:c r="N15" s="2" t="str">
        <x:f>IF(COUNT(G15,I15,L15)=3,D15-G15-I15+L15,"NYITOTT")</x:f>
        <x:v>NYITOTT</x:v>
      </x:c>
      <x:c r="O15" s="35" t="str">
        <x:v>NYITOTT</x:v>
      </x:c>
      <x:c r="P15" s="35" t="str">
        <x:v>NEM</x:v>
      </x:c>
      <x:c r="Q15" s="2" t="n">
        <x:v>0</x:v>
      </x:c>
      <x:c r="R15" s="2" t="str">
        <x:v>R16:KI12-TV01P-05</x:v>
      </x:c>
    </x:row>
    <x:row r="16" ht="36" customHeight="1">
      <x:c r="A16" s="2" t="str">
        <x:v>KI12-TV01P-06</x:v>
      </x:c>
      <x:c r="B16" s="2" t="str">
        <x:v>Torony állítható polc / példány 6</x:v>
      </x:c>
      <x:c r="C16" s="2" t="n">
        <x:v>331</x:v>
      </x:c>
      <x:c r="D16" s="2" t="n">
        <x:v>290</x:v>
      </x:c>
      <x:c r="E16" s="2" t="n">
        <x:v>18</x:v>
      </x:c>
      <x:c r="F16" s="2" t="str">
        <x:v>M03</x:v>
      </x:c>
      <x:c r="G16" s="35" t="n">
        <x:v>1</x:v>
      </x:c>
      <x:c r="H16" s="35" t="n">
        <x:v>0</x:v>
      </x:c>
      <x:c r="I16" s="35" t="n">
        <x:v>0</x:v>
      </x:c>
      <x:c r="J16" s="35" t="n">
        <x:v>0</x:v>
      </x:c>
      <x:c r="K16" s="35"/>
      <x:c r="L16" s="35"/>
      <x:c r="M16" s="2" t="str">
        <x:f>IF(COUNT(H16,J16,K16)=3,C16-H16-J16+K16,"NYITOTT")</x:f>
        <x:v>NYITOTT</x:v>
      </x:c>
      <x:c r="N16" s="2" t="str">
        <x:f>IF(COUNT(G16,I16,L16)=3,D16-G16-I16+L16,"NYITOTT")</x:f>
        <x:v>NYITOTT</x:v>
      </x:c>
      <x:c r="O16" s="35" t="str">
        <x:v>NYITOTT</x:v>
      </x:c>
      <x:c r="P16" s="35" t="str">
        <x:v>NEM</x:v>
      </x:c>
      <x:c r="Q16" s="2" t="n">
        <x:v>0</x:v>
      </x:c>
      <x:c r="R16" s="2" t="str">
        <x:v>R16:KI12-TV01P-06</x:v>
      </x:c>
    </x:row>
    <x:row r="17" ht="36" customHeight="1">
      <x:c r="A17" s="2" t="str">
        <x:v>KI12-TV01P-07</x:v>
      </x:c>
      <x:c r="B17" s="2" t="str">
        <x:v>Torony állítható polc / példány 7</x:v>
      </x:c>
      <x:c r="C17" s="2" t="n">
        <x:v>331</x:v>
      </x:c>
      <x:c r="D17" s="2" t="n">
        <x:v>290</x:v>
      </x:c>
      <x:c r="E17" s="2" t="n">
        <x:v>18</x:v>
      </x:c>
      <x:c r="F17" s="2" t="str">
        <x:v>M03</x:v>
      </x:c>
      <x:c r="G17" s="35" t="n">
        <x:v>1</x:v>
      </x:c>
      <x:c r="H17" s="35" t="n">
        <x:v>0</x:v>
      </x:c>
      <x:c r="I17" s="35" t="n">
        <x:v>0</x:v>
      </x:c>
      <x:c r="J17" s="35" t="n">
        <x:v>0</x:v>
      </x:c>
      <x:c r="K17" s="35"/>
      <x:c r="L17" s="35"/>
      <x:c r="M17" s="2" t="str">
        <x:f>IF(COUNT(H17,J17,K17)=3,C17-H17-J17+K17,"NYITOTT")</x:f>
        <x:v>NYITOTT</x:v>
      </x:c>
      <x:c r="N17" s="2" t="str">
        <x:f>IF(COUNT(G17,I17,L17)=3,D17-G17-I17+L17,"NYITOTT")</x:f>
        <x:v>NYITOTT</x:v>
      </x:c>
      <x:c r="O17" s="35" t="str">
        <x:v>NYITOTT</x:v>
      </x:c>
      <x:c r="P17" s="35" t="str">
        <x:v>NEM</x:v>
      </x:c>
      <x:c r="Q17" s="2" t="n">
        <x:v>0</x:v>
      </x:c>
      <x:c r="R17" s="2" t="str">
        <x:v>R16:KI12-TV01P-07</x:v>
      </x:c>
    </x:row>
    <x:row r="18" ht="36" customHeight="1">
      <x:c r="A18" s="2" t="str">
        <x:v>KI12-TV01P-08</x:v>
      </x:c>
      <x:c r="B18" s="2" t="str">
        <x:v>Torony állítható polc / példány 8</x:v>
      </x:c>
      <x:c r="C18" s="2" t="n">
        <x:v>331</x:v>
      </x:c>
      <x:c r="D18" s="2" t="n">
        <x:v>290</x:v>
      </x:c>
      <x:c r="E18" s="2" t="n">
        <x:v>18</x:v>
      </x:c>
      <x:c r="F18" s="2" t="str">
        <x:v>M03</x:v>
      </x:c>
      <x:c r="G18" s="35" t="n">
        <x:v>1</x:v>
      </x:c>
      <x:c r="H18" s="35" t="n">
        <x:v>0</x:v>
      </x:c>
      <x:c r="I18" s="35" t="n">
        <x:v>0</x:v>
      </x:c>
      <x:c r="J18" s="35" t="n">
        <x:v>0</x:v>
      </x:c>
      <x:c r="K18" s="35"/>
      <x:c r="L18" s="35"/>
      <x:c r="M18" s="2" t="str">
        <x:f>IF(COUNT(H18,J18,K18)=3,C18-H18-J18+K18,"NYITOTT")</x:f>
        <x:v>NYITOTT</x:v>
      </x:c>
      <x:c r="N18" s="2" t="str">
        <x:f>IF(COUNT(G18,I18,L18)=3,D18-G18-I18+L18,"NYITOTT")</x:f>
        <x:v>NYITOTT</x:v>
      </x:c>
      <x:c r="O18" s="35" t="str">
        <x:v>NYITOTT</x:v>
      </x:c>
      <x:c r="P18" s="35" t="str">
        <x:v>NEM</x:v>
      </x:c>
      <x:c r="Q18" s="2" t="n">
        <x:v>0</x:v>
      </x:c>
      <x:c r="R18" s="2" t="str">
        <x:v>R16:KI12-TV01P-08</x:v>
      </x:c>
    </x:row>
    <x:row r="19" ht="36" customHeight="1">
      <x:c r="A19" s="2" t="str">
        <x:v>KI12-TV01P-09</x:v>
      </x:c>
      <x:c r="B19" s="2" t="str">
        <x:v>Torony állítható polc / példány 9</x:v>
      </x:c>
      <x:c r="C19" s="2" t="n">
        <x:v>331</x:v>
      </x:c>
      <x:c r="D19" s="2" t="n">
        <x:v>290</x:v>
      </x:c>
      <x:c r="E19" s="2" t="n">
        <x:v>18</x:v>
      </x:c>
      <x:c r="F19" s="2" t="str">
        <x:v>M03</x:v>
      </x:c>
      <x:c r="G19" s="35" t="n">
        <x:v>1</x:v>
      </x:c>
      <x:c r="H19" s="35" t="n">
        <x:v>0</x:v>
      </x:c>
      <x:c r="I19" s="35" t="n">
        <x:v>0</x:v>
      </x:c>
      <x:c r="J19" s="35" t="n">
        <x:v>0</x:v>
      </x:c>
      <x:c r="K19" s="35"/>
      <x:c r="L19" s="35"/>
      <x:c r="M19" s="2" t="str">
        <x:f>IF(COUNT(H19,J19,K19)=3,C19-H19-J19+K19,"NYITOTT")</x:f>
        <x:v>NYITOTT</x:v>
      </x:c>
      <x:c r="N19" s="2" t="str">
        <x:f>IF(COUNT(G19,I19,L19)=3,D19-G19-I19+L19,"NYITOTT")</x:f>
        <x:v>NYITOTT</x:v>
      </x:c>
      <x:c r="O19" s="35" t="str">
        <x:v>NYITOTT</x:v>
      </x:c>
      <x:c r="P19" s="35" t="str">
        <x:v>NEM</x:v>
      </x:c>
      <x:c r="Q19" s="2" t="n">
        <x:v>0</x:v>
      </x:c>
      <x:c r="R19" s="2" t="str">
        <x:v>R16:KI12-TV01P-09</x:v>
      </x:c>
    </x:row>
    <x:row r="20" ht="36" customHeight="1">
      <x:c r="A20" s="2" t="str">
        <x:v>KI12-TV01P-10</x:v>
      </x:c>
      <x:c r="B20" s="2" t="str">
        <x:v>Torony állítható polc / példány 10</x:v>
      </x:c>
      <x:c r="C20" s="2" t="n">
        <x:v>331</x:v>
      </x:c>
      <x:c r="D20" s="2" t="n">
        <x:v>290</x:v>
      </x:c>
      <x:c r="E20" s="2" t="n">
        <x:v>18</x:v>
      </x:c>
      <x:c r="F20" s="2" t="str">
        <x:v>M03</x:v>
      </x:c>
      <x:c r="G20" s="35" t="n">
        <x:v>1</x:v>
      </x:c>
      <x:c r="H20" s="35" t="n">
        <x:v>0</x:v>
      </x:c>
      <x:c r="I20" s="35" t="n">
        <x:v>0</x:v>
      </x:c>
      <x:c r="J20" s="35" t="n">
        <x:v>0</x:v>
      </x:c>
      <x:c r="K20" s="35"/>
      <x:c r="L20" s="35"/>
      <x:c r="M20" s="2" t="str">
        <x:f>IF(COUNT(H20,J20,K20)=3,C20-H20-J20+K20,"NYITOTT")</x:f>
        <x:v>NYITOTT</x:v>
      </x:c>
      <x:c r="N20" s="2" t="str">
        <x:f>IF(COUNT(G20,I20,L20)=3,D20-G20-I20+L20,"NYITOTT")</x:f>
        <x:v>NYITOTT</x:v>
      </x:c>
      <x:c r="O20" s="35" t="str">
        <x:v>NYITOTT</x:v>
      </x:c>
      <x:c r="P20" s="35" t="str">
        <x:v>NEM</x:v>
      </x:c>
      <x:c r="Q20" s="2" t="n">
        <x:v>0</x:v>
      </x:c>
      <x:c r="R20" s="2" t="str">
        <x:v>R16:KI12-TV01P-10</x:v>
      </x:c>
    </x:row>
    <x:row r="21" ht="36" customHeight="1">
      <x:c r="A21" s="2" t="str">
        <x:v>KI12-TV01F-01</x:v>
      </x:c>
      <x:c r="B21" s="2" t="str">
        <x:v>Torony front / bal ajtó</x:v>
      </x:c>
      <x:c r="C21" s="2" t="n">
        <x:v>2327</x:v>
      </x:c>
      <x:c r="D21" s="2" t="n">
        <x:v>357</x:v>
      </x:c>
      <x:c r="E21" s="2" t="n">
        <x:v>18</x:v>
      </x:c>
      <x:c r="F21" s="2" t="str">
        <x:v>M01+nyomat</x:v>
      </x:c>
      <x:c r="G21" s="35" t="n">
        <x:v>1</x:v>
      </x:c>
      <x:c r="H21" s="35" t="n">
        <x:v>1</x:v>
      </x:c>
      <x:c r="I21" s="35" t="n">
        <x:v>1</x:v>
      </x:c>
      <x:c r="J21" s="35" t="n">
        <x:v>1</x:v>
      </x:c>
      <x:c r="K21" s="35"/>
      <x:c r="L21" s="35"/>
      <x:c r="M21" s="2" t="str">
        <x:f>IF(COUNT(H21,J21,K21)=3,C21-H21-J21+K21,"NYITOTT")</x:f>
        <x:v>NYITOTT</x:v>
      </x:c>
      <x:c r="N21" s="2" t="str">
        <x:f>IF(COUNT(G21,I21,L21)=3,D21-G21-I21+L21,"NYITOTT")</x:f>
        <x:v>NYITOTT</x:v>
      </x:c>
      <x:c r="O21" s="35" t="str">
        <x:v>NYITOTT</x:v>
      </x:c>
      <x:c r="P21" s="35" t="str">
        <x:v>NEM</x:v>
      </x:c>
      <x:c r="Q21" s="2" t="n">
        <x:v>15</x:v>
      </x:c>
      <x:c r="R21" s="2" t="str">
        <x:v>R16:KI12-TV01F-01</x:v>
      </x:c>
    </x:row>
    <x:row r="22" ht="36" customHeight="1">
      <x:c r="A22" s="2" t="str">
        <x:v>KI12-TV01F-02</x:v>
      </x:c>
      <x:c r="B22" s="2" t="str">
        <x:v>Torony front / jobb ajtó</x:v>
      </x:c>
      <x:c r="C22" s="2" t="n">
        <x:v>2327</x:v>
      </x:c>
      <x:c r="D22" s="2" t="n">
        <x:v>357</x:v>
      </x:c>
      <x:c r="E22" s="2" t="n">
        <x:v>18</x:v>
      </x:c>
      <x:c r="F22" s="2" t="str">
        <x:v>M01+nyomat</x:v>
      </x:c>
      <x:c r="G22" s="35" t="n">
        <x:v>1</x:v>
      </x:c>
      <x:c r="H22" s="35" t="n">
        <x:v>1</x:v>
      </x:c>
      <x:c r="I22" s="35" t="n">
        <x:v>1</x:v>
      </x:c>
      <x:c r="J22" s="35" t="n">
        <x:v>1</x:v>
      </x:c>
      <x:c r="K22" s="35"/>
      <x:c r="L22" s="35"/>
      <x:c r="M22" s="2" t="str">
        <x:f>IF(COUNT(H22,J22,K22)=3,C22-H22-J22+K22,"NYITOTT")</x:f>
        <x:v>NYITOTT</x:v>
      </x:c>
      <x:c r="N22" s="2" t="str">
        <x:f>IF(COUNT(G22,I22,L22)=3,D22-G22-I22+L22,"NYITOTT")</x:f>
        <x:v>NYITOTT</x:v>
      </x:c>
      <x:c r="O22" s="35" t="str">
        <x:v>NYITOTT</x:v>
      </x:c>
      <x:c r="P22" s="35" t="str">
        <x:v>NEM</x:v>
      </x:c>
      <x:c r="Q22" s="2" t="n">
        <x:v>15</x:v>
      </x:c>
      <x:c r="R22" s="2" t="str">
        <x:v>R16:KI12-TV01F-02</x:v>
      </x:c>
    </x:row>
    <x:row r="23" ht="36" customHeight="1">
      <x:c r="A23" s="2" t="str">
        <x:v>KI12-TV01H-01</x:v>
      </x:c>
      <x:c r="B23" s="2" t="str">
        <x:v>Torony hátlap / példány 1</x:v>
      </x:c>
      <x:c r="C23" s="2" t="n">
        <x:v>2292</x:v>
      </x:c>
      <x:c r="D23" s="2" t="n">
        <x:v>682</x:v>
      </x:c>
      <x:c r="E23" s="2" t="n">
        <x:v>8</x:v>
      </x:c>
      <x:c r="F23" s="2" t="str">
        <x:v>M03</x:v>
      </x:c>
      <x:c r="G23" s="35" t="n">
        <x:v>0</x:v>
      </x:c>
      <x:c r="H23" s="35" t="n">
        <x:v>0</x:v>
      </x:c>
      <x:c r="I23" s="35" t="n">
        <x:v>0</x:v>
      </x:c>
      <x:c r="J23" s="35" t="n">
        <x:v>0</x:v>
      </x:c>
      <x:c r="K23" s="35"/>
      <x:c r="L23" s="35"/>
      <x:c r="M23" s="2" t="str">
        <x:f>IF(COUNT(H23,J23,K23)=3,C23-H23-J23+K23,"NYITOTT")</x:f>
        <x:v>NYITOTT</x:v>
      </x:c>
      <x:c r="N23" s="2" t="str">
        <x:f>IF(COUNT(G23,I23,L23)=3,D23-G23-I23+L23,"NYITOTT")</x:f>
        <x:v>NYITOTT</x:v>
      </x:c>
      <x:c r="O23" s="35" t="str">
        <x:v>NYITOTT</x:v>
      </x:c>
      <x:c r="P23" s="35" t="str">
        <x:v>NEM</x:v>
      </x:c>
      <x:c r="Q23" s="2" t="n">
        <x:v>24</x:v>
      </x:c>
      <x:c r="R23" s="2" t="str">
        <x:v>R16:KI12-TV01H-01</x:v>
      </x:c>
    </x:row>
    <x:row r="24" ht="36" customHeight="1">
      <x:c r="A24" s="2" t="str">
        <x:v>KI12-TV02CAP-01</x:v>
      </x:c>
      <x:c r="B24" s="2" t="str">
        <x:v>Összefüggő felső fedő / példány 1</x:v>
      </x:c>
      <x:c r="C24" s="2" t="n">
        <x:v>3600</x:v>
      </x:c>
      <x:c r="D24" s="2" t="n">
        <x:v>382</x:v>
      </x:c>
      <x:c r="E24" s="2" t="n">
        <x:v>18</x:v>
      </x:c>
      <x:c r="F24" s="2" t="str">
        <x:v>M01</x:v>
      </x:c>
      <x:c r="G24" s="35" t="n">
        <x:v>1</x:v>
      </x:c>
      <x:c r="H24" s="35" t="n">
        <x:v>1</x:v>
      </x:c>
      <x:c r="I24" s="35" t="n">
        <x:v>0</x:v>
      </x:c>
      <x:c r="J24" s="35" t="n">
        <x:v>1</x:v>
      </x:c>
      <x:c r="K24" s="35"/>
      <x:c r="L24" s="35"/>
      <x:c r="M24" s="2" t="str">
        <x:f>IF(COUNT(H24,J24,K24)=3,C24-H24-J24+K24,"NYITOTT")</x:f>
        <x:v>NYITOTT</x:v>
      </x:c>
      <x:c r="N24" s="2" t="str">
        <x:f>IF(COUNT(G24,I24,L24)=3,D24-G24-I24+L24,"NYITOTT")</x:f>
        <x:v>NYITOTT</x:v>
      </x:c>
      <x:c r="O24" s="35" t="str">
        <x:v>NYITOTT</x:v>
      </x:c>
      <x:c r="P24" s="35" t="str">
        <x:v>NEM</x:v>
      </x:c>
      <x:c r="Q24" s="2" t="n">
        <x:v>36</x:v>
      </x:c>
      <x:c r="R24" s="2" t="str">
        <x:v>R16:KI12-TV02CAP-01</x:v>
      </x:c>
    </x:row>
    <x:row r="25" ht="36" customHeight="1">
      <x:c r="A25" s="2" t="str">
        <x:v>KI12-TV03P-01</x:v>
      </x:c>
      <x:c r="B25" s="2" t="str">
        <x:v>Dekor hordozópanel / példány 1</x:v>
      </x:c>
      <x:c r="C25" s="2" t="n">
        <x:v>2330</x:v>
      </x:c>
      <x:c r="D25" s="2" t="n">
        <x:v>667</x:v>
      </x:c>
      <x:c r="E25" s="2" t="n">
        <x:v>18</x:v>
      </x:c>
      <x:c r="F25" s="2" t="str">
        <x:v>M02</x:v>
      </x:c>
      <x:c r="G25" s="35"/>
      <x:c r="H25" s="35"/>
      <x:c r="I25" s="35"/>
      <x:c r="J25" s="35"/>
      <x:c r="K25" s="35"/>
      <x:c r="L25" s="35"/>
      <x:c r="M25" s="2" t="str">
        <x:f>IF(COUNT(H25,J25,K25)=3,C25-H25-J25+K25,"NYITOTT")</x:f>
        <x:v>NYITOTT</x:v>
      </x:c>
      <x:c r="N25" s="2" t="str">
        <x:f>IF(COUNT(G25,I25,L25)=3,D25-G25-I25+L25,"NYITOTT")</x:f>
        <x:v>NYITOTT</x:v>
      </x:c>
      <x:c r="O25" s="35" t="str">
        <x:v>NYITOTT</x:v>
      </x:c>
      <x:c r="P25" s="35" t="str">
        <x:v>NEM</x:v>
      </x:c>
      <x:c r="Q25" s="2" t="n">
        <x:v>24</x:v>
      </x:c>
      <x:c r="R25" s="2" t="str">
        <x:v>R16:KI12-TV03P-01</x:v>
      </x:c>
    </x:row>
    <x:row r="26" ht="36" customHeight="1">
      <x:c r="A26" s="2" t="str">
        <x:v>KI12-TV03P-02</x:v>
      </x:c>
      <x:c r="B26" s="2" t="str">
        <x:v>Dekor hordozópanel / példány 2</x:v>
      </x:c>
      <x:c r="C26" s="2" t="n">
        <x:v>2330</x:v>
      </x:c>
      <x:c r="D26" s="2" t="n">
        <x:v>667</x:v>
      </x:c>
      <x:c r="E26" s="2" t="n">
        <x:v>18</x:v>
      </x:c>
      <x:c r="F26" s="2" t="str">
        <x:v>M02</x:v>
      </x:c>
      <x:c r="G26" s="35"/>
      <x:c r="H26" s="35"/>
      <x:c r="I26" s="35"/>
      <x:c r="J26" s="35"/>
      <x:c r="K26" s="35"/>
      <x:c r="L26" s="35"/>
      <x:c r="M26" s="2" t="str">
        <x:f>IF(COUNT(H26,J26,K26)=3,C26-H26-J26+K26,"NYITOTT")</x:f>
        <x:v>NYITOTT</x:v>
      </x:c>
      <x:c r="N26" s="2" t="str">
        <x:f>IF(COUNT(G26,I26,L26)=3,D26-G26-I26+L26,"NYITOTT")</x:f>
        <x:v>NYITOTT</x:v>
      </x:c>
      <x:c r="O26" s="35" t="str">
        <x:v>NYITOTT</x:v>
      </x:c>
      <x:c r="P26" s="35" t="str">
        <x:v>NEM</x:v>
      </x:c>
      <x:c r="Q26" s="2" t="n">
        <x:v>24</x:v>
      </x:c>
      <x:c r="R26" s="2" t="str">
        <x:v>R16:KI12-TV03P-02</x:v>
      </x:c>
    </x:row>
    <x:row r="27" ht="36" customHeight="1">
      <x:c r="A27" s="2" t="str">
        <x:v>KI12-TV03P-03</x:v>
      </x:c>
      <x:c r="B27" s="2" t="str">
        <x:v>Dekor hordozópanel / példány 3</x:v>
      </x:c>
      <x:c r="C27" s="2" t="n">
        <x:v>2330</x:v>
      </x:c>
      <x:c r="D27" s="2" t="n">
        <x:v>667</x:v>
      </x:c>
      <x:c r="E27" s="2" t="n">
        <x:v>18</x:v>
      </x:c>
      <x:c r="F27" s="2" t="str">
        <x:v>M02</x:v>
      </x:c>
      <x:c r="G27" s="35"/>
      <x:c r="H27" s="35"/>
      <x:c r="I27" s="35"/>
      <x:c r="J27" s="35"/>
      <x:c r="K27" s="35"/>
      <x:c r="L27" s="35"/>
      <x:c r="M27" s="2" t="str">
        <x:f>IF(COUNT(H27,J27,K27)=3,C27-H27-J27+K27,"NYITOTT")</x:f>
        <x:v>NYITOTT</x:v>
      </x:c>
      <x:c r="N27" s="2" t="str">
        <x:f>IF(COUNT(G27,I27,L27)=3,D27-G27-I27+L27,"NYITOTT")</x:f>
        <x:v>NYITOTT</x:v>
      </x:c>
      <x:c r="O27" s="35" t="str">
        <x:v>NYITOTT</x:v>
      </x:c>
      <x:c r="P27" s="35" t="str">
        <x:v>NEM</x:v>
      </x:c>
      <x:c r="Q27" s="2" t="n">
        <x:v>24</x:v>
      </x:c>
      <x:c r="R27" s="2" t="str">
        <x:v>R16:KI12-TV03P-03</x:v>
      </x:c>
    </x:row>
    <x:row r="28" ht="36" customHeight="1">
      <x:c r="A28" s="2" t="str">
        <x:v>KI12-TV03P-04</x:v>
      </x:c>
      <x:c r="B28" s="2" t="str">
        <x:v>Dekor hordozópanel / példány 4</x:v>
      </x:c>
      <x:c r="C28" s="2" t="n">
        <x:v>2330</x:v>
      </x:c>
      <x:c r="D28" s="2" t="n">
        <x:v>667</x:v>
      </x:c>
      <x:c r="E28" s="2" t="n">
        <x:v>18</x:v>
      </x:c>
      <x:c r="F28" s="2" t="str">
        <x:v>M02</x:v>
      </x:c>
      <x:c r="G28" s="35"/>
      <x:c r="H28" s="35"/>
      <x:c r="I28" s="35"/>
      <x:c r="J28" s="35"/>
      <x:c r="K28" s="35"/>
      <x:c r="L28" s="35"/>
      <x:c r="M28" s="2" t="str">
        <x:f>IF(COUNT(H28,J28,K28)=3,C28-H28-J28+K28,"NYITOTT")</x:f>
        <x:v>NYITOTT</x:v>
      </x:c>
      <x:c r="N28" s="2" t="str">
        <x:f>IF(COUNT(G28,I28,L28)=3,D28-G28-I28+L28,"NYITOTT")</x:f>
        <x:v>NYITOTT</x:v>
      </x:c>
      <x:c r="O28" s="35" t="str">
        <x:v>NYITOTT</x:v>
      </x:c>
      <x:c r="P28" s="35" t="str">
        <x:v>NEM</x:v>
      </x:c>
      <x:c r="Q28" s="2" t="n">
        <x:v>24</x:v>
      </x:c>
      <x:c r="R28" s="2" t="str">
        <x:v>R16:KI12-TV03P-04</x:v>
      </x:c>
    </x:row>
    <x:row r="29" ht="36" customHeight="1">
      <x:c r="A29" s="2" t="str">
        <x:v>KI12-GAP-01</x:v>
      </x:c>
      <x:c r="B29" s="2" t="str">
        <x:v>200 mm matt bronzbarna betétsáv / nem üres rés</x:v>
      </x:c>
      <x:c r="C29" s="2" t="n">
        <x:v>2330</x:v>
      </x:c>
      <x:c r="D29" s="2" t="n">
        <x:v>200</x:v>
      </x:c>
      <x:c r="E29" s="2" t="n">
        <x:v>18</x:v>
      </x:c>
      <x:c r="F29" s="2" t="str">
        <x:v>M16-BRONZE</x:v>
      </x:c>
      <x:c r="G29" s="35" t="n">
        <x:v>1</x:v>
      </x:c>
      <x:c r="H29" s="35" t="n">
        <x:v>1</x:v>
      </x:c>
      <x:c r="I29" s="35" t="n">
        <x:v>1</x:v>
      </x:c>
      <x:c r="J29" s="35" t="n">
        <x:v>1</x:v>
      </x:c>
      <x:c r="K29" s="35"/>
      <x:c r="L29" s="35"/>
      <x:c r="M29" s="2" t="str">
        <x:f>IF(COUNT(H29,J29,K29)=3,C29-H29-J29+K29,"NYITOTT")</x:f>
        <x:v>NYITOTT</x:v>
      </x:c>
      <x:c r="N29" s="2" t="str">
        <x:f>IF(COUNT(G29,I29,L29)=3,D29-G29-I29+L29,"NYITOTT")</x:f>
        <x:v>NYITOTT</x:v>
      </x:c>
      <x:c r="O29" s="35" t="str">
        <x:v>NYITOTT</x:v>
      </x:c>
      <x:c r="P29" s="35" t="str">
        <x:v>NEM</x:v>
      </x:c>
      <x:c r="Q29" s="2" t="n">
        <x:v>8</x:v>
      </x:c>
      <x:c r="R29" s="2" t="str">
        <x:v>R16:KI12-GAP-01</x:v>
      </x:c>
    </x:row>
    <x:row r="30" ht="36" customHeight="1">
      <x:c r="A30" s="2" t="str">
        <x:v>KI14-BAT-01</x:v>
      </x:c>
      <x:c r="B30" s="2" t="str">
        <x:v>Hátlaprögzítő bükk léc</x:v>
      </x:c>
      <x:c r="C30" s="2" t="n">
        <x:v>2142</x:v>
      </x:c>
      <x:c r="D30" s="2" t="n">
        <x:v>18</x:v>
      </x:c>
      <x:c r="E30" s="2" t="n">
        <x:v>18</x:v>
      </x:c>
      <x:c r="F30" s="2" t="str">
        <x:v>BEECH18</x:v>
      </x:c>
      <x:c r="G30" s="35" t="n">
        <x:v>0</x:v>
      </x:c>
      <x:c r="H30" s="35" t="n">
        <x:v>0</x:v>
      </x:c>
      <x:c r="I30" s="35" t="n">
        <x:v>0</x:v>
      </x:c>
      <x:c r="J30" s="35" t="n">
        <x:v>0</x:v>
      </x:c>
      <x:c r="K30" s="35"/>
      <x:c r="L30" s="35"/>
      <x:c r="M30" s="2" t="str">
        <x:f>IF(COUNT(H30,J30,K30)=3,C30-H30-J30+K30,"NYITOTT")</x:f>
        <x:v>NYITOTT</x:v>
      </x:c>
      <x:c r="N30" s="2" t="str">
        <x:f>IF(COUNT(G30,I30,L30)=3,D30-G30-I30+L30,"NYITOTT")</x:f>
        <x:v>NYITOTT</x:v>
      </x:c>
      <x:c r="O30" s="35" t="str">
        <x:v>NYITOTT</x:v>
      </x:c>
      <x:c r="P30" s="35" t="str">
        <x:v>NEM</x:v>
      </x:c>
      <x:c r="Q30" s="2" t="n">
        <x:v>14</x:v>
      </x:c>
      <x:c r="R30" s="2" t="str">
        <x:v>R16:KI14-BAT-01</x:v>
      </x:c>
    </x:row>
    <x:row r="31" ht="36" customHeight="1">
      <x:c r="A31" s="2" t="str">
        <x:v>KI14-BAT-02</x:v>
      </x:c>
      <x:c r="B31" s="2" t="str">
        <x:v>Hátlaprögzítő bükk léc</x:v>
      </x:c>
      <x:c r="C31" s="2" t="n">
        <x:v>2142</x:v>
      </x:c>
      <x:c r="D31" s="2" t="n">
        <x:v>18</x:v>
      </x:c>
      <x:c r="E31" s="2" t="n">
        <x:v>18</x:v>
      </x:c>
      <x:c r="F31" s="2" t="str">
        <x:v>BEECH18</x:v>
      </x:c>
      <x:c r="G31" s="35" t="n">
        <x:v>0</x:v>
      </x:c>
      <x:c r="H31" s="35" t="n">
        <x:v>0</x:v>
      </x:c>
      <x:c r="I31" s="35" t="n">
        <x:v>0</x:v>
      </x:c>
      <x:c r="J31" s="35" t="n">
        <x:v>0</x:v>
      </x:c>
      <x:c r="K31" s="35"/>
      <x:c r="L31" s="35"/>
      <x:c r="M31" s="2" t="str">
        <x:f>IF(COUNT(H31,J31,K31)=3,C31-H31-J31+K31,"NYITOTT")</x:f>
        <x:v>NYITOTT</x:v>
      </x:c>
      <x:c r="N31" s="2" t="str">
        <x:f>IF(COUNT(G31,I31,L31)=3,D31-G31-I31+L31,"NYITOTT")</x:f>
        <x:v>NYITOTT</x:v>
      </x:c>
      <x:c r="O31" s="35" t="str">
        <x:v>NYITOTT</x:v>
      </x:c>
      <x:c r="P31" s="35" t="str">
        <x:v>NEM</x:v>
      </x:c>
      <x:c r="Q31" s="2" t="n">
        <x:v>14</x:v>
      </x:c>
      <x:c r="R31" s="2" t="str">
        <x:v>R16:KI14-BAT-02</x:v>
      </x:c>
    </x:row>
    <x:row r="32" ht="36" customHeight="1">
      <x:c r="A32" s="2" t="str">
        <x:v>KI14-RAIL-06</x:v>
      </x:c>
      <x:c r="B32" s="2" t="str">
        <x:v>Hátsó merevítő keresztléc</x:v>
      </x:c>
      <x:c r="C32" s="2" t="n">
        <x:v>333</x:v>
      </x:c>
      <x:c r="D32" s="2" t="n">
        <x:v>100</x:v>
      </x:c>
      <x:c r="E32" s="2" t="n">
        <x:v>18</x:v>
      </x:c>
      <x:c r="F32" s="2" t="str">
        <x:v>PLY18</x:v>
      </x:c>
      <x:c r="G32" s="35" t="n">
        <x:v>0</x:v>
      </x:c>
      <x:c r="H32" s="35" t="n">
        <x:v>0</x:v>
      </x:c>
      <x:c r="I32" s="35" t="n">
        <x:v>0</x:v>
      </x:c>
      <x:c r="J32" s="35" t="n">
        <x:v>0</x:v>
      </x:c>
      <x:c r="K32" s="35"/>
      <x:c r="L32" s="35"/>
      <x:c r="M32" s="2" t="str">
        <x:f>IF(COUNT(H32,J32,K32)=3,C32-H32-J32+K32,"NYITOTT")</x:f>
        <x:v>NYITOTT</x:v>
      </x:c>
      <x:c r="N32" s="2" t="str">
        <x:f>IF(COUNT(G32,I32,L32)=3,D32-G32-I32+L32,"NYITOTT")</x:f>
        <x:v>NYITOTT</x:v>
      </x:c>
      <x:c r="O32" s="35" t="str">
        <x:v>NYITOTT</x:v>
      </x:c>
      <x:c r="P32" s="35" t="str">
        <x:v>NEM</x:v>
      </x:c>
      <x:c r="Q32" s="2" t="n">
        <x:v>6</x:v>
      </x:c>
      <x:c r="R32" s="2" t="str">
        <x:v>R16:KI14-RAIL-06</x:v>
      </x:c>
    </x:row>
    <x:row r="33" ht="36" customHeight="1">
      <x:c r="A33" s="2" t="str">
        <x:v>KI14-RAIL-07</x:v>
      </x:c>
      <x:c r="B33" s="2" t="str">
        <x:v>Hátsó merevítő keresztléc</x:v>
      </x:c>
      <x:c r="C33" s="2" t="n">
        <x:v>333</x:v>
      </x:c>
      <x:c r="D33" s="2" t="n">
        <x:v>100</x:v>
      </x:c>
      <x:c r="E33" s="2" t="n">
        <x:v>18</x:v>
      </x:c>
      <x:c r="F33" s="2" t="str">
        <x:v>PLY18</x:v>
      </x:c>
      <x:c r="G33" s="35" t="n">
        <x:v>0</x:v>
      </x:c>
      <x:c r="H33" s="35" t="n">
        <x:v>0</x:v>
      </x:c>
      <x:c r="I33" s="35" t="n">
        <x:v>0</x:v>
      </x:c>
      <x:c r="J33" s="35" t="n">
        <x:v>0</x:v>
      </x:c>
      <x:c r="K33" s="35"/>
      <x:c r="L33" s="35"/>
      <x:c r="M33" s="2" t="str">
        <x:f>IF(COUNT(H33,J33,K33)=3,C33-H33-J33+K33,"NYITOTT")</x:f>
        <x:v>NYITOTT</x:v>
      </x:c>
      <x:c r="N33" s="2" t="str">
        <x:f>IF(COUNT(G33,I33,L33)=3,D33-G33-I33+L33,"NYITOTT")</x:f>
        <x:v>NYITOTT</x:v>
      </x:c>
      <x:c r="O33" s="35" t="str">
        <x:v>NYITOTT</x:v>
      </x:c>
      <x:c r="P33" s="35" t="str">
        <x:v>NEM</x:v>
      </x:c>
      <x:c r="Q33" s="2" t="n">
        <x:v>6</x:v>
      </x:c>
      <x:c r="R33" s="2" t="str">
        <x:v>R16:KI14-RAIL-07</x:v>
      </x:c>
    </x:row>
    <x:row r="34" ht="36" customHeight="1">
      <x:c r="A34" s="2" t="str">
        <x:v>KI12-TV02S-01</x:v>
      </x:c>
      <x:c r="B34" s="2" t="str">
        <x:v>M1 / bal oldallap</x:v>
      </x:c>
      <x:c r="C34" s="2" t="n">
        <x:v>382</x:v>
      </x:c>
      <x:c r="D34" s="2" t="n">
        <x:v>382</x:v>
      </x:c>
      <x:c r="E34" s="2" t="n">
        <x:v>18</x:v>
      </x:c>
      <x:c r="F34" s="2" t="str">
        <x:v>M03</x:v>
      </x:c>
      <x:c r="G34" s="35" t="n">
        <x:v>1</x:v>
      </x:c>
      <x:c r="H34" s="35" t="n">
        <x:v>0</x:v>
      </x:c>
      <x:c r="I34" s="35" t="n">
        <x:v>0</x:v>
      </x:c>
      <x:c r="J34" s="35" t="n">
        <x:v>0</x:v>
      </x:c>
      <x:c r="K34" s="35"/>
      <x:c r="L34" s="35"/>
      <x:c r="M34" s="2" t="str">
        <x:f>IF(COUNT(H34,J34,K34)=3,C34-H34-J34+K34,"NYITOTT")</x:f>
        <x:v>NYITOTT</x:v>
      </x:c>
      <x:c r="N34" s="2" t="str">
        <x:f>IF(COUNT(G34,I34,L34)=3,D34-G34-I34+L34,"NYITOTT")</x:f>
        <x:v>NYITOTT</x:v>
      </x:c>
      <x:c r="O34" s="35" t="str">
        <x:v>NYITOTT</x:v>
      </x:c>
      <x:c r="P34" s="35" t="str">
        <x:v>NEM</x:v>
      </x:c>
      <x:c r="Q34" s="2" t="n">
        <x:v>16</x:v>
      </x:c>
      <x:c r="R34" s="2" t="str">
        <x:v>R16:KI12-TV02S-01</x:v>
      </x:c>
    </x:row>
    <x:row r="35" ht="36" customHeight="1">
      <x:c r="A35" s="2" t="str">
        <x:v>KI12-TV02S-02</x:v>
      </x:c>
      <x:c r="B35" s="2" t="str">
        <x:v>M1 / jobb oldallap</x:v>
      </x:c>
      <x:c r="C35" s="2" t="n">
        <x:v>382</x:v>
      </x:c>
      <x:c r="D35" s="2" t="n">
        <x:v>382</x:v>
      </x:c>
      <x:c r="E35" s="2" t="n">
        <x:v>18</x:v>
      </x:c>
      <x:c r="F35" s="2" t="str">
        <x:v>M03</x:v>
      </x:c>
      <x:c r="G35" s="35" t="n">
        <x:v>1</x:v>
      </x:c>
      <x:c r="H35" s="35" t="n">
        <x:v>0</x:v>
      </x:c>
      <x:c r="I35" s="35" t="n">
        <x:v>0</x:v>
      </x:c>
      <x:c r="J35" s="35" t="n">
        <x:v>0</x:v>
      </x:c>
      <x:c r="K35" s="35"/>
      <x:c r="L35" s="35"/>
      <x:c r="M35" s="2" t="str">
        <x:f>IF(COUNT(H35,J35,K35)=3,C35-H35-J35+K35,"NYITOTT")</x:f>
        <x:v>NYITOTT</x:v>
      </x:c>
      <x:c r="N35" s="2" t="str">
        <x:f>IF(COUNT(G35,I35,L35)=3,D35-G35-I35+L35,"NYITOTT")</x:f>
        <x:v>NYITOTT</x:v>
      </x:c>
      <x:c r="O35" s="35" t="str">
        <x:v>NYITOTT</x:v>
      </x:c>
      <x:c r="P35" s="35" t="str">
        <x:v>NEM</x:v>
      </x:c>
      <x:c r="Q35" s="2" t="n">
        <x:v>16</x:v>
      </x:c>
      <x:c r="R35" s="2" t="str">
        <x:v>R16:KI12-TV02S-02</x:v>
      </x:c>
    </x:row>
    <x:row r="36" ht="36" customHeight="1">
      <x:c r="A36" s="2" t="str">
        <x:v>KI12-TV02T1-01</x:v>
      </x:c>
      <x:c r="B36" s="2" t="str">
        <x:v>M1 / példány 4</x:v>
      </x:c>
      <x:c r="C36" s="2" t="n">
        <x:v>684</x:v>
      </x:c>
      <x:c r="D36" s="2" t="n">
        <x:v>382</x:v>
      </x:c>
      <x:c r="E36" s="2" t="n">
        <x:v>18</x:v>
      </x:c>
      <x:c r="F36" s="2" t="str">
        <x:v>M03</x:v>
      </x:c>
      <x:c r="G36" s="35" t="n">
        <x:v>1</x:v>
      </x:c>
      <x:c r="H36" s="35" t="n">
        <x:v>0</x:v>
      </x:c>
      <x:c r="I36" s="35" t="n">
        <x:v>0</x:v>
      </x:c>
      <x:c r="J36" s="35" t="n">
        <x:v>0</x:v>
      </x:c>
      <x:c r="K36" s="35"/>
      <x:c r="L36" s="35"/>
      <x:c r="M36" s="2" t="str">
        <x:f>IF(COUNT(H36,J36,K36)=3,C36-H36-J36+K36,"NYITOTT")</x:f>
        <x:v>NYITOTT</x:v>
      </x:c>
      <x:c r="N36" s="2" t="str">
        <x:f>IF(COUNT(G36,I36,L36)=3,D36-G36-I36+L36,"NYITOTT")</x:f>
        <x:v>NYITOTT</x:v>
      </x:c>
      <x:c r="O36" s="35" t="str">
        <x:v>NYITOTT</x:v>
      </x:c>
      <x:c r="P36" s="35" t="str">
        <x:v>NEM</x:v>
      </x:c>
      <x:c r="Q36" s="2" t="n">
        <x:v>6</x:v>
      </x:c>
      <x:c r="R36" s="2" t="str">
        <x:v>R16:KI12-TV02T1-01</x:v>
      </x:c>
    </x:row>
    <x:row r="37" ht="36" customHeight="1">
      <x:c r="A37" s="2" t="str">
        <x:v>KI12-TV02F1-01</x:v>
      </x:c>
      <x:c r="B37" s="2" t="str">
        <x:v>M1 / példány 4</x:v>
      </x:c>
      <x:c r="C37" s="2" t="n">
        <x:v>717</x:v>
      </x:c>
      <x:c r="D37" s="2" t="n">
        <x:v>397</x:v>
      </x:c>
      <x:c r="E37" s="2" t="n">
        <x:v>18</x:v>
      </x:c>
      <x:c r="F37" s="2" t="str">
        <x:v>M01</x:v>
      </x:c>
      <x:c r="G37" s="35" t="n">
        <x:v>1</x:v>
      </x:c>
      <x:c r="H37" s="35" t="n">
        <x:v>1</x:v>
      </x:c>
      <x:c r="I37" s="35" t="n">
        <x:v>1</x:v>
      </x:c>
      <x:c r="J37" s="35" t="n">
        <x:v>1</x:v>
      </x:c>
      <x:c r="K37" s="35"/>
      <x:c r="L37" s="35"/>
      <x:c r="M37" s="2" t="str">
        <x:f>IF(COUNT(H37,J37,K37)=3,C37-H37-J37+K37,"NYITOTT")</x:f>
        <x:v>NYITOTT</x:v>
      </x:c>
      <x:c r="N37" s="2" t="str">
        <x:f>IF(COUNT(G37,I37,L37)=3,D37-G37-I37+L37,"NYITOTT")</x:f>
        <x:v>NYITOTT</x:v>
      </x:c>
      <x:c r="O37" s="35" t="str">
        <x:v>NYITOTT</x:v>
      </x:c>
      <x:c r="P37" s="35" t="str">
        <x:v>NEM</x:v>
      </x:c>
      <x:c r="Q37" s="2" t="n">
        <x:v>4</x:v>
      </x:c>
      <x:c r="R37" s="2" t="str">
        <x:v>R16:KI12-TV02F1-01</x:v>
      </x:c>
    </x:row>
    <x:row r="38" ht="36" customHeight="1">
      <x:c r="A38" s="2" t="str">
        <x:v>KI12-TV02H1-01</x:v>
      </x:c>
      <x:c r="B38" s="2" t="str">
        <x:v>M1 / példány 4</x:v>
      </x:c>
      <x:c r="C38" s="2" t="n">
        <x:v>682</x:v>
      </x:c>
      <x:c r="D38" s="2" t="n">
        <x:v>362</x:v>
      </x:c>
      <x:c r="E38" s="2" t="n">
        <x:v>8</x:v>
      </x:c>
      <x:c r="F38" s="2" t="str">
        <x:v>M03</x:v>
      </x:c>
      <x:c r="G38" s="35" t="n">
        <x:v>0</x:v>
      </x:c>
      <x:c r="H38" s="35" t="n">
        <x:v>0</x:v>
      </x:c>
      <x:c r="I38" s="35" t="n">
        <x:v>0</x:v>
      </x:c>
      <x:c r="J38" s="35" t="n">
        <x:v>0</x:v>
      </x:c>
      <x:c r="K38" s="35"/>
      <x:c r="L38" s="35"/>
      <x:c r="M38" s="2" t="str">
        <x:f>IF(COUNT(H38,J38,K38)=3,C38-H38-J38+K38,"NYITOTT")</x:f>
        <x:v>NYITOTT</x:v>
      </x:c>
      <x:c r="N38" s="2" t="str">
        <x:f>IF(COUNT(G38,I38,L38)=3,D38-G38-I38+L38,"NYITOTT")</x:f>
        <x:v>NYITOTT</x:v>
      </x:c>
      <x:c r="O38" s="35" t="str">
        <x:v>NYITOTT</x:v>
      </x:c>
      <x:c r="P38" s="35" t="str">
        <x:v>NEM</x:v>
      </x:c>
      <x:c r="Q38" s="2" t="n">
        <x:v>6</x:v>
      </x:c>
      <x:c r="R38" s="2" t="str">
        <x:v>R16:KI12-TV02H1-01</x:v>
      </x:c>
    </x:row>
    <x:row r="39" ht="36" customHeight="1">
      <x:c r="A39" s="2" t="str">
        <x:v>KI14-BAT-03</x:v>
      </x:c>
      <x:c r="B39" s="2" t="str">
        <x:v>M1 / Hátlaprögzítő bükk léc</x:v>
      </x:c>
      <x:c r="C39" s="2" t="n">
        <x:v>212</x:v>
      </x:c>
      <x:c r="D39" s="2" t="n">
        <x:v>48</x:v>
      </x:c>
      <x:c r="E39" s="2" t="n">
        <x:v>18</x:v>
      </x:c>
      <x:c r="F39" s="2" t="str">
        <x:v>BEECH18</x:v>
      </x:c>
      <x:c r="G39" s="35" t="n">
        <x:v>0</x:v>
      </x:c>
      <x:c r="H39" s="35" t="n">
        <x:v>0</x:v>
      </x:c>
      <x:c r="I39" s="35" t="n">
        <x:v>0</x:v>
      </x:c>
      <x:c r="J39" s="35" t="n">
        <x:v>0</x:v>
      </x:c>
      <x:c r="K39" s="35"/>
      <x:c r="L39" s="35"/>
      <x:c r="M39" s="2" t="str">
        <x:f>IF(COUNT(H39,J39,K39)=3,C39-H39-J39+K39,"NYITOTT")</x:f>
        <x:v>NYITOTT</x:v>
      </x:c>
      <x:c r="N39" s="2" t="str">
        <x:f>IF(COUNT(G39,I39,L39)=3,D39-G39-I39+L39,"NYITOTT")</x:f>
        <x:v>NYITOTT</x:v>
      </x:c>
      <x:c r="O39" s="35" t="str">
        <x:v>NYITOTT</x:v>
      </x:c>
      <x:c r="P39" s="35" t="str">
        <x:v>NEM</x:v>
      </x:c>
      <x:c r="Q39" s="2" t="n">
        <x:v>6</x:v>
      </x:c>
      <x:c r="R39" s="2" t="str">
        <x:v>R16:KI14-BAT-03</x:v>
      </x:c>
    </x:row>
    <x:row r="40" ht="36" customHeight="1">
      <x:c r="A40" s="2" t="str">
        <x:v>KI14-BAT-04</x:v>
      </x:c>
      <x:c r="B40" s="2" t="str">
        <x:v>M1 / Hátlaprögzítő bükk léc</x:v>
      </x:c>
      <x:c r="C40" s="2" t="n">
        <x:v>212</x:v>
      </x:c>
      <x:c r="D40" s="2" t="n">
        <x:v>48</x:v>
      </x:c>
      <x:c r="E40" s="2" t="n">
        <x:v>18</x:v>
      </x:c>
      <x:c r="F40" s="2" t="str">
        <x:v>BEECH18</x:v>
      </x:c>
      <x:c r="G40" s="35" t="n">
        <x:v>0</x:v>
      </x:c>
      <x:c r="H40" s="35" t="n">
        <x:v>0</x:v>
      </x:c>
      <x:c r="I40" s="35" t="n">
        <x:v>0</x:v>
      </x:c>
      <x:c r="J40" s="35" t="n">
        <x:v>0</x:v>
      </x:c>
      <x:c r="K40" s="35"/>
      <x:c r="L40" s="35"/>
      <x:c r="M40" s="2" t="str">
        <x:f>IF(COUNT(H40,J40,K40)=3,C40-H40-J40+K40,"NYITOTT")</x:f>
        <x:v>NYITOTT</x:v>
      </x:c>
      <x:c r="N40" s="2" t="str">
        <x:f>IF(COUNT(G40,I40,L40)=3,D40-G40-I40+L40,"NYITOTT")</x:f>
        <x:v>NYITOTT</x:v>
      </x:c>
      <x:c r="O40" s="35" t="str">
        <x:v>NYITOTT</x:v>
      </x:c>
      <x:c r="P40" s="35" t="str">
        <x:v>NEM</x:v>
      </x:c>
      <x:c r="Q40" s="2" t="n">
        <x:v>6</x:v>
      </x:c>
      <x:c r="R40" s="2" t="str">
        <x:v>R16:KI14-BAT-04</x:v>
      </x:c>
    </x:row>
    <x:row r="41" ht="36" customHeight="1">
      <x:c r="A41" s="2" t="str">
        <x:v>KI14-RAIL-01</x:v>
      </x:c>
      <x:c r="B41" s="2" t="str">
        <x:v>M1 / Hátsó merevítő keresztléc</x:v>
      </x:c>
      <x:c r="C41" s="2" t="n">
        <x:v>684</x:v>
      </x:c>
      <x:c r="D41" s="2" t="n">
        <x:v>100</x:v>
      </x:c>
      <x:c r="E41" s="2" t="n">
        <x:v>18</x:v>
      </x:c>
      <x:c r="F41" s="2" t="str">
        <x:v>PLY18</x:v>
      </x:c>
      <x:c r="G41" s="35" t="n">
        <x:v>0</x:v>
      </x:c>
      <x:c r="H41" s="35" t="n">
        <x:v>0</x:v>
      </x:c>
      <x:c r="I41" s="35" t="n">
        <x:v>0</x:v>
      </x:c>
      <x:c r="J41" s="35" t="n">
        <x:v>0</x:v>
      </x:c>
      <x:c r="K41" s="35"/>
      <x:c r="L41" s="35"/>
      <x:c r="M41" s="2" t="str">
        <x:f>IF(COUNT(H41,J41,K41)=3,C41-H41-J41+K41,"NYITOTT")</x:f>
        <x:v>NYITOTT</x:v>
      </x:c>
      <x:c r="N41" s="2" t="str">
        <x:f>IF(COUNT(G41,I41,L41)=3,D41-G41-I41+L41,"NYITOTT")</x:f>
        <x:v>NYITOTT</x:v>
      </x:c>
      <x:c r="O41" s="35" t="str">
        <x:v>NYITOTT</x:v>
      </x:c>
      <x:c r="P41" s="35" t="str">
        <x:v>NEM</x:v>
      </x:c>
      <x:c r="Q41" s="2" t="n">
        <x:v>6</x:v>
      </x:c>
      <x:c r="R41" s="2" t="str">
        <x:v>R16:KI14-RAIL-01</x:v>
      </x:c>
    </x:row>
    <x:row r="42" ht="36" customHeight="1">
      <x:c r="A42" s="2" t="str">
        <x:v>KI16-D1-L</x:v>
      </x:c>
      <x:c r="B42" s="2" t="str">
        <x:v>Fiók bal oldal</x:v>
      </x:c>
      <x:c r="C42" s="2" t="n">
        <x:v>250</x:v>
      </x:c>
      <x:c r="D42" s="2" t="n">
        <x:v>290</x:v>
      </x:c>
      <x:c r="E42" s="2" t="n">
        <x:v>15</x:v>
      </x:c>
      <x:c r="F42" s="2" t="str">
        <x:v>M16-DRAWER15</x:v>
      </x:c>
      <x:c r="G42" s="35" t="n">
        <x:v>0</x:v>
      </x:c>
      <x:c r="H42" s="35" t="n">
        <x:v>0</x:v>
      </x:c>
      <x:c r="I42" s="35" t="n">
        <x:v>0</x:v>
      </x:c>
      <x:c r="J42" s="35" t="n">
        <x:v>0</x:v>
      </x:c>
      <x:c r="K42" s="35"/>
      <x:c r="L42" s="35"/>
      <x:c r="M42" s="2" t="str">
        <x:f>IF(COUNT(H42,J42,K42)=3,C42-H42-J42+K42,"NYITOTT")</x:f>
        <x:v>NYITOTT</x:v>
      </x:c>
      <x:c r="N42" s="2" t="str">
        <x:f>IF(COUNT(G42,I42,L42)=3,D42-G42-I42+L42,"NYITOTT")</x:f>
        <x:v>NYITOTT</x:v>
      </x:c>
      <x:c r="O42" s="35" t="str">
        <x:v>NYITOTT</x:v>
      </x:c>
      <x:c r="P42" s="35" t="str">
        <x:v>Új alkatrész; műhely ellenőrzi</x:v>
      </x:c>
      <x:c r="Q42" s="2" t="n">
        <x:v>7</x:v>
      </x:c>
      <x:c r="R42" s="2" t="str">
        <x:v>R16:KI16-D1-L</x:v>
      </x:c>
    </x:row>
    <x:row r="43" ht="36" customHeight="1">
      <x:c r="A43" s="2" t="str">
        <x:v>KI16-D1-R</x:v>
      </x:c>
      <x:c r="B43" s="2" t="str">
        <x:v>Fiók jobb oldal</x:v>
      </x:c>
      <x:c r="C43" s="2" t="n">
        <x:v>250</x:v>
      </x:c>
      <x:c r="D43" s="2" t="n">
        <x:v>290</x:v>
      </x:c>
      <x:c r="E43" s="2" t="n">
        <x:v>15</x:v>
      </x:c>
      <x:c r="F43" s="2" t="str">
        <x:v>M16-DRAWER15</x:v>
      </x:c>
      <x:c r="G43" s="35" t="n">
        <x:v>0</x:v>
      </x:c>
      <x:c r="H43" s="35" t="n">
        <x:v>0</x:v>
      </x:c>
      <x:c r="I43" s="35" t="n">
        <x:v>0</x:v>
      </x:c>
      <x:c r="J43" s="35" t="n">
        <x:v>0</x:v>
      </x:c>
      <x:c r="K43" s="35"/>
      <x:c r="L43" s="35"/>
      <x:c r="M43" s="2" t="str">
        <x:f>IF(COUNT(H43,J43,K43)=3,C43-H43-J43+K43,"NYITOTT")</x:f>
        <x:v>NYITOTT</x:v>
      </x:c>
      <x:c r="N43" s="2" t="str">
        <x:f>IF(COUNT(G43,I43,L43)=3,D43-G43-I43+L43,"NYITOTT")</x:f>
        <x:v>NYITOTT</x:v>
      </x:c>
      <x:c r="O43" s="35" t="str">
        <x:v>NYITOTT</x:v>
      </x:c>
      <x:c r="P43" s="35" t="str">
        <x:v>Új alkatrész; műhely ellenőrzi</x:v>
      </x:c>
      <x:c r="Q43" s="2" t="n">
        <x:v>7</x:v>
      </x:c>
      <x:c r="R43" s="2" t="str">
        <x:v>R16:KI16-D1-R</x:v>
      </x:c>
    </x:row>
    <x:row r="44" ht="36" customHeight="1">
      <x:c r="A44" s="2" t="str">
        <x:v>KI16-D1-B</x:v>
      </x:c>
      <x:c r="B44" s="2" t="str">
        <x:v>Fiók fenék</x:v>
      </x:c>
      <x:c r="C44" s="2" t="n">
        <x:v>642</x:v>
      </x:c>
      <x:c r="D44" s="2" t="n">
        <x:v>290</x:v>
      </x:c>
      <x:c r="E44" s="2" t="n">
        <x:v>15</x:v>
      </x:c>
      <x:c r="F44" s="2" t="str">
        <x:v>M16-DRAWER15</x:v>
      </x:c>
      <x:c r="G44" s="35" t="n">
        <x:v>0</x:v>
      </x:c>
      <x:c r="H44" s="35" t="n">
        <x:v>0</x:v>
      </x:c>
      <x:c r="I44" s="35" t="n">
        <x:v>0</x:v>
      </x:c>
      <x:c r="J44" s="35" t="n">
        <x:v>0</x:v>
      </x:c>
      <x:c r="K44" s="35"/>
      <x:c r="L44" s="35"/>
      <x:c r="M44" s="2" t="str">
        <x:f>IF(COUNT(H44,J44,K44)=3,C44-H44-J44+K44,"NYITOTT")</x:f>
        <x:v>NYITOTT</x:v>
      </x:c>
      <x:c r="N44" s="2" t="str">
        <x:f>IF(COUNT(G44,I44,L44)=3,D44-G44-I44+L44,"NYITOTT")</x:f>
        <x:v>NYITOTT</x:v>
      </x:c>
      <x:c r="O44" s="35" t="str">
        <x:v>NYITOTT</x:v>
      </x:c>
      <x:c r="P44" s="35" t="str">
        <x:v>Új alkatrész; műhely ellenőrzi</x:v>
      </x:c>
      <x:c r="Q44" s="2" t="n">
        <x:v>6</x:v>
      </x:c>
      <x:c r="R44" s="2" t="str">
        <x:v>R16:KI16-D1-B</x:v>
      </x:c>
    </x:row>
    <x:row r="45" ht="36" customHeight="1">
      <x:c r="A45" s="2" t="str">
        <x:v>KI16-D1-F</x:v>
      </x:c>
      <x:c r="B45" s="2" t="str">
        <x:v>Fiókdoboz belső előlap</x:v>
      </x:c>
      <x:c r="C45" s="2" t="n">
        <x:v>642</x:v>
      </x:c>
      <x:c r="D45" s="2" t="n">
        <x:v>222</x:v>
      </x:c>
      <x:c r="E45" s="2" t="n">
        <x:v>15</x:v>
      </x:c>
      <x:c r="F45" s="2" t="str">
        <x:v>M16-DRAWER15</x:v>
      </x:c>
      <x:c r="G45" s="35" t="n">
        <x:v>0</x:v>
      </x:c>
      <x:c r="H45" s="35" t="n">
        <x:v>0</x:v>
      </x:c>
      <x:c r="I45" s="35" t="n">
        <x:v>0</x:v>
      </x:c>
      <x:c r="J45" s="35" t="n">
        <x:v>0</x:v>
      </x:c>
      <x:c r="K45" s="35"/>
      <x:c r="L45" s="35"/>
      <x:c r="M45" s="2" t="str">
        <x:f>IF(COUNT(H45,J45,K45)=3,C45-H45-J45+K45,"NYITOTT")</x:f>
        <x:v>NYITOTT</x:v>
      </x:c>
      <x:c r="N45" s="2" t="str">
        <x:f>IF(COUNT(G45,I45,L45)=3,D45-G45-I45+L45,"NYITOTT")</x:f>
        <x:v>NYITOTT</x:v>
      </x:c>
      <x:c r="O45" s="35" t="str">
        <x:v>NYITOTT</x:v>
      </x:c>
      <x:c r="P45" s="35" t="str">
        <x:v>Új alkatrész; műhely ellenőrzi</x:v>
      </x:c>
      <x:c r="Q45" s="2" t="n">
        <x:v>8</x:v>
      </x:c>
      <x:c r="R45" s="2" t="str">
        <x:v>R16:KI16-D1-F</x:v>
      </x:c>
    </x:row>
    <x:row r="46" ht="36" customHeight="1">
      <x:c r="A46" s="2" t="str">
        <x:v>KI16-D1-H</x:v>
      </x:c>
      <x:c r="B46" s="2" t="str">
        <x:v>Fiókdoboz hátlap</x:v>
      </x:c>
      <x:c r="C46" s="2" t="n">
        <x:v>642</x:v>
      </x:c>
      <x:c r="D46" s="2" t="n">
        <x:v>222</x:v>
      </x:c>
      <x:c r="E46" s="2" t="n">
        <x:v>15</x:v>
      </x:c>
      <x:c r="F46" s="2" t="str">
        <x:v>M16-DRAWER15</x:v>
      </x:c>
      <x:c r="G46" s="35" t="n">
        <x:v>0</x:v>
      </x:c>
      <x:c r="H46" s="35" t="n">
        <x:v>0</x:v>
      </x:c>
      <x:c r="I46" s="35" t="n">
        <x:v>0</x:v>
      </x:c>
      <x:c r="J46" s="35" t="n">
        <x:v>0</x:v>
      </x:c>
      <x:c r="K46" s="35"/>
      <x:c r="L46" s="35"/>
      <x:c r="M46" s="2" t="str">
        <x:f>IF(COUNT(H46,J46,K46)=3,C46-H46-J46+K46,"NYITOTT")</x:f>
        <x:v>NYITOTT</x:v>
      </x:c>
      <x:c r="N46" s="2" t="str">
        <x:f>IF(COUNT(G46,I46,L46)=3,D46-G46-I46+L46,"NYITOTT")</x:f>
        <x:v>NYITOTT</x:v>
      </x:c>
      <x:c r="O46" s="35" t="str">
        <x:v>NYITOTT</x:v>
      </x:c>
      <x:c r="P46" s="35" t="str">
        <x:v>Új alkatrész; műhely ellenőrzi</x:v>
      </x:c>
      <x:c r="Q46" s="2" t="n">
        <x:v>4</x:v>
      </x:c>
      <x:c r="R46" s="2" t="str">
        <x:v>R16:KI16-D1-H</x:v>
      </x:c>
    </x:row>
    <x:row r="47" ht="36" customHeight="1">
      <x:c r="A47" s="2" t="str">
        <x:v>KI12-TV02S-03</x:v>
      </x:c>
      <x:c r="B47" s="2" t="str">
        <x:v>M2 / bal oldallap</x:v>
      </x:c>
      <x:c r="C47" s="2" t="n">
        <x:v>382</x:v>
      </x:c>
      <x:c r="D47" s="2" t="n">
        <x:v>382</x:v>
      </x:c>
      <x:c r="E47" s="2" t="n">
        <x:v>18</x:v>
      </x:c>
      <x:c r="F47" s="2" t="str">
        <x:v>M03</x:v>
      </x:c>
      <x:c r="G47" s="35" t="n">
        <x:v>1</x:v>
      </x:c>
      <x:c r="H47" s="35" t="n">
        <x:v>0</x:v>
      </x:c>
      <x:c r="I47" s="35" t="n">
        <x:v>0</x:v>
      </x:c>
      <x:c r="J47" s="35" t="n">
        <x:v>0</x:v>
      </x:c>
      <x:c r="K47" s="35"/>
      <x:c r="L47" s="35"/>
      <x:c r="M47" s="2" t="str">
        <x:f>IF(COUNT(H47,J47,K47)=3,C47-H47-J47+K47,"NYITOTT")</x:f>
        <x:v>NYITOTT</x:v>
      </x:c>
      <x:c r="N47" s="2" t="str">
        <x:f>IF(COUNT(G47,I47,L47)=3,D47-G47-I47+L47,"NYITOTT")</x:f>
        <x:v>NYITOTT</x:v>
      </x:c>
      <x:c r="O47" s="35" t="str">
        <x:v>NYITOTT</x:v>
      </x:c>
      <x:c r="P47" s="35" t="str">
        <x:v>NEM</x:v>
      </x:c>
      <x:c r="Q47" s="2" t="n">
        <x:v>16</x:v>
      </x:c>
      <x:c r="R47" s="2" t="str">
        <x:v>R16:KI12-TV02S-03</x:v>
      </x:c>
    </x:row>
    <x:row r="48" ht="36" customHeight="1">
      <x:c r="A48" s="2" t="str">
        <x:v>KI12-TV02S-04</x:v>
      </x:c>
      <x:c r="B48" s="2" t="str">
        <x:v>M2 / jobb oldallap</x:v>
      </x:c>
      <x:c r="C48" s="2" t="n">
        <x:v>382</x:v>
      </x:c>
      <x:c r="D48" s="2" t="n">
        <x:v>382</x:v>
      </x:c>
      <x:c r="E48" s="2" t="n">
        <x:v>18</x:v>
      </x:c>
      <x:c r="F48" s="2" t="str">
        <x:v>M03</x:v>
      </x:c>
      <x:c r="G48" s="35" t="n">
        <x:v>1</x:v>
      </x:c>
      <x:c r="H48" s="35" t="n">
        <x:v>0</x:v>
      </x:c>
      <x:c r="I48" s="35" t="n">
        <x:v>0</x:v>
      </x:c>
      <x:c r="J48" s="35" t="n">
        <x:v>0</x:v>
      </x:c>
      <x:c r="K48" s="35"/>
      <x:c r="L48" s="35"/>
      <x:c r="M48" s="2" t="str">
        <x:f>IF(COUNT(H48,J48,K48)=3,C48-H48-J48+K48,"NYITOTT")</x:f>
        <x:v>NYITOTT</x:v>
      </x:c>
      <x:c r="N48" s="2" t="str">
        <x:f>IF(COUNT(G48,I48,L48)=3,D48-G48-I48+L48,"NYITOTT")</x:f>
        <x:v>NYITOTT</x:v>
      </x:c>
      <x:c r="O48" s="35" t="str">
        <x:v>NYITOTT</x:v>
      </x:c>
      <x:c r="P48" s="35" t="str">
        <x:v>NEM</x:v>
      </x:c>
      <x:c r="Q48" s="2" t="n">
        <x:v>16</x:v>
      </x:c>
      <x:c r="R48" s="2" t="str">
        <x:v>R16:KI12-TV02S-04</x:v>
      </x:c>
    </x:row>
    <x:row r="49" ht="36" customHeight="1">
      <x:c r="A49" s="2" t="str">
        <x:v>KI12-TV02T2-01</x:v>
      </x:c>
      <x:c r="B49" s="2" t="str">
        <x:v>M2 / példány 4</x:v>
      </x:c>
      <x:c r="C49" s="2" t="n">
        <x:v>414</x:v>
      </x:c>
      <x:c r="D49" s="2" t="n">
        <x:v>382</x:v>
      </x:c>
      <x:c r="E49" s="2" t="n">
        <x:v>18</x:v>
      </x:c>
      <x:c r="F49" s="2" t="str">
        <x:v>M03</x:v>
      </x:c>
      <x:c r="G49" s="35" t="n">
        <x:v>1</x:v>
      </x:c>
      <x:c r="H49" s="35" t="n">
        <x:v>0</x:v>
      </x:c>
      <x:c r="I49" s="35" t="n">
        <x:v>0</x:v>
      </x:c>
      <x:c r="J49" s="35" t="n">
        <x:v>0</x:v>
      </x:c>
      <x:c r="K49" s="35"/>
      <x:c r="L49" s="35"/>
      <x:c r="M49" s="2" t="str">
        <x:f>IF(COUNT(H49,J49,K49)=3,C49-H49-J49+K49,"NYITOTT")</x:f>
        <x:v>NYITOTT</x:v>
      </x:c>
      <x:c r="N49" s="2" t="str">
        <x:f>IF(COUNT(G49,I49,L49)=3,D49-G49-I49+L49,"NYITOTT")</x:f>
        <x:v>NYITOTT</x:v>
      </x:c>
      <x:c r="O49" s="35" t="str">
        <x:v>NYITOTT</x:v>
      </x:c>
      <x:c r="P49" s="35" t="str">
        <x:v>NEM</x:v>
      </x:c>
      <x:c r="Q49" s="2" t="n">
        <x:v>6</x:v>
      </x:c>
      <x:c r="R49" s="2" t="str">
        <x:v>R16:KI12-TV02T2-01</x:v>
      </x:c>
    </x:row>
    <x:row r="50" ht="36" customHeight="1">
      <x:c r="A50" s="2" t="str">
        <x:v>KI12-TV02F2-01</x:v>
      </x:c>
      <x:c r="B50" s="2" t="str">
        <x:v>M2 / példány 4</x:v>
      </x:c>
      <x:c r="C50" s="2" t="n">
        <x:v>447</x:v>
      </x:c>
      <x:c r="D50" s="2" t="n">
        <x:v>397</x:v>
      </x:c>
      <x:c r="E50" s="2" t="n">
        <x:v>18</x:v>
      </x:c>
      <x:c r="F50" s="2" t="str">
        <x:v>M01</x:v>
      </x:c>
      <x:c r="G50" s="35" t="n">
        <x:v>1</x:v>
      </x:c>
      <x:c r="H50" s="35" t="n">
        <x:v>1</x:v>
      </x:c>
      <x:c r="I50" s="35" t="n">
        <x:v>1</x:v>
      </x:c>
      <x:c r="J50" s="35" t="n">
        <x:v>1</x:v>
      </x:c>
      <x:c r="K50" s="35"/>
      <x:c r="L50" s="35"/>
      <x:c r="M50" s="2" t="str">
        <x:f>IF(COUNT(H50,J50,K50)=3,C50-H50-J50+K50,"NYITOTT")</x:f>
        <x:v>NYITOTT</x:v>
      </x:c>
      <x:c r="N50" s="2" t="str">
        <x:f>IF(COUNT(G50,I50,L50)=3,D50-G50-I50+L50,"NYITOTT")</x:f>
        <x:v>NYITOTT</x:v>
      </x:c>
      <x:c r="O50" s="35" t="str">
        <x:v>NYITOTT</x:v>
      </x:c>
      <x:c r="P50" s="35" t="str">
        <x:v>NEM</x:v>
      </x:c>
      <x:c r="Q50" s="2" t="n">
        <x:v>4</x:v>
      </x:c>
      <x:c r="R50" s="2" t="str">
        <x:v>R16:KI12-TV02F2-01</x:v>
      </x:c>
    </x:row>
    <x:row r="51" ht="36" customHeight="1">
      <x:c r="A51" s="2" t="str">
        <x:v>KI12-TV02H2-01</x:v>
      </x:c>
      <x:c r="B51" s="2" t="str">
        <x:v>M2 / példány 4</x:v>
      </x:c>
      <x:c r="C51" s="2" t="n">
        <x:v>412</x:v>
      </x:c>
      <x:c r="D51" s="2" t="n">
        <x:v>362</x:v>
      </x:c>
      <x:c r="E51" s="2" t="n">
        <x:v>8</x:v>
      </x:c>
      <x:c r="F51" s="2" t="str">
        <x:v>M03</x:v>
      </x:c>
      <x:c r="G51" s="35" t="n">
        <x:v>0</x:v>
      </x:c>
      <x:c r="H51" s="35" t="n">
        <x:v>0</x:v>
      </x:c>
      <x:c r="I51" s="35" t="n">
        <x:v>0</x:v>
      </x:c>
      <x:c r="J51" s="35" t="n">
        <x:v>0</x:v>
      </x:c>
      <x:c r="K51" s="35"/>
      <x:c r="L51" s="35"/>
      <x:c r="M51" s="2" t="str">
        <x:f>IF(COUNT(H51,J51,K51)=3,C51-H51-J51+K51,"NYITOTT")</x:f>
        <x:v>NYITOTT</x:v>
      </x:c>
      <x:c r="N51" s="2" t="str">
        <x:f>IF(COUNT(G51,I51,L51)=3,D51-G51-I51+L51,"NYITOTT")</x:f>
        <x:v>NYITOTT</x:v>
      </x:c>
      <x:c r="O51" s="35" t="str">
        <x:v>NYITOTT</x:v>
      </x:c>
      <x:c r="P51" s="35" t="str">
        <x:v>NEM</x:v>
      </x:c>
      <x:c r="Q51" s="2" t="n">
        <x:v>6</x:v>
      </x:c>
      <x:c r="R51" s="2" t="str">
        <x:v>R16:KI12-TV02H2-01</x:v>
      </x:c>
    </x:row>
    <x:row r="52" ht="36" customHeight="1">
      <x:c r="A52" s="2" t="str">
        <x:v>KI14-BAT-05</x:v>
      </x:c>
      <x:c r="B52" s="2" t="str">
        <x:v>M2 / Hátlaprögzítő bükk léc</x:v>
      </x:c>
      <x:c r="C52" s="2" t="n">
        <x:v>212</x:v>
      </x:c>
      <x:c r="D52" s="2" t="n">
        <x:v>-222</x:v>
      </x:c>
      <x:c r="E52" s="2" t="n">
        <x:v>18</x:v>
      </x:c>
      <x:c r="F52" s="2" t="str">
        <x:v>BEECH18</x:v>
      </x:c>
      <x:c r="G52" s="35" t="n">
        <x:v>0</x:v>
      </x:c>
      <x:c r="H52" s="35" t="n">
        <x:v>0</x:v>
      </x:c>
      <x:c r="I52" s="35" t="n">
        <x:v>0</x:v>
      </x:c>
      <x:c r="J52" s="35" t="n">
        <x:v>0</x:v>
      </x:c>
      <x:c r="K52" s="35"/>
      <x:c r="L52" s="35"/>
      <x:c r="M52" s="2" t="str">
        <x:f>IF(COUNT(H52,J52,K52)=3,C52-H52-J52+K52,"NYITOTT")</x:f>
        <x:v>NYITOTT</x:v>
      </x:c>
      <x:c r="N52" s="2" t="str">
        <x:f>IF(COUNT(G52,I52,L52)=3,D52-G52-I52+L52,"NYITOTT")</x:f>
        <x:v>NYITOTT</x:v>
      </x:c>
      <x:c r="O52" s="35" t="str">
        <x:v>NYITOTT</x:v>
      </x:c>
      <x:c r="P52" s="35" t="str">
        <x:v>NEM</x:v>
      </x:c>
      <x:c r="Q52" s="2" t="n">
        <x:v>6</x:v>
      </x:c>
      <x:c r="R52" s="2" t="str">
        <x:v>R16:KI14-BAT-05</x:v>
      </x:c>
    </x:row>
    <x:row r="53" ht="36" customHeight="1">
      <x:c r="A53" s="2" t="str">
        <x:v>KI14-BAT-06</x:v>
      </x:c>
      <x:c r="B53" s="2" t="str">
        <x:v>M2 / Hátlaprögzítő bükk léc</x:v>
      </x:c>
      <x:c r="C53" s="2" t="n">
        <x:v>212</x:v>
      </x:c>
      <x:c r="D53" s="2" t="n">
        <x:v>-222</x:v>
      </x:c>
      <x:c r="E53" s="2" t="n">
        <x:v>18</x:v>
      </x:c>
      <x:c r="F53" s="2" t="str">
        <x:v>BEECH18</x:v>
      </x:c>
      <x:c r="G53" s="35" t="n">
        <x:v>0</x:v>
      </x:c>
      <x:c r="H53" s="35" t="n">
        <x:v>0</x:v>
      </x:c>
      <x:c r="I53" s="35" t="n">
        <x:v>0</x:v>
      </x:c>
      <x:c r="J53" s="35" t="n">
        <x:v>0</x:v>
      </x:c>
      <x:c r="K53" s="35"/>
      <x:c r="L53" s="35"/>
      <x:c r="M53" s="2" t="str">
        <x:f>IF(COUNT(H53,J53,K53)=3,C53-H53-J53+K53,"NYITOTT")</x:f>
        <x:v>NYITOTT</x:v>
      </x:c>
      <x:c r="N53" s="2" t="str">
        <x:f>IF(COUNT(G53,I53,L53)=3,D53-G53-I53+L53,"NYITOTT")</x:f>
        <x:v>NYITOTT</x:v>
      </x:c>
      <x:c r="O53" s="35" t="str">
        <x:v>NYITOTT</x:v>
      </x:c>
      <x:c r="P53" s="35" t="str">
        <x:v>NEM</x:v>
      </x:c>
      <x:c r="Q53" s="2" t="n">
        <x:v>6</x:v>
      </x:c>
      <x:c r="R53" s="2" t="str">
        <x:v>R16:KI14-BAT-06</x:v>
      </x:c>
    </x:row>
    <x:row r="54" ht="36" customHeight="1">
      <x:c r="A54" s="2" t="str">
        <x:v>KI14-RAIL-02</x:v>
      </x:c>
      <x:c r="B54" s="2" t="str">
        <x:v>M2 / Hátsó merevítő keresztléc</x:v>
      </x:c>
      <x:c r="C54" s="2" t="n">
        <x:v>414</x:v>
      </x:c>
      <x:c r="D54" s="2" t="n">
        <x:v>100</x:v>
      </x:c>
      <x:c r="E54" s="2" t="n">
        <x:v>18</x:v>
      </x:c>
      <x:c r="F54" s="2" t="str">
        <x:v>PLY18</x:v>
      </x:c>
      <x:c r="G54" s="35" t="n">
        <x:v>0</x:v>
      </x:c>
      <x:c r="H54" s="35" t="n">
        <x:v>0</x:v>
      </x:c>
      <x:c r="I54" s="35" t="n">
        <x:v>0</x:v>
      </x:c>
      <x:c r="J54" s="35" t="n">
        <x:v>0</x:v>
      </x:c>
      <x:c r="K54" s="35"/>
      <x:c r="L54" s="35"/>
      <x:c r="M54" s="2" t="str">
        <x:f>IF(COUNT(H54,J54,K54)=3,C54-H54-J54+K54,"NYITOTT")</x:f>
        <x:v>NYITOTT</x:v>
      </x:c>
      <x:c r="N54" s="2" t="str">
        <x:f>IF(COUNT(G54,I54,L54)=3,D54-G54-I54+L54,"NYITOTT")</x:f>
        <x:v>NYITOTT</x:v>
      </x:c>
      <x:c r="O54" s="35" t="str">
        <x:v>NYITOTT</x:v>
      </x:c>
      <x:c r="P54" s="35" t="str">
        <x:v>NEM</x:v>
      </x:c>
      <x:c r="Q54" s="2" t="n">
        <x:v>6</x:v>
      </x:c>
      <x:c r="R54" s="2" t="str">
        <x:v>R16:KI14-RAIL-02</x:v>
      </x:c>
    </x:row>
    <x:row r="55" ht="36" customHeight="1">
      <x:c r="A55" s="2" t="str">
        <x:v>KI16-D2-L</x:v>
      </x:c>
      <x:c r="B55" s="2" t="str">
        <x:v>Fiók bal oldal</x:v>
      </x:c>
      <x:c r="C55" s="2" t="n">
        <x:v>250</x:v>
      </x:c>
      <x:c r="D55" s="2" t="n">
        <x:v>290</x:v>
      </x:c>
      <x:c r="E55" s="2" t="n">
        <x:v>15</x:v>
      </x:c>
      <x:c r="F55" s="2" t="str">
        <x:v>M16-DRAWER15</x:v>
      </x:c>
      <x:c r="G55" s="35" t="n">
        <x:v>0</x:v>
      </x:c>
      <x:c r="H55" s="35" t="n">
        <x:v>0</x:v>
      </x:c>
      <x:c r="I55" s="35" t="n">
        <x:v>0</x:v>
      </x:c>
      <x:c r="J55" s="35" t="n">
        <x:v>0</x:v>
      </x:c>
      <x:c r="K55" s="35"/>
      <x:c r="L55" s="35"/>
      <x:c r="M55" s="2" t="str">
        <x:f>IF(COUNT(H55,J55,K55)=3,C55-H55-J55+K55,"NYITOTT")</x:f>
        <x:v>NYITOTT</x:v>
      </x:c>
      <x:c r="N55" s="2" t="str">
        <x:f>IF(COUNT(G55,I55,L55)=3,D55-G55-I55+L55,"NYITOTT")</x:f>
        <x:v>NYITOTT</x:v>
      </x:c>
      <x:c r="O55" s="35" t="str">
        <x:v>NYITOTT</x:v>
      </x:c>
      <x:c r="P55" s="35" t="str">
        <x:v>Új alkatrész; műhely ellenőrzi</x:v>
      </x:c>
      <x:c r="Q55" s="2" t="n">
        <x:v>7</x:v>
      </x:c>
      <x:c r="R55" s="2" t="str">
        <x:v>R16:KI16-D2-L</x:v>
      </x:c>
    </x:row>
    <x:row r="56" ht="36" customHeight="1">
      <x:c r="A56" s="2" t="str">
        <x:v>KI16-D2-R</x:v>
      </x:c>
      <x:c r="B56" s="2" t="str">
        <x:v>Fiók jobb oldal</x:v>
      </x:c>
      <x:c r="C56" s="2" t="n">
        <x:v>250</x:v>
      </x:c>
      <x:c r="D56" s="2" t="n">
        <x:v>290</x:v>
      </x:c>
      <x:c r="E56" s="2" t="n">
        <x:v>15</x:v>
      </x:c>
      <x:c r="F56" s="2" t="str">
        <x:v>M16-DRAWER15</x:v>
      </x:c>
      <x:c r="G56" s="35" t="n">
        <x:v>0</x:v>
      </x:c>
      <x:c r="H56" s="35" t="n">
        <x:v>0</x:v>
      </x:c>
      <x:c r="I56" s="35" t="n">
        <x:v>0</x:v>
      </x:c>
      <x:c r="J56" s="35" t="n">
        <x:v>0</x:v>
      </x:c>
      <x:c r="K56" s="35"/>
      <x:c r="L56" s="35"/>
      <x:c r="M56" s="2" t="str">
        <x:f>IF(COUNT(H56,J56,K56)=3,C56-H56-J56+K56,"NYITOTT")</x:f>
        <x:v>NYITOTT</x:v>
      </x:c>
      <x:c r="N56" s="2" t="str">
        <x:f>IF(COUNT(G56,I56,L56)=3,D56-G56-I56+L56,"NYITOTT")</x:f>
        <x:v>NYITOTT</x:v>
      </x:c>
      <x:c r="O56" s="35" t="str">
        <x:v>NYITOTT</x:v>
      </x:c>
      <x:c r="P56" s="35" t="str">
        <x:v>Új alkatrész; műhely ellenőrzi</x:v>
      </x:c>
      <x:c r="Q56" s="2" t="n">
        <x:v>7</x:v>
      </x:c>
      <x:c r="R56" s="2" t="str">
        <x:v>R16:KI16-D2-R</x:v>
      </x:c>
    </x:row>
    <x:row r="57" ht="36" customHeight="1">
      <x:c r="A57" s="2" t="str">
        <x:v>KI16-D2-B</x:v>
      </x:c>
      <x:c r="B57" s="2" t="str">
        <x:v>Fiók fenék</x:v>
      </x:c>
      <x:c r="C57" s="2" t="n">
        <x:v>372</x:v>
      </x:c>
      <x:c r="D57" s="2" t="n">
        <x:v>290</x:v>
      </x:c>
      <x:c r="E57" s="2" t="n">
        <x:v>15</x:v>
      </x:c>
      <x:c r="F57" s="2" t="str">
        <x:v>M16-DRAWER15</x:v>
      </x:c>
      <x:c r="G57" s="35" t="n">
        <x:v>0</x:v>
      </x:c>
      <x:c r="H57" s="35" t="n">
        <x:v>0</x:v>
      </x:c>
      <x:c r="I57" s="35" t="n">
        <x:v>0</x:v>
      </x:c>
      <x:c r="J57" s="35" t="n">
        <x:v>0</x:v>
      </x:c>
      <x:c r="K57" s="35"/>
      <x:c r="L57" s="35"/>
      <x:c r="M57" s="2" t="str">
        <x:f>IF(COUNT(H57,J57,K57)=3,C57-H57-J57+K57,"NYITOTT")</x:f>
        <x:v>NYITOTT</x:v>
      </x:c>
      <x:c r="N57" s="2" t="str">
        <x:f>IF(COUNT(G57,I57,L57)=3,D57-G57-I57+L57,"NYITOTT")</x:f>
        <x:v>NYITOTT</x:v>
      </x:c>
      <x:c r="O57" s="35" t="str">
        <x:v>NYITOTT</x:v>
      </x:c>
      <x:c r="P57" s="35" t="str">
        <x:v>Új alkatrész; műhely ellenőrzi</x:v>
      </x:c>
      <x:c r="Q57" s="2" t="n">
        <x:v>6</x:v>
      </x:c>
      <x:c r="R57" s="2" t="str">
        <x:v>R16:KI16-D2-B</x:v>
      </x:c>
    </x:row>
    <x:row r="58" ht="36" customHeight="1">
      <x:c r="A58" s="2" t="str">
        <x:v>KI16-D2-F</x:v>
      </x:c>
      <x:c r="B58" s="2" t="str">
        <x:v>Fiókdoboz belső előlap</x:v>
      </x:c>
      <x:c r="C58" s="2" t="n">
        <x:v>372</x:v>
      </x:c>
      <x:c r="D58" s="2" t="n">
        <x:v>222</x:v>
      </x:c>
      <x:c r="E58" s="2" t="n">
        <x:v>15</x:v>
      </x:c>
      <x:c r="F58" s="2" t="str">
        <x:v>M16-DRAWER15</x:v>
      </x:c>
      <x:c r="G58" s="35" t="n">
        <x:v>0</x:v>
      </x:c>
      <x:c r="H58" s="35" t="n">
        <x:v>0</x:v>
      </x:c>
      <x:c r="I58" s="35" t="n">
        <x:v>0</x:v>
      </x:c>
      <x:c r="J58" s="35" t="n">
        <x:v>0</x:v>
      </x:c>
      <x:c r="K58" s="35"/>
      <x:c r="L58" s="35"/>
      <x:c r="M58" s="2" t="str">
        <x:f>IF(COUNT(H58,J58,K58)=3,C58-H58-J58+K58,"NYITOTT")</x:f>
        <x:v>NYITOTT</x:v>
      </x:c>
      <x:c r="N58" s="2" t="str">
        <x:f>IF(COUNT(G58,I58,L58)=3,D58-G58-I58+L58,"NYITOTT")</x:f>
        <x:v>NYITOTT</x:v>
      </x:c>
      <x:c r="O58" s="35" t="str">
        <x:v>NYITOTT</x:v>
      </x:c>
      <x:c r="P58" s="35" t="str">
        <x:v>Új alkatrész; műhely ellenőrzi</x:v>
      </x:c>
      <x:c r="Q58" s="2" t="n">
        <x:v>8</x:v>
      </x:c>
      <x:c r="R58" s="2" t="str">
        <x:v>R16:KI16-D2-F</x:v>
      </x:c>
    </x:row>
    <x:row r="59" ht="36" customHeight="1">
      <x:c r="A59" s="2" t="str">
        <x:v>KI16-D2-H</x:v>
      </x:c>
      <x:c r="B59" s="2" t="str">
        <x:v>Fiókdoboz hátlap</x:v>
      </x:c>
      <x:c r="C59" s="2" t="n">
        <x:v>372</x:v>
      </x:c>
      <x:c r="D59" s="2" t="n">
        <x:v>222</x:v>
      </x:c>
      <x:c r="E59" s="2" t="n">
        <x:v>15</x:v>
      </x:c>
      <x:c r="F59" s="2" t="str">
        <x:v>M16-DRAWER15</x:v>
      </x:c>
      <x:c r="G59" s="35" t="n">
        <x:v>0</x:v>
      </x:c>
      <x:c r="H59" s="35" t="n">
        <x:v>0</x:v>
      </x:c>
      <x:c r="I59" s="35" t="n">
        <x:v>0</x:v>
      </x:c>
      <x:c r="J59" s="35" t="n">
        <x:v>0</x:v>
      </x:c>
      <x:c r="K59" s="35"/>
      <x:c r="L59" s="35"/>
      <x:c r="M59" s="2" t="str">
        <x:f>IF(COUNT(H59,J59,K59)=3,C59-H59-J59+K59,"NYITOTT")</x:f>
        <x:v>NYITOTT</x:v>
      </x:c>
      <x:c r="N59" s="2" t="str">
        <x:f>IF(COUNT(G59,I59,L59)=3,D59-G59-I59+L59,"NYITOTT")</x:f>
        <x:v>NYITOTT</x:v>
      </x:c>
      <x:c r="O59" s="35" t="str">
        <x:v>NYITOTT</x:v>
      </x:c>
      <x:c r="P59" s="35" t="str">
        <x:v>Új alkatrész; műhely ellenőrzi</x:v>
      </x:c>
      <x:c r="Q59" s="2" t="n">
        <x:v>4</x:v>
      </x:c>
      <x:c r="R59" s="2" t="str">
        <x:v>R16:KI16-D2-H</x:v>
      </x:c>
    </x:row>
    <x:row r="60" ht="36" customHeight="1">
      <x:c r="A60" s="2" t="str">
        <x:v>KI12-TV02S-05</x:v>
      </x:c>
      <x:c r="B60" s="2" t="str">
        <x:v>M3 / bal oldallap</x:v>
      </x:c>
      <x:c r="C60" s="2" t="n">
        <x:v>382</x:v>
      </x:c>
      <x:c r="D60" s="2" t="n">
        <x:v>382</x:v>
      </x:c>
      <x:c r="E60" s="2" t="n">
        <x:v>18</x:v>
      </x:c>
      <x:c r="F60" s="2" t="str">
        <x:v>M03</x:v>
      </x:c>
      <x:c r="G60" s="35" t="n">
        <x:v>1</x:v>
      </x:c>
      <x:c r="H60" s="35" t="n">
        <x:v>0</x:v>
      </x:c>
      <x:c r="I60" s="35" t="n">
        <x:v>0</x:v>
      </x:c>
      <x:c r="J60" s="35" t="n">
        <x:v>0</x:v>
      </x:c>
      <x:c r="K60" s="35"/>
      <x:c r="L60" s="35"/>
      <x:c r="M60" s="2" t="str">
        <x:f>IF(COUNT(H60,J60,K60)=3,C60-H60-J60+K60,"NYITOTT")</x:f>
        <x:v>NYITOTT</x:v>
      </x:c>
      <x:c r="N60" s="2" t="str">
        <x:f>IF(COUNT(G60,I60,L60)=3,D60-G60-I60+L60,"NYITOTT")</x:f>
        <x:v>NYITOTT</x:v>
      </x:c>
      <x:c r="O60" s="35" t="str">
        <x:v>NYITOTT</x:v>
      </x:c>
      <x:c r="P60" s="35" t="str">
        <x:v>NEM</x:v>
      </x:c>
      <x:c r="Q60" s="2" t="n">
        <x:v>16</x:v>
      </x:c>
      <x:c r="R60" s="2" t="str">
        <x:v>R16:KI12-TV02S-05</x:v>
      </x:c>
    </x:row>
    <x:row r="61" ht="36" customHeight="1">
      <x:c r="A61" s="2" t="str">
        <x:v>KI12-TV02S-06</x:v>
      </x:c>
      <x:c r="B61" s="2" t="str">
        <x:v>M3 / jobb oldallap</x:v>
      </x:c>
      <x:c r="C61" s="2" t="n">
        <x:v>382</x:v>
      </x:c>
      <x:c r="D61" s="2" t="n">
        <x:v>382</x:v>
      </x:c>
      <x:c r="E61" s="2" t="n">
        <x:v>18</x:v>
      </x:c>
      <x:c r="F61" s="2" t="str">
        <x:v>M03</x:v>
      </x:c>
      <x:c r="G61" s="35" t="n">
        <x:v>1</x:v>
      </x:c>
      <x:c r="H61" s="35" t="n">
        <x:v>0</x:v>
      </x:c>
      <x:c r="I61" s="35" t="n">
        <x:v>0</x:v>
      </x:c>
      <x:c r="J61" s="35" t="n">
        <x:v>0</x:v>
      </x:c>
      <x:c r="K61" s="35"/>
      <x:c r="L61" s="35"/>
      <x:c r="M61" s="2" t="str">
        <x:f>IF(COUNT(H61,J61,K61)=3,C61-H61-J61+K61,"NYITOTT")</x:f>
        <x:v>NYITOTT</x:v>
      </x:c>
      <x:c r="N61" s="2" t="str">
        <x:f>IF(COUNT(G61,I61,L61)=3,D61-G61-I61+L61,"NYITOTT")</x:f>
        <x:v>NYITOTT</x:v>
      </x:c>
      <x:c r="O61" s="35" t="str">
        <x:v>NYITOTT</x:v>
      </x:c>
      <x:c r="P61" s="35" t="str">
        <x:v>NEM</x:v>
      </x:c>
      <x:c r="Q61" s="2" t="n">
        <x:v>16</x:v>
      </x:c>
      <x:c r="R61" s="2" t="str">
        <x:v>R16:KI12-TV02S-06</x:v>
      </x:c>
    </x:row>
    <x:row r="62" ht="36" customHeight="1">
      <x:c r="A62" s="2" t="str">
        <x:v>KI12-TV02T2-02</x:v>
      </x:c>
      <x:c r="B62" s="2" t="str">
        <x:v>M3 / példány 4</x:v>
      </x:c>
      <x:c r="C62" s="2" t="n">
        <x:v>414</x:v>
      </x:c>
      <x:c r="D62" s="2" t="n">
        <x:v>382</x:v>
      </x:c>
      <x:c r="E62" s="2" t="n">
        <x:v>18</x:v>
      </x:c>
      <x:c r="F62" s="2" t="str">
        <x:v>M03</x:v>
      </x:c>
      <x:c r="G62" s="35" t="n">
        <x:v>1</x:v>
      </x:c>
      <x:c r="H62" s="35" t="n">
        <x:v>0</x:v>
      </x:c>
      <x:c r="I62" s="35" t="n">
        <x:v>0</x:v>
      </x:c>
      <x:c r="J62" s="35" t="n">
        <x:v>0</x:v>
      </x:c>
      <x:c r="K62" s="35"/>
      <x:c r="L62" s="35"/>
      <x:c r="M62" s="2" t="str">
        <x:f>IF(COUNT(H62,J62,K62)=3,C62-H62-J62+K62,"NYITOTT")</x:f>
        <x:v>NYITOTT</x:v>
      </x:c>
      <x:c r="N62" s="2" t="str">
        <x:f>IF(COUNT(G62,I62,L62)=3,D62-G62-I62+L62,"NYITOTT")</x:f>
        <x:v>NYITOTT</x:v>
      </x:c>
      <x:c r="O62" s="35" t="str">
        <x:v>NYITOTT</x:v>
      </x:c>
      <x:c r="P62" s="35" t="str">
        <x:v>NEM</x:v>
      </x:c>
      <x:c r="Q62" s="2" t="n">
        <x:v>6</x:v>
      </x:c>
      <x:c r="R62" s="2" t="str">
        <x:v>R16:KI12-TV02T2-02</x:v>
      </x:c>
    </x:row>
    <x:row r="63" ht="36" customHeight="1">
      <x:c r="A63" s="2" t="str">
        <x:v>KI12-TV02F2-02</x:v>
      </x:c>
      <x:c r="B63" s="2" t="str">
        <x:v>M3 / példány 4</x:v>
      </x:c>
      <x:c r="C63" s="2" t="n">
        <x:v>447</x:v>
      </x:c>
      <x:c r="D63" s="2" t="n">
        <x:v>397</x:v>
      </x:c>
      <x:c r="E63" s="2" t="n">
        <x:v>18</x:v>
      </x:c>
      <x:c r="F63" s="2" t="str">
        <x:v>M01</x:v>
      </x:c>
      <x:c r="G63" s="35" t="n">
        <x:v>1</x:v>
      </x:c>
      <x:c r="H63" s="35" t="n">
        <x:v>1</x:v>
      </x:c>
      <x:c r="I63" s="35" t="n">
        <x:v>1</x:v>
      </x:c>
      <x:c r="J63" s="35" t="n">
        <x:v>1</x:v>
      </x:c>
      <x:c r="K63" s="35"/>
      <x:c r="L63" s="35"/>
      <x:c r="M63" s="2" t="str">
        <x:f>IF(COUNT(H63,J63,K63)=3,C63-H63-J63+K63,"NYITOTT")</x:f>
        <x:v>NYITOTT</x:v>
      </x:c>
      <x:c r="N63" s="2" t="str">
        <x:f>IF(COUNT(G63,I63,L63)=3,D63-G63-I63+L63,"NYITOTT")</x:f>
        <x:v>NYITOTT</x:v>
      </x:c>
      <x:c r="O63" s="35" t="str">
        <x:v>NYITOTT</x:v>
      </x:c>
      <x:c r="P63" s="35" t="str">
        <x:v>NEM</x:v>
      </x:c>
      <x:c r="Q63" s="2" t="n">
        <x:v>4</x:v>
      </x:c>
      <x:c r="R63" s="2" t="str">
        <x:v>R16:KI12-TV02F2-02</x:v>
      </x:c>
    </x:row>
    <x:row r="64" ht="36" customHeight="1">
      <x:c r="A64" s="2" t="str">
        <x:v>KI12-TV02H2-02</x:v>
      </x:c>
      <x:c r="B64" s="2" t="str">
        <x:v>M3 / példány 4</x:v>
      </x:c>
      <x:c r="C64" s="2" t="n">
        <x:v>412</x:v>
      </x:c>
      <x:c r="D64" s="2" t="n">
        <x:v>362</x:v>
      </x:c>
      <x:c r="E64" s="2" t="n">
        <x:v>8</x:v>
      </x:c>
      <x:c r="F64" s="2" t="str">
        <x:v>M03</x:v>
      </x:c>
      <x:c r="G64" s="35" t="n">
        <x:v>0</x:v>
      </x:c>
      <x:c r="H64" s="35" t="n">
        <x:v>0</x:v>
      </x:c>
      <x:c r="I64" s="35" t="n">
        <x:v>0</x:v>
      </x:c>
      <x:c r="J64" s="35" t="n">
        <x:v>0</x:v>
      </x:c>
      <x:c r="K64" s="35"/>
      <x:c r="L64" s="35"/>
      <x:c r="M64" s="2" t="str">
        <x:f>IF(COUNT(H64,J64,K64)=3,C64-H64-J64+K64,"NYITOTT")</x:f>
        <x:v>NYITOTT</x:v>
      </x:c>
      <x:c r="N64" s="2" t="str">
        <x:f>IF(COUNT(G64,I64,L64)=3,D64-G64-I64+L64,"NYITOTT")</x:f>
        <x:v>NYITOTT</x:v>
      </x:c>
      <x:c r="O64" s="35" t="str">
        <x:v>NYITOTT</x:v>
      </x:c>
      <x:c r="P64" s="35" t="str">
        <x:v>NEM</x:v>
      </x:c>
      <x:c r="Q64" s="2" t="n">
        <x:v>6</x:v>
      </x:c>
      <x:c r="R64" s="2" t="str">
        <x:v>R16:KI12-TV02H2-02</x:v>
      </x:c>
    </x:row>
    <x:row r="65" ht="36" customHeight="1">
      <x:c r="A65" s="2" t="str">
        <x:v>KI14-BAT-07</x:v>
      </x:c>
      <x:c r="B65" s="2" t="str">
        <x:v>M3 / Hátlaprögzítő bükk léc</x:v>
      </x:c>
      <x:c r="C65" s="2" t="n">
        <x:v>212</x:v>
      </x:c>
      <x:c r="D65" s="2" t="n">
        <x:v>-222</x:v>
      </x:c>
      <x:c r="E65" s="2" t="n">
        <x:v>18</x:v>
      </x:c>
      <x:c r="F65" s="2" t="str">
        <x:v>BEECH18</x:v>
      </x:c>
      <x:c r="G65" s="35" t="n">
        <x:v>0</x:v>
      </x:c>
      <x:c r="H65" s="35" t="n">
        <x:v>0</x:v>
      </x:c>
      <x:c r="I65" s="35" t="n">
        <x:v>0</x:v>
      </x:c>
      <x:c r="J65" s="35" t="n">
        <x:v>0</x:v>
      </x:c>
      <x:c r="K65" s="35"/>
      <x:c r="L65" s="35"/>
      <x:c r="M65" s="2" t="str">
        <x:f>IF(COUNT(H65,J65,K65)=3,C65-H65-J65+K65,"NYITOTT")</x:f>
        <x:v>NYITOTT</x:v>
      </x:c>
      <x:c r="N65" s="2" t="str">
        <x:f>IF(COUNT(G65,I65,L65)=3,D65-G65-I65+L65,"NYITOTT")</x:f>
        <x:v>NYITOTT</x:v>
      </x:c>
      <x:c r="O65" s="35" t="str">
        <x:v>NYITOTT</x:v>
      </x:c>
      <x:c r="P65" s="35" t="str">
        <x:v>NEM</x:v>
      </x:c>
      <x:c r="Q65" s="2" t="n">
        <x:v>6</x:v>
      </x:c>
      <x:c r="R65" s="2" t="str">
        <x:v>R16:KI14-BAT-07</x:v>
      </x:c>
    </x:row>
    <x:row r="66" ht="36" customHeight="1">
      <x:c r="A66" s="2" t="str">
        <x:v>KI14-BAT-08</x:v>
      </x:c>
      <x:c r="B66" s="2" t="str">
        <x:v>M3 / Hátlaprögzítő bükk léc</x:v>
      </x:c>
      <x:c r="C66" s="2" t="n">
        <x:v>212</x:v>
      </x:c>
      <x:c r="D66" s="2" t="n">
        <x:v>-222</x:v>
      </x:c>
      <x:c r="E66" s="2" t="n">
        <x:v>18</x:v>
      </x:c>
      <x:c r="F66" s="2" t="str">
        <x:v>BEECH18</x:v>
      </x:c>
      <x:c r="G66" s="35" t="n">
        <x:v>0</x:v>
      </x:c>
      <x:c r="H66" s="35" t="n">
        <x:v>0</x:v>
      </x:c>
      <x:c r="I66" s="35" t="n">
        <x:v>0</x:v>
      </x:c>
      <x:c r="J66" s="35" t="n">
        <x:v>0</x:v>
      </x:c>
      <x:c r="K66" s="35"/>
      <x:c r="L66" s="35"/>
      <x:c r="M66" s="2" t="str">
        <x:f>IF(COUNT(H66,J66,K66)=3,C66-H66-J66+K66,"NYITOTT")</x:f>
        <x:v>NYITOTT</x:v>
      </x:c>
      <x:c r="N66" s="2" t="str">
        <x:f>IF(COUNT(G66,I66,L66)=3,D66-G66-I66+L66,"NYITOTT")</x:f>
        <x:v>NYITOTT</x:v>
      </x:c>
      <x:c r="O66" s="35" t="str">
        <x:v>NYITOTT</x:v>
      </x:c>
      <x:c r="P66" s="35" t="str">
        <x:v>NEM</x:v>
      </x:c>
      <x:c r="Q66" s="2" t="n">
        <x:v>6</x:v>
      </x:c>
      <x:c r="R66" s="2" t="str">
        <x:v>R16:KI14-BAT-08</x:v>
      </x:c>
    </x:row>
    <x:row r="67" ht="36" customHeight="1">
      <x:c r="A67" s="2" t="str">
        <x:v>KI14-RAIL-03</x:v>
      </x:c>
      <x:c r="B67" s="2" t="str">
        <x:v>M3 / Hátsó merevítő keresztléc</x:v>
      </x:c>
      <x:c r="C67" s="2" t="n">
        <x:v>414</x:v>
      </x:c>
      <x:c r="D67" s="2" t="n">
        <x:v>100</x:v>
      </x:c>
      <x:c r="E67" s="2" t="n">
        <x:v>18</x:v>
      </x:c>
      <x:c r="F67" s="2" t="str">
        <x:v>PLY18</x:v>
      </x:c>
      <x:c r="G67" s="35" t="n">
        <x:v>0</x:v>
      </x:c>
      <x:c r="H67" s="35" t="n">
        <x:v>0</x:v>
      </x:c>
      <x:c r="I67" s="35" t="n">
        <x:v>0</x:v>
      </x:c>
      <x:c r="J67" s="35" t="n">
        <x:v>0</x:v>
      </x:c>
      <x:c r="K67" s="35"/>
      <x:c r="L67" s="35"/>
      <x:c r="M67" s="2" t="str">
        <x:f>IF(COUNT(H67,J67,K67)=3,C67-H67-J67+K67,"NYITOTT")</x:f>
        <x:v>NYITOTT</x:v>
      </x:c>
      <x:c r="N67" s="2" t="str">
        <x:f>IF(COUNT(G67,I67,L67)=3,D67-G67-I67+L67,"NYITOTT")</x:f>
        <x:v>NYITOTT</x:v>
      </x:c>
      <x:c r="O67" s="35" t="str">
        <x:v>NYITOTT</x:v>
      </x:c>
      <x:c r="P67" s="35" t="str">
        <x:v>NEM</x:v>
      </x:c>
      <x:c r="Q67" s="2" t="n">
        <x:v>6</x:v>
      </x:c>
      <x:c r="R67" s="2" t="str">
        <x:v>R16:KI14-RAIL-03</x:v>
      </x:c>
    </x:row>
    <x:row r="68" ht="36" customHeight="1">
      <x:c r="A68" s="2" t="str">
        <x:v>KI16-D3-L</x:v>
      </x:c>
      <x:c r="B68" s="2" t="str">
        <x:v>Fiók bal oldal</x:v>
      </x:c>
      <x:c r="C68" s="2" t="n">
        <x:v>250</x:v>
      </x:c>
      <x:c r="D68" s="2" t="n">
        <x:v>290</x:v>
      </x:c>
      <x:c r="E68" s="2" t="n">
        <x:v>15</x:v>
      </x:c>
      <x:c r="F68" s="2" t="str">
        <x:v>M16-DRAWER15</x:v>
      </x:c>
      <x:c r="G68" s="35" t="n">
        <x:v>0</x:v>
      </x:c>
      <x:c r="H68" s="35" t="n">
        <x:v>0</x:v>
      </x:c>
      <x:c r="I68" s="35" t="n">
        <x:v>0</x:v>
      </x:c>
      <x:c r="J68" s="35" t="n">
        <x:v>0</x:v>
      </x:c>
      <x:c r="K68" s="35"/>
      <x:c r="L68" s="35"/>
      <x:c r="M68" s="2" t="str">
        <x:f>IF(COUNT(H68,J68,K68)=3,C68-H68-J68+K68,"NYITOTT")</x:f>
        <x:v>NYITOTT</x:v>
      </x:c>
      <x:c r="N68" s="2" t="str">
        <x:f>IF(COUNT(G68,I68,L68)=3,D68-G68-I68+L68,"NYITOTT")</x:f>
        <x:v>NYITOTT</x:v>
      </x:c>
      <x:c r="O68" s="35" t="str">
        <x:v>NYITOTT</x:v>
      </x:c>
      <x:c r="P68" s="35" t="str">
        <x:v>Új alkatrész; műhely ellenőrzi</x:v>
      </x:c>
      <x:c r="Q68" s="2" t="n">
        <x:v>7</x:v>
      </x:c>
      <x:c r="R68" s="2" t="str">
        <x:v>R16:KI16-D3-L</x:v>
      </x:c>
    </x:row>
    <x:row r="69" ht="36" customHeight="1">
      <x:c r="A69" s="2" t="str">
        <x:v>KI16-D3-R</x:v>
      </x:c>
      <x:c r="B69" s="2" t="str">
        <x:v>Fiók jobb oldal</x:v>
      </x:c>
      <x:c r="C69" s="2" t="n">
        <x:v>250</x:v>
      </x:c>
      <x:c r="D69" s="2" t="n">
        <x:v>290</x:v>
      </x:c>
      <x:c r="E69" s="2" t="n">
        <x:v>15</x:v>
      </x:c>
      <x:c r="F69" s="2" t="str">
        <x:v>M16-DRAWER15</x:v>
      </x:c>
      <x:c r="G69" s="35" t="n">
        <x:v>0</x:v>
      </x:c>
      <x:c r="H69" s="35" t="n">
        <x:v>0</x:v>
      </x:c>
      <x:c r="I69" s="35" t="n">
        <x:v>0</x:v>
      </x:c>
      <x:c r="J69" s="35" t="n">
        <x:v>0</x:v>
      </x:c>
      <x:c r="K69" s="35"/>
      <x:c r="L69" s="35"/>
      <x:c r="M69" s="2" t="str">
        <x:f>IF(COUNT(H69,J69,K69)=3,C69-H69-J69+K69,"NYITOTT")</x:f>
        <x:v>NYITOTT</x:v>
      </x:c>
      <x:c r="N69" s="2" t="str">
        <x:f>IF(COUNT(G69,I69,L69)=3,D69-G69-I69+L69,"NYITOTT")</x:f>
        <x:v>NYITOTT</x:v>
      </x:c>
      <x:c r="O69" s="35" t="str">
        <x:v>NYITOTT</x:v>
      </x:c>
      <x:c r="P69" s="35" t="str">
        <x:v>Új alkatrész; műhely ellenőrzi</x:v>
      </x:c>
      <x:c r="Q69" s="2" t="n">
        <x:v>7</x:v>
      </x:c>
      <x:c r="R69" s="2" t="str">
        <x:v>R16:KI16-D3-R</x:v>
      </x:c>
    </x:row>
    <x:row r="70" ht="36" customHeight="1">
      <x:c r="A70" s="2" t="str">
        <x:v>KI16-D3-B</x:v>
      </x:c>
      <x:c r="B70" s="2" t="str">
        <x:v>Fiók fenék</x:v>
      </x:c>
      <x:c r="C70" s="2" t="n">
        <x:v>372</x:v>
      </x:c>
      <x:c r="D70" s="2" t="n">
        <x:v>290</x:v>
      </x:c>
      <x:c r="E70" s="2" t="n">
        <x:v>15</x:v>
      </x:c>
      <x:c r="F70" s="2" t="str">
        <x:v>M16-DRAWER15</x:v>
      </x:c>
      <x:c r="G70" s="35" t="n">
        <x:v>0</x:v>
      </x:c>
      <x:c r="H70" s="35" t="n">
        <x:v>0</x:v>
      </x:c>
      <x:c r="I70" s="35" t="n">
        <x:v>0</x:v>
      </x:c>
      <x:c r="J70" s="35" t="n">
        <x:v>0</x:v>
      </x:c>
      <x:c r="K70" s="35"/>
      <x:c r="L70" s="35"/>
      <x:c r="M70" s="2" t="str">
        <x:f>IF(COUNT(H70,J70,K70)=3,C70-H70-J70+K70,"NYITOTT")</x:f>
        <x:v>NYITOTT</x:v>
      </x:c>
      <x:c r="N70" s="2" t="str">
        <x:f>IF(COUNT(G70,I70,L70)=3,D70-G70-I70+L70,"NYITOTT")</x:f>
        <x:v>NYITOTT</x:v>
      </x:c>
      <x:c r="O70" s="35" t="str">
        <x:v>NYITOTT</x:v>
      </x:c>
      <x:c r="P70" s="35" t="str">
        <x:v>Új alkatrész; műhely ellenőrzi</x:v>
      </x:c>
      <x:c r="Q70" s="2" t="n">
        <x:v>6</x:v>
      </x:c>
      <x:c r="R70" s="2" t="str">
        <x:v>R16:KI16-D3-B</x:v>
      </x:c>
    </x:row>
    <x:row r="71" ht="36" customHeight="1">
      <x:c r="A71" s="2" t="str">
        <x:v>KI16-D3-F</x:v>
      </x:c>
      <x:c r="B71" s="2" t="str">
        <x:v>Fiókdoboz belső előlap</x:v>
      </x:c>
      <x:c r="C71" s="2" t="n">
        <x:v>372</x:v>
      </x:c>
      <x:c r="D71" s="2" t="n">
        <x:v>222</x:v>
      </x:c>
      <x:c r="E71" s="2" t="n">
        <x:v>15</x:v>
      </x:c>
      <x:c r="F71" s="2" t="str">
        <x:v>M16-DRAWER15</x:v>
      </x:c>
      <x:c r="G71" s="35" t="n">
        <x:v>0</x:v>
      </x:c>
      <x:c r="H71" s="35" t="n">
        <x:v>0</x:v>
      </x:c>
      <x:c r="I71" s="35" t="n">
        <x:v>0</x:v>
      </x:c>
      <x:c r="J71" s="35" t="n">
        <x:v>0</x:v>
      </x:c>
      <x:c r="K71" s="35"/>
      <x:c r="L71" s="35"/>
      <x:c r="M71" s="2" t="str">
        <x:f>IF(COUNT(H71,J71,K71)=3,C71-H71-J71+K71,"NYITOTT")</x:f>
        <x:v>NYITOTT</x:v>
      </x:c>
      <x:c r="N71" s="2" t="str">
        <x:f>IF(COUNT(G71,I71,L71)=3,D71-G71-I71+L71,"NYITOTT")</x:f>
        <x:v>NYITOTT</x:v>
      </x:c>
      <x:c r="O71" s="35" t="str">
        <x:v>NYITOTT</x:v>
      </x:c>
      <x:c r="P71" s="35" t="str">
        <x:v>Új alkatrész; műhely ellenőrzi</x:v>
      </x:c>
      <x:c r="Q71" s="2" t="n">
        <x:v>8</x:v>
      </x:c>
      <x:c r="R71" s="2" t="str">
        <x:v>R16:KI16-D3-F</x:v>
      </x:c>
    </x:row>
    <x:row r="72" ht="36" customHeight="1">
      <x:c r="A72" s="2" t="str">
        <x:v>KI16-D3-H</x:v>
      </x:c>
      <x:c r="B72" s="2" t="str">
        <x:v>Fiókdoboz hátlap</x:v>
      </x:c>
      <x:c r="C72" s="2" t="n">
        <x:v>372</x:v>
      </x:c>
      <x:c r="D72" s="2" t="n">
        <x:v>222</x:v>
      </x:c>
      <x:c r="E72" s="2" t="n">
        <x:v>15</x:v>
      </x:c>
      <x:c r="F72" s="2" t="str">
        <x:v>M16-DRAWER15</x:v>
      </x:c>
      <x:c r="G72" s="35" t="n">
        <x:v>0</x:v>
      </x:c>
      <x:c r="H72" s="35" t="n">
        <x:v>0</x:v>
      </x:c>
      <x:c r="I72" s="35" t="n">
        <x:v>0</x:v>
      </x:c>
      <x:c r="J72" s="35" t="n">
        <x:v>0</x:v>
      </x:c>
      <x:c r="K72" s="35"/>
      <x:c r="L72" s="35"/>
      <x:c r="M72" s="2" t="str">
        <x:f>IF(COUNT(H72,J72,K72)=3,C72-H72-J72+K72,"NYITOTT")</x:f>
        <x:v>NYITOTT</x:v>
      </x:c>
      <x:c r="N72" s="2" t="str">
        <x:f>IF(COUNT(G72,I72,L72)=3,D72-G72-I72+L72,"NYITOTT")</x:f>
        <x:v>NYITOTT</x:v>
      </x:c>
      <x:c r="O72" s="35" t="str">
        <x:v>NYITOTT</x:v>
      </x:c>
      <x:c r="P72" s="35" t="str">
        <x:v>Új alkatrész; műhely ellenőrzi</x:v>
      </x:c>
      <x:c r="Q72" s="2" t="n">
        <x:v>4</x:v>
      </x:c>
      <x:c r="R72" s="2" t="str">
        <x:v>R16:KI16-D3-H</x:v>
      </x:c>
    </x:row>
    <x:row r="73" ht="36" customHeight="1">
      <x:c r="A73" s="2" t="str">
        <x:v>KI12-TV02S-07</x:v>
      </x:c>
      <x:c r="B73" s="2" t="str">
        <x:v>M4 / bal oldallap</x:v>
      </x:c>
      <x:c r="C73" s="2" t="n">
        <x:v>382</x:v>
      </x:c>
      <x:c r="D73" s="2" t="n">
        <x:v>382</x:v>
      </x:c>
      <x:c r="E73" s="2" t="n">
        <x:v>18</x:v>
      </x:c>
      <x:c r="F73" s="2" t="str">
        <x:v>M03</x:v>
      </x:c>
      <x:c r="G73" s="35" t="n">
        <x:v>1</x:v>
      </x:c>
      <x:c r="H73" s="35" t="n">
        <x:v>0</x:v>
      </x:c>
      <x:c r="I73" s="35" t="n">
        <x:v>0</x:v>
      </x:c>
      <x:c r="J73" s="35" t="n">
        <x:v>0</x:v>
      </x:c>
      <x:c r="K73" s="35"/>
      <x:c r="L73" s="35"/>
      <x:c r="M73" s="2" t="str">
        <x:f>IF(COUNT(H73,J73,K73)=3,C73-H73-J73+K73,"NYITOTT")</x:f>
        <x:v>NYITOTT</x:v>
      </x:c>
      <x:c r="N73" s="2" t="str">
        <x:f>IF(COUNT(G73,I73,L73)=3,D73-G73-I73+L73,"NYITOTT")</x:f>
        <x:v>NYITOTT</x:v>
      </x:c>
      <x:c r="O73" s="35" t="str">
        <x:v>NYITOTT</x:v>
      </x:c>
      <x:c r="P73" s="35" t="str">
        <x:v>NEM</x:v>
      </x:c>
      <x:c r="Q73" s="2" t="n">
        <x:v>16</x:v>
      </x:c>
      <x:c r="R73" s="2" t="str">
        <x:v>R16:KI12-TV02S-07</x:v>
      </x:c>
    </x:row>
    <x:row r="74" ht="36" customHeight="1">
      <x:c r="A74" s="2" t="str">
        <x:v>KI12-TV02S-08</x:v>
      </x:c>
      <x:c r="B74" s="2" t="str">
        <x:v>M4 / jobb oldallap</x:v>
      </x:c>
      <x:c r="C74" s="2" t="n">
        <x:v>382</x:v>
      </x:c>
      <x:c r="D74" s="2" t="n">
        <x:v>382</x:v>
      </x:c>
      <x:c r="E74" s="2" t="n">
        <x:v>18</x:v>
      </x:c>
      <x:c r="F74" s="2" t="str">
        <x:v>M03</x:v>
      </x:c>
      <x:c r="G74" s="35" t="n">
        <x:v>1</x:v>
      </x:c>
      <x:c r="H74" s="35" t="n">
        <x:v>0</x:v>
      </x:c>
      <x:c r="I74" s="35" t="n">
        <x:v>0</x:v>
      </x:c>
      <x:c r="J74" s="35" t="n">
        <x:v>0</x:v>
      </x:c>
      <x:c r="K74" s="35"/>
      <x:c r="L74" s="35"/>
      <x:c r="M74" s="2" t="str">
        <x:f>IF(COUNT(H74,J74,K74)=3,C74-H74-J74+K74,"NYITOTT")</x:f>
        <x:v>NYITOTT</x:v>
      </x:c>
      <x:c r="N74" s="2" t="str">
        <x:f>IF(COUNT(G74,I74,L74)=3,D74-G74-I74+L74,"NYITOTT")</x:f>
        <x:v>NYITOTT</x:v>
      </x:c>
      <x:c r="O74" s="35" t="str">
        <x:v>NYITOTT</x:v>
      </x:c>
      <x:c r="P74" s="35" t="str">
        <x:v>NEM</x:v>
      </x:c>
      <x:c r="Q74" s="2" t="n">
        <x:v>16</x:v>
      </x:c>
      <x:c r="R74" s="2" t="str">
        <x:v>R16:KI12-TV02S-08</x:v>
      </x:c>
    </x:row>
    <x:row r="75" ht="36" customHeight="1">
      <x:c r="A75" s="2" t="str">
        <x:v>KI12-TV02T2-03</x:v>
      </x:c>
      <x:c r="B75" s="2" t="str">
        <x:v>M4 / példány 4</x:v>
      </x:c>
      <x:c r="C75" s="2" t="n">
        <x:v>1044</x:v>
      </x:c>
      <x:c r="D75" s="2" t="n">
        <x:v>382</x:v>
      </x:c>
      <x:c r="E75" s="2" t="n">
        <x:v>18</x:v>
      </x:c>
      <x:c r="F75" s="2" t="str">
        <x:v>M03</x:v>
      </x:c>
      <x:c r="G75" s="35" t="n">
        <x:v>1</x:v>
      </x:c>
      <x:c r="H75" s="35" t="n">
        <x:v>0</x:v>
      </x:c>
      <x:c r="I75" s="35" t="n">
        <x:v>0</x:v>
      </x:c>
      <x:c r="J75" s="35" t="n">
        <x:v>0</x:v>
      </x:c>
      <x:c r="K75" s="35"/>
      <x:c r="L75" s="35"/>
      <x:c r="M75" s="2" t="str">
        <x:f>IF(COUNT(H75,J75,K75)=3,C75-H75-J75+K75,"NYITOTT")</x:f>
        <x:v>NYITOTT</x:v>
      </x:c>
      <x:c r="N75" s="2" t="str">
        <x:f>IF(COUNT(G75,I75,L75)=3,D75-G75-I75+L75,"NYITOTT")</x:f>
        <x:v>NYITOTT</x:v>
      </x:c>
      <x:c r="O75" s="35" t="str">
        <x:v>NYITOTT</x:v>
      </x:c>
      <x:c r="P75" s="35" t="str">
        <x:v>NEM</x:v>
      </x:c>
      <x:c r="Q75" s="2" t="n">
        <x:v>6</x:v>
      </x:c>
      <x:c r="R75" s="2" t="str">
        <x:v>R16:KI12-TV02T2-03</x:v>
      </x:c>
    </x:row>
    <x:row r="76" ht="36" customHeight="1">
      <x:c r="A76" s="2" t="str">
        <x:v>KI12-TV02F2-03</x:v>
      </x:c>
      <x:c r="B76" s="2" t="str">
        <x:v>M4 / példány 4</x:v>
      </x:c>
      <x:c r="C76" s="2" t="n">
        <x:v>1077</x:v>
      </x:c>
      <x:c r="D76" s="2" t="n">
        <x:v>397</x:v>
      </x:c>
      <x:c r="E76" s="2" t="n">
        <x:v>18</x:v>
      </x:c>
      <x:c r="F76" s="2" t="str">
        <x:v>M01</x:v>
      </x:c>
      <x:c r="G76" s="35" t="n">
        <x:v>1</x:v>
      </x:c>
      <x:c r="H76" s="35" t="n">
        <x:v>1</x:v>
      </x:c>
      <x:c r="I76" s="35" t="n">
        <x:v>1</x:v>
      </x:c>
      <x:c r="J76" s="35" t="n">
        <x:v>1</x:v>
      </x:c>
      <x:c r="K76" s="35"/>
      <x:c r="L76" s="35"/>
      <x:c r="M76" s="2" t="str">
        <x:f>IF(COUNT(H76,J76,K76)=3,C76-H76-J76+K76,"NYITOTT")</x:f>
        <x:v>NYITOTT</x:v>
      </x:c>
      <x:c r="N76" s="2" t="str">
        <x:f>IF(COUNT(G76,I76,L76)=3,D76-G76-I76+L76,"NYITOTT")</x:f>
        <x:v>NYITOTT</x:v>
      </x:c>
      <x:c r="O76" s="35" t="str">
        <x:v>NYITOTT</x:v>
      </x:c>
      <x:c r="P76" s="35" t="str">
        <x:v>NEM</x:v>
      </x:c>
      <x:c r="Q76" s="2" t="n">
        <x:v>4</x:v>
      </x:c>
      <x:c r="R76" s="2" t="str">
        <x:v>R16:KI12-TV02F2-03</x:v>
      </x:c>
    </x:row>
    <x:row r="77" ht="36" customHeight="1">
      <x:c r="A77" s="2" t="str">
        <x:v>KI12-TV02H2-03</x:v>
      </x:c>
      <x:c r="B77" s="2" t="str">
        <x:v>M4 / példány 4</x:v>
      </x:c>
      <x:c r="C77" s="2" t="n">
        <x:v>1042</x:v>
      </x:c>
      <x:c r="D77" s="2" t="n">
        <x:v>362</x:v>
      </x:c>
      <x:c r="E77" s="2" t="n">
        <x:v>8</x:v>
      </x:c>
      <x:c r="F77" s="2" t="str">
        <x:v>M03</x:v>
      </x:c>
      <x:c r="G77" s="35" t="n">
        <x:v>0</x:v>
      </x:c>
      <x:c r="H77" s="35" t="n">
        <x:v>0</x:v>
      </x:c>
      <x:c r="I77" s="35" t="n">
        <x:v>0</x:v>
      </x:c>
      <x:c r="J77" s="35" t="n">
        <x:v>0</x:v>
      </x:c>
      <x:c r="K77" s="35"/>
      <x:c r="L77" s="35"/>
      <x:c r="M77" s="2" t="str">
        <x:f>IF(COUNT(H77,J77,K77)=3,C77-H77-J77+K77,"NYITOTT")</x:f>
        <x:v>NYITOTT</x:v>
      </x:c>
      <x:c r="N77" s="2" t="str">
        <x:f>IF(COUNT(G77,I77,L77)=3,D77-G77-I77+L77,"NYITOTT")</x:f>
        <x:v>NYITOTT</x:v>
      </x:c>
      <x:c r="O77" s="35" t="str">
        <x:v>NYITOTT</x:v>
      </x:c>
      <x:c r="P77" s="35" t="str">
        <x:v>NEM</x:v>
      </x:c>
      <x:c r="Q77" s="2" t="n">
        <x:v>6</x:v>
      </x:c>
      <x:c r="R77" s="2" t="str">
        <x:v>R16:KI12-TV02H2-03</x:v>
      </x:c>
    </x:row>
    <x:row r="78" ht="36" customHeight="1">
      <x:c r="A78" s="2" t="str">
        <x:v>KI14-BAT-09</x:v>
      </x:c>
      <x:c r="B78" s="2" t="str">
        <x:v>M4 / Hátlaprögzítő bükk léc</x:v>
      </x:c>
      <x:c r="C78" s="2" t="n">
        <x:v>212</x:v>
      </x:c>
      <x:c r="D78" s="2" t="n">
        <x:v>408</x:v>
      </x:c>
      <x:c r="E78" s="2" t="n">
        <x:v>18</x:v>
      </x:c>
      <x:c r="F78" s="2" t="str">
        <x:v>BEECH18</x:v>
      </x:c>
      <x:c r="G78" s="35" t="n">
        <x:v>0</x:v>
      </x:c>
      <x:c r="H78" s="35" t="n">
        <x:v>0</x:v>
      </x:c>
      <x:c r="I78" s="35" t="n">
        <x:v>0</x:v>
      </x:c>
      <x:c r="J78" s="35" t="n">
        <x:v>0</x:v>
      </x:c>
      <x:c r="K78" s="35"/>
      <x:c r="L78" s="35"/>
      <x:c r="M78" s="2" t="str">
        <x:f>IF(COUNT(H78,J78,K78)=3,C78-H78-J78+K78,"NYITOTT")</x:f>
        <x:v>NYITOTT</x:v>
      </x:c>
      <x:c r="N78" s="2" t="str">
        <x:f>IF(COUNT(G78,I78,L78)=3,D78-G78-I78+L78,"NYITOTT")</x:f>
        <x:v>NYITOTT</x:v>
      </x:c>
      <x:c r="O78" s="35" t="str">
        <x:v>NYITOTT</x:v>
      </x:c>
      <x:c r="P78" s="35" t="str">
        <x:v>NEM</x:v>
      </x:c>
      <x:c r="Q78" s="2" t="n">
        <x:v>6</x:v>
      </x:c>
      <x:c r="R78" s="2" t="str">
        <x:v>R16:KI14-BAT-09</x:v>
      </x:c>
    </x:row>
    <x:row r="79" ht="36" customHeight="1">
      <x:c r="A79" s="2" t="str">
        <x:v>KI14-BAT-10</x:v>
      </x:c>
      <x:c r="B79" s="2" t="str">
        <x:v>M4 / Hátlaprögzítő bükk léc</x:v>
      </x:c>
      <x:c r="C79" s="2" t="n">
        <x:v>212</x:v>
      </x:c>
      <x:c r="D79" s="2" t="n">
        <x:v>408</x:v>
      </x:c>
      <x:c r="E79" s="2" t="n">
        <x:v>18</x:v>
      </x:c>
      <x:c r="F79" s="2" t="str">
        <x:v>BEECH18</x:v>
      </x:c>
      <x:c r="G79" s="35" t="n">
        <x:v>0</x:v>
      </x:c>
      <x:c r="H79" s="35" t="n">
        <x:v>0</x:v>
      </x:c>
      <x:c r="I79" s="35" t="n">
        <x:v>0</x:v>
      </x:c>
      <x:c r="J79" s="35" t="n">
        <x:v>0</x:v>
      </x:c>
      <x:c r="K79" s="35"/>
      <x:c r="L79" s="35"/>
      <x:c r="M79" s="2" t="str">
        <x:f>IF(COUNT(H79,J79,K79)=3,C79-H79-J79+K79,"NYITOTT")</x:f>
        <x:v>NYITOTT</x:v>
      </x:c>
      <x:c r="N79" s="2" t="str">
        <x:f>IF(COUNT(G79,I79,L79)=3,D79-G79-I79+L79,"NYITOTT")</x:f>
        <x:v>NYITOTT</x:v>
      </x:c>
      <x:c r="O79" s="35" t="str">
        <x:v>NYITOTT</x:v>
      </x:c>
      <x:c r="P79" s="35" t="str">
        <x:v>NEM</x:v>
      </x:c>
      <x:c r="Q79" s="2" t="n">
        <x:v>6</x:v>
      </x:c>
      <x:c r="R79" s="2" t="str">
        <x:v>R16:KI14-BAT-10</x:v>
      </x:c>
    </x:row>
    <x:row r="80" ht="36" customHeight="1">
      <x:c r="A80" s="2" t="str">
        <x:v>KI14-RAIL-04</x:v>
      </x:c>
      <x:c r="B80" s="2" t="str">
        <x:v>M4 / Hátsó merevítő keresztléc</x:v>
      </x:c>
      <x:c r="C80" s="2" t="n">
        <x:v>1044</x:v>
      </x:c>
      <x:c r="D80" s="2" t="n">
        <x:v>100</x:v>
      </x:c>
      <x:c r="E80" s="2" t="n">
        <x:v>18</x:v>
      </x:c>
      <x:c r="F80" s="2" t="str">
        <x:v>PLY18</x:v>
      </x:c>
      <x:c r="G80" s="35" t="n">
        <x:v>0</x:v>
      </x:c>
      <x:c r="H80" s="35" t="n">
        <x:v>0</x:v>
      </x:c>
      <x:c r="I80" s="35" t="n">
        <x:v>0</x:v>
      </x:c>
      <x:c r="J80" s="35" t="n">
        <x:v>0</x:v>
      </x:c>
      <x:c r="K80" s="35"/>
      <x:c r="L80" s="35"/>
      <x:c r="M80" s="2" t="str">
        <x:f>IF(COUNT(H80,J80,K80)=3,C80-H80-J80+K80,"NYITOTT")</x:f>
        <x:v>NYITOTT</x:v>
      </x:c>
      <x:c r="N80" s="2" t="str">
        <x:f>IF(COUNT(G80,I80,L80)=3,D80-G80-I80+L80,"NYITOTT")</x:f>
        <x:v>NYITOTT</x:v>
      </x:c>
      <x:c r="O80" s="35" t="str">
        <x:v>NYITOTT</x:v>
      </x:c>
      <x:c r="P80" s="35" t="str">
        <x:v>NEM</x:v>
      </x:c>
      <x:c r="Q80" s="2" t="n">
        <x:v>6</x:v>
      </x:c>
      <x:c r="R80" s="2" t="str">
        <x:v>R16:KI14-RAIL-04</x:v>
      </x:c>
    </x:row>
    <x:row r="81" ht="36" customHeight="1">
      <x:c r="A81" s="2" t="str">
        <x:v>KI16-D4-L</x:v>
      </x:c>
      <x:c r="B81" s="2" t="str">
        <x:v>Fiók bal oldal</x:v>
      </x:c>
      <x:c r="C81" s="2" t="n">
        <x:v>250</x:v>
      </x:c>
      <x:c r="D81" s="2" t="n">
        <x:v>290</x:v>
      </x:c>
      <x:c r="E81" s="2" t="n">
        <x:v>15</x:v>
      </x:c>
      <x:c r="F81" s="2" t="str">
        <x:v>M16-DRAWER15</x:v>
      </x:c>
      <x:c r="G81" s="35" t="n">
        <x:v>0</x:v>
      </x:c>
      <x:c r="H81" s="35" t="n">
        <x:v>0</x:v>
      </x:c>
      <x:c r="I81" s="35" t="n">
        <x:v>0</x:v>
      </x:c>
      <x:c r="J81" s="35" t="n">
        <x:v>0</x:v>
      </x:c>
      <x:c r="K81" s="35"/>
      <x:c r="L81" s="35"/>
      <x:c r="M81" s="2" t="str">
        <x:f>IF(COUNT(H81,J81,K81)=3,C81-H81-J81+K81,"NYITOTT")</x:f>
        <x:v>NYITOTT</x:v>
      </x:c>
      <x:c r="N81" s="2" t="str">
        <x:f>IF(COUNT(G81,I81,L81)=3,D81-G81-I81+L81,"NYITOTT")</x:f>
        <x:v>NYITOTT</x:v>
      </x:c>
      <x:c r="O81" s="35" t="str">
        <x:v>NYITOTT</x:v>
      </x:c>
      <x:c r="P81" s="35" t="str">
        <x:v>Új alkatrész; műhely ellenőrzi</x:v>
      </x:c>
      <x:c r="Q81" s="2" t="n">
        <x:v>7</x:v>
      </x:c>
      <x:c r="R81" s="2" t="str">
        <x:v>R16:KI16-D4-L</x:v>
      </x:c>
    </x:row>
    <x:row r="82" ht="36" customHeight="1">
      <x:c r="A82" s="2" t="str">
        <x:v>KI16-D4-R</x:v>
      </x:c>
      <x:c r="B82" s="2" t="str">
        <x:v>Fiók jobb oldal</x:v>
      </x:c>
      <x:c r="C82" s="2" t="n">
        <x:v>250</x:v>
      </x:c>
      <x:c r="D82" s="2" t="n">
        <x:v>290</x:v>
      </x:c>
      <x:c r="E82" s="2" t="n">
        <x:v>15</x:v>
      </x:c>
      <x:c r="F82" s="2" t="str">
        <x:v>M16-DRAWER15</x:v>
      </x:c>
      <x:c r="G82" s="35" t="n">
        <x:v>0</x:v>
      </x:c>
      <x:c r="H82" s="35" t="n">
        <x:v>0</x:v>
      </x:c>
      <x:c r="I82" s="35" t="n">
        <x:v>0</x:v>
      </x:c>
      <x:c r="J82" s="35" t="n">
        <x:v>0</x:v>
      </x:c>
      <x:c r="K82" s="35"/>
      <x:c r="L82" s="35"/>
      <x:c r="M82" s="2" t="str">
        <x:f>IF(COUNT(H82,J82,K82)=3,C82-H82-J82+K82,"NYITOTT")</x:f>
        <x:v>NYITOTT</x:v>
      </x:c>
      <x:c r="N82" s="2" t="str">
        <x:f>IF(COUNT(G82,I82,L82)=3,D82-G82-I82+L82,"NYITOTT")</x:f>
        <x:v>NYITOTT</x:v>
      </x:c>
      <x:c r="O82" s="35" t="str">
        <x:v>NYITOTT</x:v>
      </x:c>
      <x:c r="P82" s="35" t="str">
        <x:v>Új alkatrész; műhely ellenőrzi</x:v>
      </x:c>
      <x:c r="Q82" s="2" t="n">
        <x:v>7</x:v>
      </x:c>
      <x:c r="R82" s="2" t="str">
        <x:v>R16:KI16-D4-R</x:v>
      </x:c>
    </x:row>
    <x:row r="83" ht="36" customHeight="1">
      <x:c r="A83" s="2" t="str">
        <x:v>KI16-D4-B</x:v>
      </x:c>
      <x:c r="B83" s="2" t="str">
        <x:v>Fiók fenék</x:v>
      </x:c>
      <x:c r="C83" s="2" t="n">
        <x:v>1002</x:v>
      </x:c>
      <x:c r="D83" s="2" t="n">
        <x:v>290</x:v>
      </x:c>
      <x:c r="E83" s="2" t="n">
        <x:v>15</x:v>
      </x:c>
      <x:c r="F83" s="2" t="str">
        <x:v>M16-DRAWER15</x:v>
      </x:c>
      <x:c r="G83" s="35" t="n">
        <x:v>0</x:v>
      </x:c>
      <x:c r="H83" s="35" t="n">
        <x:v>0</x:v>
      </x:c>
      <x:c r="I83" s="35" t="n">
        <x:v>0</x:v>
      </x:c>
      <x:c r="J83" s="35" t="n">
        <x:v>0</x:v>
      </x:c>
      <x:c r="K83" s="35"/>
      <x:c r="L83" s="35"/>
      <x:c r="M83" s="2" t="str">
        <x:f>IF(COUNT(H83,J83,K83)=3,C83-H83-J83+K83,"NYITOTT")</x:f>
        <x:v>NYITOTT</x:v>
      </x:c>
      <x:c r="N83" s="2" t="str">
        <x:f>IF(COUNT(G83,I83,L83)=3,D83-G83-I83+L83,"NYITOTT")</x:f>
        <x:v>NYITOTT</x:v>
      </x:c>
      <x:c r="O83" s="35" t="str">
        <x:v>NYITOTT</x:v>
      </x:c>
      <x:c r="P83" s="35" t="str">
        <x:v>Új alkatrész; műhely ellenőrzi</x:v>
      </x:c>
      <x:c r="Q83" s="2" t="n">
        <x:v>6</x:v>
      </x:c>
      <x:c r="R83" s="2" t="str">
        <x:v>R16:KI16-D4-B</x:v>
      </x:c>
    </x:row>
    <x:row r="84" ht="36" customHeight="1">
      <x:c r="A84" s="2" t="str">
        <x:v>KI16-D4-F</x:v>
      </x:c>
      <x:c r="B84" s="2" t="str">
        <x:v>Fiókdoboz belső előlap</x:v>
      </x:c>
      <x:c r="C84" s="2" t="n">
        <x:v>1002</x:v>
      </x:c>
      <x:c r="D84" s="2" t="n">
        <x:v>222</x:v>
      </x:c>
      <x:c r="E84" s="2" t="n">
        <x:v>15</x:v>
      </x:c>
      <x:c r="F84" s="2" t="str">
        <x:v>M16-DRAWER15</x:v>
      </x:c>
      <x:c r="G84" s="35" t="n">
        <x:v>0</x:v>
      </x:c>
      <x:c r="H84" s="35" t="n">
        <x:v>0</x:v>
      </x:c>
      <x:c r="I84" s="35" t="n">
        <x:v>0</x:v>
      </x:c>
      <x:c r="J84" s="35" t="n">
        <x:v>0</x:v>
      </x:c>
      <x:c r="K84" s="35"/>
      <x:c r="L84" s="35"/>
      <x:c r="M84" s="2" t="str">
        <x:f>IF(COUNT(H84,J84,K84)=3,C84-H84-J84+K84,"NYITOTT")</x:f>
        <x:v>NYITOTT</x:v>
      </x:c>
      <x:c r="N84" s="2" t="str">
        <x:f>IF(COUNT(G84,I84,L84)=3,D84-G84-I84+L84,"NYITOTT")</x:f>
        <x:v>NYITOTT</x:v>
      </x:c>
      <x:c r="O84" s="35" t="str">
        <x:v>NYITOTT</x:v>
      </x:c>
      <x:c r="P84" s="35" t="str">
        <x:v>Új alkatrész; műhely ellenőrzi</x:v>
      </x:c>
      <x:c r="Q84" s="2" t="n">
        <x:v>8</x:v>
      </x:c>
      <x:c r="R84" s="2" t="str">
        <x:v>R16:KI16-D4-F</x:v>
      </x:c>
    </x:row>
    <x:row r="85" ht="36" customHeight="1">
      <x:c r="A85" s="2" t="str">
        <x:v>KI16-D4-H</x:v>
      </x:c>
      <x:c r="B85" s="2" t="str">
        <x:v>Fiókdoboz hátlap</x:v>
      </x:c>
      <x:c r="C85" s="2" t="n">
        <x:v>1002</x:v>
      </x:c>
      <x:c r="D85" s="2" t="n">
        <x:v>222</x:v>
      </x:c>
      <x:c r="E85" s="2" t="n">
        <x:v>15</x:v>
      </x:c>
      <x:c r="F85" s="2" t="str">
        <x:v>M16-DRAWER15</x:v>
      </x:c>
      <x:c r="G85" s="35" t="n">
        <x:v>0</x:v>
      </x:c>
      <x:c r="H85" s="35" t="n">
        <x:v>0</x:v>
      </x:c>
      <x:c r="I85" s="35" t="n">
        <x:v>0</x:v>
      </x:c>
      <x:c r="J85" s="35" t="n">
        <x:v>0</x:v>
      </x:c>
      <x:c r="K85" s="35"/>
      <x:c r="L85" s="35"/>
      <x:c r="M85" s="2" t="str">
        <x:f>IF(COUNT(H85,J85,K85)=3,C85-H85-J85+K85,"NYITOTT")</x:f>
        <x:v>NYITOTT</x:v>
      </x:c>
      <x:c r="N85" s="2" t="str">
        <x:f>IF(COUNT(G85,I85,L85)=3,D85-G85-I85+L85,"NYITOTT")</x:f>
        <x:v>NYITOTT</x:v>
      </x:c>
      <x:c r="O85" s="35" t="str">
        <x:v>NYITOTT</x:v>
      </x:c>
      <x:c r="P85" s="35" t="str">
        <x:v>Új alkatrész; műhely ellenőrzi</x:v>
      </x:c>
      <x:c r="Q85" s="2" t="n">
        <x:v>4</x:v>
      </x:c>
      <x:c r="R85" s="2" t="str">
        <x:v>R16:KI16-D4-H</x:v>
      </x:c>
    </x:row>
    <x:row r="86" ht="36" customHeight="1">
      <x:c r="A86" s="2" t="str">
        <x:v>KI12-TV02S-09</x:v>
      </x:c>
      <x:c r="B86" s="2" t="str">
        <x:v>M5 / bal oldallap</x:v>
      </x:c>
      <x:c r="C86" s="2" t="n">
        <x:v>382</x:v>
      </x:c>
      <x:c r="D86" s="2" t="n">
        <x:v>382</x:v>
      </x:c>
      <x:c r="E86" s="2" t="n">
        <x:v>18</x:v>
      </x:c>
      <x:c r="F86" s="2" t="str">
        <x:v>M03</x:v>
      </x:c>
      <x:c r="G86" s="35" t="n">
        <x:v>1</x:v>
      </x:c>
      <x:c r="H86" s="35" t="n">
        <x:v>0</x:v>
      </x:c>
      <x:c r="I86" s="35" t="n">
        <x:v>0</x:v>
      </x:c>
      <x:c r="J86" s="35" t="n">
        <x:v>0</x:v>
      </x:c>
      <x:c r="K86" s="35"/>
      <x:c r="L86" s="35"/>
      <x:c r="M86" s="2" t="str">
        <x:f>IF(COUNT(H86,J86,K86)=3,C86-H86-J86+K86,"NYITOTT")</x:f>
        <x:v>NYITOTT</x:v>
      </x:c>
      <x:c r="N86" s="2" t="str">
        <x:f>IF(COUNT(G86,I86,L86)=3,D86-G86-I86+L86,"NYITOTT")</x:f>
        <x:v>NYITOTT</x:v>
      </x:c>
      <x:c r="O86" s="35" t="str">
        <x:v>NYITOTT</x:v>
      </x:c>
      <x:c r="P86" s="35" t="str">
        <x:v>NEM</x:v>
      </x:c>
      <x:c r="Q86" s="2" t="n">
        <x:v>16</x:v>
      </x:c>
      <x:c r="R86" s="2" t="str">
        <x:v>R16:KI12-TV02S-09</x:v>
      </x:c>
    </x:row>
    <x:row r="87" ht="36" customHeight="1">
      <x:c r="A87" s="2" t="str">
        <x:v>KI12-TV02S-10</x:v>
      </x:c>
      <x:c r="B87" s="2" t="str">
        <x:v>M5 / jobb oldallap</x:v>
      </x:c>
      <x:c r="C87" s="2" t="n">
        <x:v>382</x:v>
      </x:c>
      <x:c r="D87" s="2" t="n">
        <x:v>382</x:v>
      </x:c>
      <x:c r="E87" s="2" t="n">
        <x:v>18</x:v>
      </x:c>
      <x:c r="F87" s="2" t="str">
        <x:v>M03</x:v>
      </x:c>
      <x:c r="G87" s="35" t="n">
        <x:v>1</x:v>
      </x:c>
      <x:c r="H87" s="35" t="n">
        <x:v>0</x:v>
      </x:c>
      <x:c r="I87" s="35" t="n">
        <x:v>0</x:v>
      </x:c>
      <x:c r="J87" s="35" t="n">
        <x:v>0</x:v>
      </x:c>
      <x:c r="K87" s="35"/>
      <x:c r="L87" s="35"/>
      <x:c r="M87" s="2" t="str">
        <x:f>IF(COUNT(H87,J87,K87)=3,C87-H87-J87+K87,"NYITOTT")</x:f>
        <x:v>NYITOTT</x:v>
      </x:c>
      <x:c r="N87" s="2" t="str">
        <x:f>IF(COUNT(G87,I87,L87)=3,D87-G87-I87+L87,"NYITOTT")</x:f>
        <x:v>NYITOTT</x:v>
      </x:c>
      <x:c r="O87" s="35" t="str">
        <x:v>NYITOTT</x:v>
      </x:c>
      <x:c r="P87" s="35" t="str">
        <x:v>NEM</x:v>
      </x:c>
      <x:c r="Q87" s="2" t="n">
        <x:v>16</x:v>
      </x:c>
      <x:c r="R87" s="2" t="str">
        <x:v>R16:KI12-TV02S-10</x:v>
      </x:c>
    </x:row>
    <x:row r="88" ht="36" customHeight="1">
      <x:c r="A88" s="2" t="str">
        <x:v>KI12-TV02T2-04</x:v>
      </x:c>
      <x:c r="B88" s="2" t="str">
        <x:v>M5 / példány 4</x:v>
      </x:c>
      <x:c r="C88" s="2" t="n">
        <x:v>414</x:v>
      </x:c>
      <x:c r="D88" s="2" t="n">
        <x:v>382</x:v>
      </x:c>
      <x:c r="E88" s="2" t="n">
        <x:v>18</x:v>
      </x:c>
      <x:c r="F88" s="2" t="str">
        <x:v>M03</x:v>
      </x:c>
      <x:c r="G88" s="35" t="n">
        <x:v>1</x:v>
      </x:c>
      <x:c r="H88" s="35" t="n">
        <x:v>0</x:v>
      </x:c>
      <x:c r="I88" s="35" t="n">
        <x:v>0</x:v>
      </x:c>
      <x:c r="J88" s="35" t="n">
        <x:v>0</x:v>
      </x:c>
      <x:c r="K88" s="35"/>
      <x:c r="L88" s="35"/>
      <x:c r="M88" s="2" t="str">
        <x:f>IF(COUNT(H88,J88,K88)=3,C88-H88-J88+K88,"NYITOTT")</x:f>
        <x:v>NYITOTT</x:v>
      </x:c>
      <x:c r="N88" s="2" t="str">
        <x:f>IF(COUNT(G88,I88,L88)=3,D88-G88-I88+L88,"NYITOTT")</x:f>
        <x:v>NYITOTT</x:v>
      </x:c>
      <x:c r="O88" s="35" t="str">
        <x:v>NYITOTT</x:v>
      </x:c>
      <x:c r="P88" s="35" t="str">
        <x:v>NEM</x:v>
      </x:c>
      <x:c r="Q88" s="2" t="n">
        <x:v>6</x:v>
      </x:c>
      <x:c r="R88" s="2" t="str">
        <x:v>R16:KI12-TV02T2-04</x:v>
      </x:c>
    </x:row>
    <x:row r="89" ht="36" customHeight="1">
      <x:c r="A89" s="2" t="str">
        <x:v>KI12-TV02F2-04</x:v>
      </x:c>
      <x:c r="B89" s="2" t="str">
        <x:v>M5 / példány 4</x:v>
      </x:c>
      <x:c r="C89" s="2" t="n">
        <x:v>447</x:v>
      </x:c>
      <x:c r="D89" s="2" t="n">
        <x:v>397</x:v>
      </x:c>
      <x:c r="E89" s="2" t="n">
        <x:v>18</x:v>
      </x:c>
      <x:c r="F89" s="2" t="str">
        <x:v>M01</x:v>
      </x:c>
      <x:c r="G89" s="35" t="n">
        <x:v>1</x:v>
      </x:c>
      <x:c r="H89" s="35" t="n">
        <x:v>1</x:v>
      </x:c>
      <x:c r="I89" s="35" t="n">
        <x:v>1</x:v>
      </x:c>
      <x:c r="J89" s="35" t="n">
        <x:v>1</x:v>
      </x:c>
      <x:c r="K89" s="35"/>
      <x:c r="L89" s="35"/>
      <x:c r="M89" s="2" t="str">
        <x:f>IF(COUNT(H89,J89,K89)=3,C89-H89-J89+K89,"NYITOTT")</x:f>
        <x:v>NYITOTT</x:v>
      </x:c>
      <x:c r="N89" s="2" t="str">
        <x:f>IF(COUNT(G89,I89,L89)=3,D89-G89-I89+L89,"NYITOTT")</x:f>
        <x:v>NYITOTT</x:v>
      </x:c>
      <x:c r="O89" s="35" t="str">
        <x:v>NYITOTT</x:v>
      </x:c>
      <x:c r="P89" s="35" t="str">
        <x:v>NEM</x:v>
      </x:c>
      <x:c r="Q89" s="2" t="n">
        <x:v>4</x:v>
      </x:c>
      <x:c r="R89" s="2" t="str">
        <x:v>R16:KI12-TV02F2-04</x:v>
      </x:c>
    </x:row>
    <x:row r="90" ht="36" customHeight="1">
      <x:c r="A90" s="2" t="str">
        <x:v>KI12-TV02H2-04</x:v>
      </x:c>
      <x:c r="B90" s="2" t="str">
        <x:v>M5 / példány 4</x:v>
      </x:c>
      <x:c r="C90" s="2" t="n">
        <x:v>412</x:v>
      </x:c>
      <x:c r="D90" s="2" t="n">
        <x:v>362</x:v>
      </x:c>
      <x:c r="E90" s="2" t="n">
        <x:v>8</x:v>
      </x:c>
      <x:c r="F90" s="2" t="str">
        <x:v>M03</x:v>
      </x:c>
      <x:c r="G90" s="35" t="n">
        <x:v>0</x:v>
      </x:c>
      <x:c r="H90" s="35" t="n">
        <x:v>0</x:v>
      </x:c>
      <x:c r="I90" s="35" t="n">
        <x:v>0</x:v>
      </x:c>
      <x:c r="J90" s="35" t="n">
        <x:v>0</x:v>
      </x:c>
      <x:c r="K90" s="35"/>
      <x:c r="L90" s="35"/>
      <x:c r="M90" s="2" t="str">
        <x:f>IF(COUNT(H90,J90,K90)=3,C90-H90-J90+K90,"NYITOTT")</x:f>
        <x:v>NYITOTT</x:v>
      </x:c>
      <x:c r="N90" s="2" t="str">
        <x:f>IF(COUNT(G90,I90,L90)=3,D90-G90-I90+L90,"NYITOTT")</x:f>
        <x:v>NYITOTT</x:v>
      </x:c>
      <x:c r="O90" s="35" t="str">
        <x:v>NYITOTT</x:v>
      </x:c>
      <x:c r="P90" s="35" t="str">
        <x:v>NEM</x:v>
      </x:c>
      <x:c r="Q90" s="2" t="n">
        <x:v>6</x:v>
      </x:c>
      <x:c r="R90" s="2" t="str">
        <x:v>R16:KI12-TV02H2-04</x:v>
      </x:c>
    </x:row>
    <x:row r="91" ht="36" customHeight="1">
      <x:c r="A91" s="2" t="str">
        <x:v>KI14-BAT-11</x:v>
      </x:c>
      <x:c r="B91" s="2" t="str">
        <x:v>M5 / Hátlaprögzítő bükk léc</x:v>
      </x:c>
      <x:c r="C91" s="2" t="n">
        <x:v>212</x:v>
      </x:c>
      <x:c r="D91" s="2" t="n">
        <x:v>-222</x:v>
      </x:c>
      <x:c r="E91" s="2" t="n">
        <x:v>18</x:v>
      </x:c>
      <x:c r="F91" s="2" t="str">
        <x:v>BEECH18</x:v>
      </x:c>
      <x:c r="G91" s="35" t="n">
        <x:v>0</x:v>
      </x:c>
      <x:c r="H91" s="35" t="n">
        <x:v>0</x:v>
      </x:c>
      <x:c r="I91" s="35" t="n">
        <x:v>0</x:v>
      </x:c>
      <x:c r="J91" s="35" t="n">
        <x:v>0</x:v>
      </x:c>
      <x:c r="K91" s="35"/>
      <x:c r="L91" s="35"/>
      <x:c r="M91" s="2" t="str">
        <x:f>IF(COUNT(H91,J91,K91)=3,C91-H91-J91+K91,"NYITOTT")</x:f>
        <x:v>NYITOTT</x:v>
      </x:c>
      <x:c r="N91" s="2" t="str">
        <x:f>IF(COUNT(G91,I91,L91)=3,D91-G91-I91+L91,"NYITOTT")</x:f>
        <x:v>NYITOTT</x:v>
      </x:c>
      <x:c r="O91" s="35" t="str">
        <x:v>NYITOTT</x:v>
      </x:c>
      <x:c r="P91" s="35" t="str">
        <x:v>NEM</x:v>
      </x:c>
      <x:c r="Q91" s="2" t="n">
        <x:v>6</x:v>
      </x:c>
      <x:c r="R91" s="2" t="str">
        <x:v>R16:KI14-BAT-11</x:v>
      </x:c>
    </x:row>
    <x:row r="92" ht="36" customHeight="1">
      <x:c r="A92" s="2" t="str">
        <x:v>KI14-BAT-12</x:v>
      </x:c>
      <x:c r="B92" s="2" t="str">
        <x:v>M5 / Hátlaprögzítő bükk léc</x:v>
      </x:c>
      <x:c r="C92" s="2" t="n">
        <x:v>212</x:v>
      </x:c>
      <x:c r="D92" s="2" t="n">
        <x:v>-222</x:v>
      </x:c>
      <x:c r="E92" s="2" t="n">
        <x:v>18</x:v>
      </x:c>
      <x:c r="F92" s="2" t="str">
        <x:v>BEECH18</x:v>
      </x:c>
      <x:c r="G92" s="35" t="n">
        <x:v>0</x:v>
      </x:c>
      <x:c r="H92" s="35" t="n">
        <x:v>0</x:v>
      </x:c>
      <x:c r="I92" s="35" t="n">
        <x:v>0</x:v>
      </x:c>
      <x:c r="J92" s="35" t="n">
        <x:v>0</x:v>
      </x:c>
      <x:c r="K92" s="35"/>
      <x:c r="L92" s="35"/>
      <x:c r="M92" s="2" t="str">
        <x:f>IF(COUNT(H92,J92,K92)=3,C92-H92-J92+K92,"NYITOTT")</x:f>
        <x:v>NYITOTT</x:v>
      </x:c>
      <x:c r="N92" s="2" t="str">
        <x:f>IF(COUNT(G92,I92,L92)=3,D92-G92-I92+L92,"NYITOTT")</x:f>
        <x:v>NYITOTT</x:v>
      </x:c>
      <x:c r="O92" s="35" t="str">
        <x:v>NYITOTT</x:v>
      </x:c>
      <x:c r="P92" s="35" t="str">
        <x:v>NEM</x:v>
      </x:c>
      <x:c r="Q92" s="2" t="n">
        <x:v>6</x:v>
      </x:c>
      <x:c r="R92" s="2" t="str">
        <x:v>R16:KI14-BAT-12</x:v>
      </x:c>
    </x:row>
    <x:row r="93" ht="36" customHeight="1">
      <x:c r="A93" s="2" t="str">
        <x:v>KI14-RAIL-05</x:v>
      </x:c>
      <x:c r="B93" s="2" t="str">
        <x:v>M5 / Hátsó merevítő keresztléc</x:v>
      </x:c>
      <x:c r="C93" s="2" t="n">
        <x:v>414</x:v>
      </x:c>
      <x:c r="D93" s="2" t="n">
        <x:v>100</x:v>
      </x:c>
      <x:c r="E93" s="2" t="n">
        <x:v>18</x:v>
      </x:c>
      <x:c r="F93" s="2" t="str">
        <x:v>PLY18</x:v>
      </x:c>
      <x:c r="G93" s="35" t="n">
        <x:v>0</x:v>
      </x:c>
      <x:c r="H93" s="35" t="n">
        <x:v>0</x:v>
      </x:c>
      <x:c r="I93" s="35" t="n">
        <x:v>0</x:v>
      </x:c>
      <x:c r="J93" s="35" t="n">
        <x:v>0</x:v>
      </x:c>
      <x:c r="K93" s="35"/>
      <x:c r="L93" s="35"/>
      <x:c r="M93" s="2" t="str">
        <x:f>IF(COUNT(H93,J93,K93)=3,C93-H93-J93+K93,"NYITOTT")</x:f>
        <x:v>NYITOTT</x:v>
      </x:c>
      <x:c r="N93" s="2" t="str">
        <x:f>IF(COUNT(G93,I93,L93)=3,D93-G93-I93+L93,"NYITOTT")</x:f>
        <x:v>NYITOTT</x:v>
      </x:c>
      <x:c r="O93" s="35" t="str">
        <x:v>NYITOTT</x:v>
      </x:c>
      <x:c r="P93" s="35" t="str">
        <x:v>NEM</x:v>
      </x:c>
      <x:c r="Q93" s="2" t="n">
        <x:v>6</x:v>
      </x:c>
      <x:c r="R93" s="2" t="str">
        <x:v>R16:KI14-RAIL-05</x:v>
      </x:c>
    </x:row>
    <x:row r="94" ht="36" customHeight="1">
      <x:c r="A94" s="2" t="str">
        <x:v>KI16-D5-L</x:v>
      </x:c>
      <x:c r="B94" s="2" t="str">
        <x:v>Fiók bal oldal</x:v>
      </x:c>
      <x:c r="C94" s="2" t="n">
        <x:v>250</x:v>
      </x:c>
      <x:c r="D94" s="2" t="n">
        <x:v>290</x:v>
      </x:c>
      <x:c r="E94" s="2" t="n">
        <x:v>15</x:v>
      </x:c>
      <x:c r="F94" s="2" t="str">
        <x:v>M16-DRAWER15</x:v>
      </x:c>
      <x:c r="G94" s="35" t="n">
        <x:v>0</x:v>
      </x:c>
      <x:c r="H94" s="35" t="n">
        <x:v>0</x:v>
      </x:c>
      <x:c r="I94" s="35" t="n">
        <x:v>0</x:v>
      </x:c>
      <x:c r="J94" s="35" t="n">
        <x:v>0</x:v>
      </x:c>
      <x:c r="K94" s="35"/>
      <x:c r="L94" s="35"/>
      <x:c r="M94" s="2" t="str">
        <x:f>IF(COUNT(H94,J94,K94)=3,C94-H94-J94+K94,"NYITOTT")</x:f>
        <x:v>NYITOTT</x:v>
      </x:c>
      <x:c r="N94" s="2" t="str">
        <x:f>IF(COUNT(G94,I94,L94)=3,D94-G94-I94+L94,"NYITOTT")</x:f>
        <x:v>NYITOTT</x:v>
      </x:c>
      <x:c r="O94" s="35" t="str">
        <x:v>NYITOTT</x:v>
      </x:c>
      <x:c r="P94" s="35" t="str">
        <x:v>Új alkatrész; műhely ellenőrzi</x:v>
      </x:c>
      <x:c r="Q94" s="2" t="n">
        <x:v>7</x:v>
      </x:c>
      <x:c r="R94" s="2" t="str">
        <x:v>R16:KI16-D5-L</x:v>
      </x:c>
    </x:row>
    <x:row r="95" ht="36" customHeight="1">
      <x:c r="A95" s="2" t="str">
        <x:v>KI16-D5-R</x:v>
      </x:c>
      <x:c r="B95" s="2" t="str">
        <x:v>Fiók jobb oldal</x:v>
      </x:c>
      <x:c r="C95" s="2" t="n">
        <x:v>250</x:v>
      </x:c>
      <x:c r="D95" s="2" t="n">
        <x:v>290</x:v>
      </x:c>
      <x:c r="E95" s="2" t="n">
        <x:v>15</x:v>
      </x:c>
      <x:c r="F95" s="2" t="str">
        <x:v>M16-DRAWER15</x:v>
      </x:c>
      <x:c r="G95" s="35" t="n">
        <x:v>0</x:v>
      </x:c>
      <x:c r="H95" s="35" t="n">
        <x:v>0</x:v>
      </x:c>
      <x:c r="I95" s="35" t="n">
        <x:v>0</x:v>
      </x:c>
      <x:c r="J95" s="35" t="n">
        <x:v>0</x:v>
      </x:c>
      <x:c r="K95" s="35"/>
      <x:c r="L95" s="35"/>
      <x:c r="M95" s="2" t="str">
        <x:f>IF(COUNT(H95,J95,K95)=3,C95-H95-J95+K95,"NYITOTT")</x:f>
        <x:v>NYITOTT</x:v>
      </x:c>
      <x:c r="N95" s="2" t="str">
        <x:f>IF(COUNT(G95,I95,L95)=3,D95-G95-I95+L95,"NYITOTT")</x:f>
        <x:v>NYITOTT</x:v>
      </x:c>
      <x:c r="O95" s="35" t="str">
        <x:v>NYITOTT</x:v>
      </x:c>
      <x:c r="P95" s="35" t="str">
        <x:v>Új alkatrész; műhely ellenőrzi</x:v>
      </x:c>
      <x:c r="Q95" s="2" t="n">
        <x:v>7</x:v>
      </x:c>
      <x:c r="R95" s="2" t="str">
        <x:v>R16:KI16-D5-R</x:v>
      </x:c>
    </x:row>
    <x:row r="96" ht="36" customHeight="1">
      <x:c r="A96" s="2" t="str">
        <x:v>KI16-D5-B</x:v>
      </x:c>
      <x:c r="B96" s="2" t="str">
        <x:v>Fiók fenék</x:v>
      </x:c>
      <x:c r="C96" s="2" t="n">
        <x:v>372</x:v>
      </x:c>
      <x:c r="D96" s="2" t="n">
        <x:v>290</x:v>
      </x:c>
      <x:c r="E96" s="2" t="n">
        <x:v>15</x:v>
      </x:c>
      <x:c r="F96" s="2" t="str">
        <x:v>M16-DRAWER15</x:v>
      </x:c>
      <x:c r="G96" s="35" t="n">
        <x:v>0</x:v>
      </x:c>
      <x:c r="H96" s="35" t="n">
        <x:v>0</x:v>
      </x:c>
      <x:c r="I96" s="35" t="n">
        <x:v>0</x:v>
      </x:c>
      <x:c r="J96" s="35" t="n">
        <x:v>0</x:v>
      </x:c>
      <x:c r="K96" s="35"/>
      <x:c r="L96" s="35"/>
      <x:c r="M96" s="2" t="str">
        <x:f>IF(COUNT(H96,J96,K96)=3,C96-H96-J96+K96,"NYITOTT")</x:f>
        <x:v>NYITOTT</x:v>
      </x:c>
      <x:c r="N96" s="2" t="str">
        <x:f>IF(COUNT(G96,I96,L96)=3,D96-G96-I96+L96,"NYITOTT")</x:f>
        <x:v>NYITOTT</x:v>
      </x:c>
      <x:c r="O96" s="35" t="str">
        <x:v>NYITOTT</x:v>
      </x:c>
      <x:c r="P96" s="35" t="str">
        <x:v>Új alkatrész; műhely ellenőrzi</x:v>
      </x:c>
      <x:c r="Q96" s="2" t="n">
        <x:v>6</x:v>
      </x:c>
      <x:c r="R96" s="2" t="str">
        <x:v>R16:KI16-D5-B</x:v>
      </x:c>
    </x:row>
    <x:row r="97" ht="36" customHeight="1">
      <x:c r="A97" s="2" t="str">
        <x:v>KI16-D5-F</x:v>
      </x:c>
      <x:c r="B97" s="2" t="str">
        <x:v>Fiókdoboz belső előlap</x:v>
      </x:c>
      <x:c r="C97" s="2" t="n">
        <x:v>372</x:v>
      </x:c>
      <x:c r="D97" s="2" t="n">
        <x:v>222</x:v>
      </x:c>
      <x:c r="E97" s="2" t="n">
        <x:v>15</x:v>
      </x:c>
      <x:c r="F97" s="2" t="str">
        <x:v>M16-DRAWER15</x:v>
      </x:c>
      <x:c r="G97" s="35" t="n">
        <x:v>0</x:v>
      </x:c>
      <x:c r="H97" s="35" t="n">
        <x:v>0</x:v>
      </x:c>
      <x:c r="I97" s="35" t="n">
        <x:v>0</x:v>
      </x:c>
      <x:c r="J97" s="35" t="n">
        <x:v>0</x:v>
      </x:c>
      <x:c r="K97" s="35"/>
      <x:c r="L97" s="35"/>
      <x:c r="M97" s="2" t="str">
        <x:f>IF(COUNT(H97,J97,K97)=3,C97-H97-J97+K97,"NYITOTT")</x:f>
        <x:v>NYITOTT</x:v>
      </x:c>
      <x:c r="N97" s="2" t="str">
        <x:f>IF(COUNT(G97,I97,L97)=3,D97-G97-I97+L97,"NYITOTT")</x:f>
        <x:v>NYITOTT</x:v>
      </x:c>
      <x:c r="O97" s="35" t="str">
        <x:v>NYITOTT</x:v>
      </x:c>
      <x:c r="P97" s="35" t="str">
        <x:v>Új alkatrész; műhely ellenőrzi</x:v>
      </x:c>
      <x:c r="Q97" s="2" t="n">
        <x:v>8</x:v>
      </x:c>
      <x:c r="R97" s="2" t="str">
        <x:v>R16:KI16-D5-F</x:v>
      </x:c>
    </x:row>
    <x:row r="98" ht="36" customHeight="1">
      <x:c r="A98" s="2" t="str">
        <x:v>KI16-D5-H</x:v>
      </x:c>
      <x:c r="B98" s="2" t="str">
        <x:v>Fiókdoboz hátlap</x:v>
      </x:c>
      <x:c r="C98" s="2" t="n">
        <x:v>372</x:v>
      </x:c>
      <x:c r="D98" s="2" t="n">
        <x:v>222</x:v>
      </x:c>
      <x:c r="E98" s="2" t="n">
        <x:v>15</x:v>
      </x:c>
      <x:c r="F98" s="2" t="str">
        <x:v>M16-DRAWER15</x:v>
      </x:c>
      <x:c r="G98" s="35" t="n">
        <x:v>0</x:v>
      </x:c>
      <x:c r="H98" s="35" t="n">
        <x:v>0</x:v>
      </x:c>
      <x:c r="I98" s="35" t="n">
        <x:v>0</x:v>
      </x:c>
      <x:c r="J98" s="35" t="n">
        <x:v>0</x:v>
      </x:c>
      <x:c r="K98" s="35"/>
      <x:c r="L98" s="35"/>
      <x:c r="M98" s="2" t="str">
        <x:f>IF(COUNT(H98,J98,K98)=3,C98-H98-J98+K98,"NYITOTT")</x:f>
        <x:v>NYITOTT</x:v>
      </x:c>
      <x:c r="N98" s="2" t="str">
        <x:f>IF(COUNT(G98,I98,L98)=3,D98-G98-I98+L98,"NYITOTT")</x:f>
        <x:v>NYITOTT</x:v>
      </x:c>
      <x:c r="O98" s="35" t="str">
        <x:v>NYITOTT</x:v>
      </x:c>
      <x:c r="P98" s="35" t="str">
        <x:v>Új alkatrész; műhely ellenőrzi</x:v>
      </x:c>
      <x:c r="Q98" s="2" t="n">
        <x:v>4</x:v>
      </x:c>
      <x:c r="R98" s="2" t="str">
        <x:v>R16:KI16-D5-H</x:v>
      </x:c>
    </x:row>
    <x:row r="99" ht="36" customHeight="1">
      <x:c r="A99" s="2" t="str">
        <x:v>KI16-M6-TV02-S-01</x:v>
      </x:c>
      <x:c r="B99" s="2" t="str">
        <x:v>M6 / bal oldallap</x:v>
      </x:c>
      <x:c r="C99" s="2" t="n">
        <x:v>382</x:v>
      </x:c>
      <x:c r="D99" s="2" t="n">
        <x:v>382</x:v>
      </x:c>
      <x:c r="E99" s="2" t="n">
        <x:v>18</x:v>
      </x:c>
      <x:c r="F99" s="2" t="str">
        <x:v>M03</x:v>
      </x:c>
      <x:c r="G99" s="35" t="n">
        <x:v>1</x:v>
      </x:c>
      <x:c r="H99" s="35" t="n">
        <x:v>0</x:v>
      </x:c>
      <x:c r="I99" s="35" t="n">
        <x:v>0</x:v>
      </x:c>
      <x:c r="J99" s="35" t="n">
        <x:v>0</x:v>
      </x:c>
      <x:c r="K99" s="35"/>
      <x:c r="L99" s="35"/>
      <x:c r="M99" s="2" t="str">
        <x:f>IF(COUNT(H99,J99,K99)=3,C99-H99-J99+K99,"NYITOTT")</x:f>
        <x:v>NYITOTT</x:v>
      </x:c>
      <x:c r="N99" s="2" t="str">
        <x:f>IF(COUNT(G99,I99,L99)=3,D99-G99-I99+L99,"NYITOTT")</x:f>
        <x:v>NYITOTT</x:v>
      </x:c>
      <x:c r="O99" s="35" t="str">
        <x:v>NYITOTT</x:v>
      </x:c>
      <x:c r="P99" s="35" t="str">
        <x:v>Új alkatrész; műhely ellenőrzi</x:v>
      </x:c>
      <x:c r="Q99" s="2" t="n">
        <x:v>16</x:v>
      </x:c>
      <x:c r="R99" s="2" t="str">
        <x:v>R16:KI16-M6-TV02-S-01</x:v>
      </x:c>
    </x:row>
    <x:row r="100" ht="36" customHeight="1">
      <x:c r="A100" s="2" t="str">
        <x:v>KI16-M6-TV02-S-02</x:v>
      </x:c>
      <x:c r="B100" s="2" t="str">
        <x:v>M6 / jobb oldallap</x:v>
      </x:c>
      <x:c r="C100" s="2" t="n">
        <x:v>382</x:v>
      </x:c>
      <x:c r="D100" s="2" t="n">
        <x:v>382</x:v>
      </x:c>
      <x:c r="E100" s="2" t="n">
        <x:v>18</x:v>
      </x:c>
      <x:c r="F100" s="2" t="str">
        <x:v>M03</x:v>
      </x:c>
      <x:c r="G100" s="35" t="n">
        <x:v>1</x:v>
      </x:c>
      <x:c r="H100" s="35" t="n">
        <x:v>0</x:v>
      </x:c>
      <x:c r="I100" s="35" t="n">
        <x:v>0</x:v>
      </x:c>
      <x:c r="J100" s="35" t="n">
        <x:v>0</x:v>
      </x:c>
      <x:c r="K100" s="35"/>
      <x:c r="L100" s="35"/>
      <x:c r="M100" s="2" t="str">
        <x:f>IF(COUNT(H100,J100,K100)=3,C100-H100-J100+K100,"NYITOTT")</x:f>
        <x:v>NYITOTT</x:v>
      </x:c>
      <x:c r="N100" s="2" t="str">
        <x:f>IF(COUNT(G100,I100,L100)=3,D100-G100-I100+L100,"NYITOTT")</x:f>
        <x:v>NYITOTT</x:v>
      </x:c>
      <x:c r="O100" s="35" t="str">
        <x:v>NYITOTT</x:v>
      </x:c>
      <x:c r="P100" s="35" t="str">
        <x:v>Új alkatrész; műhely ellenőrzi</x:v>
      </x:c>
      <x:c r="Q100" s="2" t="n">
        <x:v>16</x:v>
      </x:c>
      <x:c r="R100" s="2" t="str">
        <x:v>R16:KI16-M6-TV02-S-02</x:v>
      </x:c>
    </x:row>
    <x:row r="101" ht="36" customHeight="1">
      <x:c r="A101" s="2" t="str">
        <x:v>KI16-M6-BOTTOM-03</x:v>
      </x:c>
      <x:c r="B101" s="2" t="str">
        <x:v>M6 / példány 4</x:v>
      </x:c>
      <x:c r="C101" s="2" t="n">
        <x:v>414</x:v>
      </x:c>
      <x:c r="D101" s="2" t="n">
        <x:v>382</x:v>
      </x:c>
      <x:c r="E101" s="2" t="n">
        <x:v>18</x:v>
      </x:c>
      <x:c r="F101" s="2" t="str">
        <x:v>M03</x:v>
      </x:c>
      <x:c r="G101" s="35" t="n">
        <x:v>1</x:v>
      </x:c>
      <x:c r="H101" s="35" t="n">
        <x:v>0</x:v>
      </x:c>
      <x:c r="I101" s="35" t="n">
        <x:v>0</x:v>
      </x:c>
      <x:c r="J101" s="35" t="n">
        <x:v>0</x:v>
      </x:c>
      <x:c r="K101" s="35"/>
      <x:c r="L101" s="35"/>
      <x:c r="M101" s="2" t="str">
        <x:f>IF(COUNT(H101,J101,K101)=3,C101-H101-J101+K101,"NYITOTT")</x:f>
        <x:v>NYITOTT</x:v>
      </x:c>
      <x:c r="N101" s="2" t="str">
        <x:f>IF(COUNT(G101,I101,L101)=3,D101-G101-I101+L101,"NYITOTT")</x:f>
        <x:v>NYITOTT</x:v>
      </x:c>
      <x:c r="O101" s="35" t="str">
        <x:v>NYITOTT</x:v>
      </x:c>
      <x:c r="P101" s="35" t="str">
        <x:v>Új alkatrész; műhely ellenőrzi</x:v>
      </x:c>
      <x:c r="Q101" s="2" t="n">
        <x:v>6</x:v>
      </x:c>
      <x:c r="R101" s="2" t="str">
        <x:v>R16:KI16-M6-BOTTOM-03</x:v>
      </x:c>
    </x:row>
    <x:row r="102" ht="36" customHeight="1">
      <x:c r="A102" s="2" t="str">
        <x:v>KI16-M6-FRONT-04</x:v>
      </x:c>
      <x:c r="B102" s="2" t="str">
        <x:v>M6 / példány 4</x:v>
      </x:c>
      <x:c r="C102" s="2" t="n">
        <x:v>447</x:v>
      </x:c>
      <x:c r="D102" s="2" t="n">
        <x:v>397</x:v>
      </x:c>
      <x:c r="E102" s="2" t="n">
        <x:v>18</x:v>
      </x:c>
      <x:c r="F102" s="2" t="str">
        <x:v>M01</x:v>
      </x:c>
      <x:c r="G102" s="35" t="n">
        <x:v>1</x:v>
      </x:c>
      <x:c r="H102" s="35" t="n">
        <x:v>1</x:v>
      </x:c>
      <x:c r="I102" s="35" t="n">
        <x:v>1</x:v>
      </x:c>
      <x:c r="J102" s="35" t="n">
        <x:v>1</x:v>
      </x:c>
      <x:c r="K102" s="35"/>
      <x:c r="L102" s="35"/>
      <x:c r="M102" s="2" t="str">
        <x:f>IF(COUNT(H102,J102,K102)=3,C102-H102-J102+K102,"NYITOTT")</x:f>
        <x:v>NYITOTT</x:v>
      </x:c>
      <x:c r="N102" s="2" t="str">
        <x:f>IF(COUNT(G102,I102,L102)=3,D102-G102-I102+L102,"NYITOTT")</x:f>
        <x:v>NYITOTT</x:v>
      </x:c>
      <x:c r="O102" s="35" t="str">
        <x:v>NYITOTT</x:v>
      </x:c>
      <x:c r="P102" s="35" t="str">
        <x:v>Új alkatrész; műhely ellenőrzi</x:v>
      </x:c>
      <x:c r="Q102" s="2" t="n">
        <x:v>4</x:v>
      </x:c>
      <x:c r="R102" s="2" t="str">
        <x:v>R16:KI16-M6-FRONT-04</x:v>
      </x:c>
    </x:row>
    <x:row r="103" ht="36" customHeight="1">
      <x:c r="A103" s="2" t="str">
        <x:v>KI16-M6-BACK-05</x:v>
      </x:c>
      <x:c r="B103" s="2" t="str">
        <x:v>M6 / példány 4</x:v>
      </x:c>
      <x:c r="C103" s="2" t="n">
        <x:v>412</x:v>
      </x:c>
      <x:c r="D103" s="2" t="n">
        <x:v>362</x:v>
      </x:c>
      <x:c r="E103" s="2" t="n">
        <x:v>8</x:v>
      </x:c>
      <x:c r="F103" s="2" t="str">
        <x:v>M03</x:v>
      </x:c>
      <x:c r="G103" s="35" t="n">
        <x:v>0</x:v>
      </x:c>
      <x:c r="H103" s="35" t="n">
        <x:v>0</x:v>
      </x:c>
      <x:c r="I103" s="35" t="n">
        <x:v>0</x:v>
      </x:c>
      <x:c r="J103" s="35" t="n">
        <x:v>0</x:v>
      </x:c>
      <x:c r="K103" s="35"/>
      <x:c r="L103" s="35"/>
      <x:c r="M103" s="2" t="str">
        <x:f>IF(COUNT(H103,J103,K103)=3,C103-H103-J103+K103,"NYITOTT")</x:f>
        <x:v>NYITOTT</x:v>
      </x:c>
      <x:c r="N103" s="2" t="str">
        <x:f>IF(COUNT(G103,I103,L103)=3,D103-G103-I103+L103,"NYITOTT")</x:f>
        <x:v>NYITOTT</x:v>
      </x:c>
      <x:c r="O103" s="35" t="str">
        <x:v>NYITOTT</x:v>
      </x:c>
      <x:c r="P103" s="35" t="str">
        <x:v>Új alkatrész; műhely ellenőrzi</x:v>
      </x:c>
      <x:c r="Q103" s="2" t="n">
        <x:v>6</x:v>
      </x:c>
      <x:c r="R103" s="2" t="str">
        <x:v>R16:KI16-M6-BACK-05</x:v>
      </x:c>
    </x:row>
    <x:row r="104" ht="36" customHeight="1">
      <x:c r="A104" s="2" t="str">
        <x:v>KI16-M6-BAT-06</x:v>
      </x:c>
      <x:c r="B104" s="2" t="str">
        <x:v>M6 / Hátlaprögzítő bükk léc</x:v>
      </x:c>
      <x:c r="C104" s="2" t="n">
        <x:v>212</x:v>
      </x:c>
      <x:c r="D104" s="2" t="n">
        <x:v>-222</x:v>
      </x:c>
      <x:c r="E104" s="2" t="n">
        <x:v>18</x:v>
      </x:c>
      <x:c r="F104" s="2" t="str">
        <x:v>BEECH18</x:v>
      </x:c>
      <x:c r="G104" s="35" t="n">
        <x:v>0</x:v>
      </x:c>
      <x:c r="H104" s="35" t="n">
        <x:v>0</x:v>
      </x:c>
      <x:c r="I104" s="35" t="n">
        <x:v>0</x:v>
      </x:c>
      <x:c r="J104" s="35" t="n">
        <x:v>0</x:v>
      </x:c>
      <x:c r="K104" s="35"/>
      <x:c r="L104" s="35"/>
      <x:c r="M104" s="2" t="str">
        <x:f>IF(COUNT(H104,J104,K104)=3,C104-H104-J104+K104,"NYITOTT")</x:f>
        <x:v>NYITOTT</x:v>
      </x:c>
      <x:c r="N104" s="2" t="str">
        <x:f>IF(COUNT(G104,I104,L104)=3,D104-G104-I104+L104,"NYITOTT")</x:f>
        <x:v>NYITOTT</x:v>
      </x:c>
      <x:c r="O104" s="35" t="str">
        <x:v>NYITOTT</x:v>
      </x:c>
      <x:c r="P104" s="35" t="str">
        <x:v>Új alkatrész; műhely ellenőrzi</x:v>
      </x:c>
      <x:c r="Q104" s="2" t="n">
        <x:v>6</x:v>
      </x:c>
      <x:c r="R104" s="2" t="str">
        <x:v>R16:KI16-M6-BAT-06</x:v>
      </x:c>
    </x:row>
    <x:row r="105" ht="36" customHeight="1">
      <x:c r="A105" s="2" t="str">
        <x:v>KI16-M6-BAT-07</x:v>
      </x:c>
      <x:c r="B105" s="2" t="str">
        <x:v>M6 / Hátlaprögzítő bükk léc</x:v>
      </x:c>
      <x:c r="C105" s="2" t="n">
        <x:v>212</x:v>
      </x:c>
      <x:c r="D105" s="2" t="n">
        <x:v>-222</x:v>
      </x:c>
      <x:c r="E105" s="2" t="n">
        <x:v>18</x:v>
      </x:c>
      <x:c r="F105" s="2" t="str">
        <x:v>BEECH18</x:v>
      </x:c>
      <x:c r="G105" s="35" t="n">
        <x:v>0</x:v>
      </x:c>
      <x:c r="H105" s="35" t="n">
        <x:v>0</x:v>
      </x:c>
      <x:c r="I105" s="35" t="n">
        <x:v>0</x:v>
      </x:c>
      <x:c r="J105" s="35" t="n">
        <x:v>0</x:v>
      </x:c>
      <x:c r="K105" s="35"/>
      <x:c r="L105" s="35"/>
      <x:c r="M105" s="2" t="str">
        <x:f>IF(COUNT(H105,J105,K105)=3,C105-H105-J105+K105,"NYITOTT")</x:f>
        <x:v>NYITOTT</x:v>
      </x:c>
      <x:c r="N105" s="2" t="str">
        <x:f>IF(COUNT(G105,I105,L105)=3,D105-G105-I105+L105,"NYITOTT")</x:f>
        <x:v>NYITOTT</x:v>
      </x:c>
      <x:c r="O105" s="35" t="str">
        <x:v>NYITOTT</x:v>
      </x:c>
      <x:c r="P105" s="35" t="str">
        <x:v>Új alkatrész; műhely ellenőrzi</x:v>
      </x:c>
      <x:c r="Q105" s="2" t="n">
        <x:v>6</x:v>
      </x:c>
      <x:c r="R105" s="2" t="str">
        <x:v>R16:KI16-M6-BAT-07</x:v>
      </x:c>
    </x:row>
    <x:row r="106" ht="36" customHeight="1">
      <x:c r="A106" s="2" t="str">
        <x:v>KI16-M6-RAIL-08</x:v>
      </x:c>
      <x:c r="B106" s="2" t="str">
        <x:v>M6 / Hátsó merevítő keresztléc</x:v>
      </x:c>
      <x:c r="C106" s="2" t="n">
        <x:v>414</x:v>
      </x:c>
      <x:c r="D106" s="2" t="n">
        <x:v>100</x:v>
      </x:c>
      <x:c r="E106" s="2" t="n">
        <x:v>18</x:v>
      </x:c>
      <x:c r="F106" s="2" t="str">
        <x:v>PLY18</x:v>
      </x:c>
      <x:c r="G106" s="35" t="n">
        <x:v>0</x:v>
      </x:c>
      <x:c r="H106" s="35" t="n">
        <x:v>0</x:v>
      </x:c>
      <x:c r="I106" s="35" t="n">
        <x:v>0</x:v>
      </x:c>
      <x:c r="J106" s="35" t="n">
        <x:v>0</x:v>
      </x:c>
      <x:c r="K106" s="35"/>
      <x:c r="L106" s="35"/>
      <x:c r="M106" s="2" t="str">
        <x:f>IF(COUNT(H106,J106,K106)=3,C106-H106-J106+K106,"NYITOTT")</x:f>
        <x:v>NYITOTT</x:v>
      </x:c>
      <x:c r="N106" s="2" t="str">
        <x:f>IF(COUNT(G106,I106,L106)=3,D106-G106-I106+L106,"NYITOTT")</x:f>
        <x:v>NYITOTT</x:v>
      </x:c>
      <x:c r="O106" s="35" t="str">
        <x:v>NYITOTT</x:v>
      </x:c>
      <x:c r="P106" s="35" t="str">
        <x:v>Új alkatrész; műhely ellenőrzi</x:v>
      </x:c>
      <x:c r="Q106" s="2" t="n">
        <x:v>6</x:v>
      </x:c>
      <x:c r="R106" s="2" t="str">
        <x:v>R16:KI16-M6-RAIL-08</x:v>
      </x:c>
    </x:row>
    <x:row r="107" ht="36" customHeight="1">
      <x:c r="A107" s="2" t="str">
        <x:v>KI16-D6-L</x:v>
      </x:c>
      <x:c r="B107" s="2" t="str">
        <x:v>Fiók bal oldal</x:v>
      </x:c>
      <x:c r="C107" s="2" t="n">
        <x:v>250</x:v>
      </x:c>
      <x:c r="D107" s="2" t="n">
        <x:v>290</x:v>
      </x:c>
      <x:c r="E107" s="2" t="n">
        <x:v>15</x:v>
      </x:c>
      <x:c r="F107" s="2" t="str">
        <x:v>M16-DRAWER15</x:v>
      </x:c>
      <x:c r="G107" s="35" t="n">
        <x:v>0</x:v>
      </x:c>
      <x:c r="H107" s="35" t="n">
        <x:v>0</x:v>
      </x:c>
      <x:c r="I107" s="35" t="n">
        <x:v>0</x:v>
      </x:c>
      <x:c r="J107" s="35" t="n">
        <x:v>0</x:v>
      </x:c>
      <x:c r="K107" s="35"/>
      <x:c r="L107" s="35"/>
      <x:c r="M107" s="2" t="str">
        <x:f>IF(COUNT(H107,J107,K107)=3,C107-H107-J107+K107,"NYITOTT")</x:f>
        <x:v>NYITOTT</x:v>
      </x:c>
      <x:c r="N107" s="2" t="str">
        <x:f>IF(COUNT(G107,I107,L107)=3,D107-G107-I107+L107,"NYITOTT")</x:f>
        <x:v>NYITOTT</x:v>
      </x:c>
      <x:c r="O107" s="35" t="str">
        <x:v>NYITOTT</x:v>
      </x:c>
      <x:c r="P107" s="35" t="str">
        <x:v>Új alkatrész; műhely ellenőrzi</x:v>
      </x:c>
      <x:c r="Q107" s="2" t="n">
        <x:v>7</x:v>
      </x:c>
      <x:c r="R107" s="2" t="str">
        <x:v>R16:KI16-D6-L</x:v>
      </x:c>
    </x:row>
    <x:row r="108" ht="36" customHeight="1">
      <x:c r="A108" s="2" t="str">
        <x:v>KI16-D6-R</x:v>
      </x:c>
      <x:c r="B108" s="2" t="str">
        <x:v>Fiók jobb oldal</x:v>
      </x:c>
      <x:c r="C108" s="2" t="n">
        <x:v>250</x:v>
      </x:c>
      <x:c r="D108" s="2" t="n">
        <x:v>290</x:v>
      </x:c>
      <x:c r="E108" s="2" t="n">
        <x:v>15</x:v>
      </x:c>
      <x:c r="F108" s="2" t="str">
        <x:v>M16-DRAWER15</x:v>
      </x:c>
      <x:c r="G108" s="35" t="n">
        <x:v>0</x:v>
      </x:c>
      <x:c r="H108" s="35" t="n">
        <x:v>0</x:v>
      </x:c>
      <x:c r="I108" s="35" t="n">
        <x:v>0</x:v>
      </x:c>
      <x:c r="J108" s="35" t="n">
        <x:v>0</x:v>
      </x:c>
      <x:c r="K108" s="35"/>
      <x:c r="L108" s="35"/>
      <x:c r="M108" s="2" t="str">
        <x:f>IF(COUNT(H108,J108,K108)=3,C108-H108-J108+K108,"NYITOTT")</x:f>
        <x:v>NYITOTT</x:v>
      </x:c>
      <x:c r="N108" s="2" t="str">
        <x:f>IF(COUNT(G108,I108,L108)=3,D108-G108-I108+L108,"NYITOTT")</x:f>
        <x:v>NYITOTT</x:v>
      </x:c>
      <x:c r="O108" s="35" t="str">
        <x:v>NYITOTT</x:v>
      </x:c>
      <x:c r="P108" s="35" t="str">
        <x:v>Új alkatrész; műhely ellenőrzi</x:v>
      </x:c>
      <x:c r="Q108" s="2" t="n">
        <x:v>7</x:v>
      </x:c>
      <x:c r="R108" s="2" t="str">
        <x:v>R16:KI16-D6-R</x:v>
      </x:c>
    </x:row>
    <x:row r="109" ht="36" customHeight="1">
      <x:c r="A109" s="2" t="str">
        <x:v>KI16-D6-B</x:v>
      </x:c>
      <x:c r="B109" s="2" t="str">
        <x:v>Fiók fenék</x:v>
      </x:c>
      <x:c r="C109" s="2" t="n">
        <x:v>372</x:v>
      </x:c>
      <x:c r="D109" s="2" t="n">
        <x:v>290</x:v>
      </x:c>
      <x:c r="E109" s="2" t="n">
        <x:v>15</x:v>
      </x:c>
      <x:c r="F109" s="2" t="str">
        <x:v>M16-DRAWER15</x:v>
      </x:c>
      <x:c r="G109" s="35" t="n">
        <x:v>0</x:v>
      </x:c>
      <x:c r="H109" s="35" t="n">
        <x:v>0</x:v>
      </x:c>
      <x:c r="I109" s="35" t="n">
        <x:v>0</x:v>
      </x:c>
      <x:c r="J109" s="35" t="n">
        <x:v>0</x:v>
      </x:c>
      <x:c r="K109" s="35"/>
      <x:c r="L109" s="35"/>
      <x:c r="M109" s="2" t="str">
        <x:f>IF(COUNT(H109,J109,K109)=3,C109-H109-J109+K109,"NYITOTT")</x:f>
        <x:v>NYITOTT</x:v>
      </x:c>
      <x:c r="N109" s="2" t="str">
        <x:f>IF(COUNT(G109,I109,L109)=3,D109-G109-I109+L109,"NYITOTT")</x:f>
        <x:v>NYITOTT</x:v>
      </x:c>
      <x:c r="O109" s="35" t="str">
        <x:v>NYITOTT</x:v>
      </x:c>
      <x:c r="P109" s="35" t="str">
        <x:v>Új alkatrész; műhely ellenőrzi</x:v>
      </x:c>
      <x:c r="Q109" s="2" t="n">
        <x:v>6</x:v>
      </x:c>
      <x:c r="R109" s="2" t="str">
        <x:v>R16:KI16-D6-B</x:v>
      </x:c>
    </x:row>
    <x:row r="110" ht="36" customHeight="1">
      <x:c r="A110" s="2" t="str">
        <x:v>KI16-D6-F</x:v>
      </x:c>
      <x:c r="B110" s="2" t="str">
        <x:v>Fiókdoboz belső előlap</x:v>
      </x:c>
      <x:c r="C110" s="2" t="n">
        <x:v>372</x:v>
      </x:c>
      <x:c r="D110" s="2" t="n">
        <x:v>222</x:v>
      </x:c>
      <x:c r="E110" s="2" t="n">
        <x:v>15</x:v>
      </x:c>
      <x:c r="F110" s="2" t="str">
        <x:v>M16-DRAWER15</x:v>
      </x:c>
      <x:c r="G110" s="35" t="n">
        <x:v>0</x:v>
      </x:c>
      <x:c r="H110" s="35" t="n">
        <x:v>0</x:v>
      </x:c>
      <x:c r="I110" s="35" t="n">
        <x:v>0</x:v>
      </x:c>
      <x:c r="J110" s="35" t="n">
        <x:v>0</x:v>
      </x:c>
      <x:c r="K110" s="35"/>
      <x:c r="L110" s="35"/>
      <x:c r="M110" s="2" t="str">
        <x:f>IF(COUNT(H110,J110,K110)=3,C110-H110-J110+K110,"NYITOTT")</x:f>
        <x:v>NYITOTT</x:v>
      </x:c>
      <x:c r="N110" s="2" t="str">
        <x:f>IF(COUNT(G110,I110,L110)=3,D110-G110-I110+L110,"NYITOTT")</x:f>
        <x:v>NYITOTT</x:v>
      </x:c>
      <x:c r="O110" s="35" t="str">
        <x:v>NYITOTT</x:v>
      </x:c>
      <x:c r="P110" s="35" t="str">
        <x:v>Új alkatrész; műhely ellenőrzi</x:v>
      </x:c>
      <x:c r="Q110" s="2" t="n">
        <x:v>8</x:v>
      </x:c>
      <x:c r="R110" s="2" t="str">
        <x:v>R16:KI16-D6-F</x:v>
      </x:c>
    </x:row>
    <x:row r="111" ht="36" customHeight="1">
      <x:c r="A111" s="2" t="str">
        <x:v>KI16-D6-H</x:v>
      </x:c>
      <x:c r="B111" s="2" t="str">
        <x:v>Fiókdoboz hátlap</x:v>
      </x:c>
      <x:c r="C111" s="2" t="n">
        <x:v>372</x:v>
      </x:c>
      <x:c r="D111" s="2" t="n">
        <x:v>222</x:v>
      </x:c>
      <x:c r="E111" s="2" t="n">
        <x:v>15</x:v>
      </x:c>
      <x:c r="F111" s="2" t="str">
        <x:v>M16-DRAWER15</x:v>
      </x:c>
      <x:c r="G111" s="35" t="n">
        <x:v>0</x:v>
      </x:c>
      <x:c r="H111" s="35" t="n">
        <x:v>0</x:v>
      </x:c>
      <x:c r="I111" s="35" t="n">
        <x:v>0</x:v>
      </x:c>
      <x:c r="J111" s="35" t="n">
        <x:v>0</x:v>
      </x:c>
      <x:c r="K111" s="35"/>
      <x:c r="L111" s="35"/>
      <x:c r="M111" s="2" t="str">
        <x:f>IF(COUNT(H111,J111,K111)=3,C111-H111-J111+K111,"NYITOTT")</x:f>
        <x:v>NYITOTT</x:v>
      </x:c>
      <x:c r="N111" s="2" t="str">
        <x:f>IF(COUNT(G111,I111,L111)=3,D111-G111-I111+L111,"NYITOTT")</x:f>
        <x:v>NYITOTT</x:v>
      </x:c>
      <x:c r="O111" s="35" t="str">
        <x:v>NYITOTT</x:v>
      </x:c>
      <x:c r="P111" s="35" t="str">
        <x:v>Új alkatrész; műhely ellenőrzi</x:v>
      </x:c>
      <x:c r="Q111" s="2" t="n">
        <x:v>4</x:v>
      </x:c>
      <x:c r="R111" s="2" t="str">
        <x:v>R16:KI16-D6-H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65" hidden="0" customWidth="1"/>
  </x:cols>
  <x:sheetData>
    <x:row r="1">
      <x:c r="A1" s="5" t="str">
        <x:v>Szerkezeti furatok / a külön megjelölt vasalati sablonműveletek nélkül</x:v>
      </x:c>
    </x:row>
    <x:row r="5" ht="36" customHeight="1">
      <x:c r="A5" s="34" t="str">
        <x:v>ID</x:v>
      </x:c>
      <x:c r="B5" s="34" t="str">
        <x:v>Darab</x:v>
      </x:c>
      <x:c r="C5" s="34" t="str">
        <x:v>Funkció</x:v>
      </x:c>
      <x:c r="D5" s="34" t="str">
        <x:v>U</x:v>
      </x:c>
      <x:c r="E5" s="34" t="str">
        <x:v>V</x:v>
      </x:c>
      <x:c r="F5" s="34" t="str">
        <x:v>W</x:v>
      </x:c>
      <x:c r="G5" s="34" t="str">
        <x:v>IrányU</x:v>
      </x:c>
      <x:c r="H5" s="34" t="str">
        <x:v>IrányV</x:v>
      </x:c>
      <x:c r="I5" s="34" t="str">
        <x:v>IrányW</x:v>
      </x:c>
      <x:c r="J5" s="34" t="str">
        <x:v>Átmérő</x:v>
      </x:c>
      <x:c r="K5" s="34" t="str">
        <x:v>Mélység</x:v>
      </x:c>
      <x:c r="L5" s="34" t="str">
        <x:v>Forrás</x:v>
      </x:c>
    </x:row>
    <x:row r="6" ht="36" customHeight="1">
      <x:c r="A6" s="2" t="str">
        <x:v>H0001</x:v>
      </x:c>
      <x:c r="B6" s="2" t="str">
        <x:v>KI12-TV01S-01</x:v>
      </x:c>
      <x:c r="C6" s="2" t="str">
        <x:v>CSAP J01</x:v>
      </x:c>
      <x:c r="D6" s="2" t="n">
        <x:v>9</x:v>
      </x:c>
      <x:c r="E6" s="2" t="n">
        <x:v>50</x:v>
      </x:c>
      <x:c r="F6" s="2" t="n">
        <x:v>-18</x:v>
      </x:c>
      <x:c r="G6" s="2" t="n">
        <x:v>0</x:v>
      </x:c>
      <x:c r="H6" s="2" t="n">
        <x:v>0</x:v>
      </x:c>
      <x:c r="I6" s="2" t="n">
        <x:v>1</x:v>
      </x:c>
      <x:c r="J6" s="2" t="n">
        <x:v>8</x:v>
      </x:c>
      <x:c r="K6" s="2" t="n">
        <x:v>12</x:v>
      </x:c>
      <x:c r="L6" s="2" t="str">
        <x:v>R12 J01-J26 / 8x30, 12+22</x:v>
      </x:c>
    </x:row>
    <x:row r="7" ht="36" customHeight="1">
      <x:c r="A7" s="2" t="str">
        <x:v>H0002</x:v>
      </x:c>
      <x:c r="B7" s="2" t="str">
        <x:v>KI12-TV01T-01</x:v>
      </x:c>
      <x:c r="C7" s="2" t="str">
        <x:v>CSAP J01</x:v>
      </x:c>
      <x:c r="D7" s="2" t="n">
        <x:v>0</x:v>
      </x:c>
      <x:c r="E7" s="2" t="n">
        <x:v>50</x:v>
      </x:c>
      <x:c r="F7" s="2" t="n">
        <x:v>-9</x:v>
      </x:c>
      <x:c r="G7" s="2" t="n">
        <x:v>1</x:v>
      </x:c>
      <x:c r="H7" s="2" t="n">
        <x:v>0</x:v>
      </x:c>
      <x:c r="I7" s="2" t="n">
        <x:v>0</x:v>
      </x:c>
      <x:c r="J7" s="2" t="n">
        <x:v>8</x:v>
      </x:c>
      <x:c r="K7" s="2" t="n">
        <x:v>22</x:v>
      </x:c>
      <x:c r="L7" s="2" t="str">
        <x:v>R12 J01-J26 / 8x30, 12+22</x:v>
      </x:c>
    </x:row>
    <x:row r="8" ht="36" customHeight="1">
      <x:c r="A8" s="2" t="str">
        <x:v>H0003</x:v>
      </x:c>
      <x:c r="B8" s="2" t="str">
        <x:v>KI12-TV01S-01</x:v>
      </x:c>
      <x:c r="C8" s="2" t="str">
        <x:v>CSAP J01</x:v>
      </x:c>
      <x:c r="D8" s="2" t="n">
        <x:v>9</x:v>
      </x:c>
      <x:c r="E8" s="2" t="n">
        <x:v>191</x:v>
      </x:c>
      <x:c r="F8" s="2" t="n">
        <x:v>-18</x:v>
      </x:c>
      <x:c r="G8" s="2" t="n">
        <x:v>0</x:v>
      </x:c>
      <x:c r="H8" s="2" t="n">
        <x:v>0</x:v>
      </x:c>
      <x:c r="I8" s="2" t="n">
        <x:v>1</x:v>
      </x:c>
      <x:c r="J8" s="2" t="n">
        <x:v>8</x:v>
      </x:c>
      <x:c r="K8" s="2" t="n">
        <x:v>12</x:v>
      </x:c>
      <x:c r="L8" s="2" t="str">
        <x:v>R12 J01-J26 / 8x30, 12+22</x:v>
      </x:c>
    </x:row>
    <x:row r="9" ht="36" customHeight="1">
      <x:c r="A9" s="2" t="str">
        <x:v>H0004</x:v>
      </x:c>
      <x:c r="B9" s="2" t="str">
        <x:v>KI12-TV01T-01</x:v>
      </x:c>
      <x:c r="C9" s="2" t="str">
        <x:v>CSAP J01</x:v>
      </x:c>
      <x:c r="D9" s="2" t="n">
        <x:v>0</x:v>
      </x:c>
      <x:c r="E9" s="2" t="n">
        <x:v>191</x:v>
      </x:c>
      <x:c r="F9" s="2" t="n">
        <x:v>-9</x:v>
      </x:c>
      <x:c r="G9" s="2" t="n">
        <x:v>1</x:v>
      </x:c>
      <x:c r="H9" s="2" t="n">
        <x:v>0</x:v>
      </x:c>
      <x:c r="I9" s="2" t="n">
        <x:v>0</x:v>
      </x:c>
      <x:c r="J9" s="2" t="n">
        <x:v>8</x:v>
      </x:c>
      <x:c r="K9" s="2" t="n">
        <x:v>22</x:v>
      </x:c>
      <x:c r="L9" s="2" t="str">
        <x:v>R12 J01-J26 / 8x30, 12+22</x:v>
      </x:c>
    </x:row>
    <x:row r="10" ht="36" customHeight="1">
      <x:c r="A10" s="2" t="str">
        <x:v>H0005</x:v>
      </x:c>
      <x:c r="B10" s="2" t="str">
        <x:v>KI12-TV01S-01</x:v>
      </x:c>
      <x:c r="C10" s="2" t="str">
        <x:v>CSAP J01</x:v>
      </x:c>
      <x:c r="D10" s="2" t="n">
        <x:v>9</x:v>
      </x:c>
      <x:c r="E10" s="2" t="n">
        <x:v>332</x:v>
      </x:c>
      <x:c r="F10" s="2" t="n">
        <x:v>-18</x:v>
      </x:c>
      <x:c r="G10" s="2" t="n">
        <x:v>0</x:v>
      </x:c>
      <x:c r="H10" s="2" t="n">
        <x:v>0</x:v>
      </x:c>
      <x:c r="I10" s="2" t="n">
        <x:v>1</x:v>
      </x:c>
      <x:c r="J10" s="2" t="n">
        <x:v>8</x:v>
      </x:c>
      <x:c r="K10" s="2" t="n">
        <x:v>12</x:v>
      </x:c>
      <x:c r="L10" s="2" t="str">
        <x:v>R12 J01-J26 / 8x30, 12+22</x:v>
      </x:c>
    </x:row>
    <x:row r="11" ht="36" customHeight="1">
      <x:c r="A11" s="2" t="str">
        <x:v>H0006</x:v>
      </x:c>
      <x:c r="B11" s="2" t="str">
        <x:v>KI12-TV01T-01</x:v>
      </x:c>
      <x:c r="C11" s="2" t="str">
        <x:v>CSAP J01</x:v>
      </x:c>
      <x:c r="D11" s="2" t="n">
        <x:v>0</x:v>
      </x:c>
      <x:c r="E11" s="2" t="n">
        <x:v>332</x:v>
      </x:c>
      <x:c r="F11" s="2" t="n">
        <x:v>-9</x:v>
      </x:c>
      <x:c r="G11" s="2" t="n">
        <x:v>1</x:v>
      </x:c>
      <x:c r="H11" s="2" t="n">
        <x:v>0</x:v>
      </x:c>
      <x:c r="I11" s="2" t="n">
        <x:v>0</x:v>
      </x:c>
      <x:c r="J11" s="2" t="n">
        <x:v>8</x:v>
      </x:c>
      <x:c r="K11" s="2" t="n">
        <x:v>22</x:v>
      </x:c>
      <x:c r="L11" s="2" t="str">
        <x:v>R12 J01-J26 / 8x30, 12+22</x:v>
      </x:c>
    </x:row>
    <x:row r="12" ht="36" customHeight="1">
      <x:c r="A12" s="2" t="str">
        <x:v>H0007</x:v>
      </x:c>
      <x:c r="B12" s="2" t="str">
        <x:v>KI12-TV01S-01</x:v>
      </x:c>
      <x:c r="C12" s="2" t="str">
        <x:v>CSAP J02</x:v>
      </x:c>
      <x:c r="D12" s="2" t="n">
        <x:v>2321</x:v>
      </x:c>
      <x:c r="E12" s="2" t="n">
        <x:v>50</x:v>
      </x:c>
      <x:c r="F12" s="2" t="n">
        <x:v>-18</x:v>
      </x:c>
      <x:c r="G12" s="2" t="n">
        <x:v>0</x:v>
      </x:c>
      <x:c r="H12" s="2" t="n">
        <x:v>0</x:v>
      </x:c>
      <x:c r="I12" s="2" t="n">
        <x:v>1</x:v>
      </x:c>
      <x:c r="J12" s="2" t="n">
        <x:v>8</x:v>
      </x:c>
      <x:c r="K12" s="2" t="n">
        <x:v>12</x:v>
      </x:c>
      <x:c r="L12" s="2" t="str">
        <x:v>R12 J01-J26 / 8x30, 12+22</x:v>
      </x:c>
    </x:row>
    <x:row r="13" ht="36" customHeight="1">
      <x:c r="A13" s="2" t="str">
        <x:v>H0008</x:v>
      </x:c>
      <x:c r="B13" s="2" t="str">
        <x:v>KI12-TV01T-02</x:v>
      </x:c>
      <x:c r="C13" s="2" t="str">
        <x:v>CSAP J02</x:v>
      </x:c>
      <x:c r="D13" s="2" t="n">
        <x:v>0</x:v>
      </x:c>
      <x:c r="E13" s="2" t="n">
        <x:v>50</x:v>
      </x:c>
      <x:c r="F13" s="2" t="n">
        <x:v>-9</x:v>
      </x:c>
      <x:c r="G13" s="2" t="n">
        <x:v>1</x:v>
      </x:c>
      <x:c r="H13" s="2" t="n">
        <x:v>0</x:v>
      </x:c>
      <x:c r="I13" s="2" t="n">
        <x:v>0</x:v>
      </x:c>
      <x:c r="J13" s="2" t="n">
        <x:v>8</x:v>
      </x:c>
      <x:c r="K13" s="2" t="n">
        <x:v>22</x:v>
      </x:c>
      <x:c r="L13" s="2" t="str">
        <x:v>R12 J01-J26 / 8x30, 12+22</x:v>
      </x:c>
    </x:row>
    <x:row r="14" ht="36" customHeight="1">
      <x:c r="A14" s="2" t="str">
        <x:v>H0009</x:v>
      </x:c>
      <x:c r="B14" s="2" t="str">
        <x:v>KI12-TV01S-01</x:v>
      </x:c>
      <x:c r="C14" s="2" t="str">
        <x:v>CSAP J02</x:v>
      </x:c>
      <x:c r="D14" s="2" t="n">
        <x:v>2321</x:v>
      </x:c>
      <x:c r="E14" s="2" t="n">
        <x:v>191</x:v>
      </x:c>
      <x:c r="F14" s="2" t="n">
        <x:v>-18</x:v>
      </x:c>
      <x:c r="G14" s="2" t="n">
        <x:v>0</x:v>
      </x:c>
      <x:c r="H14" s="2" t="n">
        <x:v>0</x:v>
      </x:c>
      <x:c r="I14" s="2" t="n">
        <x:v>1</x:v>
      </x:c>
      <x:c r="J14" s="2" t="n">
        <x:v>8</x:v>
      </x:c>
      <x:c r="K14" s="2" t="n">
        <x:v>12</x:v>
      </x:c>
      <x:c r="L14" s="2" t="str">
        <x:v>R12 J01-J26 / 8x30, 12+22</x:v>
      </x:c>
    </x:row>
    <x:row r="15" ht="36" customHeight="1">
      <x:c r="A15" s="2" t="str">
        <x:v>H0010</x:v>
      </x:c>
      <x:c r="B15" s="2" t="str">
        <x:v>KI12-TV01T-02</x:v>
      </x:c>
      <x:c r="C15" s="2" t="str">
        <x:v>CSAP J02</x:v>
      </x:c>
      <x:c r="D15" s="2" t="n">
        <x:v>0</x:v>
      </x:c>
      <x:c r="E15" s="2" t="n">
        <x:v>191</x:v>
      </x:c>
      <x:c r="F15" s="2" t="n">
        <x:v>-9</x:v>
      </x:c>
      <x:c r="G15" s="2" t="n">
        <x:v>1</x:v>
      </x:c>
      <x:c r="H15" s="2" t="n">
        <x:v>0</x:v>
      </x:c>
      <x:c r="I15" s="2" t="n">
        <x:v>0</x:v>
      </x:c>
      <x:c r="J15" s="2" t="n">
        <x:v>8</x:v>
      </x:c>
      <x:c r="K15" s="2" t="n">
        <x:v>22</x:v>
      </x:c>
      <x:c r="L15" s="2" t="str">
        <x:v>R12 J01-J26 / 8x30, 12+22</x:v>
      </x:c>
    </x:row>
    <x:row r="16" ht="36" customHeight="1">
      <x:c r="A16" s="2" t="str">
        <x:v>H0011</x:v>
      </x:c>
      <x:c r="B16" s="2" t="str">
        <x:v>KI12-TV01S-01</x:v>
      </x:c>
      <x:c r="C16" s="2" t="str">
        <x:v>CSAP J02</x:v>
      </x:c>
      <x:c r="D16" s="2" t="n">
        <x:v>2321</x:v>
      </x:c>
      <x:c r="E16" s="2" t="n">
        <x:v>332</x:v>
      </x:c>
      <x:c r="F16" s="2" t="n">
        <x:v>-18</x:v>
      </x:c>
      <x:c r="G16" s="2" t="n">
        <x:v>0</x:v>
      </x:c>
      <x:c r="H16" s="2" t="n">
        <x:v>0</x:v>
      </x:c>
      <x:c r="I16" s="2" t="n">
        <x:v>1</x:v>
      </x:c>
      <x:c r="J16" s="2" t="n">
        <x:v>8</x:v>
      </x:c>
      <x:c r="K16" s="2" t="n">
        <x:v>12</x:v>
      </x:c>
      <x:c r="L16" s="2" t="str">
        <x:v>R12 J01-J26 / 8x30, 12+22</x:v>
      </x:c>
    </x:row>
    <x:row r="17" ht="36" customHeight="1">
      <x:c r="A17" s="2" t="str">
        <x:v>H0012</x:v>
      </x:c>
      <x:c r="B17" s="2" t="str">
        <x:v>KI12-TV01T-02</x:v>
      </x:c>
      <x:c r="C17" s="2" t="str">
        <x:v>CSAP J02</x:v>
      </x:c>
      <x:c r="D17" s="2" t="n">
        <x:v>0</x:v>
      </x:c>
      <x:c r="E17" s="2" t="n">
        <x:v>332</x:v>
      </x:c>
      <x:c r="F17" s="2" t="n">
        <x:v>-9</x:v>
      </x:c>
      <x:c r="G17" s="2" t="n">
        <x:v>1</x:v>
      </x:c>
      <x:c r="H17" s="2" t="n">
        <x:v>0</x:v>
      </x:c>
      <x:c r="I17" s="2" t="n">
        <x:v>0</x:v>
      </x:c>
      <x:c r="J17" s="2" t="n">
        <x:v>8</x:v>
      </x:c>
      <x:c r="K17" s="2" t="n">
        <x:v>22</x:v>
      </x:c>
      <x:c r="L17" s="2" t="str">
        <x:v>R12 J01-J26 / 8x30, 12+22</x:v>
      </x:c>
    </x:row>
    <x:row r="18" ht="36" customHeight="1">
      <x:c r="A18" s="2" t="str">
        <x:v>H0013</x:v>
      </x:c>
      <x:c r="B18" s="2" t="str">
        <x:v>KI12-TV01S-02</x:v>
      </x:c>
      <x:c r="C18" s="2" t="str">
        <x:v>CSAP J03</x:v>
      </x:c>
      <x:c r="D18" s="2" t="n">
        <x:v>9</x:v>
      </x:c>
      <x:c r="E18" s="2" t="n">
        <x:v>50</x:v>
      </x:c>
      <x:c r="F18" s="2" t="n">
        <x:v>0</x:v>
      </x:c>
      <x:c r="G18" s="2" t="n">
        <x:v>0</x:v>
      </x:c>
      <x:c r="H18" s="2" t="n">
        <x:v>0</x:v>
      </x:c>
      <x:c r="I18" s="2" t="n">
        <x:v>-1</x:v>
      </x:c>
      <x:c r="J18" s="2" t="n">
        <x:v>8</x:v>
      </x:c>
      <x:c r="K18" s="2" t="n">
        <x:v>12</x:v>
      </x:c>
      <x:c r="L18" s="2" t="str">
        <x:v>R12 J01-J26 / 8x30, 12+22</x:v>
      </x:c>
    </x:row>
    <x:row r="19" ht="36" customHeight="1">
      <x:c r="A19" s="2" t="str">
        <x:v>H0014</x:v>
      </x:c>
      <x:c r="B19" s="2" t="str">
        <x:v>KI12-TV01T-01</x:v>
      </x:c>
      <x:c r="C19" s="2" t="str">
        <x:v>CSAP J03</x:v>
      </x:c>
      <x:c r="D19" s="2" t="n">
        <x:v>684</x:v>
      </x:c>
      <x:c r="E19" s="2" t="n">
        <x:v>50</x:v>
      </x:c>
      <x:c r="F19" s="2" t="n">
        <x:v>-9</x:v>
      </x:c>
      <x:c r="G19" s="2" t="n">
        <x:v>-1</x:v>
      </x:c>
      <x:c r="H19" s="2" t="n">
        <x:v>0</x:v>
      </x:c>
      <x:c r="I19" s="2" t="n">
        <x:v>0</x:v>
      </x:c>
      <x:c r="J19" s="2" t="n">
        <x:v>8</x:v>
      </x:c>
      <x:c r="K19" s="2" t="n">
        <x:v>22</x:v>
      </x:c>
      <x:c r="L19" s="2" t="str">
        <x:v>R12 J01-J26 / 8x30, 12+22</x:v>
      </x:c>
    </x:row>
    <x:row r="20" ht="36" customHeight="1">
      <x:c r="A20" s="2" t="str">
        <x:v>H0015</x:v>
      </x:c>
      <x:c r="B20" s="2" t="str">
        <x:v>KI12-TV01S-02</x:v>
      </x:c>
      <x:c r="C20" s="2" t="str">
        <x:v>CSAP J03</x:v>
      </x:c>
      <x:c r="D20" s="2" t="n">
        <x:v>9</x:v>
      </x:c>
      <x:c r="E20" s="2" t="n">
        <x:v>191</x:v>
      </x:c>
      <x:c r="F20" s="2" t="n">
        <x:v>0</x:v>
      </x:c>
      <x:c r="G20" s="2" t="n">
        <x:v>0</x:v>
      </x:c>
      <x:c r="H20" s="2" t="n">
        <x:v>0</x:v>
      </x:c>
      <x:c r="I20" s="2" t="n">
        <x:v>-1</x:v>
      </x:c>
      <x:c r="J20" s="2" t="n">
        <x:v>8</x:v>
      </x:c>
      <x:c r="K20" s="2" t="n">
        <x:v>12</x:v>
      </x:c>
      <x:c r="L20" s="2" t="str">
        <x:v>R12 J01-J26 / 8x30, 12+22</x:v>
      </x:c>
    </x:row>
    <x:row r="21" ht="36" customHeight="1">
      <x:c r="A21" s="2" t="str">
        <x:v>H0016</x:v>
      </x:c>
      <x:c r="B21" s="2" t="str">
        <x:v>KI12-TV01T-01</x:v>
      </x:c>
      <x:c r="C21" s="2" t="str">
        <x:v>CSAP J03</x:v>
      </x:c>
      <x:c r="D21" s="2" t="n">
        <x:v>684</x:v>
      </x:c>
      <x:c r="E21" s="2" t="n">
        <x:v>191</x:v>
      </x:c>
      <x:c r="F21" s="2" t="n">
        <x:v>-9</x:v>
      </x:c>
      <x:c r="G21" s="2" t="n">
        <x:v>-1</x:v>
      </x:c>
      <x:c r="H21" s="2" t="n">
        <x:v>0</x:v>
      </x:c>
      <x:c r="I21" s="2" t="n">
        <x:v>0</x:v>
      </x:c>
      <x:c r="J21" s="2" t="n">
        <x:v>8</x:v>
      </x:c>
      <x:c r="K21" s="2" t="n">
        <x:v>22</x:v>
      </x:c>
      <x:c r="L21" s="2" t="str">
        <x:v>R12 J01-J26 / 8x30, 12+22</x:v>
      </x:c>
    </x:row>
    <x:row r="22" ht="36" customHeight="1">
      <x:c r="A22" s="2" t="str">
        <x:v>H0017</x:v>
      </x:c>
      <x:c r="B22" s="2" t="str">
        <x:v>KI12-TV01S-02</x:v>
      </x:c>
      <x:c r="C22" s="2" t="str">
        <x:v>CSAP J03</x:v>
      </x:c>
      <x:c r="D22" s="2" t="n">
        <x:v>9</x:v>
      </x:c>
      <x:c r="E22" s="2" t="n">
        <x:v>332</x:v>
      </x:c>
      <x:c r="F22" s="2" t="n">
        <x:v>0</x:v>
      </x:c>
      <x:c r="G22" s="2" t="n">
        <x:v>0</x:v>
      </x:c>
      <x:c r="H22" s="2" t="n">
        <x:v>0</x:v>
      </x:c>
      <x:c r="I22" s="2" t="n">
        <x:v>-1</x:v>
      </x:c>
      <x:c r="J22" s="2" t="n">
        <x:v>8</x:v>
      </x:c>
      <x:c r="K22" s="2" t="n">
        <x:v>12</x:v>
      </x:c>
      <x:c r="L22" s="2" t="str">
        <x:v>R12 J01-J26 / 8x30, 12+22</x:v>
      </x:c>
    </x:row>
    <x:row r="23" ht="36" customHeight="1">
      <x:c r="A23" s="2" t="str">
        <x:v>H0018</x:v>
      </x:c>
      <x:c r="B23" s="2" t="str">
        <x:v>KI12-TV01T-01</x:v>
      </x:c>
      <x:c r="C23" s="2" t="str">
        <x:v>CSAP J03</x:v>
      </x:c>
      <x:c r="D23" s="2" t="n">
        <x:v>684</x:v>
      </x:c>
      <x:c r="E23" s="2" t="n">
        <x:v>332</x:v>
      </x:c>
      <x:c r="F23" s="2" t="n">
        <x:v>-9</x:v>
      </x:c>
      <x:c r="G23" s="2" t="n">
        <x:v>-1</x:v>
      </x:c>
      <x:c r="H23" s="2" t="n">
        <x:v>0</x:v>
      </x:c>
      <x:c r="I23" s="2" t="n">
        <x:v>0</x:v>
      </x:c>
      <x:c r="J23" s="2" t="n">
        <x:v>8</x:v>
      </x:c>
      <x:c r="K23" s="2" t="n">
        <x:v>22</x:v>
      </x:c>
      <x:c r="L23" s="2" t="str">
        <x:v>R12 J01-J26 / 8x30, 12+22</x:v>
      </x:c>
    </x:row>
    <x:row r="24" ht="36" customHeight="1">
      <x:c r="A24" s="2" t="str">
        <x:v>H0019</x:v>
      </x:c>
      <x:c r="B24" s="2" t="str">
        <x:v>KI12-TV01S-02</x:v>
      </x:c>
      <x:c r="C24" s="2" t="str">
        <x:v>CSAP J04</x:v>
      </x:c>
      <x:c r="D24" s="2" t="n">
        <x:v>2321</x:v>
      </x:c>
      <x:c r="E24" s="2" t="n">
        <x:v>50</x:v>
      </x:c>
      <x:c r="F24" s="2" t="n">
        <x:v>0</x:v>
      </x:c>
      <x:c r="G24" s="2" t="n">
        <x:v>0</x:v>
      </x:c>
      <x:c r="H24" s="2" t="n">
        <x:v>0</x:v>
      </x:c>
      <x:c r="I24" s="2" t="n">
        <x:v>-1</x:v>
      </x:c>
      <x:c r="J24" s="2" t="n">
        <x:v>8</x:v>
      </x:c>
      <x:c r="K24" s="2" t="n">
        <x:v>12</x:v>
      </x:c>
      <x:c r="L24" s="2" t="str">
        <x:v>R12 J01-J26 / 8x30, 12+22</x:v>
      </x:c>
    </x:row>
    <x:row r="25" ht="36" customHeight="1">
      <x:c r="A25" s="2" t="str">
        <x:v>H0020</x:v>
      </x:c>
      <x:c r="B25" s="2" t="str">
        <x:v>KI12-TV01T-02</x:v>
      </x:c>
      <x:c r="C25" s="2" t="str">
        <x:v>CSAP J04</x:v>
      </x:c>
      <x:c r="D25" s="2" t="n">
        <x:v>684</x:v>
      </x:c>
      <x:c r="E25" s="2" t="n">
        <x:v>50</x:v>
      </x:c>
      <x:c r="F25" s="2" t="n">
        <x:v>-9</x:v>
      </x:c>
      <x:c r="G25" s="2" t="n">
        <x:v>-1</x:v>
      </x:c>
      <x:c r="H25" s="2" t="n">
        <x:v>0</x:v>
      </x:c>
      <x:c r="I25" s="2" t="n">
        <x:v>0</x:v>
      </x:c>
      <x:c r="J25" s="2" t="n">
        <x:v>8</x:v>
      </x:c>
      <x:c r="K25" s="2" t="n">
        <x:v>22</x:v>
      </x:c>
      <x:c r="L25" s="2" t="str">
        <x:v>R12 J01-J26 / 8x30, 12+22</x:v>
      </x:c>
    </x:row>
    <x:row r="26" ht="36" customHeight="1">
      <x:c r="A26" s="2" t="str">
        <x:v>H0021</x:v>
      </x:c>
      <x:c r="B26" s="2" t="str">
        <x:v>KI12-TV01S-02</x:v>
      </x:c>
      <x:c r="C26" s="2" t="str">
        <x:v>CSAP J04</x:v>
      </x:c>
      <x:c r="D26" s="2" t="n">
        <x:v>2321</x:v>
      </x:c>
      <x:c r="E26" s="2" t="n">
        <x:v>191</x:v>
      </x:c>
      <x:c r="F26" s="2" t="n">
        <x:v>0</x:v>
      </x:c>
      <x:c r="G26" s="2" t="n">
        <x:v>0</x:v>
      </x:c>
      <x:c r="H26" s="2" t="n">
        <x:v>0</x:v>
      </x:c>
      <x:c r="I26" s="2" t="n">
        <x:v>-1</x:v>
      </x:c>
      <x:c r="J26" s="2" t="n">
        <x:v>8</x:v>
      </x:c>
      <x:c r="K26" s="2" t="n">
        <x:v>12</x:v>
      </x:c>
      <x:c r="L26" s="2" t="str">
        <x:v>R12 J01-J26 / 8x30, 12+22</x:v>
      </x:c>
    </x:row>
    <x:row r="27" ht="36" customHeight="1">
      <x:c r="A27" s="2" t="str">
        <x:v>H0022</x:v>
      </x:c>
      <x:c r="B27" s="2" t="str">
        <x:v>KI12-TV01T-02</x:v>
      </x:c>
      <x:c r="C27" s="2" t="str">
        <x:v>CSAP J04</x:v>
      </x:c>
      <x:c r="D27" s="2" t="n">
        <x:v>684</x:v>
      </x:c>
      <x:c r="E27" s="2" t="n">
        <x:v>191</x:v>
      </x:c>
      <x:c r="F27" s="2" t="n">
        <x:v>-9</x:v>
      </x:c>
      <x:c r="G27" s="2" t="n">
        <x:v>-1</x:v>
      </x:c>
      <x:c r="H27" s="2" t="n">
        <x:v>0</x:v>
      </x:c>
      <x:c r="I27" s="2" t="n">
        <x:v>0</x:v>
      </x:c>
      <x:c r="J27" s="2" t="n">
        <x:v>8</x:v>
      </x:c>
      <x:c r="K27" s="2" t="n">
        <x:v>22</x:v>
      </x:c>
      <x:c r="L27" s="2" t="str">
        <x:v>R12 J01-J26 / 8x30, 12+22</x:v>
      </x:c>
    </x:row>
    <x:row r="28" ht="36" customHeight="1">
      <x:c r="A28" s="2" t="str">
        <x:v>H0023</x:v>
      </x:c>
      <x:c r="B28" s="2" t="str">
        <x:v>KI12-TV01S-02</x:v>
      </x:c>
      <x:c r="C28" s="2" t="str">
        <x:v>CSAP J04</x:v>
      </x:c>
      <x:c r="D28" s="2" t="n">
        <x:v>2321</x:v>
      </x:c>
      <x:c r="E28" s="2" t="n">
        <x:v>332</x:v>
      </x:c>
      <x:c r="F28" s="2" t="n">
        <x:v>0</x:v>
      </x:c>
      <x:c r="G28" s="2" t="n">
        <x:v>0</x:v>
      </x:c>
      <x:c r="H28" s="2" t="n">
        <x:v>0</x:v>
      </x:c>
      <x:c r="I28" s="2" t="n">
        <x:v>-1</x:v>
      </x:c>
      <x:c r="J28" s="2" t="n">
        <x:v>8</x:v>
      </x:c>
      <x:c r="K28" s="2" t="n">
        <x:v>12</x:v>
      </x:c>
      <x:c r="L28" s="2" t="str">
        <x:v>R12 J01-J26 / 8x30, 12+22</x:v>
      </x:c>
    </x:row>
    <x:row r="29" ht="36" customHeight="1">
      <x:c r="A29" s="2" t="str">
        <x:v>H0024</x:v>
      </x:c>
      <x:c r="B29" s="2" t="str">
        <x:v>KI12-TV01T-02</x:v>
      </x:c>
      <x:c r="C29" s="2" t="str">
        <x:v>CSAP J04</x:v>
      </x:c>
      <x:c r="D29" s="2" t="n">
        <x:v>684</x:v>
      </x:c>
      <x:c r="E29" s="2" t="n">
        <x:v>332</x:v>
      </x:c>
      <x:c r="F29" s="2" t="n">
        <x:v>-9</x:v>
      </x:c>
      <x:c r="G29" s="2" t="n">
        <x:v>-1</x:v>
      </x:c>
      <x:c r="H29" s="2" t="n">
        <x:v>0</x:v>
      </x:c>
      <x:c r="I29" s="2" t="n">
        <x:v>0</x:v>
      </x:c>
      <x:c r="J29" s="2" t="n">
        <x:v>8</x:v>
      </x:c>
      <x:c r="K29" s="2" t="n">
        <x:v>22</x:v>
      </x:c>
      <x:c r="L29" s="2" t="str">
        <x:v>R12 J01-J26 / 8x30, 12+22</x:v>
      </x:c>
    </x:row>
    <x:row r="30" ht="36" customHeight="1">
      <x:c r="A30" s="2" t="str">
        <x:v>H0025</x:v>
      </x:c>
      <x:c r="B30" s="2" t="str">
        <x:v>KI12-TV01T-01</x:v>
      </x:c>
      <x:c r="C30" s="2" t="str">
        <x:v>CSAP J05</x:v>
      </x:c>
      <x:c r="D30" s="2" t="n">
        <x:v>342</x:v>
      </x:c>
      <x:c r="E30" s="2" t="n">
        <x:v>50</x:v>
      </x:c>
      <x:c r="F30" s="2" t="n">
        <x:v>0</x:v>
      </x:c>
      <x:c r="G30" s="2" t="n">
        <x:v>0</x:v>
      </x:c>
      <x:c r="H30" s="2" t="n">
        <x:v>0</x:v>
      </x:c>
      <x:c r="I30" s="2" t="n">
        <x:v>-1</x:v>
      </x:c>
      <x:c r="J30" s="2" t="n">
        <x:v>8</x:v>
      </x:c>
      <x:c r="K30" s="2" t="n">
        <x:v>12</x:v>
      </x:c>
      <x:c r="L30" s="2" t="str">
        <x:v>R12 J01-J26 / 8x30, 12+22</x:v>
      </x:c>
    </x:row>
    <x:row r="31" ht="36" customHeight="1">
      <x:c r="A31" s="2" t="str">
        <x:v>H0026</x:v>
      </x:c>
      <x:c r="B31" s="2" t="str">
        <x:v>KI12-TV01C-01</x:v>
      </x:c>
      <x:c r="C31" s="2" t="str">
        <x:v>CSAP J05</x:v>
      </x:c>
      <x:c r="D31" s="2" t="n">
        <x:v>0</x:v>
      </x:c>
      <x:c r="E31" s="2" t="n">
        <x:v>50</x:v>
      </x:c>
      <x:c r="F31" s="2" t="n">
        <x:v>-9</x:v>
      </x:c>
      <x:c r="G31" s="2" t="n">
        <x:v>1</x:v>
      </x:c>
      <x:c r="H31" s="2" t="n">
        <x:v>0</x:v>
      </x:c>
      <x:c r="I31" s="2" t="n">
        <x:v>0</x:v>
      </x:c>
      <x:c r="J31" s="2" t="n">
        <x:v>8</x:v>
      </x:c>
      <x:c r="K31" s="2" t="n">
        <x:v>22</x:v>
      </x:c>
      <x:c r="L31" s="2" t="str">
        <x:v>R12 J01-J26 / 8x30, 12+22</x:v>
      </x:c>
    </x:row>
    <x:row r="32" ht="36" customHeight="1">
      <x:c r="A32" s="2" t="str">
        <x:v>H0027</x:v>
      </x:c>
      <x:c r="B32" s="2" t="str">
        <x:v>KI12-TV01T-01</x:v>
      </x:c>
      <x:c r="C32" s="2" t="str">
        <x:v>CSAP J05</x:v>
      </x:c>
      <x:c r="D32" s="2" t="n">
        <x:v>342</x:v>
      </x:c>
      <x:c r="E32" s="2" t="n">
        <x:v>191</x:v>
      </x:c>
      <x:c r="F32" s="2" t="n">
        <x:v>0</x:v>
      </x:c>
      <x:c r="G32" s="2" t="n">
        <x:v>0</x:v>
      </x:c>
      <x:c r="H32" s="2" t="n">
        <x:v>0</x:v>
      </x:c>
      <x:c r="I32" s="2" t="n">
        <x:v>-1</x:v>
      </x:c>
      <x:c r="J32" s="2" t="n">
        <x:v>8</x:v>
      </x:c>
      <x:c r="K32" s="2" t="n">
        <x:v>12</x:v>
      </x:c>
      <x:c r="L32" s="2" t="str">
        <x:v>R12 J01-J26 / 8x30, 12+22</x:v>
      </x:c>
    </x:row>
    <x:row r="33" ht="36" customHeight="1">
      <x:c r="A33" s="2" t="str">
        <x:v>H0028</x:v>
      </x:c>
      <x:c r="B33" s="2" t="str">
        <x:v>KI12-TV01C-01</x:v>
      </x:c>
      <x:c r="C33" s="2" t="str">
        <x:v>CSAP J05</x:v>
      </x:c>
      <x:c r="D33" s="2" t="n">
        <x:v>0</x:v>
      </x:c>
      <x:c r="E33" s="2" t="n">
        <x:v>191</x:v>
      </x:c>
      <x:c r="F33" s="2" t="n">
        <x:v>-9</x:v>
      </x:c>
      <x:c r="G33" s="2" t="n">
        <x:v>1</x:v>
      </x:c>
      <x:c r="H33" s="2" t="n">
        <x:v>0</x:v>
      </x:c>
      <x:c r="I33" s="2" t="n">
        <x:v>0</x:v>
      </x:c>
      <x:c r="J33" s="2" t="n">
        <x:v>8</x:v>
      </x:c>
      <x:c r="K33" s="2" t="n">
        <x:v>22</x:v>
      </x:c>
      <x:c r="L33" s="2" t="str">
        <x:v>R12 J01-J26 / 8x30, 12+22</x:v>
      </x:c>
    </x:row>
    <x:row r="34" ht="36" customHeight="1">
      <x:c r="A34" s="2" t="str">
        <x:v>H0029</x:v>
      </x:c>
      <x:c r="B34" s="2" t="str">
        <x:v>KI12-TV01T-01</x:v>
      </x:c>
      <x:c r="C34" s="2" t="str">
        <x:v>CSAP J05</x:v>
      </x:c>
      <x:c r="D34" s="2" t="n">
        <x:v>342</x:v>
      </x:c>
      <x:c r="E34" s="2" t="n">
        <x:v>332</x:v>
      </x:c>
      <x:c r="F34" s="2" t="n">
        <x:v>0</x:v>
      </x:c>
      <x:c r="G34" s="2" t="n">
        <x:v>0</x:v>
      </x:c>
      <x:c r="H34" s="2" t="n">
        <x:v>0</x:v>
      </x:c>
      <x:c r="I34" s="2" t="n">
        <x:v>-1</x:v>
      </x:c>
      <x:c r="J34" s="2" t="n">
        <x:v>8</x:v>
      </x:c>
      <x:c r="K34" s="2" t="n">
        <x:v>12</x:v>
      </x:c>
      <x:c r="L34" s="2" t="str">
        <x:v>R12 J01-J26 / 8x30, 12+22</x:v>
      </x:c>
    </x:row>
    <x:row r="35" ht="36" customHeight="1">
      <x:c r="A35" s="2" t="str">
        <x:v>H0030</x:v>
      </x:c>
      <x:c r="B35" s="2" t="str">
        <x:v>KI12-TV01C-01</x:v>
      </x:c>
      <x:c r="C35" s="2" t="str">
        <x:v>CSAP J05</x:v>
      </x:c>
      <x:c r="D35" s="2" t="n">
        <x:v>0</x:v>
      </x:c>
      <x:c r="E35" s="2" t="n">
        <x:v>332</x:v>
      </x:c>
      <x:c r="F35" s="2" t="n">
        <x:v>-9</x:v>
      </x:c>
      <x:c r="G35" s="2" t="n">
        <x:v>1</x:v>
      </x:c>
      <x:c r="H35" s="2" t="n">
        <x:v>0</x:v>
      </x:c>
      <x:c r="I35" s="2" t="n">
        <x:v>0</x:v>
      </x:c>
      <x:c r="J35" s="2" t="n">
        <x:v>8</x:v>
      </x:c>
      <x:c r="K35" s="2" t="n">
        <x:v>22</x:v>
      </x:c>
      <x:c r="L35" s="2" t="str">
        <x:v>R12 J01-J26 / 8x30, 12+22</x:v>
      </x:c>
    </x:row>
    <x:row r="36" ht="36" customHeight="1">
      <x:c r="A36" s="2" t="str">
        <x:v>H0031</x:v>
      </x:c>
      <x:c r="B36" s="2" t="str">
        <x:v>KI12-TV01T-02</x:v>
      </x:c>
      <x:c r="C36" s="2" t="str">
        <x:v>CSAP J06</x:v>
      </x:c>
      <x:c r="D36" s="2" t="n">
        <x:v>342</x:v>
      </x:c>
      <x:c r="E36" s="2" t="n">
        <x:v>50</x:v>
      </x:c>
      <x:c r="F36" s="2" t="n">
        <x:v>-18</x:v>
      </x:c>
      <x:c r="G36" s="2" t="n">
        <x:v>0</x:v>
      </x:c>
      <x:c r="H36" s="2" t="n">
        <x:v>0</x:v>
      </x:c>
      <x:c r="I36" s="2" t="n">
        <x:v>1</x:v>
      </x:c>
      <x:c r="J36" s="2" t="n">
        <x:v>8</x:v>
      </x:c>
      <x:c r="K36" s="2" t="n">
        <x:v>12</x:v>
      </x:c>
      <x:c r="L36" s="2" t="str">
        <x:v>R12 J01-J26 / 8x30, 12+22</x:v>
      </x:c>
    </x:row>
    <x:row r="37" ht="36" customHeight="1">
      <x:c r="A37" s="2" t="str">
        <x:v>H0032</x:v>
      </x:c>
      <x:c r="B37" s="2" t="str">
        <x:v>KI12-TV01C-01</x:v>
      </x:c>
      <x:c r="C37" s="2" t="str">
        <x:v>CSAP J06</x:v>
      </x:c>
      <x:c r="D37" s="2" t="n">
        <x:v>2294</x:v>
      </x:c>
      <x:c r="E37" s="2" t="n">
        <x:v>50</x:v>
      </x:c>
      <x:c r="F37" s="2" t="n">
        <x:v>-9</x:v>
      </x:c>
      <x:c r="G37" s="2" t="n">
        <x:v>-1</x:v>
      </x:c>
      <x:c r="H37" s="2" t="n">
        <x:v>0</x:v>
      </x:c>
      <x:c r="I37" s="2" t="n">
        <x:v>0</x:v>
      </x:c>
      <x:c r="J37" s="2" t="n">
        <x:v>8</x:v>
      </x:c>
      <x:c r="K37" s="2" t="n">
        <x:v>22</x:v>
      </x:c>
      <x:c r="L37" s="2" t="str">
        <x:v>R12 J01-J26 / 8x30, 12+22</x:v>
      </x:c>
    </x:row>
    <x:row r="38" ht="36" customHeight="1">
      <x:c r="A38" s="2" t="str">
        <x:v>H0033</x:v>
      </x:c>
      <x:c r="B38" s="2" t="str">
        <x:v>KI12-TV01T-02</x:v>
      </x:c>
      <x:c r="C38" s="2" t="str">
        <x:v>CSAP J06</x:v>
      </x:c>
      <x:c r="D38" s="2" t="n">
        <x:v>342</x:v>
      </x:c>
      <x:c r="E38" s="2" t="n">
        <x:v>191</x:v>
      </x:c>
      <x:c r="F38" s="2" t="n">
        <x:v>-18</x:v>
      </x:c>
      <x:c r="G38" s="2" t="n">
        <x:v>0</x:v>
      </x:c>
      <x:c r="H38" s="2" t="n">
        <x:v>0</x:v>
      </x:c>
      <x:c r="I38" s="2" t="n">
        <x:v>1</x:v>
      </x:c>
      <x:c r="J38" s="2" t="n">
        <x:v>8</x:v>
      </x:c>
      <x:c r="K38" s="2" t="n">
        <x:v>12</x:v>
      </x:c>
      <x:c r="L38" s="2" t="str">
        <x:v>R12 J01-J26 / 8x30, 12+22</x:v>
      </x:c>
    </x:row>
    <x:row r="39" ht="36" customHeight="1">
      <x:c r="A39" s="2" t="str">
        <x:v>H0034</x:v>
      </x:c>
      <x:c r="B39" s="2" t="str">
        <x:v>KI12-TV01C-01</x:v>
      </x:c>
      <x:c r="C39" s="2" t="str">
        <x:v>CSAP J06</x:v>
      </x:c>
      <x:c r="D39" s="2" t="n">
        <x:v>2294</x:v>
      </x:c>
      <x:c r="E39" s="2" t="n">
        <x:v>191</x:v>
      </x:c>
      <x:c r="F39" s="2" t="n">
        <x:v>-9</x:v>
      </x:c>
      <x:c r="G39" s="2" t="n">
        <x:v>-1</x:v>
      </x:c>
      <x:c r="H39" s="2" t="n">
        <x:v>0</x:v>
      </x:c>
      <x:c r="I39" s="2" t="n">
        <x:v>0</x:v>
      </x:c>
      <x:c r="J39" s="2" t="n">
        <x:v>8</x:v>
      </x:c>
      <x:c r="K39" s="2" t="n">
        <x:v>22</x:v>
      </x:c>
      <x:c r="L39" s="2" t="str">
        <x:v>R12 J01-J26 / 8x30, 12+22</x:v>
      </x:c>
    </x:row>
    <x:row r="40" ht="36" customHeight="1">
      <x:c r="A40" s="2" t="str">
        <x:v>H0035</x:v>
      </x:c>
      <x:c r="B40" s="2" t="str">
        <x:v>KI12-TV01T-02</x:v>
      </x:c>
      <x:c r="C40" s="2" t="str">
        <x:v>CSAP J06</x:v>
      </x:c>
      <x:c r="D40" s="2" t="n">
        <x:v>342</x:v>
      </x:c>
      <x:c r="E40" s="2" t="n">
        <x:v>332</x:v>
      </x:c>
      <x:c r="F40" s="2" t="n">
        <x:v>-18</x:v>
      </x:c>
      <x:c r="G40" s="2" t="n">
        <x:v>0</x:v>
      </x:c>
      <x:c r="H40" s="2" t="n">
        <x:v>0</x:v>
      </x:c>
      <x:c r="I40" s="2" t="n">
        <x:v>1</x:v>
      </x:c>
      <x:c r="J40" s="2" t="n">
        <x:v>8</x:v>
      </x:c>
      <x:c r="K40" s="2" t="n">
        <x:v>12</x:v>
      </x:c>
      <x:c r="L40" s="2" t="str">
        <x:v>R12 J01-J26 / 8x30, 12+22</x:v>
      </x:c>
    </x:row>
    <x:row r="41" ht="36" customHeight="1">
      <x:c r="A41" s="2" t="str">
        <x:v>H0036</x:v>
      </x:c>
      <x:c r="B41" s="2" t="str">
        <x:v>KI12-TV01C-01</x:v>
      </x:c>
      <x:c r="C41" s="2" t="str">
        <x:v>CSAP J06</x:v>
      </x:c>
      <x:c r="D41" s="2" t="n">
        <x:v>2294</x:v>
      </x:c>
      <x:c r="E41" s="2" t="n">
        <x:v>332</x:v>
      </x:c>
      <x:c r="F41" s="2" t="n">
        <x:v>-9</x:v>
      </x:c>
      <x:c r="G41" s="2" t="n">
        <x:v>-1</x:v>
      </x:c>
      <x:c r="H41" s="2" t="n">
        <x:v>0</x:v>
      </x:c>
      <x:c r="I41" s="2" t="n">
        <x:v>0</x:v>
      </x:c>
      <x:c r="J41" s="2" t="n">
        <x:v>8</x:v>
      </x:c>
      <x:c r="K41" s="2" t="n">
        <x:v>22</x:v>
      </x:c>
      <x:c r="L41" s="2" t="str">
        <x:v>R12 J01-J26 / 8x30, 12+22</x:v>
      </x:c>
    </x:row>
    <x:row r="42" ht="36" customHeight="1">
      <x:c r="A42" s="2" t="str">
        <x:v>H0157</x:v>
      </x:c>
      <x:c r="B42" s="2" t="str">
        <x:v>KI12-TV01F-01</x:v>
      </x:c>
      <x:c r="C42" s="2" t="str">
        <x:v>PANT_CSÉSZE</x:v>
      </x:c>
      <x:c r="D42" s="2" t="n">
        <x:v>100</x:v>
      </x:c>
      <x:c r="E42" s="2" t="n">
        <x:v>23</x:v>
      </x:c>
      <x:c r="F42" s="2" t="n">
        <x:v>0</x:v>
      </x:c>
      <x:c r="G42" s="2" t="n">
        <x:v>0</x:v>
      </x:c>
      <x:c r="H42" s="2" t="n">
        <x:v>0</x:v>
      </x:c>
      <x:c r="I42" s="2" t="n">
        <x:v>-1</x:v>
      </x:c>
      <x:c r="J42" s="2" t="n">
        <x:v>35</x:v>
      </x:c>
      <x:c r="K42" s="2" t="n">
        <x:v>13</x:v>
      </x:c>
      <x:c r="L42" s="2" t="str">
        <x:v>Blum 70T3550.TL datasheet:35/13; TB5.5, MD0 -&gt; FA16.5</x:v>
      </x:c>
    </x:row>
    <x:row r="43" ht="36" customHeight="1">
      <x:c r="A43" s="2" t="str">
        <x:v>H0158</x:v>
      </x:c>
      <x:c r="B43" s="2" t="str">
        <x:v>KI12-TV01F-01</x:v>
      </x:c>
      <x:c r="C43" s="2" t="str">
        <x:v>PANT_CSAVAR_ELOFURAT</x:v>
      </x:c>
      <x:c r="D43" s="2" t="n">
        <x:v>77.5</x:v>
      </x:c>
      <x:c r="E43" s="2" t="n">
        <x:v>13.5</x:v>
      </x:c>
      <x:c r="F43" s="2" t="n">
        <x:v>0</x:v>
      </x:c>
      <x:c r="G43" s="2" t="n">
        <x:v>0</x:v>
      </x:c>
      <x:c r="H43" s="2" t="n">
        <x:v>0</x:v>
      </x:c>
      <x:c r="I43" s="2" t="n">
        <x:v>-1</x:v>
      </x:c>
      <x:c r="J43" s="2" t="n">
        <x:v>2.5</x:v>
      </x:c>
      <x:c r="K43" s="2" t="n">
        <x:v>10</x:v>
      </x:c>
      <x:c r="L43" s="2" t="str">
        <x:v>45/9.5 gyári kiosztás; Ø2.5x10 próbadarabon igazolandó 3.5x15 csavarhoz</x:v>
      </x:c>
    </x:row>
    <x:row r="44" ht="36" customHeight="1">
      <x:c r="A44" s="2" t="str">
        <x:v>H0159</x:v>
      </x:c>
      <x:c r="B44" s="2" t="str">
        <x:v>KI12-TV01F-01</x:v>
      </x:c>
      <x:c r="C44" s="2" t="str">
        <x:v>PANT_CSAVAR_ELOFURAT</x:v>
      </x:c>
      <x:c r="D44" s="2" t="n">
        <x:v>122.5</x:v>
      </x:c>
      <x:c r="E44" s="2" t="n">
        <x:v>13.5</x:v>
      </x:c>
      <x:c r="F44" s="2" t="n">
        <x:v>0</x:v>
      </x:c>
      <x:c r="G44" s="2" t="n">
        <x:v>0</x:v>
      </x:c>
      <x:c r="H44" s="2" t="n">
        <x:v>0</x:v>
      </x:c>
      <x:c r="I44" s="2" t="n">
        <x:v>-1</x:v>
      </x:c>
      <x:c r="J44" s="2" t="n">
        <x:v>2.5</x:v>
      </x:c>
      <x:c r="K44" s="2" t="n">
        <x:v>10</x:v>
      </x:c>
      <x:c r="L44" s="2" t="str">
        <x:v>45/9.5 gyári kiosztás; Ø2.5x10 próbadarabon igazolandó 3.5x15 csavarhoz</x:v>
      </x:c>
    </x:row>
    <x:row r="45" ht="36" customHeight="1">
      <x:c r="A45" s="2" t="str">
        <x:v>H0160</x:v>
      </x:c>
      <x:c r="B45" s="2" t="str">
        <x:v>KI12-TV01S-01</x:v>
      </x:c>
      <x:c r="C45" s="2" t="str">
        <x:v>TALP_CSAVAR_ELOFURAT</x:v>
      </x:c>
      <x:c r="D45" s="2" t="n">
        <x:v>85.5</x:v>
      </x:c>
      <x:c r="E45" s="2" t="n">
        <x:v>37</x:v>
      </x:c>
      <x:c r="F45" s="2" t="n">
        <x:v>-18</x:v>
      </x:c>
      <x:c r="G45" s="2" t="n">
        <x:v>0</x:v>
      </x:c>
      <x:c r="H45" s="2" t="n">
        <x:v>0</x:v>
      </x:c>
      <x:c r="I45" s="2" t="n">
        <x:v>1</x:v>
      </x:c>
      <x:c r="J45" s="2" t="n">
        <x:v>2.5</x:v>
      </x:c>
      <x:c r="K45" s="2" t="n">
        <x:v>10</x:v>
      </x:c>
      <x:c r="L45" s="2" t="str">
        <x:v>Blum173H7100 37/32; Ø2.5x10 tervezői próbaérték</x:v>
      </x:c>
    </x:row>
    <x:row r="46" ht="36" customHeight="1">
      <x:c r="A46" s="2" t="str">
        <x:v>H0161</x:v>
      </x:c>
      <x:c r="B46" s="2" t="str">
        <x:v>KI12-TV01S-01</x:v>
      </x:c>
      <x:c r="C46" s="2" t="str">
        <x:v>TALP_CSAVAR_ELOFURAT</x:v>
      </x:c>
      <x:c r="D46" s="2" t="n">
        <x:v>117.5</x:v>
      </x:c>
      <x:c r="E46" s="2" t="n">
        <x:v>37</x:v>
      </x:c>
      <x:c r="F46" s="2" t="n">
        <x:v>-18</x:v>
      </x:c>
      <x:c r="G46" s="2" t="n">
        <x:v>0</x:v>
      </x:c>
      <x:c r="H46" s="2" t="n">
        <x:v>0</x:v>
      </x:c>
      <x:c r="I46" s="2" t="n">
        <x:v>1</x:v>
      </x:c>
      <x:c r="J46" s="2" t="n">
        <x:v>2.5</x:v>
      </x:c>
      <x:c r="K46" s="2" t="n">
        <x:v>10</x:v>
      </x:c>
      <x:c r="L46" s="2" t="str">
        <x:v>Blum173H7100 37/32; Ø2.5x10 tervezői próbaérték</x:v>
      </x:c>
    </x:row>
    <x:row r="47" ht="36" customHeight="1">
      <x:c r="A47" s="2" t="str">
        <x:v>H0162</x:v>
      </x:c>
      <x:c r="B47" s="2" t="str">
        <x:v>KI12-TV01F-01</x:v>
      </x:c>
      <x:c r="C47" s="2" t="str">
        <x:v>PANT_CSÉSZE</x:v>
      </x:c>
      <x:c r="D47" s="2" t="n">
        <x:v>631.75</x:v>
      </x:c>
      <x:c r="E47" s="2" t="n">
        <x:v>23</x:v>
      </x:c>
      <x:c r="F47" s="2" t="n">
        <x:v>0</x:v>
      </x:c>
      <x:c r="G47" s="2" t="n">
        <x:v>0</x:v>
      </x:c>
      <x:c r="H47" s="2" t="n">
        <x:v>0</x:v>
      </x:c>
      <x:c r="I47" s="2" t="n">
        <x:v>-1</x:v>
      </x:c>
      <x:c r="J47" s="2" t="n">
        <x:v>35</x:v>
      </x:c>
      <x:c r="K47" s="2" t="n">
        <x:v>13</x:v>
      </x:c>
      <x:c r="L47" s="2" t="str">
        <x:v>Blum 70T3550.TL datasheet:35/13; TB5.5, MD0 -&gt; FA16.5</x:v>
      </x:c>
    </x:row>
    <x:row r="48" ht="36" customHeight="1">
      <x:c r="A48" s="2" t="str">
        <x:v>H0163</x:v>
      </x:c>
      <x:c r="B48" s="2" t="str">
        <x:v>KI12-TV01F-01</x:v>
      </x:c>
      <x:c r="C48" s="2" t="str">
        <x:v>PANT_CSAVAR_ELOFURAT</x:v>
      </x:c>
      <x:c r="D48" s="2" t="n">
        <x:v>609.25</x:v>
      </x:c>
      <x:c r="E48" s="2" t="n">
        <x:v>13.5</x:v>
      </x:c>
      <x:c r="F48" s="2" t="n">
        <x:v>0</x:v>
      </x:c>
      <x:c r="G48" s="2" t="n">
        <x:v>0</x:v>
      </x:c>
      <x:c r="H48" s="2" t="n">
        <x:v>0</x:v>
      </x:c>
      <x:c r="I48" s="2" t="n">
        <x:v>-1</x:v>
      </x:c>
      <x:c r="J48" s="2" t="n">
        <x:v>2.5</x:v>
      </x:c>
      <x:c r="K48" s="2" t="n">
        <x:v>10</x:v>
      </x:c>
      <x:c r="L48" s="2" t="str">
        <x:v>45/9.5 gyári kiosztás; Ø2.5x10 próbadarabon igazolandó 3.5x15 csavarhoz</x:v>
      </x:c>
    </x:row>
    <x:row r="49" ht="36" customHeight="1">
      <x:c r="A49" s="2" t="str">
        <x:v>H0164</x:v>
      </x:c>
      <x:c r="B49" s="2" t="str">
        <x:v>KI12-TV01F-01</x:v>
      </x:c>
      <x:c r="C49" s="2" t="str">
        <x:v>PANT_CSAVAR_ELOFURAT</x:v>
      </x:c>
      <x:c r="D49" s="2" t="n">
        <x:v>654.25</x:v>
      </x:c>
      <x:c r="E49" s="2" t="n">
        <x:v>13.5</x:v>
      </x:c>
      <x:c r="F49" s="2" t="n">
        <x:v>0</x:v>
      </x:c>
      <x:c r="G49" s="2" t="n">
        <x:v>0</x:v>
      </x:c>
      <x:c r="H49" s="2" t="n">
        <x:v>0</x:v>
      </x:c>
      <x:c r="I49" s="2" t="n">
        <x:v>-1</x:v>
      </x:c>
      <x:c r="J49" s="2" t="n">
        <x:v>2.5</x:v>
      </x:c>
      <x:c r="K49" s="2" t="n">
        <x:v>10</x:v>
      </x:c>
      <x:c r="L49" s="2" t="str">
        <x:v>45/9.5 gyári kiosztás; Ø2.5x10 próbadarabon igazolandó 3.5x15 csavarhoz</x:v>
      </x:c>
    </x:row>
    <x:row r="50" ht="36" customHeight="1">
      <x:c r="A50" s="2" t="str">
        <x:v>H0165</x:v>
      </x:c>
      <x:c r="B50" s="2" t="str">
        <x:v>KI12-TV01S-01</x:v>
      </x:c>
      <x:c r="C50" s="2" t="str">
        <x:v>TALP_CSAVAR_ELOFURAT</x:v>
      </x:c>
      <x:c r="D50" s="2" t="n">
        <x:v>617.25</x:v>
      </x:c>
      <x:c r="E50" s="2" t="n">
        <x:v>37</x:v>
      </x:c>
      <x:c r="F50" s="2" t="n">
        <x:v>-18</x:v>
      </x:c>
      <x:c r="G50" s="2" t="n">
        <x:v>0</x:v>
      </x:c>
      <x:c r="H50" s="2" t="n">
        <x:v>0</x:v>
      </x:c>
      <x:c r="I50" s="2" t="n">
        <x:v>1</x:v>
      </x:c>
      <x:c r="J50" s="2" t="n">
        <x:v>2.5</x:v>
      </x:c>
      <x:c r="K50" s="2" t="n">
        <x:v>10</x:v>
      </x:c>
      <x:c r="L50" s="2" t="str">
        <x:v>Blum173H7100 37/32; Ø2.5x10 tervezői próbaérték</x:v>
      </x:c>
    </x:row>
    <x:row r="51" ht="36" customHeight="1">
      <x:c r="A51" s="2" t="str">
        <x:v>H0166</x:v>
      </x:c>
      <x:c r="B51" s="2" t="str">
        <x:v>KI12-TV01S-01</x:v>
      </x:c>
      <x:c r="C51" s="2" t="str">
        <x:v>TALP_CSAVAR_ELOFURAT</x:v>
      </x:c>
      <x:c r="D51" s="2" t="n">
        <x:v>649.25</x:v>
      </x:c>
      <x:c r="E51" s="2" t="n">
        <x:v>37</x:v>
      </x:c>
      <x:c r="F51" s="2" t="n">
        <x:v>-18</x:v>
      </x:c>
      <x:c r="G51" s="2" t="n">
        <x:v>0</x:v>
      </x:c>
      <x:c r="H51" s="2" t="n">
        <x:v>0</x:v>
      </x:c>
      <x:c r="I51" s="2" t="n">
        <x:v>1</x:v>
      </x:c>
      <x:c r="J51" s="2" t="n">
        <x:v>2.5</x:v>
      </x:c>
      <x:c r="K51" s="2" t="n">
        <x:v>10</x:v>
      </x:c>
      <x:c r="L51" s="2" t="str">
        <x:v>Blum173H7100 37/32; Ø2.5x10 tervezői próbaérték</x:v>
      </x:c>
    </x:row>
    <x:row r="52" ht="36" customHeight="1">
      <x:c r="A52" s="2" t="str">
        <x:v>H0167</x:v>
      </x:c>
      <x:c r="B52" s="2" t="str">
        <x:v>KI12-TV01F-01</x:v>
      </x:c>
      <x:c r="C52" s="2" t="str">
        <x:v>PANT_CSÉSZE</x:v>
      </x:c>
      <x:c r="D52" s="2" t="n">
        <x:v>1163.5</x:v>
      </x:c>
      <x:c r="E52" s="2" t="n">
        <x:v>23</x:v>
      </x:c>
      <x:c r="F52" s="2" t="n">
        <x:v>0</x:v>
      </x:c>
      <x:c r="G52" s="2" t="n">
        <x:v>0</x:v>
      </x:c>
      <x:c r="H52" s="2" t="n">
        <x:v>0</x:v>
      </x:c>
      <x:c r="I52" s="2" t="n">
        <x:v>-1</x:v>
      </x:c>
      <x:c r="J52" s="2" t="n">
        <x:v>35</x:v>
      </x:c>
      <x:c r="K52" s="2" t="n">
        <x:v>13</x:v>
      </x:c>
      <x:c r="L52" s="2" t="str">
        <x:v>Blum 70T3550.TL datasheet:35/13; TB5.5, MD0 -&gt; FA16.5</x:v>
      </x:c>
    </x:row>
    <x:row r="53" ht="36" customHeight="1">
      <x:c r="A53" s="2" t="str">
        <x:v>H0168</x:v>
      </x:c>
      <x:c r="B53" s="2" t="str">
        <x:v>KI12-TV01F-01</x:v>
      </x:c>
      <x:c r="C53" s="2" t="str">
        <x:v>PANT_CSAVAR_ELOFURAT</x:v>
      </x:c>
      <x:c r="D53" s="2" t="n">
        <x:v>1141</x:v>
      </x:c>
      <x:c r="E53" s="2" t="n">
        <x:v>13.5</x:v>
      </x:c>
      <x:c r="F53" s="2" t="n">
        <x:v>0</x:v>
      </x:c>
      <x:c r="G53" s="2" t="n">
        <x:v>0</x:v>
      </x:c>
      <x:c r="H53" s="2" t="n">
        <x:v>0</x:v>
      </x:c>
      <x:c r="I53" s="2" t="n">
        <x:v>-1</x:v>
      </x:c>
      <x:c r="J53" s="2" t="n">
        <x:v>2.5</x:v>
      </x:c>
      <x:c r="K53" s="2" t="n">
        <x:v>10</x:v>
      </x:c>
      <x:c r="L53" s="2" t="str">
        <x:v>45/9.5 gyári kiosztás; Ø2.5x10 próbadarabon igazolandó 3.5x15 csavarhoz</x:v>
      </x:c>
    </x:row>
    <x:row r="54" ht="36" customHeight="1">
      <x:c r="A54" s="2" t="str">
        <x:v>H0169</x:v>
      </x:c>
      <x:c r="B54" s="2" t="str">
        <x:v>KI12-TV01F-01</x:v>
      </x:c>
      <x:c r="C54" s="2" t="str">
        <x:v>PANT_CSAVAR_ELOFURAT</x:v>
      </x:c>
      <x:c r="D54" s="2" t="n">
        <x:v>1186</x:v>
      </x:c>
      <x:c r="E54" s="2" t="n">
        <x:v>13.5</x:v>
      </x:c>
      <x:c r="F54" s="2" t="n">
        <x:v>0</x:v>
      </x:c>
      <x:c r="G54" s="2" t="n">
        <x:v>0</x:v>
      </x:c>
      <x:c r="H54" s="2" t="n">
        <x:v>0</x:v>
      </x:c>
      <x:c r="I54" s="2" t="n">
        <x:v>-1</x:v>
      </x:c>
      <x:c r="J54" s="2" t="n">
        <x:v>2.5</x:v>
      </x:c>
      <x:c r="K54" s="2" t="n">
        <x:v>10</x:v>
      </x:c>
      <x:c r="L54" s="2" t="str">
        <x:v>45/9.5 gyári kiosztás; Ø2.5x10 próbadarabon igazolandó 3.5x15 csavarhoz</x:v>
      </x:c>
    </x:row>
    <x:row r="55" ht="36" customHeight="1">
      <x:c r="A55" s="2" t="str">
        <x:v>H0170</x:v>
      </x:c>
      <x:c r="B55" s="2" t="str">
        <x:v>KI12-TV01S-01</x:v>
      </x:c>
      <x:c r="C55" s="2" t="str">
        <x:v>TALP_CSAVAR_ELOFURAT</x:v>
      </x:c>
      <x:c r="D55" s="2" t="n">
        <x:v>1149</x:v>
      </x:c>
      <x:c r="E55" s="2" t="n">
        <x:v>37</x:v>
      </x:c>
      <x:c r="F55" s="2" t="n">
        <x:v>-18</x:v>
      </x:c>
      <x:c r="G55" s="2" t="n">
        <x:v>0</x:v>
      </x:c>
      <x:c r="H55" s="2" t="n">
        <x:v>0</x:v>
      </x:c>
      <x:c r="I55" s="2" t="n">
        <x:v>1</x:v>
      </x:c>
      <x:c r="J55" s="2" t="n">
        <x:v>2.5</x:v>
      </x:c>
      <x:c r="K55" s="2" t="n">
        <x:v>10</x:v>
      </x:c>
      <x:c r="L55" s="2" t="str">
        <x:v>Blum173H7100 37/32; Ø2.5x10 tervezői próbaérték</x:v>
      </x:c>
    </x:row>
    <x:row r="56" ht="36" customHeight="1">
      <x:c r="A56" s="2" t="str">
        <x:v>H0171</x:v>
      </x:c>
      <x:c r="B56" s="2" t="str">
        <x:v>KI12-TV01S-01</x:v>
      </x:c>
      <x:c r="C56" s="2" t="str">
        <x:v>TALP_CSAVAR_ELOFURAT</x:v>
      </x:c>
      <x:c r="D56" s="2" t="n">
        <x:v>1181</x:v>
      </x:c>
      <x:c r="E56" s="2" t="n">
        <x:v>37</x:v>
      </x:c>
      <x:c r="F56" s="2" t="n">
        <x:v>-18</x:v>
      </x:c>
      <x:c r="G56" s="2" t="n">
        <x:v>0</x:v>
      </x:c>
      <x:c r="H56" s="2" t="n">
        <x:v>0</x:v>
      </x:c>
      <x:c r="I56" s="2" t="n">
        <x:v>1</x:v>
      </x:c>
      <x:c r="J56" s="2" t="n">
        <x:v>2.5</x:v>
      </x:c>
      <x:c r="K56" s="2" t="n">
        <x:v>10</x:v>
      </x:c>
      <x:c r="L56" s="2" t="str">
        <x:v>Blum173H7100 37/32; Ø2.5x10 tervezői próbaérték</x:v>
      </x:c>
    </x:row>
    <x:row r="57" ht="36" customHeight="1">
      <x:c r="A57" s="2" t="str">
        <x:v>H0172</x:v>
      </x:c>
      <x:c r="B57" s="2" t="str">
        <x:v>KI12-TV01F-01</x:v>
      </x:c>
      <x:c r="C57" s="2" t="str">
        <x:v>PANT_CSÉSZE</x:v>
      </x:c>
      <x:c r="D57" s="2" t="n">
        <x:v>1695.25</x:v>
      </x:c>
      <x:c r="E57" s="2" t="n">
        <x:v>23</x:v>
      </x:c>
      <x:c r="F57" s="2" t="n">
        <x:v>0</x:v>
      </x:c>
      <x:c r="G57" s="2" t="n">
        <x:v>0</x:v>
      </x:c>
      <x:c r="H57" s="2" t="n">
        <x:v>0</x:v>
      </x:c>
      <x:c r="I57" s="2" t="n">
        <x:v>-1</x:v>
      </x:c>
      <x:c r="J57" s="2" t="n">
        <x:v>35</x:v>
      </x:c>
      <x:c r="K57" s="2" t="n">
        <x:v>13</x:v>
      </x:c>
      <x:c r="L57" s="2" t="str">
        <x:v>Blum 70T3550.TL datasheet:35/13; TB5.5, MD0 -&gt; FA16.5</x:v>
      </x:c>
    </x:row>
    <x:row r="58" ht="36" customHeight="1">
      <x:c r="A58" s="2" t="str">
        <x:v>H0173</x:v>
      </x:c>
      <x:c r="B58" s="2" t="str">
        <x:v>KI12-TV01F-01</x:v>
      </x:c>
      <x:c r="C58" s="2" t="str">
        <x:v>PANT_CSAVAR_ELOFURAT</x:v>
      </x:c>
      <x:c r="D58" s="2" t="n">
        <x:v>1672.75</x:v>
      </x:c>
      <x:c r="E58" s="2" t="n">
        <x:v>13.5</x:v>
      </x:c>
      <x:c r="F58" s="2" t="n">
        <x:v>0</x:v>
      </x:c>
      <x:c r="G58" s="2" t="n">
        <x:v>0</x:v>
      </x:c>
      <x:c r="H58" s="2" t="n">
        <x:v>0</x:v>
      </x:c>
      <x:c r="I58" s="2" t="n">
        <x:v>-1</x:v>
      </x:c>
      <x:c r="J58" s="2" t="n">
        <x:v>2.5</x:v>
      </x:c>
      <x:c r="K58" s="2" t="n">
        <x:v>10</x:v>
      </x:c>
      <x:c r="L58" s="2" t="str">
        <x:v>45/9.5 gyári kiosztás; Ø2.5x10 próbadarabon igazolandó 3.5x15 csavarhoz</x:v>
      </x:c>
    </x:row>
    <x:row r="59" ht="36" customHeight="1">
      <x:c r="A59" s="2" t="str">
        <x:v>H0174</x:v>
      </x:c>
      <x:c r="B59" s="2" t="str">
        <x:v>KI12-TV01F-01</x:v>
      </x:c>
      <x:c r="C59" s="2" t="str">
        <x:v>PANT_CSAVAR_ELOFURAT</x:v>
      </x:c>
      <x:c r="D59" s="2" t="n">
        <x:v>1717.75</x:v>
      </x:c>
      <x:c r="E59" s="2" t="n">
        <x:v>13.5</x:v>
      </x:c>
      <x:c r="F59" s="2" t="n">
        <x:v>0</x:v>
      </x:c>
      <x:c r="G59" s="2" t="n">
        <x:v>0</x:v>
      </x:c>
      <x:c r="H59" s="2" t="n">
        <x:v>0</x:v>
      </x:c>
      <x:c r="I59" s="2" t="n">
        <x:v>-1</x:v>
      </x:c>
      <x:c r="J59" s="2" t="n">
        <x:v>2.5</x:v>
      </x:c>
      <x:c r="K59" s="2" t="n">
        <x:v>10</x:v>
      </x:c>
      <x:c r="L59" s="2" t="str">
        <x:v>45/9.5 gyári kiosztás; Ø2.5x10 próbadarabon igazolandó 3.5x15 csavarhoz</x:v>
      </x:c>
    </x:row>
    <x:row r="60" ht="36" customHeight="1">
      <x:c r="A60" s="2" t="str">
        <x:v>H0175</x:v>
      </x:c>
      <x:c r="B60" s="2" t="str">
        <x:v>KI12-TV01S-01</x:v>
      </x:c>
      <x:c r="C60" s="2" t="str">
        <x:v>TALP_CSAVAR_ELOFURAT</x:v>
      </x:c>
      <x:c r="D60" s="2" t="n">
        <x:v>1680.75</x:v>
      </x:c>
      <x:c r="E60" s="2" t="n">
        <x:v>37</x:v>
      </x:c>
      <x:c r="F60" s="2" t="n">
        <x:v>-18</x:v>
      </x:c>
      <x:c r="G60" s="2" t="n">
        <x:v>0</x:v>
      </x:c>
      <x:c r="H60" s="2" t="n">
        <x:v>0</x:v>
      </x:c>
      <x:c r="I60" s="2" t="n">
        <x:v>1</x:v>
      </x:c>
      <x:c r="J60" s="2" t="n">
        <x:v>2.5</x:v>
      </x:c>
      <x:c r="K60" s="2" t="n">
        <x:v>10</x:v>
      </x:c>
      <x:c r="L60" s="2" t="str">
        <x:v>Blum173H7100 37/32; Ø2.5x10 tervezői próbaérték</x:v>
      </x:c>
    </x:row>
    <x:row r="61" ht="36" customHeight="1">
      <x:c r="A61" s="2" t="str">
        <x:v>H0176</x:v>
      </x:c>
      <x:c r="B61" s="2" t="str">
        <x:v>KI12-TV01S-01</x:v>
      </x:c>
      <x:c r="C61" s="2" t="str">
        <x:v>TALP_CSAVAR_ELOFURAT</x:v>
      </x:c>
      <x:c r="D61" s="2" t="n">
        <x:v>1712.75</x:v>
      </x:c>
      <x:c r="E61" s="2" t="n">
        <x:v>37</x:v>
      </x:c>
      <x:c r="F61" s="2" t="n">
        <x:v>-18</x:v>
      </x:c>
      <x:c r="G61" s="2" t="n">
        <x:v>0</x:v>
      </x:c>
      <x:c r="H61" s="2" t="n">
        <x:v>0</x:v>
      </x:c>
      <x:c r="I61" s="2" t="n">
        <x:v>1</x:v>
      </x:c>
      <x:c r="J61" s="2" t="n">
        <x:v>2.5</x:v>
      </x:c>
      <x:c r="K61" s="2" t="n">
        <x:v>10</x:v>
      </x:c>
      <x:c r="L61" s="2" t="str">
        <x:v>Blum173H7100 37/32; Ø2.5x10 tervezői próbaérték</x:v>
      </x:c>
    </x:row>
    <x:row r="62" ht="36" customHeight="1">
      <x:c r="A62" s="2" t="str">
        <x:v>H0177</x:v>
      </x:c>
      <x:c r="B62" s="2" t="str">
        <x:v>KI12-TV01F-01</x:v>
      </x:c>
      <x:c r="C62" s="2" t="str">
        <x:v>PANT_CSÉSZE</x:v>
      </x:c>
      <x:c r="D62" s="2" t="n">
        <x:v>2227</x:v>
      </x:c>
      <x:c r="E62" s="2" t="n">
        <x:v>23</x:v>
      </x:c>
      <x:c r="F62" s="2" t="n">
        <x:v>0</x:v>
      </x:c>
      <x:c r="G62" s="2" t="n">
        <x:v>0</x:v>
      </x:c>
      <x:c r="H62" s="2" t="n">
        <x:v>0</x:v>
      </x:c>
      <x:c r="I62" s="2" t="n">
        <x:v>-1</x:v>
      </x:c>
      <x:c r="J62" s="2" t="n">
        <x:v>35</x:v>
      </x:c>
      <x:c r="K62" s="2" t="n">
        <x:v>13</x:v>
      </x:c>
      <x:c r="L62" s="2" t="str">
        <x:v>Blum 70T3550.TL datasheet:35/13; TB5.5, MD0 -&gt; FA16.5</x:v>
      </x:c>
    </x:row>
    <x:row r="63" ht="36" customHeight="1">
      <x:c r="A63" s="2" t="str">
        <x:v>H0178</x:v>
      </x:c>
      <x:c r="B63" s="2" t="str">
        <x:v>KI12-TV01F-01</x:v>
      </x:c>
      <x:c r="C63" s="2" t="str">
        <x:v>PANT_CSAVAR_ELOFURAT</x:v>
      </x:c>
      <x:c r="D63" s="2" t="n">
        <x:v>2204.5</x:v>
      </x:c>
      <x:c r="E63" s="2" t="n">
        <x:v>13.5</x:v>
      </x:c>
      <x:c r="F63" s="2" t="n">
        <x:v>0</x:v>
      </x:c>
      <x:c r="G63" s="2" t="n">
        <x:v>0</x:v>
      </x:c>
      <x:c r="H63" s="2" t="n">
        <x:v>0</x:v>
      </x:c>
      <x:c r="I63" s="2" t="n">
        <x:v>-1</x:v>
      </x:c>
      <x:c r="J63" s="2" t="n">
        <x:v>2.5</x:v>
      </x:c>
      <x:c r="K63" s="2" t="n">
        <x:v>10</x:v>
      </x:c>
      <x:c r="L63" s="2" t="str">
        <x:v>45/9.5 gyári kiosztás; Ø2.5x10 próbadarabon igazolandó 3.5x15 csavarhoz</x:v>
      </x:c>
    </x:row>
    <x:row r="64" ht="36" customHeight="1">
      <x:c r="A64" s="2" t="str">
        <x:v>H0179</x:v>
      </x:c>
      <x:c r="B64" s="2" t="str">
        <x:v>KI12-TV01F-01</x:v>
      </x:c>
      <x:c r="C64" s="2" t="str">
        <x:v>PANT_CSAVAR_ELOFURAT</x:v>
      </x:c>
      <x:c r="D64" s="2" t="n">
        <x:v>2249.5</x:v>
      </x:c>
      <x:c r="E64" s="2" t="n">
        <x:v>13.5</x:v>
      </x:c>
      <x:c r="F64" s="2" t="n">
        <x:v>0</x:v>
      </x:c>
      <x:c r="G64" s="2" t="n">
        <x:v>0</x:v>
      </x:c>
      <x:c r="H64" s="2" t="n">
        <x:v>0</x:v>
      </x:c>
      <x:c r="I64" s="2" t="n">
        <x:v>-1</x:v>
      </x:c>
      <x:c r="J64" s="2" t="n">
        <x:v>2.5</x:v>
      </x:c>
      <x:c r="K64" s="2" t="n">
        <x:v>10</x:v>
      </x:c>
      <x:c r="L64" s="2" t="str">
        <x:v>45/9.5 gyári kiosztás; Ø2.5x10 próbadarabon igazolandó 3.5x15 csavarhoz</x:v>
      </x:c>
    </x:row>
    <x:row r="65" ht="36" customHeight="1">
      <x:c r="A65" s="2" t="str">
        <x:v>H0180</x:v>
      </x:c>
      <x:c r="B65" s="2" t="str">
        <x:v>KI12-TV01S-01</x:v>
      </x:c>
      <x:c r="C65" s="2" t="str">
        <x:v>TALP_CSAVAR_ELOFURAT</x:v>
      </x:c>
      <x:c r="D65" s="2" t="n">
        <x:v>2212.5</x:v>
      </x:c>
      <x:c r="E65" s="2" t="n">
        <x:v>37</x:v>
      </x:c>
      <x:c r="F65" s="2" t="n">
        <x:v>-18</x:v>
      </x:c>
      <x:c r="G65" s="2" t="n">
        <x:v>0</x:v>
      </x:c>
      <x:c r="H65" s="2" t="n">
        <x:v>0</x:v>
      </x:c>
      <x:c r="I65" s="2" t="n">
        <x:v>1</x:v>
      </x:c>
      <x:c r="J65" s="2" t="n">
        <x:v>2.5</x:v>
      </x:c>
      <x:c r="K65" s="2" t="n">
        <x:v>10</x:v>
      </x:c>
      <x:c r="L65" s="2" t="str">
        <x:v>Blum173H7100 37/32; Ø2.5x10 tervezői próbaérték</x:v>
      </x:c>
    </x:row>
    <x:row r="66" ht="36" customHeight="1">
      <x:c r="A66" s="2" t="str">
        <x:v>H0181</x:v>
      </x:c>
      <x:c r="B66" s="2" t="str">
        <x:v>KI12-TV01S-01</x:v>
      </x:c>
      <x:c r="C66" s="2" t="str">
        <x:v>TALP_CSAVAR_ELOFURAT</x:v>
      </x:c>
      <x:c r="D66" s="2" t="n">
        <x:v>2244.5</x:v>
      </x:c>
      <x:c r="E66" s="2" t="n">
        <x:v>37</x:v>
      </x:c>
      <x:c r="F66" s="2" t="n">
        <x:v>-18</x:v>
      </x:c>
      <x:c r="G66" s="2" t="n">
        <x:v>0</x:v>
      </x:c>
      <x:c r="H66" s="2" t="n">
        <x:v>0</x:v>
      </x:c>
      <x:c r="I66" s="2" t="n">
        <x:v>1</x:v>
      </x:c>
      <x:c r="J66" s="2" t="n">
        <x:v>2.5</x:v>
      </x:c>
      <x:c r="K66" s="2" t="n">
        <x:v>10</x:v>
      </x:c>
      <x:c r="L66" s="2" t="str">
        <x:v>Blum173H7100 37/32; Ø2.5x10 tervezői próbaérték</x:v>
      </x:c>
    </x:row>
    <x:row r="67" ht="36" customHeight="1">
      <x:c r="A67" s="2" t="str">
        <x:v>H0182</x:v>
      </x:c>
      <x:c r="B67" s="2" t="str">
        <x:v>KI12-TV01F-02</x:v>
      </x:c>
      <x:c r="C67" s="2" t="str">
        <x:v>PANT_CSÉSZE</x:v>
      </x:c>
      <x:c r="D67" s="2" t="n">
        <x:v>100</x:v>
      </x:c>
      <x:c r="E67" s="2" t="n">
        <x:v>334</x:v>
      </x:c>
      <x:c r="F67" s="2" t="n">
        <x:v>0</x:v>
      </x:c>
      <x:c r="G67" s="2" t="n">
        <x:v>0</x:v>
      </x:c>
      <x:c r="H67" s="2" t="n">
        <x:v>0</x:v>
      </x:c>
      <x:c r="I67" s="2" t="n">
        <x:v>-1</x:v>
      </x:c>
      <x:c r="J67" s="2" t="n">
        <x:v>35</x:v>
      </x:c>
      <x:c r="K67" s="2" t="n">
        <x:v>13</x:v>
      </x:c>
      <x:c r="L67" s="2" t="str">
        <x:v>Blum 70T3550.TL datasheet:35/13; TB5.5, MD0 -&gt; FA16.5</x:v>
      </x:c>
    </x:row>
    <x:row r="68" ht="36" customHeight="1">
      <x:c r="A68" s="2" t="str">
        <x:v>H0183</x:v>
      </x:c>
      <x:c r="B68" s="2" t="str">
        <x:v>KI12-TV01F-02</x:v>
      </x:c>
      <x:c r="C68" s="2" t="str">
        <x:v>PANT_CSAVAR_ELOFURAT</x:v>
      </x:c>
      <x:c r="D68" s="2" t="n">
        <x:v>77.5</x:v>
      </x:c>
      <x:c r="E68" s="2" t="n">
        <x:v>343.5</x:v>
      </x:c>
      <x:c r="F68" s="2" t="n">
        <x:v>0</x:v>
      </x:c>
      <x:c r="G68" s="2" t="n">
        <x:v>0</x:v>
      </x:c>
      <x:c r="H68" s="2" t="n">
        <x:v>0</x:v>
      </x:c>
      <x:c r="I68" s="2" t="n">
        <x:v>-1</x:v>
      </x:c>
      <x:c r="J68" s="2" t="n">
        <x:v>2.5</x:v>
      </x:c>
      <x:c r="K68" s="2" t="n">
        <x:v>10</x:v>
      </x:c>
      <x:c r="L68" s="2" t="str">
        <x:v>45/9.5 gyári kiosztás; Ø2.5x10 próbadarabon igazolandó 3.5x15 csavarhoz</x:v>
      </x:c>
    </x:row>
    <x:row r="69" ht="36" customHeight="1">
      <x:c r="A69" s="2" t="str">
        <x:v>H0184</x:v>
      </x:c>
      <x:c r="B69" s="2" t="str">
        <x:v>KI12-TV01F-02</x:v>
      </x:c>
      <x:c r="C69" s="2" t="str">
        <x:v>PANT_CSAVAR_ELOFURAT</x:v>
      </x:c>
      <x:c r="D69" s="2" t="n">
        <x:v>122.5</x:v>
      </x:c>
      <x:c r="E69" s="2" t="n">
        <x:v>343.5</x:v>
      </x:c>
      <x:c r="F69" s="2" t="n">
        <x:v>0</x:v>
      </x:c>
      <x:c r="G69" s="2" t="n">
        <x:v>0</x:v>
      </x:c>
      <x:c r="H69" s="2" t="n">
        <x:v>0</x:v>
      </x:c>
      <x:c r="I69" s="2" t="n">
        <x:v>-1</x:v>
      </x:c>
      <x:c r="J69" s="2" t="n">
        <x:v>2.5</x:v>
      </x:c>
      <x:c r="K69" s="2" t="n">
        <x:v>10</x:v>
      </x:c>
      <x:c r="L69" s="2" t="str">
        <x:v>45/9.5 gyári kiosztás; Ø2.5x10 próbadarabon igazolandó 3.5x15 csavarhoz</x:v>
      </x:c>
    </x:row>
    <x:row r="70" ht="36" customHeight="1">
      <x:c r="A70" s="2" t="str">
        <x:v>H0185</x:v>
      </x:c>
      <x:c r="B70" s="2" t="str">
        <x:v>KI12-TV01S-02</x:v>
      </x:c>
      <x:c r="C70" s="2" t="str">
        <x:v>TALP_CSAVAR_ELOFURAT</x:v>
      </x:c>
      <x:c r="D70" s="2" t="n">
        <x:v>85.5</x:v>
      </x:c>
      <x:c r="E70" s="2" t="n">
        <x:v>37</x:v>
      </x:c>
      <x:c r="F70" s="2" t="n">
        <x:v>0</x:v>
      </x:c>
      <x:c r="G70" s="2" t="n">
        <x:v>0</x:v>
      </x:c>
      <x:c r="H70" s="2" t="n">
        <x:v>0</x:v>
      </x:c>
      <x:c r="I70" s="2" t="n">
        <x:v>-1</x:v>
      </x:c>
      <x:c r="J70" s="2" t="n">
        <x:v>2.5</x:v>
      </x:c>
      <x:c r="K70" s="2" t="n">
        <x:v>10</x:v>
      </x:c>
      <x:c r="L70" s="2" t="str">
        <x:v>Blum173H7100 37/32; Ø2.5x10 tervezői próbaérték</x:v>
      </x:c>
    </x:row>
    <x:row r="71" ht="36" customHeight="1">
      <x:c r="A71" s="2" t="str">
        <x:v>H0186</x:v>
      </x:c>
      <x:c r="B71" s="2" t="str">
        <x:v>KI12-TV01S-02</x:v>
      </x:c>
      <x:c r="C71" s="2" t="str">
        <x:v>TALP_CSAVAR_ELOFURAT</x:v>
      </x:c>
      <x:c r="D71" s="2" t="n">
        <x:v>117.5</x:v>
      </x:c>
      <x:c r="E71" s="2" t="n">
        <x:v>37</x:v>
      </x:c>
      <x:c r="F71" s="2" t="n">
        <x:v>0</x:v>
      </x:c>
      <x:c r="G71" s="2" t="n">
        <x:v>0</x:v>
      </x:c>
      <x:c r="H71" s="2" t="n">
        <x:v>0</x:v>
      </x:c>
      <x:c r="I71" s="2" t="n">
        <x:v>-1</x:v>
      </x:c>
      <x:c r="J71" s="2" t="n">
        <x:v>2.5</x:v>
      </x:c>
      <x:c r="K71" s="2" t="n">
        <x:v>10</x:v>
      </x:c>
      <x:c r="L71" s="2" t="str">
        <x:v>Blum173H7100 37/32; Ø2.5x10 tervezői próbaérték</x:v>
      </x:c>
    </x:row>
    <x:row r="72" ht="36" customHeight="1">
      <x:c r="A72" s="2" t="str">
        <x:v>H0187</x:v>
      </x:c>
      <x:c r="B72" s="2" t="str">
        <x:v>KI12-TV01F-02</x:v>
      </x:c>
      <x:c r="C72" s="2" t="str">
        <x:v>PANT_CSÉSZE</x:v>
      </x:c>
      <x:c r="D72" s="2" t="n">
        <x:v>631.75</x:v>
      </x:c>
      <x:c r="E72" s="2" t="n">
        <x:v>334</x:v>
      </x:c>
      <x:c r="F72" s="2" t="n">
        <x:v>0</x:v>
      </x:c>
      <x:c r="G72" s="2" t="n">
        <x:v>0</x:v>
      </x:c>
      <x:c r="H72" s="2" t="n">
        <x:v>0</x:v>
      </x:c>
      <x:c r="I72" s="2" t="n">
        <x:v>-1</x:v>
      </x:c>
      <x:c r="J72" s="2" t="n">
        <x:v>35</x:v>
      </x:c>
      <x:c r="K72" s="2" t="n">
        <x:v>13</x:v>
      </x:c>
      <x:c r="L72" s="2" t="str">
        <x:v>Blum 70T3550.TL datasheet:35/13; TB5.5, MD0 -&gt; FA16.5</x:v>
      </x:c>
    </x:row>
    <x:row r="73" ht="36" customHeight="1">
      <x:c r="A73" s="2" t="str">
        <x:v>H0188</x:v>
      </x:c>
      <x:c r="B73" s="2" t="str">
        <x:v>KI12-TV01F-02</x:v>
      </x:c>
      <x:c r="C73" s="2" t="str">
        <x:v>PANT_CSAVAR_ELOFURAT</x:v>
      </x:c>
      <x:c r="D73" s="2" t="n">
        <x:v>609.25</x:v>
      </x:c>
      <x:c r="E73" s="2" t="n">
        <x:v>343.5</x:v>
      </x:c>
      <x:c r="F73" s="2" t="n">
        <x:v>0</x:v>
      </x:c>
      <x:c r="G73" s="2" t="n">
        <x:v>0</x:v>
      </x:c>
      <x:c r="H73" s="2" t="n">
        <x:v>0</x:v>
      </x:c>
      <x:c r="I73" s="2" t="n">
        <x:v>-1</x:v>
      </x:c>
      <x:c r="J73" s="2" t="n">
        <x:v>2.5</x:v>
      </x:c>
      <x:c r="K73" s="2" t="n">
        <x:v>10</x:v>
      </x:c>
      <x:c r="L73" s="2" t="str">
        <x:v>45/9.5 gyári kiosztás; Ø2.5x10 próbadarabon igazolandó 3.5x15 csavarhoz</x:v>
      </x:c>
    </x:row>
    <x:row r="74" ht="36" customHeight="1">
      <x:c r="A74" s="2" t="str">
        <x:v>H0189</x:v>
      </x:c>
      <x:c r="B74" s="2" t="str">
        <x:v>KI12-TV01F-02</x:v>
      </x:c>
      <x:c r="C74" s="2" t="str">
        <x:v>PANT_CSAVAR_ELOFURAT</x:v>
      </x:c>
      <x:c r="D74" s="2" t="n">
        <x:v>654.25</x:v>
      </x:c>
      <x:c r="E74" s="2" t="n">
        <x:v>343.5</x:v>
      </x:c>
      <x:c r="F74" s="2" t="n">
        <x:v>0</x:v>
      </x:c>
      <x:c r="G74" s="2" t="n">
        <x:v>0</x:v>
      </x:c>
      <x:c r="H74" s="2" t="n">
        <x:v>0</x:v>
      </x:c>
      <x:c r="I74" s="2" t="n">
        <x:v>-1</x:v>
      </x:c>
      <x:c r="J74" s="2" t="n">
        <x:v>2.5</x:v>
      </x:c>
      <x:c r="K74" s="2" t="n">
        <x:v>10</x:v>
      </x:c>
      <x:c r="L74" s="2" t="str">
        <x:v>45/9.5 gyári kiosztás; Ø2.5x10 próbadarabon igazolandó 3.5x15 csavarhoz</x:v>
      </x:c>
    </x:row>
    <x:row r="75" ht="36" customHeight="1">
      <x:c r="A75" s="2" t="str">
        <x:v>H0190</x:v>
      </x:c>
      <x:c r="B75" s="2" t="str">
        <x:v>KI12-TV01S-02</x:v>
      </x:c>
      <x:c r="C75" s="2" t="str">
        <x:v>TALP_CSAVAR_ELOFURAT</x:v>
      </x:c>
      <x:c r="D75" s="2" t="n">
        <x:v>617.25</x:v>
      </x:c>
      <x:c r="E75" s="2" t="n">
        <x:v>37</x:v>
      </x:c>
      <x:c r="F75" s="2" t="n">
        <x:v>0</x:v>
      </x:c>
      <x:c r="G75" s="2" t="n">
        <x:v>0</x:v>
      </x:c>
      <x:c r="H75" s="2" t="n">
        <x:v>0</x:v>
      </x:c>
      <x:c r="I75" s="2" t="n">
        <x:v>-1</x:v>
      </x:c>
      <x:c r="J75" s="2" t="n">
        <x:v>2.5</x:v>
      </x:c>
      <x:c r="K75" s="2" t="n">
        <x:v>10</x:v>
      </x:c>
      <x:c r="L75" s="2" t="str">
        <x:v>Blum173H7100 37/32; Ø2.5x10 tervezői próbaérték</x:v>
      </x:c>
    </x:row>
    <x:row r="76" ht="36" customHeight="1">
      <x:c r="A76" s="2" t="str">
        <x:v>H0191</x:v>
      </x:c>
      <x:c r="B76" s="2" t="str">
        <x:v>KI12-TV01S-02</x:v>
      </x:c>
      <x:c r="C76" s="2" t="str">
        <x:v>TALP_CSAVAR_ELOFURAT</x:v>
      </x:c>
      <x:c r="D76" s="2" t="n">
        <x:v>649.25</x:v>
      </x:c>
      <x:c r="E76" s="2" t="n">
        <x:v>37</x:v>
      </x:c>
      <x:c r="F76" s="2" t="n">
        <x:v>0</x:v>
      </x:c>
      <x:c r="G76" s="2" t="n">
        <x:v>0</x:v>
      </x:c>
      <x:c r="H76" s="2" t="n">
        <x:v>0</x:v>
      </x:c>
      <x:c r="I76" s="2" t="n">
        <x:v>-1</x:v>
      </x:c>
      <x:c r="J76" s="2" t="n">
        <x:v>2.5</x:v>
      </x:c>
      <x:c r="K76" s="2" t="n">
        <x:v>10</x:v>
      </x:c>
      <x:c r="L76" s="2" t="str">
        <x:v>Blum173H7100 37/32; Ø2.5x10 tervezői próbaérték</x:v>
      </x:c>
    </x:row>
    <x:row r="77" ht="36" customHeight="1">
      <x:c r="A77" s="2" t="str">
        <x:v>H0192</x:v>
      </x:c>
      <x:c r="B77" s="2" t="str">
        <x:v>KI12-TV01F-02</x:v>
      </x:c>
      <x:c r="C77" s="2" t="str">
        <x:v>PANT_CSÉSZE</x:v>
      </x:c>
      <x:c r="D77" s="2" t="n">
        <x:v>1163.5</x:v>
      </x:c>
      <x:c r="E77" s="2" t="n">
        <x:v>334</x:v>
      </x:c>
      <x:c r="F77" s="2" t="n">
        <x:v>0</x:v>
      </x:c>
      <x:c r="G77" s="2" t="n">
        <x:v>0</x:v>
      </x:c>
      <x:c r="H77" s="2" t="n">
        <x:v>0</x:v>
      </x:c>
      <x:c r="I77" s="2" t="n">
        <x:v>-1</x:v>
      </x:c>
      <x:c r="J77" s="2" t="n">
        <x:v>35</x:v>
      </x:c>
      <x:c r="K77" s="2" t="n">
        <x:v>13</x:v>
      </x:c>
      <x:c r="L77" s="2" t="str">
        <x:v>Blum 70T3550.TL datasheet:35/13; TB5.5, MD0 -&gt; FA16.5</x:v>
      </x:c>
    </x:row>
    <x:row r="78" ht="36" customHeight="1">
      <x:c r="A78" s="2" t="str">
        <x:v>H0193</x:v>
      </x:c>
      <x:c r="B78" s="2" t="str">
        <x:v>KI12-TV01F-02</x:v>
      </x:c>
      <x:c r="C78" s="2" t="str">
        <x:v>PANT_CSAVAR_ELOFURAT</x:v>
      </x:c>
      <x:c r="D78" s="2" t="n">
        <x:v>1141</x:v>
      </x:c>
      <x:c r="E78" s="2" t="n">
        <x:v>343.5</x:v>
      </x:c>
      <x:c r="F78" s="2" t="n">
        <x:v>0</x:v>
      </x:c>
      <x:c r="G78" s="2" t="n">
        <x:v>0</x:v>
      </x:c>
      <x:c r="H78" s="2" t="n">
        <x:v>0</x:v>
      </x:c>
      <x:c r="I78" s="2" t="n">
        <x:v>-1</x:v>
      </x:c>
      <x:c r="J78" s="2" t="n">
        <x:v>2.5</x:v>
      </x:c>
      <x:c r="K78" s="2" t="n">
        <x:v>10</x:v>
      </x:c>
      <x:c r="L78" s="2" t="str">
        <x:v>45/9.5 gyári kiosztás; Ø2.5x10 próbadarabon igazolandó 3.5x15 csavarhoz</x:v>
      </x:c>
    </x:row>
    <x:row r="79" ht="36" customHeight="1">
      <x:c r="A79" s="2" t="str">
        <x:v>H0194</x:v>
      </x:c>
      <x:c r="B79" s="2" t="str">
        <x:v>KI12-TV01F-02</x:v>
      </x:c>
      <x:c r="C79" s="2" t="str">
        <x:v>PANT_CSAVAR_ELOFURAT</x:v>
      </x:c>
      <x:c r="D79" s="2" t="n">
        <x:v>1186</x:v>
      </x:c>
      <x:c r="E79" s="2" t="n">
        <x:v>343.5</x:v>
      </x:c>
      <x:c r="F79" s="2" t="n">
        <x:v>0</x:v>
      </x:c>
      <x:c r="G79" s="2" t="n">
        <x:v>0</x:v>
      </x:c>
      <x:c r="H79" s="2" t="n">
        <x:v>0</x:v>
      </x:c>
      <x:c r="I79" s="2" t="n">
        <x:v>-1</x:v>
      </x:c>
      <x:c r="J79" s="2" t="n">
        <x:v>2.5</x:v>
      </x:c>
      <x:c r="K79" s="2" t="n">
        <x:v>10</x:v>
      </x:c>
      <x:c r="L79" s="2" t="str">
        <x:v>45/9.5 gyári kiosztás; Ø2.5x10 próbadarabon igazolandó 3.5x15 csavarhoz</x:v>
      </x:c>
    </x:row>
    <x:row r="80" ht="36" customHeight="1">
      <x:c r="A80" s="2" t="str">
        <x:v>H0195</x:v>
      </x:c>
      <x:c r="B80" s="2" t="str">
        <x:v>KI12-TV01S-02</x:v>
      </x:c>
      <x:c r="C80" s="2" t="str">
        <x:v>TALP_CSAVAR_ELOFURAT</x:v>
      </x:c>
      <x:c r="D80" s="2" t="n">
        <x:v>1149</x:v>
      </x:c>
      <x:c r="E80" s="2" t="n">
        <x:v>37</x:v>
      </x:c>
      <x:c r="F80" s="2" t="n">
        <x:v>0</x:v>
      </x:c>
      <x:c r="G80" s="2" t="n">
        <x:v>0</x:v>
      </x:c>
      <x:c r="H80" s="2" t="n">
        <x:v>0</x:v>
      </x:c>
      <x:c r="I80" s="2" t="n">
        <x:v>-1</x:v>
      </x:c>
      <x:c r="J80" s="2" t="n">
        <x:v>2.5</x:v>
      </x:c>
      <x:c r="K80" s="2" t="n">
        <x:v>10</x:v>
      </x:c>
      <x:c r="L80" s="2" t="str">
        <x:v>Blum173H7100 37/32; Ø2.5x10 tervezői próbaérték</x:v>
      </x:c>
    </x:row>
    <x:row r="81" ht="36" customHeight="1">
      <x:c r="A81" s="2" t="str">
        <x:v>H0196</x:v>
      </x:c>
      <x:c r="B81" s="2" t="str">
        <x:v>KI12-TV01S-02</x:v>
      </x:c>
      <x:c r="C81" s="2" t="str">
        <x:v>TALP_CSAVAR_ELOFURAT</x:v>
      </x:c>
      <x:c r="D81" s="2" t="n">
        <x:v>1181</x:v>
      </x:c>
      <x:c r="E81" s="2" t="n">
        <x:v>37</x:v>
      </x:c>
      <x:c r="F81" s="2" t="n">
        <x:v>0</x:v>
      </x:c>
      <x:c r="G81" s="2" t="n">
        <x:v>0</x:v>
      </x:c>
      <x:c r="H81" s="2" t="n">
        <x:v>0</x:v>
      </x:c>
      <x:c r="I81" s="2" t="n">
        <x:v>-1</x:v>
      </x:c>
      <x:c r="J81" s="2" t="n">
        <x:v>2.5</x:v>
      </x:c>
      <x:c r="K81" s="2" t="n">
        <x:v>10</x:v>
      </x:c>
      <x:c r="L81" s="2" t="str">
        <x:v>Blum173H7100 37/32; Ø2.5x10 tervezői próbaérték</x:v>
      </x:c>
    </x:row>
    <x:row r="82" ht="36" customHeight="1">
      <x:c r="A82" s="2" t="str">
        <x:v>H0197</x:v>
      </x:c>
      <x:c r="B82" s="2" t="str">
        <x:v>KI12-TV01F-02</x:v>
      </x:c>
      <x:c r="C82" s="2" t="str">
        <x:v>PANT_CSÉSZE</x:v>
      </x:c>
      <x:c r="D82" s="2" t="n">
        <x:v>1695.25</x:v>
      </x:c>
      <x:c r="E82" s="2" t="n">
        <x:v>334</x:v>
      </x:c>
      <x:c r="F82" s="2" t="n">
        <x:v>0</x:v>
      </x:c>
      <x:c r="G82" s="2" t="n">
        <x:v>0</x:v>
      </x:c>
      <x:c r="H82" s="2" t="n">
        <x:v>0</x:v>
      </x:c>
      <x:c r="I82" s="2" t="n">
        <x:v>-1</x:v>
      </x:c>
      <x:c r="J82" s="2" t="n">
        <x:v>35</x:v>
      </x:c>
      <x:c r="K82" s="2" t="n">
        <x:v>13</x:v>
      </x:c>
      <x:c r="L82" s="2" t="str">
        <x:v>Blum 70T3550.TL datasheet:35/13; TB5.5, MD0 -&gt; FA16.5</x:v>
      </x:c>
    </x:row>
    <x:row r="83" ht="36" customHeight="1">
      <x:c r="A83" s="2" t="str">
        <x:v>H0198</x:v>
      </x:c>
      <x:c r="B83" s="2" t="str">
        <x:v>KI12-TV01F-02</x:v>
      </x:c>
      <x:c r="C83" s="2" t="str">
        <x:v>PANT_CSAVAR_ELOFURAT</x:v>
      </x:c>
      <x:c r="D83" s="2" t="n">
        <x:v>1672.75</x:v>
      </x:c>
      <x:c r="E83" s="2" t="n">
        <x:v>343.5</x:v>
      </x:c>
      <x:c r="F83" s="2" t="n">
        <x:v>0</x:v>
      </x:c>
      <x:c r="G83" s="2" t="n">
        <x:v>0</x:v>
      </x:c>
      <x:c r="H83" s="2" t="n">
        <x:v>0</x:v>
      </x:c>
      <x:c r="I83" s="2" t="n">
        <x:v>-1</x:v>
      </x:c>
      <x:c r="J83" s="2" t="n">
        <x:v>2.5</x:v>
      </x:c>
      <x:c r="K83" s="2" t="n">
        <x:v>10</x:v>
      </x:c>
      <x:c r="L83" s="2" t="str">
        <x:v>45/9.5 gyári kiosztás; Ø2.5x10 próbadarabon igazolandó 3.5x15 csavarhoz</x:v>
      </x:c>
    </x:row>
    <x:row r="84" ht="36" customHeight="1">
      <x:c r="A84" s="2" t="str">
        <x:v>H0199</x:v>
      </x:c>
      <x:c r="B84" s="2" t="str">
        <x:v>KI12-TV01F-02</x:v>
      </x:c>
      <x:c r="C84" s="2" t="str">
        <x:v>PANT_CSAVAR_ELOFURAT</x:v>
      </x:c>
      <x:c r="D84" s="2" t="n">
        <x:v>1717.75</x:v>
      </x:c>
      <x:c r="E84" s="2" t="n">
        <x:v>343.5</x:v>
      </x:c>
      <x:c r="F84" s="2" t="n">
        <x:v>0</x:v>
      </x:c>
      <x:c r="G84" s="2" t="n">
        <x:v>0</x:v>
      </x:c>
      <x:c r="H84" s="2" t="n">
        <x:v>0</x:v>
      </x:c>
      <x:c r="I84" s="2" t="n">
        <x:v>-1</x:v>
      </x:c>
      <x:c r="J84" s="2" t="n">
        <x:v>2.5</x:v>
      </x:c>
      <x:c r="K84" s="2" t="n">
        <x:v>10</x:v>
      </x:c>
      <x:c r="L84" s="2" t="str">
        <x:v>45/9.5 gyári kiosztás; Ø2.5x10 próbadarabon igazolandó 3.5x15 csavarhoz</x:v>
      </x:c>
    </x:row>
    <x:row r="85" ht="36" customHeight="1">
      <x:c r="A85" s="2" t="str">
        <x:v>H0200</x:v>
      </x:c>
      <x:c r="B85" s="2" t="str">
        <x:v>KI12-TV01S-02</x:v>
      </x:c>
      <x:c r="C85" s="2" t="str">
        <x:v>TALP_CSAVAR_ELOFURAT</x:v>
      </x:c>
      <x:c r="D85" s="2" t="n">
        <x:v>1680.75</x:v>
      </x:c>
      <x:c r="E85" s="2" t="n">
        <x:v>37</x:v>
      </x:c>
      <x:c r="F85" s="2" t="n">
        <x:v>0</x:v>
      </x:c>
      <x:c r="G85" s="2" t="n">
        <x:v>0</x:v>
      </x:c>
      <x:c r="H85" s="2" t="n">
        <x:v>0</x:v>
      </x:c>
      <x:c r="I85" s="2" t="n">
        <x:v>-1</x:v>
      </x:c>
      <x:c r="J85" s="2" t="n">
        <x:v>2.5</x:v>
      </x:c>
      <x:c r="K85" s="2" t="n">
        <x:v>10</x:v>
      </x:c>
      <x:c r="L85" s="2" t="str">
        <x:v>Blum173H7100 37/32; Ø2.5x10 tervezői próbaérték</x:v>
      </x:c>
    </x:row>
    <x:row r="86" ht="36" customHeight="1">
      <x:c r="A86" s="2" t="str">
        <x:v>H0201</x:v>
      </x:c>
      <x:c r="B86" s="2" t="str">
        <x:v>KI12-TV01S-02</x:v>
      </x:c>
      <x:c r="C86" s="2" t="str">
        <x:v>TALP_CSAVAR_ELOFURAT</x:v>
      </x:c>
      <x:c r="D86" s="2" t="n">
        <x:v>1712.75</x:v>
      </x:c>
      <x:c r="E86" s="2" t="n">
        <x:v>37</x:v>
      </x:c>
      <x:c r="F86" s="2" t="n">
        <x:v>0</x:v>
      </x:c>
      <x:c r="G86" s="2" t="n">
        <x:v>0</x:v>
      </x:c>
      <x:c r="H86" s="2" t="n">
        <x:v>0</x:v>
      </x:c>
      <x:c r="I86" s="2" t="n">
        <x:v>-1</x:v>
      </x:c>
      <x:c r="J86" s="2" t="n">
        <x:v>2.5</x:v>
      </x:c>
      <x:c r="K86" s="2" t="n">
        <x:v>10</x:v>
      </x:c>
      <x:c r="L86" s="2" t="str">
        <x:v>Blum173H7100 37/32; Ø2.5x10 tervezői próbaérték</x:v>
      </x:c>
    </x:row>
    <x:row r="87" ht="36" customHeight="1">
      <x:c r="A87" s="2" t="str">
        <x:v>H0202</x:v>
      </x:c>
      <x:c r="B87" s="2" t="str">
        <x:v>KI12-TV01F-02</x:v>
      </x:c>
      <x:c r="C87" s="2" t="str">
        <x:v>PANT_CSÉSZE</x:v>
      </x:c>
      <x:c r="D87" s="2" t="n">
        <x:v>2227</x:v>
      </x:c>
      <x:c r="E87" s="2" t="n">
        <x:v>334</x:v>
      </x:c>
      <x:c r="F87" s="2" t="n">
        <x:v>0</x:v>
      </x:c>
      <x:c r="G87" s="2" t="n">
        <x:v>0</x:v>
      </x:c>
      <x:c r="H87" s="2" t="n">
        <x:v>0</x:v>
      </x:c>
      <x:c r="I87" s="2" t="n">
        <x:v>-1</x:v>
      </x:c>
      <x:c r="J87" s="2" t="n">
        <x:v>35</x:v>
      </x:c>
      <x:c r="K87" s="2" t="n">
        <x:v>13</x:v>
      </x:c>
      <x:c r="L87" s="2" t="str">
        <x:v>Blum 70T3550.TL datasheet:35/13; TB5.5, MD0 -&gt; FA16.5</x:v>
      </x:c>
    </x:row>
    <x:row r="88" ht="36" customHeight="1">
      <x:c r="A88" s="2" t="str">
        <x:v>H0203</x:v>
      </x:c>
      <x:c r="B88" s="2" t="str">
        <x:v>KI12-TV01F-02</x:v>
      </x:c>
      <x:c r="C88" s="2" t="str">
        <x:v>PANT_CSAVAR_ELOFURAT</x:v>
      </x:c>
      <x:c r="D88" s="2" t="n">
        <x:v>2204.5</x:v>
      </x:c>
      <x:c r="E88" s="2" t="n">
        <x:v>343.5</x:v>
      </x:c>
      <x:c r="F88" s="2" t="n">
        <x:v>0</x:v>
      </x:c>
      <x:c r="G88" s="2" t="n">
        <x:v>0</x:v>
      </x:c>
      <x:c r="H88" s="2" t="n">
        <x:v>0</x:v>
      </x:c>
      <x:c r="I88" s="2" t="n">
        <x:v>-1</x:v>
      </x:c>
      <x:c r="J88" s="2" t="n">
        <x:v>2.5</x:v>
      </x:c>
      <x:c r="K88" s="2" t="n">
        <x:v>10</x:v>
      </x:c>
      <x:c r="L88" s="2" t="str">
        <x:v>45/9.5 gyári kiosztás; Ø2.5x10 próbadarabon igazolandó 3.5x15 csavarhoz</x:v>
      </x:c>
    </x:row>
    <x:row r="89" ht="36" customHeight="1">
      <x:c r="A89" s="2" t="str">
        <x:v>H0204</x:v>
      </x:c>
      <x:c r="B89" s="2" t="str">
        <x:v>KI12-TV01F-02</x:v>
      </x:c>
      <x:c r="C89" s="2" t="str">
        <x:v>PANT_CSAVAR_ELOFURAT</x:v>
      </x:c>
      <x:c r="D89" s="2" t="n">
        <x:v>2249.5</x:v>
      </x:c>
      <x:c r="E89" s="2" t="n">
        <x:v>343.5</x:v>
      </x:c>
      <x:c r="F89" s="2" t="n">
        <x:v>0</x:v>
      </x:c>
      <x:c r="G89" s="2" t="n">
        <x:v>0</x:v>
      </x:c>
      <x:c r="H89" s="2" t="n">
        <x:v>0</x:v>
      </x:c>
      <x:c r="I89" s="2" t="n">
        <x:v>-1</x:v>
      </x:c>
      <x:c r="J89" s="2" t="n">
        <x:v>2.5</x:v>
      </x:c>
      <x:c r="K89" s="2" t="n">
        <x:v>10</x:v>
      </x:c>
      <x:c r="L89" s="2" t="str">
        <x:v>45/9.5 gyári kiosztás; Ø2.5x10 próbadarabon igazolandó 3.5x15 csavarhoz</x:v>
      </x:c>
    </x:row>
    <x:row r="90" ht="36" customHeight="1">
      <x:c r="A90" s="2" t="str">
        <x:v>H0205</x:v>
      </x:c>
      <x:c r="B90" s="2" t="str">
        <x:v>KI12-TV01S-02</x:v>
      </x:c>
      <x:c r="C90" s="2" t="str">
        <x:v>TALP_CSAVAR_ELOFURAT</x:v>
      </x:c>
      <x:c r="D90" s="2" t="n">
        <x:v>2212.5</x:v>
      </x:c>
      <x:c r="E90" s="2" t="n">
        <x:v>37</x:v>
      </x:c>
      <x:c r="F90" s="2" t="n">
        <x:v>0</x:v>
      </x:c>
      <x:c r="G90" s="2" t="n">
        <x:v>0</x:v>
      </x:c>
      <x:c r="H90" s="2" t="n">
        <x:v>0</x:v>
      </x:c>
      <x:c r="I90" s="2" t="n">
        <x:v>-1</x:v>
      </x:c>
      <x:c r="J90" s="2" t="n">
        <x:v>2.5</x:v>
      </x:c>
      <x:c r="K90" s="2" t="n">
        <x:v>10</x:v>
      </x:c>
      <x:c r="L90" s="2" t="str">
        <x:v>Blum173H7100 37/32; Ø2.5x10 tervezői próbaérték</x:v>
      </x:c>
    </x:row>
    <x:row r="91" ht="36" customHeight="1">
      <x:c r="A91" s="2" t="str">
        <x:v>H0206</x:v>
      </x:c>
      <x:c r="B91" s="2" t="str">
        <x:v>KI12-TV01S-02</x:v>
      </x:c>
      <x:c r="C91" s="2" t="str">
        <x:v>TALP_CSAVAR_ELOFURAT</x:v>
      </x:c>
      <x:c r="D91" s="2" t="n">
        <x:v>2244.5</x:v>
      </x:c>
      <x:c r="E91" s="2" t="n">
        <x:v>37</x:v>
      </x:c>
      <x:c r="F91" s="2" t="n">
        <x:v>0</x:v>
      </x:c>
      <x:c r="G91" s="2" t="n">
        <x:v>0</x:v>
      </x:c>
      <x:c r="H91" s="2" t="n">
        <x:v>0</x:v>
      </x:c>
      <x:c r="I91" s="2" t="n">
        <x:v>-1</x:v>
      </x:c>
      <x:c r="J91" s="2" t="n">
        <x:v>2.5</x:v>
      </x:c>
      <x:c r="K91" s="2" t="n">
        <x:v>10</x:v>
      </x:c>
      <x:c r="L91" s="2" t="str">
        <x:v>Blum173H7100 37/32; Ø2.5x10 tervezői próbaérték</x:v>
      </x:c>
    </x:row>
    <x:row r="92" ht="36" customHeight="1">
      <x:c r="A92" s="2" t="str">
        <x:v>H0237</x:v>
      </x:c>
      <x:c r="B92" s="2" t="str">
        <x:v>KI12-TV01S-01</x:v>
      </x:c>
      <x:c r="C92" s="2" t="str">
        <x:v>POLCTARTO</x:v>
      </x:c>
      <x:c r="D92" s="2" t="n">
        <x:v>382.5</x:v>
      </x:c>
      <x:c r="E92" s="2" t="n">
        <x:v>50</x:v>
      </x:c>
      <x:c r="F92" s="2" t="n">
        <x:v>-18</x:v>
      </x:c>
      <x:c r="G92" s="2" t="n">
        <x:v>0</x:v>
      </x:c>
      <x:c r="H92" s="2" t="n">
        <x:v>0</x:v>
      </x:c>
      <x:c r="I92" s="2" t="n">
        <x:v>1</x:v>
      </x:c>
      <x:c r="J92" s="2" t="n">
        <x:v>5</x:v>
      </x:c>
      <x:c r="K92" s="2" t="n">
        <x:v>8</x:v>
      </x:c>
      <x:c r="L92" s="2" t="str">
        <x:v>Ø5 csapos, lapos felfekvésű polctartó; 8mm beülés, tervezési specifikáció</x:v>
      </x:c>
    </x:row>
    <x:row r="93" ht="36" customHeight="1">
      <x:c r="A93" s="2" t="str">
        <x:v>H0238</x:v>
      </x:c>
      <x:c r="B93" s="2" t="str">
        <x:v>KI12-TV01S-01</x:v>
      </x:c>
      <x:c r="C93" s="2" t="str">
        <x:v>POLCTARTO</x:v>
      </x:c>
      <x:c r="D93" s="2" t="n">
        <x:v>382.5</x:v>
      </x:c>
      <x:c r="E93" s="2" t="n">
        <x:v>280</x:v>
      </x:c>
      <x:c r="F93" s="2" t="n">
        <x:v>-18</x:v>
      </x:c>
      <x:c r="G93" s="2" t="n">
        <x:v>0</x:v>
      </x:c>
      <x:c r="H93" s="2" t="n">
        <x:v>0</x:v>
      </x:c>
      <x:c r="I93" s="2" t="n">
        <x:v>1</x:v>
      </x:c>
      <x:c r="J93" s="2" t="n">
        <x:v>5</x:v>
      </x:c>
      <x:c r="K93" s="2" t="n">
        <x:v>8</x:v>
      </x:c>
      <x:c r="L93" s="2" t="str">
        <x:v>Ø5 csapos, lapos felfekvésű polctartó; 8mm beülés, tervezési specifikáció</x:v>
      </x:c>
    </x:row>
    <x:row r="94" ht="36" customHeight="1">
      <x:c r="A94" s="2" t="str">
        <x:v>H0239</x:v>
      </x:c>
      <x:c r="B94" s="2" t="str">
        <x:v>KI12-TV01C-01</x:v>
      </x:c>
      <x:c r="C94" s="2" t="str">
        <x:v>POLCTARTO</x:v>
      </x:c>
      <x:c r="D94" s="2" t="n">
        <x:v>364.5</x:v>
      </x:c>
      <x:c r="E94" s="2" t="n">
        <x:v>50</x:v>
      </x:c>
      <x:c r="F94" s="2" t="n">
        <x:v>0</x:v>
      </x:c>
      <x:c r="G94" s="2" t="n">
        <x:v>0</x:v>
      </x:c>
      <x:c r="H94" s="2" t="n">
        <x:v>0</x:v>
      </x:c>
      <x:c r="I94" s="2" t="n">
        <x:v>-1</x:v>
      </x:c>
      <x:c r="J94" s="2" t="n">
        <x:v>5</x:v>
      </x:c>
      <x:c r="K94" s="2" t="n">
        <x:v>8</x:v>
      </x:c>
      <x:c r="L94" s="2" t="str">
        <x:v>Ø5 csapos, lapos felfekvésű polctartó; 8mm beülés, tervezési specifikáció</x:v>
      </x:c>
    </x:row>
    <x:row r="95" ht="36" customHeight="1">
      <x:c r="A95" s="2" t="str">
        <x:v>H0240</x:v>
      </x:c>
      <x:c r="B95" s="2" t="str">
        <x:v>KI12-TV01C-01</x:v>
      </x:c>
      <x:c r="C95" s="2" t="str">
        <x:v>POLCTARTO</x:v>
      </x:c>
      <x:c r="D95" s="2" t="n">
        <x:v>364.5</x:v>
      </x:c>
      <x:c r="E95" s="2" t="n">
        <x:v>280</x:v>
      </x:c>
      <x:c r="F95" s="2" t="n">
        <x:v>0</x:v>
      </x:c>
      <x:c r="G95" s="2" t="n">
        <x:v>0</x:v>
      </x:c>
      <x:c r="H95" s="2" t="n">
        <x:v>0</x:v>
      </x:c>
      <x:c r="I95" s="2" t="n">
        <x:v>-1</x:v>
      </x:c>
      <x:c r="J95" s="2" t="n">
        <x:v>5</x:v>
      </x:c>
      <x:c r="K95" s="2" t="n">
        <x:v>8</x:v>
      </x:c>
      <x:c r="L95" s="2" t="str">
        <x:v>Ø5 csapos, lapos felfekvésű polctartó; 8mm beülés, tervezési specifikáció</x:v>
      </x:c>
    </x:row>
    <x:row r="96" ht="36" customHeight="1">
      <x:c r="A96" s="2" t="str">
        <x:v>H0241</x:v>
      </x:c>
      <x:c r="B96" s="2" t="str">
        <x:v>KI12-TV01S-01</x:v>
      </x:c>
      <x:c r="C96" s="2" t="str">
        <x:v>POLCTARTO</x:v>
      </x:c>
      <x:c r="D96" s="2" t="n">
        <x:v>767.5</x:v>
      </x:c>
      <x:c r="E96" s="2" t="n">
        <x:v>50</x:v>
      </x:c>
      <x:c r="F96" s="2" t="n">
        <x:v>-18</x:v>
      </x:c>
      <x:c r="G96" s="2" t="n">
        <x:v>0</x:v>
      </x:c>
      <x:c r="H96" s="2" t="n">
        <x:v>0</x:v>
      </x:c>
      <x:c r="I96" s="2" t="n">
        <x:v>1</x:v>
      </x:c>
      <x:c r="J96" s="2" t="n">
        <x:v>5</x:v>
      </x:c>
      <x:c r="K96" s="2" t="n">
        <x:v>8</x:v>
      </x:c>
      <x:c r="L96" s="2" t="str">
        <x:v>Ø5 csapos, lapos felfekvésű polctartó; 8mm beülés, tervezési specifikáció</x:v>
      </x:c>
    </x:row>
    <x:row r="97" ht="36" customHeight="1">
      <x:c r="A97" s="2" t="str">
        <x:v>H0242</x:v>
      </x:c>
      <x:c r="B97" s="2" t="str">
        <x:v>KI12-TV01S-01</x:v>
      </x:c>
      <x:c r="C97" s="2" t="str">
        <x:v>POLCTARTO</x:v>
      </x:c>
      <x:c r="D97" s="2" t="n">
        <x:v>767.5</x:v>
      </x:c>
      <x:c r="E97" s="2" t="n">
        <x:v>280</x:v>
      </x:c>
      <x:c r="F97" s="2" t="n">
        <x:v>-18</x:v>
      </x:c>
      <x:c r="G97" s="2" t="n">
        <x:v>0</x:v>
      </x:c>
      <x:c r="H97" s="2" t="n">
        <x:v>0</x:v>
      </x:c>
      <x:c r="I97" s="2" t="n">
        <x:v>1</x:v>
      </x:c>
      <x:c r="J97" s="2" t="n">
        <x:v>5</x:v>
      </x:c>
      <x:c r="K97" s="2" t="n">
        <x:v>8</x:v>
      </x:c>
      <x:c r="L97" s="2" t="str">
        <x:v>Ø5 csapos, lapos felfekvésű polctartó; 8mm beülés, tervezési specifikáció</x:v>
      </x:c>
    </x:row>
    <x:row r="98" ht="36" customHeight="1">
      <x:c r="A98" s="2" t="str">
        <x:v>H0243</x:v>
      </x:c>
      <x:c r="B98" s="2" t="str">
        <x:v>KI12-TV01C-01</x:v>
      </x:c>
      <x:c r="C98" s="2" t="str">
        <x:v>POLCTARTO</x:v>
      </x:c>
      <x:c r="D98" s="2" t="n">
        <x:v>749.5</x:v>
      </x:c>
      <x:c r="E98" s="2" t="n">
        <x:v>50</x:v>
      </x:c>
      <x:c r="F98" s="2" t="n">
        <x:v>0</x:v>
      </x:c>
      <x:c r="G98" s="2" t="n">
        <x:v>0</x:v>
      </x:c>
      <x:c r="H98" s="2" t="n">
        <x:v>0</x:v>
      </x:c>
      <x:c r="I98" s="2" t="n">
        <x:v>-1</x:v>
      </x:c>
      <x:c r="J98" s="2" t="n">
        <x:v>5</x:v>
      </x:c>
      <x:c r="K98" s="2" t="n">
        <x:v>8</x:v>
      </x:c>
      <x:c r="L98" s="2" t="str">
        <x:v>Ø5 csapos, lapos felfekvésű polctartó; 8mm beülés, tervezési specifikáció</x:v>
      </x:c>
    </x:row>
    <x:row r="99" ht="36" customHeight="1">
      <x:c r="A99" s="2" t="str">
        <x:v>H0244</x:v>
      </x:c>
      <x:c r="B99" s="2" t="str">
        <x:v>KI12-TV01C-01</x:v>
      </x:c>
      <x:c r="C99" s="2" t="str">
        <x:v>POLCTARTO</x:v>
      </x:c>
      <x:c r="D99" s="2" t="n">
        <x:v>749.5</x:v>
      </x:c>
      <x:c r="E99" s="2" t="n">
        <x:v>280</x:v>
      </x:c>
      <x:c r="F99" s="2" t="n">
        <x:v>0</x:v>
      </x:c>
      <x:c r="G99" s="2" t="n">
        <x:v>0</x:v>
      </x:c>
      <x:c r="H99" s="2" t="n">
        <x:v>0</x:v>
      </x:c>
      <x:c r="I99" s="2" t="n">
        <x:v>-1</x:v>
      </x:c>
      <x:c r="J99" s="2" t="n">
        <x:v>5</x:v>
      </x:c>
      <x:c r="K99" s="2" t="n">
        <x:v>8</x:v>
      </x:c>
      <x:c r="L99" s="2" t="str">
        <x:v>Ø5 csapos, lapos felfekvésű polctartó; 8mm beülés, tervezési specifikáció</x:v>
      </x:c>
    </x:row>
    <x:row r="100" ht="36" customHeight="1">
      <x:c r="A100" s="2" t="str">
        <x:v>H0245</x:v>
      </x:c>
      <x:c r="B100" s="2" t="str">
        <x:v>KI12-TV01S-01</x:v>
      </x:c>
      <x:c r="C100" s="2" t="str">
        <x:v>POLCTARTO</x:v>
      </x:c>
      <x:c r="D100" s="2" t="n">
        <x:v>1152.5</x:v>
      </x:c>
      <x:c r="E100" s="2" t="n">
        <x:v>50</x:v>
      </x:c>
      <x:c r="F100" s="2" t="n">
        <x:v>-18</x:v>
      </x:c>
      <x:c r="G100" s="2" t="n">
        <x:v>0</x:v>
      </x:c>
      <x:c r="H100" s="2" t="n">
        <x:v>0</x:v>
      </x:c>
      <x:c r="I100" s="2" t="n">
        <x:v>1</x:v>
      </x:c>
      <x:c r="J100" s="2" t="n">
        <x:v>5</x:v>
      </x:c>
      <x:c r="K100" s="2" t="n">
        <x:v>8</x:v>
      </x:c>
      <x:c r="L100" s="2" t="str">
        <x:v>Ø5 csapos, lapos felfekvésű polctartó; 8mm beülés, tervezési specifikáció</x:v>
      </x:c>
    </x:row>
    <x:row r="101" ht="36" customHeight="1">
      <x:c r="A101" s="2" t="str">
        <x:v>H0246</x:v>
      </x:c>
      <x:c r="B101" s="2" t="str">
        <x:v>KI12-TV01S-01</x:v>
      </x:c>
      <x:c r="C101" s="2" t="str">
        <x:v>POLCTARTO</x:v>
      </x:c>
      <x:c r="D101" s="2" t="n">
        <x:v>1152.5</x:v>
      </x:c>
      <x:c r="E101" s="2" t="n">
        <x:v>280</x:v>
      </x:c>
      <x:c r="F101" s="2" t="n">
        <x:v>-18</x:v>
      </x:c>
      <x:c r="G101" s="2" t="n">
        <x:v>0</x:v>
      </x:c>
      <x:c r="H101" s="2" t="n">
        <x:v>0</x:v>
      </x:c>
      <x:c r="I101" s="2" t="n">
        <x:v>1</x:v>
      </x:c>
      <x:c r="J101" s="2" t="n">
        <x:v>5</x:v>
      </x:c>
      <x:c r="K101" s="2" t="n">
        <x:v>8</x:v>
      </x:c>
      <x:c r="L101" s="2" t="str">
        <x:v>Ø5 csapos, lapos felfekvésű polctartó; 8mm beülés, tervezési specifikáció</x:v>
      </x:c>
    </x:row>
    <x:row r="102" ht="36" customHeight="1">
      <x:c r="A102" s="2" t="str">
        <x:v>H0247</x:v>
      </x:c>
      <x:c r="B102" s="2" t="str">
        <x:v>KI12-TV01C-01</x:v>
      </x:c>
      <x:c r="C102" s="2" t="str">
        <x:v>POLCTARTO</x:v>
      </x:c>
      <x:c r="D102" s="2" t="n">
        <x:v>1134.5</x:v>
      </x:c>
      <x:c r="E102" s="2" t="n">
        <x:v>50</x:v>
      </x:c>
      <x:c r="F102" s="2" t="n">
        <x:v>0</x:v>
      </x:c>
      <x:c r="G102" s="2" t="n">
        <x:v>0</x:v>
      </x:c>
      <x:c r="H102" s="2" t="n">
        <x:v>0</x:v>
      </x:c>
      <x:c r="I102" s="2" t="n">
        <x:v>-1</x:v>
      </x:c>
      <x:c r="J102" s="2" t="n">
        <x:v>5</x:v>
      </x:c>
      <x:c r="K102" s="2" t="n">
        <x:v>8</x:v>
      </x:c>
      <x:c r="L102" s="2" t="str">
        <x:v>Ø5 csapos, lapos felfekvésű polctartó; 8mm beülés, tervezési specifikáció</x:v>
      </x:c>
    </x:row>
    <x:row r="103" ht="36" customHeight="1">
      <x:c r="A103" s="2" t="str">
        <x:v>H0248</x:v>
      </x:c>
      <x:c r="B103" s="2" t="str">
        <x:v>KI12-TV01C-01</x:v>
      </x:c>
      <x:c r="C103" s="2" t="str">
        <x:v>POLCTARTO</x:v>
      </x:c>
      <x:c r="D103" s="2" t="n">
        <x:v>1134.5</x:v>
      </x:c>
      <x:c r="E103" s="2" t="n">
        <x:v>280</x:v>
      </x:c>
      <x:c r="F103" s="2" t="n">
        <x:v>0</x:v>
      </x:c>
      <x:c r="G103" s="2" t="n">
        <x:v>0</x:v>
      </x:c>
      <x:c r="H103" s="2" t="n">
        <x:v>0</x:v>
      </x:c>
      <x:c r="I103" s="2" t="n">
        <x:v>-1</x:v>
      </x:c>
      <x:c r="J103" s="2" t="n">
        <x:v>5</x:v>
      </x:c>
      <x:c r="K103" s="2" t="n">
        <x:v>8</x:v>
      </x:c>
      <x:c r="L103" s="2" t="str">
        <x:v>Ø5 csapos, lapos felfekvésű polctartó; 8mm beülés, tervezési specifikáció</x:v>
      </x:c>
    </x:row>
    <x:row r="104" ht="36" customHeight="1">
      <x:c r="A104" s="2" t="str">
        <x:v>H0249</x:v>
      </x:c>
      <x:c r="B104" s="2" t="str">
        <x:v>KI12-TV01S-01</x:v>
      </x:c>
      <x:c r="C104" s="2" t="str">
        <x:v>POLCTARTO</x:v>
      </x:c>
      <x:c r="D104" s="2" t="n">
        <x:v>1537.5</x:v>
      </x:c>
      <x:c r="E104" s="2" t="n">
        <x:v>50</x:v>
      </x:c>
      <x:c r="F104" s="2" t="n">
        <x:v>-18</x:v>
      </x:c>
      <x:c r="G104" s="2" t="n">
        <x:v>0</x:v>
      </x:c>
      <x:c r="H104" s="2" t="n">
        <x:v>0</x:v>
      </x:c>
      <x:c r="I104" s="2" t="n">
        <x:v>1</x:v>
      </x:c>
      <x:c r="J104" s="2" t="n">
        <x:v>5</x:v>
      </x:c>
      <x:c r="K104" s="2" t="n">
        <x:v>8</x:v>
      </x:c>
      <x:c r="L104" s="2" t="str">
        <x:v>Ø5 csapos, lapos felfekvésű polctartó; 8mm beülés, tervezési specifikáció</x:v>
      </x:c>
    </x:row>
    <x:row r="105" ht="36" customHeight="1">
      <x:c r="A105" s="2" t="str">
        <x:v>H0250</x:v>
      </x:c>
      <x:c r="B105" s="2" t="str">
        <x:v>KI12-TV01S-01</x:v>
      </x:c>
      <x:c r="C105" s="2" t="str">
        <x:v>POLCTARTO</x:v>
      </x:c>
      <x:c r="D105" s="2" t="n">
        <x:v>1537.5</x:v>
      </x:c>
      <x:c r="E105" s="2" t="n">
        <x:v>280</x:v>
      </x:c>
      <x:c r="F105" s="2" t="n">
        <x:v>-18</x:v>
      </x:c>
      <x:c r="G105" s="2" t="n">
        <x:v>0</x:v>
      </x:c>
      <x:c r="H105" s="2" t="n">
        <x:v>0</x:v>
      </x:c>
      <x:c r="I105" s="2" t="n">
        <x:v>1</x:v>
      </x:c>
      <x:c r="J105" s="2" t="n">
        <x:v>5</x:v>
      </x:c>
      <x:c r="K105" s="2" t="n">
        <x:v>8</x:v>
      </x:c>
      <x:c r="L105" s="2" t="str">
        <x:v>Ø5 csapos, lapos felfekvésű polctartó; 8mm beülés, tervezési specifikáció</x:v>
      </x:c>
    </x:row>
    <x:row r="106" ht="36" customHeight="1">
      <x:c r="A106" s="2" t="str">
        <x:v>H0251</x:v>
      </x:c>
      <x:c r="B106" s="2" t="str">
        <x:v>KI12-TV01C-01</x:v>
      </x:c>
      <x:c r="C106" s="2" t="str">
        <x:v>POLCTARTO</x:v>
      </x:c>
      <x:c r="D106" s="2" t="n">
        <x:v>1519.5</x:v>
      </x:c>
      <x:c r="E106" s="2" t="n">
        <x:v>50</x:v>
      </x:c>
      <x:c r="F106" s="2" t="n">
        <x:v>0</x:v>
      </x:c>
      <x:c r="G106" s="2" t="n">
        <x:v>0</x:v>
      </x:c>
      <x:c r="H106" s="2" t="n">
        <x:v>0</x:v>
      </x:c>
      <x:c r="I106" s="2" t="n">
        <x:v>-1</x:v>
      </x:c>
      <x:c r="J106" s="2" t="n">
        <x:v>5</x:v>
      </x:c>
      <x:c r="K106" s="2" t="n">
        <x:v>8</x:v>
      </x:c>
      <x:c r="L106" s="2" t="str">
        <x:v>Ø5 csapos, lapos felfekvésű polctartó; 8mm beülés, tervezési specifikáció</x:v>
      </x:c>
    </x:row>
    <x:row r="107" ht="36" customHeight="1">
      <x:c r="A107" s="2" t="str">
        <x:v>H0252</x:v>
      </x:c>
      <x:c r="B107" s="2" t="str">
        <x:v>KI12-TV01C-01</x:v>
      </x:c>
      <x:c r="C107" s="2" t="str">
        <x:v>POLCTARTO</x:v>
      </x:c>
      <x:c r="D107" s="2" t="n">
        <x:v>1519.5</x:v>
      </x:c>
      <x:c r="E107" s="2" t="n">
        <x:v>280</x:v>
      </x:c>
      <x:c r="F107" s="2" t="n">
        <x:v>0</x:v>
      </x:c>
      <x:c r="G107" s="2" t="n">
        <x:v>0</x:v>
      </x:c>
      <x:c r="H107" s="2" t="n">
        <x:v>0</x:v>
      </x:c>
      <x:c r="I107" s="2" t="n">
        <x:v>-1</x:v>
      </x:c>
      <x:c r="J107" s="2" t="n">
        <x:v>5</x:v>
      </x:c>
      <x:c r="K107" s="2" t="n">
        <x:v>8</x:v>
      </x:c>
      <x:c r="L107" s="2" t="str">
        <x:v>Ø5 csapos, lapos felfekvésű polctartó; 8mm beülés, tervezési specifikáció</x:v>
      </x:c>
    </x:row>
    <x:row r="108" ht="36" customHeight="1">
      <x:c r="A108" s="2" t="str">
        <x:v>H0253</x:v>
      </x:c>
      <x:c r="B108" s="2" t="str">
        <x:v>KI12-TV01S-01</x:v>
      </x:c>
      <x:c r="C108" s="2" t="str">
        <x:v>POLCTARTO</x:v>
      </x:c>
      <x:c r="D108" s="2" t="n">
        <x:v>1922.5</x:v>
      </x:c>
      <x:c r="E108" s="2" t="n">
        <x:v>50</x:v>
      </x:c>
      <x:c r="F108" s="2" t="n">
        <x:v>-18</x:v>
      </x:c>
      <x:c r="G108" s="2" t="n">
        <x:v>0</x:v>
      </x:c>
      <x:c r="H108" s="2" t="n">
        <x:v>0</x:v>
      </x:c>
      <x:c r="I108" s="2" t="n">
        <x:v>1</x:v>
      </x:c>
      <x:c r="J108" s="2" t="n">
        <x:v>5</x:v>
      </x:c>
      <x:c r="K108" s="2" t="n">
        <x:v>8</x:v>
      </x:c>
      <x:c r="L108" s="2" t="str">
        <x:v>Ø5 csapos, lapos felfekvésű polctartó; 8mm beülés, tervezési specifikáció</x:v>
      </x:c>
    </x:row>
    <x:row r="109" ht="36" customHeight="1">
      <x:c r="A109" s="2" t="str">
        <x:v>H0254</x:v>
      </x:c>
      <x:c r="B109" s="2" t="str">
        <x:v>KI12-TV01S-01</x:v>
      </x:c>
      <x:c r="C109" s="2" t="str">
        <x:v>POLCTARTO</x:v>
      </x:c>
      <x:c r="D109" s="2" t="n">
        <x:v>1922.5</x:v>
      </x:c>
      <x:c r="E109" s="2" t="n">
        <x:v>280</x:v>
      </x:c>
      <x:c r="F109" s="2" t="n">
        <x:v>-18</x:v>
      </x:c>
      <x:c r="G109" s="2" t="n">
        <x:v>0</x:v>
      </x:c>
      <x:c r="H109" s="2" t="n">
        <x:v>0</x:v>
      </x:c>
      <x:c r="I109" s="2" t="n">
        <x:v>1</x:v>
      </x:c>
      <x:c r="J109" s="2" t="n">
        <x:v>5</x:v>
      </x:c>
      <x:c r="K109" s="2" t="n">
        <x:v>8</x:v>
      </x:c>
      <x:c r="L109" s="2" t="str">
        <x:v>Ø5 csapos, lapos felfekvésű polctartó; 8mm beülés, tervezési specifikáció</x:v>
      </x:c>
    </x:row>
    <x:row r="110" ht="36" customHeight="1">
      <x:c r="A110" s="2" t="str">
        <x:v>H0255</x:v>
      </x:c>
      <x:c r="B110" s="2" t="str">
        <x:v>KI12-TV01C-01</x:v>
      </x:c>
      <x:c r="C110" s="2" t="str">
        <x:v>POLCTARTO</x:v>
      </x:c>
      <x:c r="D110" s="2" t="n">
        <x:v>1904.5</x:v>
      </x:c>
      <x:c r="E110" s="2" t="n">
        <x:v>50</x:v>
      </x:c>
      <x:c r="F110" s="2" t="n">
        <x:v>0</x:v>
      </x:c>
      <x:c r="G110" s="2" t="n">
        <x:v>0</x:v>
      </x:c>
      <x:c r="H110" s="2" t="n">
        <x:v>0</x:v>
      </x:c>
      <x:c r="I110" s="2" t="n">
        <x:v>-1</x:v>
      </x:c>
      <x:c r="J110" s="2" t="n">
        <x:v>5</x:v>
      </x:c>
      <x:c r="K110" s="2" t="n">
        <x:v>8</x:v>
      </x:c>
      <x:c r="L110" s="2" t="str">
        <x:v>Ø5 csapos, lapos felfekvésű polctartó; 8mm beülés, tervezési specifikáció</x:v>
      </x:c>
    </x:row>
    <x:row r="111" ht="36" customHeight="1">
      <x:c r="A111" s="2" t="str">
        <x:v>H0256</x:v>
      </x:c>
      <x:c r="B111" s="2" t="str">
        <x:v>KI12-TV01C-01</x:v>
      </x:c>
      <x:c r="C111" s="2" t="str">
        <x:v>POLCTARTO</x:v>
      </x:c>
      <x:c r="D111" s="2" t="n">
        <x:v>1904.5</x:v>
      </x:c>
      <x:c r="E111" s="2" t="n">
        <x:v>280</x:v>
      </x:c>
      <x:c r="F111" s="2" t="n">
        <x:v>0</x:v>
      </x:c>
      <x:c r="G111" s="2" t="n">
        <x:v>0</x:v>
      </x:c>
      <x:c r="H111" s="2" t="n">
        <x:v>0</x:v>
      </x:c>
      <x:c r="I111" s="2" t="n">
        <x:v>-1</x:v>
      </x:c>
      <x:c r="J111" s="2" t="n">
        <x:v>5</x:v>
      </x:c>
      <x:c r="K111" s="2" t="n">
        <x:v>8</x:v>
      </x:c>
      <x:c r="L111" s="2" t="str">
        <x:v>Ø5 csapos, lapos felfekvésű polctartó; 8mm beülés, tervezési specifikáció</x:v>
      </x:c>
    </x:row>
    <x:row r="112" ht="36" customHeight="1">
      <x:c r="A112" s="2" t="str">
        <x:v>H0257</x:v>
      </x:c>
      <x:c r="B112" s="2" t="str">
        <x:v>KI12-TV01C-01</x:v>
      </x:c>
      <x:c r="C112" s="2" t="str">
        <x:v>POLCTARTO</x:v>
      </x:c>
      <x:c r="D112" s="2" t="n">
        <x:v>364.5</x:v>
      </x:c>
      <x:c r="E112" s="2" t="n">
        <x:v>50</x:v>
      </x:c>
      <x:c r="F112" s="2" t="n">
        <x:v>-18</x:v>
      </x:c>
      <x:c r="G112" s="2" t="n">
        <x:v>0</x:v>
      </x:c>
      <x:c r="H112" s="2" t="n">
        <x:v>0</x:v>
      </x:c>
      <x:c r="I112" s="2" t="n">
        <x:v>1</x:v>
      </x:c>
      <x:c r="J112" s="2" t="n">
        <x:v>5</x:v>
      </x:c>
      <x:c r="K112" s="2" t="n">
        <x:v>8</x:v>
      </x:c>
      <x:c r="L112" s="2" t="str">
        <x:v>Ø5 csapos, lapos felfekvésű polctartó; 8mm beülés, tervezési specifikáció</x:v>
      </x:c>
    </x:row>
    <x:row r="113" ht="36" customHeight="1">
      <x:c r="A113" s="2" t="str">
        <x:v>H0258</x:v>
      </x:c>
      <x:c r="B113" s="2" t="str">
        <x:v>KI12-TV01C-01</x:v>
      </x:c>
      <x:c r="C113" s="2" t="str">
        <x:v>POLCTARTO</x:v>
      </x:c>
      <x:c r="D113" s="2" t="n">
        <x:v>364.5</x:v>
      </x:c>
      <x:c r="E113" s="2" t="n">
        <x:v>280</x:v>
      </x:c>
      <x:c r="F113" s="2" t="n">
        <x:v>-18</x:v>
      </x:c>
      <x:c r="G113" s="2" t="n">
        <x:v>0</x:v>
      </x:c>
      <x:c r="H113" s="2" t="n">
        <x:v>0</x:v>
      </x:c>
      <x:c r="I113" s="2" t="n">
        <x:v>1</x:v>
      </x:c>
      <x:c r="J113" s="2" t="n">
        <x:v>5</x:v>
      </x:c>
      <x:c r="K113" s="2" t="n">
        <x:v>8</x:v>
      </x:c>
      <x:c r="L113" s="2" t="str">
        <x:v>Ø5 csapos, lapos felfekvésű polctartó; 8mm beülés, tervezési specifikáció</x:v>
      </x:c>
    </x:row>
    <x:row r="114" ht="36" customHeight="1">
      <x:c r="A114" s="2" t="str">
        <x:v>H0259</x:v>
      </x:c>
      <x:c r="B114" s="2" t="str">
        <x:v>KI12-TV01S-02</x:v>
      </x:c>
      <x:c r="C114" s="2" t="str">
        <x:v>POLCTARTO</x:v>
      </x:c>
      <x:c r="D114" s="2" t="n">
        <x:v>382.5</x:v>
      </x:c>
      <x:c r="E114" s="2" t="n">
        <x:v>50</x:v>
      </x:c>
      <x:c r="F114" s="2" t="n">
        <x:v>0</x:v>
      </x:c>
      <x:c r="G114" s="2" t="n">
        <x:v>0</x:v>
      </x:c>
      <x:c r="H114" s="2" t="n">
        <x:v>0</x:v>
      </x:c>
      <x:c r="I114" s="2" t="n">
        <x:v>-1</x:v>
      </x:c>
      <x:c r="J114" s="2" t="n">
        <x:v>5</x:v>
      </x:c>
      <x:c r="K114" s="2" t="n">
        <x:v>8</x:v>
      </x:c>
      <x:c r="L114" s="2" t="str">
        <x:v>Ø5 csapos, lapos felfekvésű polctartó; 8mm beülés, tervezési specifikáció</x:v>
      </x:c>
    </x:row>
    <x:row r="115" ht="36" customHeight="1">
      <x:c r="A115" s="2" t="str">
        <x:v>H0260</x:v>
      </x:c>
      <x:c r="B115" s="2" t="str">
        <x:v>KI12-TV01S-02</x:v>
      </x:c>
      <x:c r="C115" s="2" t="str">
        <x:v>POLCTARTO</x:v>
      </x:c>
      <x:c r="D115" s="2" t="n">
        <x:v>382.5</x:v>
      </x:c>
      <x:c r="E115" s="2" t="n">
        <x:v>280</x:v>
      </x:c>
      <x:c r="F115" s="2" t="n">
        <x:v>0</x:v>
      </x:c>
      <x:c r="G115" s="2" t="n">
        <x:v>0</x:v>
      </x:c>
      <x:c r="H115" s="2" t="n">
        <x:v>0</x:v>
      </x:c>
      <x:c r="I115" s="2" t="n">
        <x:v>-1</x:v>
      </x:c>
      <x:c r="J115" s="2" t="n">
        <x:v>5</x:v>
      </x:c>
      <x:c r="K115" s="2" t="n">
        <x:v>8</x:v>
      </x:c>
      <x:c r="L115" s="2" t="str">
        <x:v>Ø5 csapos, lapos felfekvésű polctartó; 8mm beülés, tervezési specifikáció</x:v>
      </x:c>
    </x:row>
    <x:row r="116" ht="36" customHeight="1">
      <x:c r="A116" s="2" t="str">
        <x:v>H0261</x:v>
      </x:c>
      <x:c r="B116" s="2" t="str">
        <x:v>KI12-TV01C-01</x:v>
      </x:c>
      <x:c r="C116" s="2" t="str">
        <x:v>POLCTARTO</x:v>
      </x:c>
      <x:c r="D116" s="2" t="n">
        <x:v>749.5</x:v>
      </x:c>
      <x:c r="E116" s="2" t="n">
        <x:v>50</x:v>
      </x:c>
      <x:c r="F116" s="2" t="n">
        <x:v>-18</x:v>
      </x:c>
      <x:c r="G116" s="2" t="n">
        <x:v>0</x:v>
      </x:c>
      <x:c r="H116" s="2" t="n">
        <x:v>0</x:v>
      </x:c>
      <x:c r="I116" s="2" t="n">
        <x:v>1</x:v>
      </x:c>
      <x:c r="J116" s="2" t="n">
        <x:v>5</x:v>
      </x:c>
      <x:c r="K116" s="2" t="n">
        <x:v>8</x:v>
      </x:c>
      <x:c r="L116" s="2" t="str">
        <x:v>Ø5 csapos, lapos felfekvésű polctartó; 8mm beülés, tervezési specifikáció</x:v>
      </x:c>
    </x:row>
    <x:row r="117" ht="36" customHeight="1">
      <x:c r="A117" s="2" t="str">
        <x:v>H0262</x:v>
      </x:c>
      <x:c r="B117" s="2" t="str">
        <x:v>KI12-TV01C-01</x:v>
      </x:c>
      <x:c r="C117" s="2" t="str">
        <x:v>POLCTARTO</x:v>
      </x:c>
      <x:c r="D117" s="2" t="n">
        <x:v>749.5</x:v>
      </x:c>
      <x:c r="E117" s="2" t="n">
        <x:v>280</x:v>
      </x:c>
      <x:c r="F117" s="2" t="n">
        <x:v>-18</x:v>
      </x:c>
      <x:c r="G117" s="2" t="n">
        <x:v>0</x:v>
      </x:c>
      <x:c r="H117" s="2" t="n">
        <x:v>0</x:v>
      </x:c>
      <x:c r="I117" s="2" t="n">
        <x:v>1</x:v>
      </x:c>
      <x:c r="J117" s="2" t="n">
        <x:v>5</x:v>
      </x:c>
      <x:c r="K117" s="2" t="n">
        <x:v>8</x:v>
      </x:c>
      <x:c r="L117" s="2" t="str">
        <x:v>Ø5 csapos, lapos felfekvésű polctartó; 8mm beülés, tervezési specifikáció</x:v>
      </x:c>
    </x:row>
    <x:row r="118" ht="36" customHeight="1">
      <x:c r="A118" s="2" t="str">
        <x:v>H0263</x:v>
      </x:c>
      <x:c r="B118" s="2" t="str">
        <x:v>KI12-TV01S-02</x:v>
      </x:c>
      <x:c r="C118" s="2" t="str">
        <x:v>POLCTARTO</x:v>
      </x:c>
      <x:c r="D118" s="2" t="n">
        <x:v>767.5</x:v>
      </x:c>
      <x:c r="E118" s="2" t="n">
        <x:v>50</x:v>
      </x:c>
      <x:c r="F118" s="2" t="n">
        <x:v>0</x:v>
      </x:c>
      <x:c r="G118" s="2" t="n">
        <x:v>0</x:v>
      </x:c>
      <x:c r="H118" s="2" t="n">
        <x:v>0</x:v>
      </x:c>
      <x:c r="I118" s="2" t="n">
        <x:v>-1</x:v>
      </x:c>
      <x:c r="J118" s="2" t="n">
        <x:v>5</x:v>
      </x:c>
      <x:c r="K118" s="2" t="n">
        <x:v>8</x:v>
      </x:c>
      <x:c r="L118" s="2" t="str">
        <x:v>Ø5 csapos, lapos felfekvésű polctartó; 8mm beülés, tervezési specifikáció</x:v>
      </x:c>
    </x:row>
    <x:row r="119" ht="36" customHeight="1">
      <x:c r="A119" s="2" t="str">
        <x:v>H0264</x:v>
      </x:c>
      <x:c r="B119" s="2" t="str">
        <x:v>KI12-TV01S-02</x:v>
      </x:c>
      <x:c r="C119" s="2" t="str">
        <x:v>POLCTARTO</x:v>
      </x:c>
      <x:c r="D119" s="2" t="n">
        <x:v>767.5</x:v>
      </x:c>
      <x:c r="E119" s="2" t="n">
        <x:v>280</x:v>
      </x:c>
      <x:c r="F119" s="2" t="n">
        <x:v>0</x:v>
      </x:c>
      <x:c r="G119" s="2" t="n">
        <x:v>0</x:v>
      </x:c>
      <x:c r="H119" s="2" t="n">
        <x:v>0</x:v>
      </x:c>
      <x:c r="I119" s="2" t="n">
        <x:v>-1</x:v>
      </x:c>
      <x:c r="J119" s="2" t="n">
        <x:v>5</x:v>
      </x:c>
      <x:c r="K119" s="2" t="n">
        <x:v>8</x:v>
      </x:c>
      <x:c r="L119" s="2" t="str">
        <x:v>Ø5 csapos, lapos felfekvésű polctartó; 8mm beülés, tervezési specifikáció</x:v>
      </x:c>
    </x:row>
    <x:row r="120" ht="36" customHeight="1">
      <x:c r="A120" s="2" t="str">
        <x:v>H0265</x:v>
      </x:c>
      <x:c r="B120" s="2" t="str">
        <x:v>KI12-TV01C-01</x:v>
      </x:c>
      <x:c r="C120" s="2" t="str">
        <x:v>POLCTARTO</x:v>
      </x:c>
      <x:c r="D120" s="2" t="n">
        <x:v>1134.5</x:v>
      </x:c>
      <x:c r="E120" s="2" t="n">
        <x:v>50</x:v>
      </x:c>
      <x:c r="F120" s="2" t="n">
        <x:v>-18</x:v>
      </x:c>
      <x:c r="G120" s="2" t="n">
        <x:v>0</x:v>
      </x:c>
      <x:c r="H120" s="2" t="n">
        <x:v>0</x:v>
      </x:c>
      <x:c r="I120" s="2" t="n">
        <x:v>1</x:v>
      </x:c>
      <x:c r="J120" s="2" t="n">
        <x:v>5</x:v>
      </x:c>
      <x:c r="K120" s="2" t="n">
        <x:v>8</x:v>
      </x:c>
      <x:c r="L120" s="2" t="str">
        <x:v>Ø5 csapos, lapos felfekvésű polctartó; 8mm beülés, tervezési specifikáció</x:v>
      </x:c>
    </x:row>
    <x:row r="121" ht="36" customHeight="1">
      <x:c r="A121" s="2" t="str">
        <x:v>H0266</x:v>
      </x:c>
      <x:c r="B121" s="2" t="str">
        <x:v>KI12-TV01C-01</x:v>
      </x:c>
      <x:c r="C121" s="2" t="str">
        <x:v>POLCTARTO</x:v>
      </x:c>
      <x:c r="D121" s="2" t="n">
        <x:v>1134.5</x:v>
      </x:c>
      <x:c r="E121" s="2" t="n">
        <x:v>280</x:v>
      </x:c>
      <x:c r="F121" s="2" t="n">
        <x:v>-18</x:v>
      </x:c>
      <x:c r="G121" s="2" t="n">
        <x:v>0</x:v>
      </x:c>
      <x:c r="H121" s="2" t="n">
        <x:v>0</x:v>
      </x:c>
      <x:c r="I121" s="2" t="n">
        <x:v>1</x:v>
      </x:c>
      <x:c r="J121" s="2" t="n">
        <x:v>5</x:v>
      </x:c>
      <x:c r="K121" s="2" t="n">
        <x:v>8</x:v>
      </x:c>
      <x:c r="L121" s="2" t="str">
        <x:v>Ø5 csapos, lapos felfekvésű polctartó; 8mm beülés, tervezési specifikáció</x:v>
      </x:c>
    </x:row>
    <x:row r="122" ht="36" customHeight="1">
      <x:c r="A122" s="2" t="str">
        <x:v>H0267</x:v>
      </x:c>
      <x:c r="B122" s="2" t="str">
        <x:v>KI12-TV01S-02</x:v>
      </x:c>
      <x:c r="C122" s="2" t="str">
        <x:v>POLCTARTO</x:v>
      </x:c>
      <x:c r="D122" s="2" t="n">
        <x:v>1152.5</x:v>
      </x:c>
      <x:c r="E122" s="2" t="n">
        <x:v>50</x:v>
      </x:c>
      <x:c r="F122" s="2" t="n">
        <x:v>0</x:v>
      </x:c>
      <x:c r="G122" s="2" t="n">
        <x:v>0</x:v>
      </x:c>
      <x:c r="H122" s="2" t="n">
        <x:v>0</x:v>
      </x:c>
      <x:c r="I122" s="2" t="n">
        <x:v>-1</x:v>
      </x:c>
      <x:c r="J122" s="2" t="n">
        <x:v>5</x:v>
      </x:c>
      <x:c r="K122" s="2" t="n">
        <x:v>8</x:v>
      </x:c>
      <x:c r="L122" s="2" t="str">
        <x:v>Ø5 csapos, lapos felfekvésű polctartó; 8mm beülés, tervezési specifikáció</x:v>
      </x:c>
    </x:row>
    <x:row r="123" ht="36" customHeight="1">
      <x:c r="A123" s="2" t="str">
        <x:v>H0268</x:v>
      </x:c>
      <x:c r="B123" s="2" t="str">
        <x:v>KI12-TV01S-02</x:v>
      </x:c>
      <x:c r="C123" s="2" t="str">
        <x:v>POLCTARTO</x:v>
      </x:c>
      <x:c r="D123" s="2" t="n">
        <x:v>1152.5</x:v>
      </x:c>
      <x:c r="E123" s="2" t="n">
        <x:v>280</x:v>
      </x:c>
      <x:c r="F123" s="2" t="n">
        <x:v>0</x:v>
      </x:c>
      <x:c r="G123" s="2" t="n">
        <x:v>0</x:v>
      </x:c>
      <x:c r="H123" s="2" t="n">
        <x:v>0</x:v>
      </x:c>
      <x:c r="I123" s="2" t="n">
        <x:v>-1</x:v>
      </x:c>
      <x:c r="J123" s="2" t="n">
        <x:v>5</x:v>
      </x:c>
      <x:c r="K123" s="2" t="n">
        <x:v>8</x:v>
      </x:c>
      <x:c r="L123" s="2" t="str">
        <x:v>Ø5 csapos, lapos felfekvésű polctartó; 8mm beülés, tervezési specifikáció</x:v>
      </x:c>
    </x:row>
    <x:row r="124" ht="36" customHeight="1">
      <x:c r="A124" s="2" t="str">
        <x:v>H0269</x:v>
      </x:c>
      <x:c r="B124" s="2" t="str">
        <x:v>KI12-TV01C-01</x:v>
      </x:c>
      <x:c r="C124" s="2" t="str">
        <x:v>POLCTARTO</x:v>
      </x:c>
      <x:c r="D124" s="2" t="n">
        <x:v>1519.5</x:v>
      </x:c>
      <x:c r="E124" s="2" t="n">
        <x:v>50</x:v>
      </x:c>
      <x:c r="F124" s="2" t="n">
        <x:v>-18</x:v>
      </x:c>
      <x:c r="G124" s="2" t="n">
        <x:v>0</x:v>
      </x:c>
      <x:c r="H124" s="2" t="n">
        <x:v>0</x:v>
      </x:c>
      <x:c r="I124" s="2" t="n">
        <x:v>1</x:v>
      </x:c>
      <x:c r="J124" s="2" t="n">
        <x:v>5</x:v>
      </x:c>
      <x:c r="K124" s="2" t="n">
        <x:v>8</x:v>
      </x:c>
      <x:c r="L124" s="2" t="str">
        <x:v>Ø5 csapos, lapos felfekvésű polctartó; 8mm beülés, tervezési specifikáció</x:v>
      </x:c>
    </x:row>
    <x:row r="125" ht="36" customHeight="1">
      <x:c r="A125" s="2" t="str">
        <x:v>H0270</x:v>
      </x:c>
      <x:c r="B125" s="2" t="str">
        <x:v>KI12-TV01C-01</x:v>
      </x:c>
      <x:c r="C125" s="2" t="str">
        <x:v>POLCTARTO</x:v>
      </x:c>
      <x:c r="D125" s="2" t="n">
        <x:v>1519.5</x:v>
      </x:c>
      <x:c r="E125" s="2" t="n">
        <x:v>280</x:v>
      </x:c>
      <x:c r="F125" s="2" t="n">
        <x:v>-18</x:v>
      </x:c>
      <x:c r="G125" s="2" t="n">
        <x:v>0</x:v>
      </x:c>
      <x:c r="H125" s="2" t="n">
        <x:v>0</x:v>
      </x:c>
      <x:c r="I125" s="2" t="n">
        <x:v>1</x:v>
      </x:c>
      <x:c r="J125" s="2" t="n">
        <x:v>5</x:v>
      </x:c>
      <x:c r="K125" s="2" t="n">
        <x:v>8</x:v>
      </x:c>
      <x:c r="L125" s="2" t="str">
        <x:v>Ø5 csapos, lapos felfekvésű polctartó; 8mm beülés, tervezési specifikáció</x:v>
      </x:c>
    </x:row>
    <x:row r="126" ht="36" customHeight="1">
      <x:c r="A126" s="2" t="str">
        <x:v>H0271</x:v>
      </x:c>
      <x:c r="B126" s="2" t="str">
        <x:v>KI12-TV01S-02</x:v>
      </x:c>
      <x:c r="C126" s="2" t="str">
        <x:v>POLCTARTO</x:v>
      </x:c>
      <x:c r="D126" s="2" t="n">
        <x:v>1537.5</x:v>
      </x:c>
      <x:c r="E126" s="2" t="n">
        <x:v>50</x:v>
      </x:c>
      <x:c r="F126" s="2" t="n">
        <x:v>0</x:v>
      </x:c>
      <x:c r="G126" s="2" t="n">
        <x:v>0</x:v>
      </x:c>
      <x:c r="H126" s="2" t="n">
        <x:v>0</x:v>
      </x:c>
      <x:c r="I126" s="2" t="n">
        <x:v>-1</x:v>
      </x:c>
      <x:c r="J126" s="2" t="n">
        <x:v>5</x:v>
      </x:c>
      <x:c r="K126" s="2" t="n">
        <x:v>8</x:v>
      </x:c>
      <x:c r="L126" s="2" t="str">
        <x:v>Ø5 csapos, lapos felfekvésű polctartó; 8mm beülés, tervezési specifikáció</x:v>
      </x:c>
    </x:row>
    <x:row r="127" ht="36" customHeight="1">
      <x:c r="A127" s="2" t="str">
        <x:v>H0272</x:v>
      </x:c>
      <x:c r="B127" s="2" t="str">
        <x:v>KI12-TV01S-02</x:v>
      </x:c>
      <x:c r="C127" s="2" t="str">
        <x:v>POLCTARTO</x:v>
      </x:c>
      <x:c r="D127" s="2" t="n">
        <x:v>1537.5</x:v>
      </x:c>
      <x:c r="E127" s="2" t="n">
        <x:v>280</x:v>
      </x:c>
      <x:c r="F127" s="2" t="n">
        <x:v>0</x:v>
      </x:c>
      <x:c r="G127" s="2" t="n">
        <x:v>0</x:v>
      </x:c>
      <x:c r="H127" s="2" t="n">
        <x:v>0</x:v>
      </x:c>
      <x:c r="I127" s="2" t="n">
        <x:v>-1</x:v>
      </x:c>
      <x:c r="J127" s="2" t="n">
        <x:v>5</x:v>
      </x:c>
      <x:c r="K127" s="2" t="n">
        <x:v>8</x:v>
      </x:c>
      <x:c r="L127" s="2" t="str">
        <x:v>Ø5 csapos, lapos felfekvésű polctartó; 8mm beülés, tervezési specifikáció</x:v>
      </x:c>
    </x:row>
    <x:row r="128" ht="36" customHeight="1">
      <x:c r="A128" s="2" t="str">
        <x:v>H0273</x:v>
      </x:c>
      <x:c r="B128" s="2" t="str">
        <x:v>KI12-TV01C-01</x:v>
      </x:c>
      <x:c r="C128" s="2" t="str">
        <x:v>POLCTARTO</x:v>
      </x:c>
      <x:c r="D128" s="2" t="n">
        <x:v>1904.5</x:v>
      </x:c>
      <x:c r="E128" s="2" t="n">
        <x:v>50</x:v>
      </x:c>
      <x:c r="F128" s="2" t="n">
        <x:v>-18</x:v>
      </x:c>
      <x:c r="G128" s="2" t="n">
        <x:v>0</x:v>
      </x:c>
      <x:c r="H128" s="2" t="n">
        <x:v>0</x:v>
      </x:c>
      <x:c r="I128" s="2" t="n">
        <x:v>1</x:v>
      </x:c>
      <x:c r="J128" s="2" t="n">
        <x:v>5</x:v>
      </x:c>
      <x:c r="K128" s="2" t="n">
        <x:v>8</x:v>
      </x:c>
      <x:c r="L128" s="2" t="str">
        <x:v>Ø5 csapos, lapos felfekvésű polctartó; 8mm beülés, tervezési specifikáció</x:v>
      </x:c>
    </x:row>
    <x:row r="129" ht="36" customHeight="1">
      <x:c r="A129" s="2" t="str">
        <x:v>H0274</x:v>
      </x:c>
      <x:c r="B129" s="2" t="str">
        <x:v>KI12-TV01C-01</x:v>
      </x:c>
      <x:c r="C129" s="2" t="str">
        <x:v>POLCTARTO</x:v>
      </x:c>
      <x:c r="D129" s="2" t="n">
        <x:v>1904.5</x:v>
      </x:c>
      <x:c r="E129" s="2" t="n">
        <x:v>280</x:v>
      </x:c>
      <x:c r="F129" s="2" t="n">
        <x:v>-18</x:v>
      </x:c>
      <x:c r="G129" s="2" t="n">
        <x:v>0</x:v>
      </x:c>
      <x:c r="H129" s="2" t="n">
        <x:v>0</x:v>
      </x:c>
      <x:c r="I129" s="2" t="n">
        <x:v>1</x:v>
      </x:c>
      <x:c r="J129" s="2" t="n">
        <x:v>5</x:v>
      </x:c>
      <x:c r="K129" s="2" t="n">
        <x:v>8</x:v>
      </x:c>
      <x:c r="L129" s="2" t="str">
        <x:v>Ø5 csapos, lapos felfekvésű polctartó; 8mm beülés, tervezési specifikáció</x:v>
      </x:c>
    </x:row>
    <x:row r="130" ht="36" customHeight="1">
      <x:c r="A130" s="2" t="str">
        <x:v>H0275</x:v>
      </x:c>
      <x:c r="B130" s="2" t="str">
        <x:v>KI12-TV01S-02</x:v>
      </x:c>
      <x:c r="C130" s="2" t="str">
        <x:v>POLCTARTO</x:v>
      </x:c>
      <x:c r="D130" s="2" t="n">
        <x:v>1922.5</x:v>
      </x:c>
      <x:c r="E130" s="2" t="n">
        <x:v>50</x:v>
      </x:c>
      <x:c r="F130" s="2" t="n">
        <x:v>0</x:v>
      </x:c>
      <x:c r="G130" s="2" t="n">
        <x:v>0</x:v>
      </x:c>
      <x:c r="H130" s="2" t="n">
        <x:v>0</x:v>
      </x:c>
      <x:c r="I130" s="2" t="n">
        <x:v>-1</x:v>
      </x:c>
      <x:c r="J130" s="2" t="n">
        <x:v>5</x:v>
      </x:c>
      <x:c r="K130" s="2" t="n">
        <x:v>8</x:v>
      </x:c>
      <x:c r="L130" s="2" t="str">
        <x:v>Ø5 csapos, lapos felfekvésű polctartó; 8mm beülés, tervezési specifikáció</x:v>
      </x:c>
    </x:row>
    <x:row r="131" ht="36" customHeight="1">
      <x:c r="A131" s="2" t="str">
        <x:v>H0276</x:v>
      </x:c>
      <x:c r="B131" s="2" t="str">
        <x:v>KI12-TV01S-02</x:v>
      </x:c>
      <x:c r="C131" s="2" t="str">
        <x:v>POLCTARTO</x:v>
      </x:c>
      <x:c r="D131" s="2" t="n">
        <x:v>1922.5</x:v>
      </x:c>
      <x:c r="E131" s="2" t="n">
        <x:v>280</x:v>
      </x:c>
      <x:c r="F131" s="2" t="n">
        <x:v>0</x:v>
      </x:c>
      <x:c r="G131" s="2" t="n">
        <x:v>0</x:v>
      </x:c>
      <x:c r="H131" s="2" t="n">
        <x:v>0</x:v>
      </x:c>
      <x:c r="I131" s="2" t="n">
        <x:v>-1</x:v>
      </x:c>
      <x:c r="J131" s="2" t="n">
        <x:v>5</x:v>
      </x:c>
      <x:c r="K131" s="2" t="n">
        <x:v>8</x:v>
      </x:c>
      <x:c r="L131" s="2" t="str">
        <x:v>Ø5 csapos, lapos felfekvésű polctartó; 8mm beülés, tervezési specifikáció</x:v>
      </x:c>
    </x:row>
    <x:row r="132" ht="36" customHeight="1">
      <x:c r="A132" s="2" t="str">
        <x:v>H0294</x:v>
      </x:c>
      <x:c r="B132" s="2" t="str">
        <x:v>KI14-BAT-01</x:v>
      </x:c>
      <x:c r="C132" s="2" t="str">
        <x:v>LEC_OLDAL / R14-J001</x:v>
      </x:c>
      <x:c r="D132" s="2" t="n">
        <x:v>72</x:v>
      </x:c>
      <x:c r="E132" s="2" t="n">
        <x:v>9</x:v>
      </x:c>
      <x:c r="F132" s="2" t="n">
        <x:v>-18</x:v>
      </x:c>
      <x:c r="G132" s="2" t="n">
        <x:v>0</x:v>
      </x:c>
      <x:c r="H132" s="2" t="n">
        <x:v>0</x:v>
      </x:c>
      <x:c r="I132" s="2" t="n">
        <x:v>1</x:v>
      </x:c>
      <x:c r="J132" s="2" t="n">
        <x:v>4</x:v>
      </x:c>
      <x:c r="K132" s="2" t="n">
        <x:v>18</x:v>
      </x:c>
      <x:c r="L132" s="2" t="str">
        <x:v>R14 tervezői kiosztás; tényleges laphoz és csavarhoz próbafúrás</x:v>
      </x:c>
    </x:row>
    <x:row r="133" ht="36" customHeight="1">
      <x:c r="A133" s="2" t="str">
        <x:v>H0295</x:v>
      </x:c>
      <x:c r="B133" s="2" t="str">
        <x:v>KI12-TV01S-01</x:v>
      </x:c>
      <x:c r="C133" s="2" t="str">
        <x:v>LEC_OLDAL / R14-J001</x:v>
      </x:c>
      <x:c r="D133" s="2" t="n">
        <x:v>110</x:v>
      </x:c>
      <x:c r="E133" s="2" t="n">
        <x:v>345</x:v>
      </x:c>
      <x:c r="F133" s="2" t="n">
        <x:v>-18</x:v>
      </x:c>
      <x:c r="G133" s="2" t="n">
        <x:v>0</x:v>
      </x:c>
      <x:c r="H133" s="2" t="n">
        <x:v>0</x:v>
      </x:c>
      <x:c r="I133" s="2" t="n">
        <x:v>1</x:v>
      </x:c>
      <x:c r="J133" s="2" t="n">
        <x:v>2.5</x:v>
      </x:c>
      <x:c r="K133" s="2" t="n">
        <x:v>12</x:v>
      </x:c>
      <x:c r="L133" s="2" t="str">
        <x:v>R14 tervezői kiosztás; tényleges laphoz és csavarhoz próbafúrás</x:v>
      </x:c>
    </x:row>
    <x:row r="134" ht="36" customHeight="1">
      <x:c r="A134" s="2" t="str">
        <x:v>H0296</x:v>
      </x:c>
      <x:c r="B134" s="2" t="str">
        <x:v>KI12-TV01H-01</x:v>
      </x:c>
      <x:c r="C134" s="2" t="str">
        <x:v>HATLAP_LEC / R14-J002</x:v>
      </x:c>
      <x:c r="D134" s="2" t="n">
        <x:v>106</x:v>
      </x:c>
      <x:c r="E134" s="2" t="n">
        <x:v>8</x:v>
      </x:c>
      <x:c r="F134" s="2" t="n">
        <x:v>0</x:v>
      </x:c>
      <x:c r="G134" s="2" t="n">
        <x:v>0</x:v>
      </x:c>
      <x:c r="H134" s="2" t="n">
        <x:v>0</x:v>
      </x:c>
      <x:c r="I134" s="2" t="n">
        <x:v>-1</x:v>
      </x:c>
      <x:c r="J134" s="2" t="n">
        <x:v>3.5</x:v>
      </x:c>
      <x:c r="K134" s="2" t="n">
        <x:v>8</x:v>
      </x:c>
      <x:c r="L134" s="2" t="str">
        <x:v>R14 tervezői kiosztás; tényleges laphoz és csavarhoz próbafúrás</x:v>
      </x:c>
    </x:row>
    <x:row r="135" ht="36" customHeight="1">
      <x:c r="A135" s="2" t="str">
        <x:v>H0297</x:v>
      </x:c>
      <x:c r="B135" s="2" t="str">
        <x:v>KI14-BAT-01</x:v>
      </x:c>
      <x:c r="C135" s="2" t="str">
        <x:v>HATLAP_LEC / R14-J002</x:v>
      </x:c>
      <x:c r="D135" s="2" t="n">
        <x:v>87</x:v>
      </x:c>
      <x:c r="E135" s="2" t="n">
        <x:v>18</x:v>
      </x:c>
      <x:c r="F135" s="2" t="n">
        <x:v>-9</x:v>
      </x:c>
      <x:c r="G135" s="2" t="n">
        <x:v>0</x:v>
      </x:c>
      <x:c r="H135" s="2" t="n">
        <x:v>-1</x:v>
      </x:c>
      <x:c r="I135" s="2" t="n">
        <x:v>0</x:v>
      </x:c>
      <x:c r="J135" s="2" t="n">
        <x:v>2.5</x:v>
      </x:c>
      <x:c r="K135" s="2" t="n">
        <x:v>12</x:v>
      </x:c>
      <x:c r="L135" s="2" t="str">
        <x:v>R14 tervezői kiosztás; tényleges laphoz és csavarhoz próbafúrás</x:v>
      </x:c>
    </x:row>
    <x:row r="136" ht="36" customHeight="1">
      <x:c r="A136" s="2" t="str">
        <x:v>H0298</x:v>
      </x:c>
      <x:c r="B136" s="2" t="str">
        <x:v>KI14-BAT-01</x:v>
      </x:c>
      <x:c r="C136" s="2" t="str">
        <x:v>LEC_OLDAL / R14-J003</x:v>
      </x:c>
      <x:c r="D136" s="2" t="n">
        <x:v>452</x:v>
      </x:c>
      <x:c r="E136" s="2" t="n">
        <x:v>9</x:v>
      </x:c>
      <x:c r="F136" s="2" t="n">
        <x:v>-18</x:v>
      </x:c>
      <x:c r="G136" s="2" t="n">
        <x:v>0</x:v>
      </x:c>
      <x:c r="H136" s="2" t="n">
        <x:v>0</x:v>
      </x:c>
      <x:c r="I136" s="2" t="n">
        <x:v>1</x:v>
      </x:c>
      <x:c r="J136" s="2" t="n">
        <x:v>4</x:v>
      </x:c>
      <x:c r="K136" s="2" t="n">
        <x:v>18</x:v>
      </x:c>
      <x:c r="L136" s="2" t="str">
        <x:v>R14 tervezői kiosztás; tényleges laphoz és csavarhoz próbafúrás</x:v>
      </x:c>
    </x:row>
    <x:row r="137" ht="36" customHeight="1">
      <x:c r="A137" s="2" t="str">
        <x:v>H0299</x:v>
      </x:c>
      <x:c r="B137" s="2" t="str">
        <x:v>KI12-TV01S-01</x:v>
      </x:c>
      <x:c r="C137" s="2" t="str">
        <x:v>LEC_OLDAL / R14-J003</x:v>
      </x:c>
      <x:c r="D137" s="2" t="n">
        <x:v>490</x:v>
      </x:c>
      <x:c r="E137" s="2" t="n">
        <x:v>345</x:v>
      </x:c>
      <x:c r="F137" s="2" t="n">
        <x:v>-18</x:v>
      </x:c>
      <x:c r="G137" s="2" t="n">
        <x:v>0</x:v>
      </x:c>
      <x:c r="H137" s="2" t="n">
        <x:v>0</x:v>
      </x:c>
      <x:c r="I137" s="2" t="n">
        <x:v>1</x:v>
      </x:c>
      <x:c r="J137" s="2" t="n">
        <x:v>2.5</x:v>
      </x:c>
      <x:c r="K137" s="2" t="n">
        <x:v>12</x:v>
      </x:c>
      <x:c r="L137" s="2" t="str">
        <x:v>R14 tervezői kiosztás; tényleges laphoz és csavarhoz próbafúrás</x:v>
      </x:c>
    </x:row>
    <x:row r="138" ht="36" customHeight="1">
      <x:c r="A138" s="2" t="str">
        <x:v>H0300</x:v>
      </x:c>
      <x:c r="B138" s="2" t="str">
        <x:v>KI12-TV01H-01</x:v>
      </x:c>
      <x:c r="C138" s="2" t="str">
        <x:v>HATLAP_LEC / R14-J004</x:v>
      </x:c>
      <x:c r="D138" s="2" t="n">
        <x:v>486</x:v>
      </x:c>
      <x:c r="E138" s="2" t="n">
        <x:v>8</x:v>
      </x:c>
      <x:c r="F138" s="2" t="n">
        <x:v>0</x:v>
      </x:c>
      <x:c r="G138" s="2" t="n">
        <x:v>0</x:v>
      </x:c>
      <x:c r="H138" s="2" t="n">
        <x:v>0</x:v>
      </x:c>
      <x:c r="I138" s="2" t="n">
        <x:v>-1</x:v>
      </x:c>
      <x:c r="J138" s="2" t="n">
        <x:v>3.5</x:v>
      </x:c>
      <x:c r="K138" s="2" t="n">
        <x:v>8</x:v>
      </x:c>
      <x:c r="L138" s="2" t="str">
        <x:v>R14 tervezői kiosztás; tényleges laphoz és csavarhoz próbafúrás</x:v>
      </x:c>
    </x:row>
    <x:row r="139" ht="36" customHeight="1">
      <x:c r="A139" s="2" t="str">
        <x:v>H0301</x:v>
      </x:c>
      <x:c r="B139" s="2" t="str">
        <x:v>KI14-BAT-01</x:v>
      </x:c>
      <x:c r="C139" s="2" t="str">
        <x:v>HATLAP_LEC / R14-J004</x:v>
      </x:c>
      <x:c r="D139" s="2" t="n">
        <x:v>467</x:v>
      </x:c>
      <x:c r="E139" s="2" t="n">
        <x:v>18</x:v>
      </x:c>
      <x:c r="F139" s="2" t="n">
        <x:v>-9</x:v>
      </x:c>
      <x:c r="G139" s="2" t="n">
        <x:v>0</x:v>
      </x:c>
      <x:c r="H139" s="2" t="n">
        <x:v>-1</x:v>
      </x:c>
      <x:c r="I139" s="2" t="n">
        <x:v>0</x:v>
      </x:c>
      <x:c r="J139" s="2" t="n">
        <x:v>2.5</x:v>
      </x:c>
      <x:c r="K139" s="2" t="n">
        <x:v>12</x:v>
      </x:c>
      <x:c r="L139" s="2" t="str">
        <x:v>R14 tervezői kiosztás; tényleges laphoz és csavarhoz próbafúrás</x:v>
      </x:c>
    </x:row>
    <x:row r="140" ht="36" customHeight="1">
      <x:c r="A140" s="2" t="str">
        <x:v>H0302</x:v>
      </x:c>
      <x:c r="B140" s="2" t="str">
        <x:v>KI14-BAT-01</x:v>
      </x:c>
      <x:c r="C140" s="2" t="str">
        <x:v>LEC_OLDAL / R14-J005</x:v>
      </x:c>
      <x:c r="D140" s="2" t="n">
        <x:v>832</x:v>
      </x:c>
      <x:c r="E140" s="2" t="n">
        <x:v>9</x:v>
      </x:c>
      <x:c r="F140" s="2" t="n">
        <x:v>-18</x:v>
      </x:c>
      <x:c r="G140" s="2" t="n">
        <x:v>0</x:v>
      </x:c>
      <x:c r="H140" s="2" t="n">
        <x:v>0</x:v>
      </x:c>
      <x:c r="I140" s="2" t="n">
        <x:v>1</x:v>
      </x:c>
      <x:c r="J140" s="2" t="n">
        <x:v>4</x:v>
      </x:c>
      <x:c r="K140" s="2" t="n">
        <x:v>18</x:v>
      </x:c>
      <x:c r="L140" s="2" t="str">
        <x:v>R14 tervezői kiosztás; tényleges laphoz és csavarhoz próbafúrás</x:v>
      </x:c>
    </x:row>
    <x:row r="141" ht="36" customHeight="1">
      <x:c r="A141" s="2" t="str">
        <x:v>H0303</x:v>
      </x:c>
      <x:c r="B141" s="2" t="str">
        <x:v>KI12-TV01S-01</x:v>
      </x:c>
      <x:c r="C141" s="2" t="str">
        <x:v>LEC_OLDAL / R14-J005</x:v>
      </x:c>
      <x:c r="D141" s="2" t="n">
        <x:v>870</x:v>
      </x:c>
      <x:c r="E141" s="2" t="n">
        <x:v>345</x:v>
      </x:c>
      <x:c r="F141" s="2" t="n">
        <x:v>-18</x:v>
      </x:c>
      <x:c r="G141" s="2" t="n">
        <x:v>0</x:v>
      </x:c>
      <x:c r="H141" s="2" t="n">
        <x:v>0</x:v>
      </x:c>
      <x:c r="I141" s="2" t="n">
        <x:v>1</x:v>
      </x:c>
      <x:c r="J141" s="2" t="n">
        <x:v>2.5</x:v>
      </x:c>
      <x:c r="K141" s="2" t="n">
        <x:v>12</x:v>
      </x:c>
      <x:c r="L141" s="2" t="str">
        <x:v>R14 tervezői kiosztás; tényleges laphoz és csavarhoz próbafúrás</x:v>
      </x:c>
    </x:row>
    <x:row r="142" ht="36" customHeight="1">
      <x:c r="A142" s="2" t="str">
        <x:v>H0304</x:v>
      </x:c>
      <x:c r="B142" s="2" t="str">
        <x:v>KI12-TV01H-01</x:v>
      </x:c>
      <x:c r="C142" s="2" t="str">
        <x:v>HATLAP_LEC / R14-J006</x:v>
      </x:c>
      <x:c r="D142" s="2" t="n">
        <x:v>866</x:v>
      </x:c>
      <x:c r="E142" s="2" t="n">
        <x:v>8</x:v>
      </x:c>
      <x:c r="F142" s="2" t="n">
        <x:v>0</x:v>
      </x:c>
      <x:c r="G142" s="2" t="n">
        <x:v>0</x:v>
      </x:c>
      <x:c r="H142" s="2" t="n">
        <x:v>0</x:v>
      </x:c>
      <x:c r="I142" s="2" t="n">
        <x:v>-1</x:v>
      </x:c>
      <x:c r="J142" s="2" t="n">
        <x:v>3.5</x:v>
      </x:c>
      <x:c r="K142" s="2" t="n">
        <x:v>8</x:v>
      </x:c>
      <x:c r="L142" s="2" t="str">
        <x:v>R14 tervezői kiosztás; tényleges laphoz és csavarhoz próbafúrás</x:v>
      </x:c>
    </x:row>
    <x:row r="143" ht="36" customHeight="1">
      <x:c r="A143" s="2" t="str">
        <x:v>H0305</x:v>
      </x:c>
      <x:c r="B143" s="2" t="str">
        <x:v>KI14-BAT-01</x:v>
      </x:c>
      <x:c r="C143" s="2" t="str">
        <x:v>HATLAP_LEC / R14-J006</x:v>
      </x:c>
      <x:c r="D143" s="2" t="n">
        <x:v>847</x:v>
      </x:c>
      <x:c r="E143" s="2" t="n">
        <x:v>18</x:v>
      </x:c>
      <x:c r="F143" s="2" t="n">
        <x:v>-9</x:v>
      </x:c>
      <x:c r="G143" s="2" t="n">
        <x:v>0</x:v>
      </x:c>
      <x:c r="H143" s="2" t="n">
        <x:v>-1</x:v>
      </x:c>
      <x:c r="I143" s="2" t="n">
        <x:v>0</x:v>
      </x:c>
      <x:c r="J143" s="2" t="n">
        <x:v>2.5</x:v>
      </x:c>
      <x:c r="K143" s="2" t="n">
        <x:v>12</x:v>
      </x:c>
      <x:c r="L143" s="2" t="str">
        <x:v>R14 tervezői kiosztás; tényleges laphoz és csavarhoz próbafúrás</x:v>
      </x:c>
    </x:row>
    <x:row r="144" ht="36" customHeight="1">
      <x:c r="A144" s="2" t="str">
        <x:v>H0306</x:v>
      </x:c>
      <x:c r="B144" s="2" t="str">
        <x:v>KI14-BAT-01</x:v>
      </x:c>
      <x:c r="C144" s="2" t="str">
        <x:v>LEC_OLDAL / R14-J007</x:v>
      </x:c>
      <x:c r="D144" s="2" t="n">
        <x:v>1212</x:v>
      </x:c>
      <x:c r="E144" s="2" t="n">
        <x:v>9</x:v>
      </x:c>
      <x:c r="F144" s="2" t="n">
        <x:v>-18</x:v>
      </x:c>
      <x:c r="G144" s="2" t="n">
        <x:v>0</x:v>
      </x:c>
      <x:c r="H144" s="2" t="n">
        <x:v>0</x:v>
      </x:c>
      <x:c r="I144" s="2" t="n">
        <x:v>1</x:v>
      </x:c>
      <x:c r="J144" s="2" t="n">
        <x:v>4</x:v>
      </x:c>
      <x:c r="K144" s="2" t="n">
        <x:v>18</x:v>
      </x:c>
      <x:c r="L144" s="2" t="str">
        <x:v>R14 tervezői kiosztás; tényleges laphoz és csavarhoz próbafúrás</x:v>
      </x:c>
    </x:row>
    <x:row r="145" ht="36" customHeight="1">
      <x:c r="A145" s="2" t="str">
        <x:v>H0307</x:v>
      </x:c>
      <x:c r="B145" s="2" t="str">
        <x:v>KI12-TV01S-01</x:v>
      </x:c>
      <x:c r="C145" s="2" t="str">
        <x:v>LEC_OLDAL / R14-J007</x:v>
      </x:c>
      <x:c r="D145" s="2" t="n">
        <x:v>1250</x:v>
      </x:c>
      <x:c r="E145" s="2" t="n">
        <x:v>345</x:v>
      </x:c>
      <x:c r="F145" s="2" t="n">
        <x:v>-18</x:v>
      </x:c>
      <x:c r="G145" s="2" t="n">
        <x:v>0</x:v>
      </x:c>
      <x:c r="H145" s="2" t="n">
        <x:v>0</x:v>
      </x:c>
      <x:c r="I145" s="2" t="n">
        <x:v>1</x:v>
      </x:c>
      <x:c r="J145" s="2" t="n">
        <x:v>2.5</x:v>
      </x:c>
      <x:c r="K145" s="2" t="n">
        <x:v>12</x:v>
      </x:c>
      <x:c r="L145" s="2" t="str">
        <x:v>R14 tervezői kiosztás; tényleges laphoz és csavarhoz próbafúrás</x:v>
      </x:c>
    </x:row>
    <x:row r="146" ht="36" customHeight="1">
      <x:c r="A146" s="2" t="str">
        <x:v>H0308</x:v>
      </x:c>
      <x:c r="B146" s="2" t="str">
        <x:v>KI12-TV01H-01</x:v>
      </x:c>
      <x:c r="C146" s="2" t="str">
        <x:v>HATLAP_LEC / R14-J008</x:v>
      </x:c>
      <x:c r="D146" s="2" t="n">
        <x:v>1246</x:v>
      </x:c>
      <x:c r="E146" s="2" t="n">
        <x:v>8</x:v>
      </x:c>
      <x:c r="F146" s="2" t="n">
        <x:v>0</x:v>
      </x:c>
      <x:c r="G146" s="2" t="n">
        <x:v>0</x:v>
      </x:c>
      <x:c r="H146" s="2" t="n">
        <x:v>0</x:v>
      </x:c>
      <x:c r="I146" s="2" t="n">
        <x:v>-1</x:v>
      </x:c>
      <x:c r="J146" s="2" t="n">
        <x:v>3.5</x:v>
      </x:c>
      <x:c r="K146" s="2" t="n">
        <x:v>8</x:v>
      </x:c>
      <x:c r="L146" s="2" t="str">
        <x:v>R14 tervezői kiosztás; tényleges laphoz és csavarhoz próbafúrás</x:v>
      </x:c>
    </x:row>
    <x:row r="147" ht="36" customHeight="1">
      <x:c r="A147" s="2" t="str">
        <x:v>H0309</x:v>
      </x:c>
      <x:c r="B147" s="2" t="str">
        <x:v>KI14-BAT-01</x:v>
      </x:c>
      <x:c r="C147" s="2" t="str">
        <x:v>HATLAP_LEC / R14-J008</x:v>
      </x:c>
      <x:c r="D147" s="2" t="n">
        <x:v>1227</x:v>
      </x:c>
      <x:c r="E147" s="2" t="n">
        <x:v>18</x:v>
      </x:c>
      <x:c r="F147" s="2" t="n">
        <x:v>-9</x:v>
      </x:c>
      <x:c r="G147" s="2" t="n">
        <x:v>0</x:v>
      </x:c>
      <x:c r="H147" s="2" t="n">
        <x:v>-1</x:v>
      </x:c>
      <x:c r="I147" s="2" t="n">
        <x:v>0</x:v>
      </x:c>
      <x:c r="J147" s="2" t="n">
        <x:v>2.5</x:v>
      </x:c>
      <x:c r="K147" s="2" t="n">
        <x:v>12</x:v>
      </x:c>
      <x:c r="L147" s="2" t="str">
        <x:v>R14 tervezői kiosztás; tényleges laphoz és csavarhoz próbafúrás</x:v>
      </x:c>
    </x:row>
    <x:row r="148" ht="36" customHeight="1">
      <x:c r="A148" s="2" t="str">
        <x:v>H0310</x:v>
      </x:c>
      <x:c r="B148" s="2" t="str">
        <x:v>KI14-BAT-01</x:v>
      </x:c>
      <x:c r="C148" s="2" t="str">
        <x:v>LEC_OLDAL / R14-J009</x:v>
      </x:c>
      <x:c r="D148" s="2" t="n">
        <x:v>1592</x:v>
      </x:c>
      <x:c r="E148" s="2" t="n">
        <x:v>9</x:v>
      </x:c>
      <x:c r="F148" s="2" t="n">
        <x:v>-18</x:v>
      </x:c>
      <x:c r="G148" s="2" t="n">
        <x:v>0</x:v>
      </x:c>
      <x:c r="H148" s="2" t="n">
        <x:v>0</x:v>
      </x:c>
      <x:c r="I148" s="2" t="n">
        <x:v>1</x:v>
      </x:c>
      <x:c r="J148" s="2" t="n">
        <x:v>4</x:v>
      </x:c>
      <x:c r="K148" s="2" t="n">
        <x:v>18</x:v>
      </x:c>
      <x:c r="L148" s="2" t="str">
        <x:v>R14 tervezői kiosztás; tényleges laphoz és csavarhoz próbafúrás</x:v>
      </x:c>
    </x:row>
    <x:row r="149" ht="36" customHeight="1">
      <x:c r="A149" s="2" t="str">
        <x:v>H0311</x:v>
      </x:c>
      <x:c r="B149" s="2" t="str">
        <x:v>KI12-TV01S-01</x:v>
      </x:c>
      <x:c r="C149" s="2" t="str">
        <x:v>LEC_OLDAL / R14-J009</x:v>
      </x:c>
      <x:c r="D149" s="2" t="n">
        <x:v>1630</x:v>
      </x:c>
      <x:c r="E149" s="2" t="n">
        <x:v>345</x:v>
      </x:c>
      <x:c r="F149" s="2" t="n">
        <x:v>-18</x:v>
      </x:c>
      <x:c r="G149" s="2" t="n">
        <x:v>0</x:v>
      </x:c>
      <x:c r="H149" s="2" t="n">
        <x:v>0</x:v>
      </x:c>
      <x:c r="I149" s="2" t="n">
        <x:v>1</x:v>
      </x:c>
      <x:c r="J149" s="2" t="n">
        <x:v>2.5</x:v>
      </x:c>
      <x:c r="K149" s="2" t="n">
        <x:v>12</x:v>
      </x:c>
      <x:c r="L149" s="2" t="str">
        <x:v>R14 tervezői kiosztás; tényleges laphoz és csavarhoz próbafúrás</x:v>
      </x:c>
    </x:row>
    <x:row r="150" ht="36" customHeight="1">
      <x:c r="A150" s="2" t="str">
        <x:v>H0312</x:v>
      </x:c>
      <x:c r="B150" s="2" t="str">
        <x:v>KI12-TV01H-01</x:v>
      </x:c>
      <x:c r="C150" s="2" t="str">
        <x:v>HATLAP_LEC / R14-J010</x:v>
      </x:c>
      <x:c r="D150" s="2" t="n">
        <x:v>1626</x:v>
      </x:c>
      <x:c r="E150" s="2" t="n">
        <x:v>8</x:v>
      </x:c>
      <x:c r="F150" s="2" t="n">
        <x:v>0</x:v>
      </x:c>
      <x:c r="G150" s="2" t="n">
        <x:v>0</x:v>
      </x:c>
      <x:c r="H150" s="2" t="n">
        <x:v>0</x:v>
      </x:c>
      <x:c r="I150" s="2" t="n">
        <x:v>-1</x:v>
      </x:c>
      <x:c r="J150" s="2" t="n">
        <x:v>3.5</x:v>
      </x:c>
      <x:c r="K150" s="2" t="n">
        <x:v>8</x:v>
      </x:c>
      <x:c r="L150" s="2" t="str">
        <x:v>R14 tervezői kiosztás; tényleges laphoz és csavarhoz próbafúrás</x:v>
      </x:c>
    </x:row>
    <x:row r="151" ht="36" customHeight="1">
      <x:c r="A151" s="2" t="str">
        <x:v>H0313</x:v>
      </x:c>
      <x:c r="B151" s="2" t="str">
        <x:v>KI14-BAT-01</x:v>
      </x:c>
      <x:c r="C151" s="2" t="str">
        <x:v>HATLAP_LEC / R14-J010</x:v>
      </x:c>
      <x:c r="D151" s="2" t="n">
        <x:v>1607</x:v>
      </x:c>
      <x:c r="E151" s="2" t="n">
        <x:v>18</x:v>
      </x:c>
      <x:c r="F151" s="2" t="n">
        <x:v>-9</x:v>
      </x:c>
      <x:c r="G151" s="2" t="n">
        <x:v>0</x:v>
      </x:c>
      <x:c r="H151" s="2" t="n">
        <x:v>-1</x:v>
      </x:c>
      <x:c r="I151" s="2" t="n">
        <x:v>0</x:v>
      </x:c>
      <x:c r="J151" s="2" t="n">
        <x:v>2.5</x:v>
      </x:c>
      <x:c r="K151" s="2" t="n">
        <x:v>12</x:v>
      </x:c>
      <x:c r="L151" s="2" t="str">
        <x:v>R14 tervezői kiosztás; tényleges laphoz és csavarhoz próbafúrás</x:v>
      </x:c>
    </x:row>
    <x:row r="152" ht="36" customHeight="1">
      <x:c r="A152" s="2" t="str">
        <x:v>H0314</x:v>
      </x:c>
      <x:c r="B152" s="2" t="str">
        <x:v>KI14-BAT-01</x:v>
      </x:c>
      <x:c r="C152" s="2" t="str">
        <x:v>LEC_OLDAL / R14-J011</x:v>
      </x:c>
      <x:c r="D152" s="2" t="n">
        <x:v>1972</x:v>
      </x:c>
      <x:c r="E152" s="2" t="n">
        <x:v>9</x:v>
      </x:c>
      <x:c r="F152" s="2" t="n">
        <x:v>-18</x:v>
      </x:c>
      <x:c r="G152" s="2" t="n">
        <x:v>0</x:v>
      </x:c>
      <x:c r="H152" s="2" t="n">
        <x:v>0</x:v>
      </x:c>
      <x:c r="I152" s="2" t="n">
        <x:v>1</x:v>
      </x:c>
      <x:c r="J152" s="2" t="n">
        <x:v>4</x:v>
      </x:c>
      <x:c r="K152" s="2" t="n">
        <x:v>18</x:v>
      </x:c>
      <x:c r="L152" s="2" t="str">
        <x:v>R14 tervezői kiosztás; tényleges laphoz és csavarhoz próbafúrás</x:v>
      </x:c>
    </x:row>
    <x:row r="153" ht="36" customHeight="1">
      <x:c r="A153" s="2" t="str">
        <x:v>H0315</x:v>
      </x:c>
      <x:c r="B153" s="2" t="str">
        <x:v>KI12-TV01S-01</x:v>
      </x:c>
      <x:c r="C153" s="2" t="str">
        <x:v>LEC_OLDAL / R14-J011</x:v>
      </x:c>
      <x:c r="D153" s="2" t="n">
        <x:v>2010</x:v>
      </x:c>
      <x:c r="E153" s="2" t="n">
        <x:v>345</x:v>
      </x:c>
      <x:c r="F153" s="2" t="n">
        <x:v>-18</x:v>
      </x:c>
      <x:c r="G153" s="2" t="n">
        <x:v>0</x:v>
      </x:c>
      <x:c r="H153" s="2" t="n">
        <x:v>0</x:v>
      </x:c>
      <x:c r="I153" s="2" t="n">
        <x:v>1</x:v>
      </x:c>
      <x:c r="J153" s="2" t="n">
        <x:v>2.5</x:v>
      </x:c>
      <x:c r="K153" s="2" t="n">
        <x:v>12</x:v>
      </x:c>
      <x:c r="L153" s="2" t="str">
        <x:v>R14 tervezői kiosztás; tényleges laphoz és csavarhoz próbafúrás</x:v>
      </x:c>
    </x:row>
    <x:row r="154" ht="36" customHeight="1">
      <x:c r="A154" s="2" t="str">
        <x:v>H0316</x:v>
      </x:c>
      <x:c r="B154" s="2" t="str">
        <x:v>KI12-TV01H-01</x:v>
      </x:c>
      <x:c r="C154" s="2" t="str">
        <x:v>HATLAP_LEC / R14-J012</x:v>
      </x:c>
      <x:c r="D154" s="2" t="n">
        <x:v>2006</x:v>
      </x:c>
      <x:c r="E154" s="2" t="n">
        <x:v>8</x:v>
      </x:c>
      <x:c r="F154" s="2" t="n">
        <x:v>0</x:v>
      </x:c>
      <x:c r="G154" s="2" t="n">
        <x:v>0</x:v>
      </x:c>
      <x:c r="H154" s="2" t="n">
        <x:v>0</x:v>
      </x:c>
      <x:c r="I154" s="2" t="n">
        <x:v>-1</x:v>
      </x:c>
      <x:c r="J154" s="2" t="n">
        <x:v>3.5</x:v>
      </x:c>
      <x:c r="K154" s="2" t="n">
        <x:v>8</x:v>
      </x:c>
      <x:c r="L154" s="2" t="str">
        <x:v>R14 tervezői kiosztás; tényleges laphoz és csavarhoz próbafúrás</x:v>
      </x:c>
    </x:row>
    <x:row r="155" ht="36" customHeight="1">
      <x:c r="A155" s="2" t="str">
        <x:v>H0317</x:v>
      </x:c>
      <x:c r="B155" s="2" t="str">
        <x:v>KI14-BAT-01</x:v>
      </x:c>
      <x:c r="C155" s="2" t="str">
        <x:v>HATLAP_LEC / R14-J012</x:v>
      </x:c>
      <x:c r="D155" s="2" t="n">
        <x:v>1987</x:v>
      </x:c>
      <x:c r="E155" s="2" t="n">
        <x:v>18</x:v>
      </x:c>
      <x:c r="F155" s="2" t="n">
        <x:v>-9</x:v>
      </x:c>
      <x:c r="G155" s="2" t="n">
        <x:v>0</x:v>
      </x:c>
      <x:c r="H155" s="2" t="n">
        <x:v>-1</x:v>
      </x:c>
      <x:c r="I155" s="2" t="n">
        <x:v>0</x:v>
      </x:c>
      <x:c r="J155" s="2" t="n">
        <x:v>2.5</x:v>
      </x:c>
      <x:c r="K155" s="2" t="n">
        <x:v>12</x:v>
      </x:c>
      <x:c r="L155" s="2" t="str">
        <x:v>R14 tervezői kiosztás; tényleges laphoz és csavarhoz próbafúrás</x:v>
      </x:c>
    </x:row>
    <x:row r="156" ht="36" customHeight="1">
      <x:c r="A156" s="2" t="str">
        <x:v>H0318</x:v>
      </x:c>
      <x:c r="B156" s="2" t="str">
        <x:v>KI14-BAT-01</x:v>
      </x:c>
      <x:c r="C156" s="2" t="str">
        <x:v>LEC_OLDAL / R14-J013</x:v>
      </x:c>
      <x:c r="D156" s="2" t="n">
        <x:v>2112</x:v>
      </x:c>
      <x:c r="E156" s="2" t="n">
        <x:v>9</x:v>
      </x:c>
      <x:c r="F156" s="2" t="n">
        <x:v>-18</x:v>
      </x:c>
      <x:c r="G156" s="2" t="n">
        <x:v>0</x:v>
      </x:c>
      <x:c r="H156" s="2" t="n">
        <x:v>0</x:v>
      </x:c>
      <x:c r="I156" s="2" t="n">
        <x:v>1</x:v>
      </x:c>
      <x:c r="J156" s="2" t="n">
        <x:v>4</x:v>
      </x:c>
      <x:c r="K156" s="2" t="n">
        <x:v>18</x:v>
      </x:c>
      <x:c r="L156" s="2" t="str">
        <x:v>R14 tervezői kiosztás; tényleges laphoz és csavarhoz próbafúrás</x:v>
      </x:c>
    </x:row>
    <x:row r="157" ht="36" customHeight="1">
      <x:c r="A157" s="2" t="str">
        <x:v>H0319</x:v>
      </x:c>
      <x:c r="B157" s="2" t="str">
        <x:v>KI12-TV01S-01</x:v>
      </x:c>
      <x:c r="C157" s="2" t="str">
        <x:v>LEC_OLDAL / R14-J013</x:v>
      </x:c>
      <x:c r="D157" s="2" t="n">
        <x:v>2150</x:v>
      </x:c>
      <x:c r="E157" s="2" t="n">
        <x:v>345</x:v>
      </x:c>
      <x:c r="F157" s="2" t="n">
        <x:v>-18</x:v>
      </x:c>
      <x:c r="G157" s="2" t="n">
        <x:v>0</x:v>
      </x:c>
      <x:c r="H157" s="2" t="n">
        <x:v>0</x:v>
      </x:c>
      <x:c r="I157" s="2" t="n">
        <x:v>1</x:v>
      </x:c>
      <x:c r="J157" s="2" t="n">
        <x:v>2.5</x:v>
      </x:c>
      <x:c r="K157" s="2" t="n">
        <x:v>12</x:v>
      </x:c>
      <x:c r="L157" s="2" t="str">
        <x:v>R14 tervezői kiosztás; tényleges laphoz és csavarhoz próbafúrás</x:v>
      </x:c>
    </x:row>
    <x:row r="158" ht="36" customHeight="1">
      <x:c r="A158" s="2" t="str">
        <x:v>H0320</x:v>
      </x:c>
      <x:c r="B158" s="2" t="str">
        <x:v>KI12-TV01H-01</x:v>
      </x:c>
      <x:c r="C158" s="2" t="str">
        <x:v>HATLAP_LEC / R14-J014</x:v>
      </x:c>
      <x:c r="D158" s="2" t="n">
        <x:v>2146</x:v>
      </x:c>
      <x:c r="E158" s="2" t="n">
        <x:v>8</x:v>
      </x:c>
      <x:c r="F158" s="2" t="n">
        <x:v>0</x:v>
      </x:c>
      <x:c r="G158" s="2" t="n">
        <x:v>0</x:v>
      </x:c>
      <x:c r="H158" s="2" t="n">
        <x:v>0</x:v>
      </x:c>
      <x:c r="I158" s="2" t="n">
        <x:v>-1</x:v>
      </x:c>
      <x:c r="J158" s="2" t="n">
        <x:v>3.5</x:v>
      </x:c>
      <x:c r="K158" s="2" t="n">
        <x:v>8</x:v>
      </x:c>
      <x:c r="L158" s="2" t="str">
        <x:v>R14 tervezői kiosztás; tényleges laphoz és csavarhoz próbafúrás</x:v>
      </x:c>
    </x:row>
    <x:row r="159" ht="36" customHeight="1">
      <x:c r="A159" s="2" t="str">
        <x:v>H0321</x:v>
      </x:c>
      <x:c r="B159" s="2" t="str">
        <x:v>KI14-BAT-01</x:v>
      </x:c>
      <x:c r="C159" s="2" t="str">
        <x:v>HATLAP_LEC / R14-J014</x:v>
      </x:c>
      <x:c r="D159" s="2" t="n">
        <x:v>2127</x:v>
      </x:c>
      <x:c r="E159" s="2" t="n">
        <x:v>18</x:v>
      </x:c>
      <x:c r="F159" s="2" t="n">
        <x:v>-9</x:v>
      </x:c>
      <x:c r="G159" s="2" t="n">
        <x:v>0</x:v>
      </x:c>
      <x:c r="H159" s="2" t="n">
        <x:v>-1</x:v>
      </x:c>
      <x:c r="I159" s="2" t="n">
        <x:v>0</x:v>
      </x:c>
      <x:c r="J159" s="2" t="n">
        <x:v>2.5</x:v>
      </x:c>
      <x:c r="K159" s="2" t="n">
        <x:v>12</x:v>
      </x:c>
      <x:c r="L159" s="2" t="str">
        <x:v>R14 tervezői kiosztás; tényleges laphoz és csavarhoz próbafúrás</x:v>
      </x:c>
    </x:row>
    <x:row r="160" ht="36" customHeight="1">
      <x:c r="A160" s="2" t="str">
        <x:v>H0322</x:v>
      </x:c>
      <x:c r="B160" s="2" t="str">
        <x:v>KI14-BAT-02</x:v>
      </x:c>
      <x:c r="C160" s="2" t="str">
        <x:v>LEC_OLDAL / R14-J015</x:v>
      </x:c>
      <x:c r="D160" s="2" t="n">
        <x:v>72</x:v>
      </x:c>
      <x:c r="E160" s="2" t="n">
        <x:v>9</x:v>
      </x:c>
      <x:c r="F160" s="2" t="n">
        <x:v>0</x:v>
      </x:c>
      <x:c r="G160" s="2" t="n">
        <x:v>0</x:v>
      </x:c>
      <x:c r="H160" s="2" t="n">
        <x:v>0</x:v>
      </x:c>
      <x:c r="I160" s="2" t="n">
        <x:v>-1</x:v>
      </x:c>
      <x:c r="J160" s="2" t="n">
        <x:v>4</x:v>
      </x:c>
      <x:c r="K160" s="2" t="n">
        <x:v>18</x:v>
      </x:c>
      <x:c r="L160" s="2" t="str">
        <x:v>R14 tervezői kiosztás; tényleges laphoz és csavarhoz próbafúrás</x:v>
      </x:c>
    </x:row>
    <x:row r="161" ht="36" customHeight="1">
      <x:c r="A161" s="2" t="str">
        <x:v>H0323</x:v>
      </x:c>
      <x:c r="B161" s="2" t="str">
        <x:v>KI12-TV01S-02</x:v>
      </x:c>
      <x:c r="C161" s="2" t="str">
        <x:v>LEC_OLDAL / R14-J015</x:v>
      </x:c>
      <x:c r="D161" s="2" t="n">
        <x:v>110</x:v>
      </x:c>
      <x:c r="E161" s="2" t="n">
        <x:v>345</x:v>
      </x:c>
      <x:c r="F161" s="2" t="n">
        <x:v>0</x:v>
      </x:c>
      <x:c r="G161" s="2" t="n">
        <x:v>0</x:v>
      </x:c>
      <x:c r="H161" s="2" t="n">
        <x:v>0</x:v>
      </x:c>
      <x:c r="I161" s="2" t="n">
        <x:v>-1</x:v>
      </x:c>
      <x:c r="J161" s="2" t="n">
        <x:v>2.5</x:v>
      </x:c>
      <x:c r="K161" s="2" t="n">
        <x:v>12</x:v>
      </x:c>
      <x:c r="L161" s="2" t="str">
        <x:v>R14 tervezői kiosztás; tényleges laphoz és csavarhoz próbafúrás</x:v>
      </x:c>
    </x:row>
    <x:row r="162" ht="36" customHeight="1">
      <x:c r="A162" s="2" t="str">
        <x:v>H0324</x:v>
      </x:c>
      <x:c r="B162" s="2" t="str">
        <x:v>KI12-TV01H-01</x:v>
      </x:c>
      <x:c r="C162" s="2" t="str">
        <x:v>HATLAP_LEC / R14-J016</x:v>
      </x:c>
      <x:c r="D162" s="2" t="n">
        <x:v>106</x:v>
      </x:c>
      <x:c r="E162" s="2" t="n">
        <x:v>674</x:v>
      </x:c>
      <x:c r="F162" s="2" t="n">
        <x:v>0</x:v>
      </x:c>
      <x:c r="G162" s="2" t="n">
        <x:v>0</x:v>
      </x:c>
      <x:c r="H162" s="2" t="n">
        <x:v>0</x:v>
      </x:c>
      <x:c r="I162" s="2" t="n">
        <x:v>-1</x:v>
      </x:c>
      <x:c r="J162" s="2" t="n">
        <x:v>3.5</x:v>
      </x:c>
      <x:c r="K162" s="2" t="n">
        <x:v>8</x:v>
      </x:c>
      <x:c r="L162" s="2" t="str">
        <x:v>R14 tervezői kiosztás; tényleges laphoz és csavarhoz próbafúrás</x:v>
      </x:c>
    </x:row>
    <x:row r="163" ht="36" customHeight="1">
      <x:c r="A163" s="2" t="str">
        <x:v>H0325</x:v>
      </x:c>
      <x:c r="B163" s="2" t="str">
        <x:v>KI14-BAT-02</x:v>
      </x:c>
      <x:c r="C163" s="2" t="str">
        <x:v>HATLAP_LEC / R14-J016</x:v>
      </x:c>
      <x:c r="D163" s="2" t="n">
        <x:v>87</x:v>
      </x:c>
      <x:c r="E163" s="2" t="n">
        <x:v>18</x:v>
      </x:c>
      <x:c r="F163" s="2" t="n">
        <x:v>-9</x:v>
      </x:c>
      <x:c r="G163" s="2" t="n">
        <x:v>0</x:v>
      </x:c>
      <x:c r="H163" s="2" t="n">
        <x:v>-1</x:v>
      </x:c>
      <x:c r="I163" s="2" t="n">
        <x:v>0</x:v>
      </x:c>
      <x:c r="J163" s="2" t="n">
        <x:v>2.5</x:v>
      </x:c>
      <x:c r="K163" s="2" t="n">
        <x:v>12</x:v>
      </x:c>
      <x:c r="L163" s="2" t="str">
        <x:v>R14 tervezői kiosztás; tényleges laphoz és csavarhoz próbafúrás</x:v>
      </x:c>
    </x:row>
    <x:row r="164" ht="36" customHeight="1">
      <x:c r="A164" s="2" t="str">
        <x:v>H0326</x:v>
      </x:c>
      <x:c r="B164" s="2" t="str">
        <x:v>KI14-BAT-02</x:v>
      </x:c>
      <x:c r="C164" s="2" t="str">
        <x:v>LEC_OLDAL / R14-J017</x:v>
      </x:c>
      <x:c r="D164" s="2" t="n">
        <x:v>452</x:v>
      </x:c>
      <x:c r="E164" s="2" t="n">
        <x:v>9</x:v>
      </x:c>
      <x:c r="F164" s="2" t="n">
        <x:v>0</x:v>
      </x:c>
      <x:c r="G164" s="2" t="n">
        <x:v>0</x:v>
      </x:c>
      <x:c r="H164" s="2" t="n">
        <x:v>0</x:v>
      </x:c>
      <x:c r="I164" s="2" t="n">
        <x:v>-1</x:v>
      </x:c>
      <x:c r="J164" s="2" t="n">
        <x:v>4</x:v>
      </x:c>
      <x:c r="K164" s="2" t="n">
        <x:v>18</x:v>
      </x:c>
      <x:c r="L164" s="2" t="str">
        <x:v>R14 tervezői kiosztás; tényleges laphoz és csavarhoz próbafúrás</x:v>
      </x:c>
    </x:row>
    <x:row r="165" ht="36" customHeight="1">
      <x:c r="A165" s="2" t="str">
        <x:v>H0327</x:v>
      </x:c>
      <x:c r="B165" s="2" t="str">
        <x:v>KI12-TV01S-02</x:v>
      </x:c>
      <x:c r="C165" s="2" t="str">
        <x:v>LEC_OLDAL / R14-J017</x:v>
      </x:c>
      <x:c r="D165" s="2" t="n">
        <x:v>490</x:v>
      </x:c>
      <x:c r="E165" s="2" t="n">
        <x:v>345</x:v>
      </x:c>
      <x:c r="F165" s="2" t="n">
        <x:v>0</x:v>
      </x:c>
      <x:c r="G165" s="2" t="n">
        <x:v>0</x:v>
      </x:c>
      <x:c r="H165" s="2" t="n">
        <x:v>0</x:v>
      </x:c>
      <x:c r="I165" s="2" t="n">
        <x:v>-1</x:v>
      </x:c>
      <x:c r="J165" s="2" t="n">
        <x:v>2.5</x:v>
      </x:c>
      <x:c r="K165" s="2" t="n">
        <x:v>12</x:v>
      </x:c>
      <x:c r="L165" s="2" t="str">
        <x:v>R14 tervezői kiosztás; tényleges laphoz és csavarhoz próbafúrás</x:v>
      </x:c>
    </x:row>
    <x:row r="166" ht="36" customHeight="1">
      <x:c r="A166" s="2" t="str">
        <x:v>H0328</x:v>
      </x:c>
      <x:c r="B166" s="2" t="str">
        <x:v>KI12-TV01H-01</x:v>
      </x:c>
      <x:c r="C166" s="2" t="str">
        <x:v>HATLAP_LEC / R14-J018</x:v>
      </x:c>
      <x:c r="D166" s="2" t="n">
        <x:v>486</x:v>
      </x:c>
      <x:c r="E166" s="2" t="n">
        <x:v>674</x:v>
      </x:c>
      <x:c r="F166" s="2" t="n">
        <x:v>0</x:v>
      </x:c>
      <x:c r="G166" s="2" t="n">
        <x:v>0</x:v>
      </x:c>
      <x:c r="H166" s="2" t="n">
        <x:v>0</x:v>
      </x:c>
      <x:c r="I166" s="2" t="n">
        <x:v>-1</x:v>
      </x:c>
      <x:c r="J166" s="2" t="n">
        <x:v>3.5</x:v>
      </x:c>
      <x:c r="K166" s="2" t="n">
        <x:v>8</x:v>
      </x:c>
      <x:c r="L166" s="2" t="str">
        <x:v>R14 tervezői kiosztás; tényleges laphoz és csavarhoz próbafúrás</x:v>
      </x:c>
    </x:row>
    <x:row r="167" ht="36" customHeight="1">
      <x:c r="A167" s="2" t="str">
        <x:v>H0329</x:v>
      </x:c>
      <x:c r="B167" s="2" t="str">
        <x:v>KI14-BAT-02</x:v>
      </x:c>
      <x:c r="C167" s="2" t="str">
        <x:v>HATLAP_LEC / R14-J018</x:v>
      </x:c>
      <x:c r="D167" s="2" t="n">
        <x:v>467</x:v>
      </x:c>
      <x:c r="E167" s="2" t="n">
        <x:v>18</x:v>
      </x:c>
      <x:c r="F167" s="2" t="n">
        <x:v>-9</x:v>
      </x:c>
      <x:c r="G167" s="2" t="n">
        <x:v>0</x:v>
      </x:c>
      <x:c r="H167" s="2" t="n">
        <x:v>-1</x:v>
      </x:c>
      <x:c r="I167" s="2" t="n">
        <x:v>0</x:v>
      </x:c>
      <x:c r="J167" s="2" t="n">
        <x:v>2.5</x:v>
      </x:c>
      <x:c r="K167" s="2" t="n">
        <x:v>12</x:v>
      </x:c>
      <x:c r="L167" s="2" t="str">
        <x:v>R14 tervezői kiosztás; tényleges laphoz és csavarhoz próbafúrás</x:v>
      </x:c>
    </x:row>
    <x:row r="168" ht="36" customHeight="1">
      <x:c r="A168" s="2" t="str">
        <x:v>H0330</x:v>
      </x:c>
      <x:c r="B168" s="2" t="str">
        <x:v>KI14-BAT-02</x:v>
      </x:c>
      <x:c r="C168" s="2" t="str">
        <x:v>LEC_OLDAL / R14-J019</x:v>
      </x:c>
      <x:c r="D168" s="2" t="n">
        <x:v>832</x:v>
      </x:c>
      <x:c r="E168" s="2" t="n">
        <x:v>9</x:v>
      </x:c>
      <x:c r="F168" s="2" t="n">
        <x:v>0</x:v>
      </x:c>
      <x:c r="G168" s="2" t="n">
        <x:v>0</x:v>
      </x:c>
      <x:c r="H168" s="2" t="n">
        <x:v>0</x:v>
      </x:c>
      <x:c r="I168" s="2" t="n">
        <x:v>-1</x:v>
      </x:c>
      <x:c r="J168" s="2" t="n">
        <x:v>4</x:v>
      </x:c>
      <x:c r="K168" s="2" t="n">
        <x:v>18</x:v>
      </x:c>
      <x:c r="L168" s="2" t="str">
        <x:v>R14 tervezői kiosztás; tényleges laphoz és csavarhoz próbafúrás</x:v>
      </x:c>
    </x:row>
    <x:row r="169" ht="36" customHeight="1">
      <x:c r="A169" s="2" t="str">
        <x:v>H0331</x:v>
      </x:c>
      <x:c r="B169" s="2" t="str">
        <x:v>KI12-TV01S-02</x:v>
      </x:c>
      <x:c r="C169" s="2" t="str">
        <x:v>LEC_OLDAL / R14-J019</x:v>
      </x:c>
      <x:c r="D169" s="2" t="n">
        <x:v>870</x:v>
      </x:c>
      <x:c r="E169" s="2" t="n">
        <x:v>345</x:v>
      </x:c>
      <x:c r="F169" s="2" t="n">
        <x:v>0</x:v>
      </x:c>
      <x:c r="G169" s="2" t="n">
        <x:v>0</x:v>
      </x:c>
      <x:c r="H169" s="2" t="n">
        <x:v>0</x:v>
      </x:c>
      <x:c r="I169" s="2" t="n">
        <x:v>-1</x:v>
      </x:c>
      <x:c r="J169" s="2" t="n">
        <x:v>2.5</x:v>
      </x:c>
      <x:c r="K169" s="2" t="n">
        <x:v>12</x:v>
      </x:c>
      <x:c r="L169" s="2" t="str">
        <x:v>R14 tervezői kiosztás; tényleges laphoz és csavarhoz próbafúrás</x:v>
      </x:c>
    </x:row>
    <x:row r="170" ht="36" customHeight="1">
      <x:c r="A170" s="2" t="str">
        <x:v>H0332</x:v>
      </x:c>
      <x:c r="B170" s="2" t="str">
        <x:v>KI12-TV01H-01</x:v>
      </x:c>
      <x:c r="C170" s="2" t="str">
        <x:v>HATLAP_LEC / R14-J020</x:v>
      </x:c>
      <x:c r="D170" s="2" t="n">
        <x:v>866</x:v>
      </x:c>
      <x:c r="E170" s="2" t="n">
        <x:v>674</x:v>
      </x:c>
      <x:c r="F170" s="2" t="n">
        <x:v>0</x:v>
      </x:c>
      <x:c r="G170" s="2" t="n">
        <x:v>0</x:v>
      </x:c>
      <x:c r="H170" s="2" t="n">
        <x:v>0</x:v>
      </x:c>
      <x:c r="I170" s="2" t="n">
        <x:v>-1</x:v>
      </x:c>
      <x:c r="J170" s="2" t="n">
        <x:v>3.5</x:v>
      </x:c>
      <x:c r="K170" s="2" t="n">
        <x:v>8</x:v>
      </x:c>
      <x:c r="L170" s="2" t="str">
        <x:v>R14 tervezői kiosztás; tényleges laphoz és csavarhoz próbafúrás</x:v>
      </x:c>
    </x:row>
    <x:row r="171" ht="36" customHeight="1">
      <x:c r="A171" s="2" t="str">
        <x:v>H0333</x:v>
      </x:c>
      <x:c r="B171" s="2" t="str">
        <x:v>KI14-BAT-02</x:v>
      </x:c>
      <x:c r="C171" s="2" t="str">
        <x:v>HATLAP_LEC / R14-J020</x:v>
      </x:c>
      <x:c r="D171" s="2" t="n">
        <x:v>847</x:v>
      </x:c>
      <x:c r="E171" s="2" t="n">
        <x:v>18</x:v>
      </x:c>
      <x:c r="F171" s="2" t="n">
        <x:v>-9</x:v>
      </x:c>
      <x:c r="G171" s="2" t="n">
        <x:v>0</x:v>
      </x:c>
      <x:c r="H171" s="2" t="n">
        <x:v>-1</x:v>
      </x:c>
      <x:c r="I171" s="2" t="n">
        <x:v>0</x:v>
      </x:c>
      <x:c r="J171" s="2" t="n">
        <x:v>2.5</x:v>
      </x:c>
      <x:c r="K171" s="2" t="n">
        <x:v>12</x:v>
      </x:c>
      <x:c r="L171" s="2" t="str">
        <x:v>R14 tervezői kiosztás; tényleges laphoz és csavarhoz próbafúrás</x:v>
      </x:c>
    </x:row>
    <x:row r="172" ht="36" customHeight="1">
      <x:c r="A172" s="2" t="str">
        <x:v>H0334</x:v>
      </x:c>
      <x:c r="B172" s="2" t="str">
        <x:v>KI14-BAT-02</x:v>
      </x:c>
      <x:c r="C172" s="2" t="str">
        <x:v>LEC_OLDAL / R14-J021</x:v>
      </x:c>
      <x:c r="D172" s="2" t="n">
        <x:v>1212</x:v>
      </x:c>
      <x:c r="E172" s="2" t="n">
        <x:v>9</x:v>
      </x:c>
      <x:c r="F172" s="2" t="n">
        <x:v>0</x:v>
      </x:c>
      <x:c r="G172" s="2" t="n">
        <x:v>0</x:v>
      </x:c>
      <x:c r="H172" s="2" t="n">
        <x:v>0</x:v>
      </x:c>
      <x:c r="I172" s="2" t="n">
        <x:v>-1</x:v>
      </x:c>
      <x:c r="J172" s="2" t="n">
        <x:v>4</x:v>
      </x:c>
      <x:c r="K172" s="2" t="n">
        <x:v>18</x:v>
      </x:c>
      <x:c r="L172" s="2" t="str">
        <x:v>R14 tervezői kiosztás; tényleges laphoz és csavarhoz próbafúrás</x:v>
      </x:c>
    </x:row>
    <x:row r="173" ht="36" customHeight="1">
      <x:c r="A173" s="2" t="str">
        <x:v>H0335</x:v>
      </x:c>
      <x:c r="B173" s="2" t="str">
        <x:v>KI12-TV01S-02</x:v>
      </x:c>
      <x:c r="C173" s="2" t="str">
        <x:v>LEC_OLDAL / R14-J021</x:v>
      </x:c>
      <x:c r="D173" s="2" t="n">
        <x:v>1250</x:v>
      </x:c>
      <x:c r="E173" s="2" t="n">
        <x:v>345</x:v>
      </x:c>
      <x:c r="F173" s="2" t="n">
        <x:v>0</x:v>
      </x:c>
      <x:c r="G173" s="2" t="n">
        <x:v>0</x:v>
      </x:c>
      <x:c r="H173" s="2" t="n">
        <x:v>0</x:v>
      </x:c>
      <x:c r="I173" s="2" t="n">
        <x:v>-1</x:v>
      </x:c>
      <x:c r="J173" s="2" t="n">
        <x:v>2.5</x:v>
      </x:c>
      <x:c r="K173" s="2" t="n">
        <x:v>12</x:v>
      </x:c>
      <x:c r="L173" s="2" t="str">
        <x:v>R14 tervezői kiosztás; tényleges laphoz és csavarhoz próbafúrás</x:v>
      </x:c>
    </x:row>
    <x:row r="174" ht="36" customHeight="1">
      <x:c r="A174" s="2" t="str">
        <x:v>H0336</x:v>
      </x:c>
      <x:c r="B174" s="2" t="str">
        <x:v>KI12-TV01H-01</x:v>
      </x:c>
      <x:c r="C174" s="2" t="str">
        <x:v>HATLAP_LEC / R14-J022</x:v>
      </x:c>
      <x:c r="D174" s="2" t="n">
        <x:v>1246</x:v>
      </x:c>
      <x:c r="E174" s="2" t="n">
        <x:v>674</x:v>
      </x:c>
      <x:c r="F174" s="2" t="n">
        <x:v>0</x:v>
      </x:c>
      <x:c r="G174" s="2" t="n">
        <x:v>0</x:v>
      </x:c>
      <x:c r="H174" s="2" t="n">
        <x:v>0</x:v>
      </x:c>
      <x:c r="I174" s="2" t="n">
        <x:v>-1</x:v>
      </x:c>
      <x:c r="J174" s="2" t="n">
        <x:v>3.5</x:v>
      </x:c>
      <x:c r="K174" s="2" t="n">
        <x:v>8</x:v>
      </x:c>
      <x:c r="L174" s="2" t="str">
        <x:v>R14 tervezői kiosztás; tényleges laphoz és csavarhoz próbafúrás</x:v>
      </x:c>
    </x:row>
    <x:row r="175" ht="36" customHeight="1">
      <x:c r="A175" s="2" t="str">
        <x:v>H0337</x:v>
      </x:c>
      <x:c r="B175" s="2" t="str">
        <x:v>KI14-BAT-02</x:v>
      </x:c>
      <x:c r="C175" s="2" t="str">
        <x:v>HATLAP_LEC / R14-J022</x:v>
      </x:c>
      <x:c r="D175" s="2" t="n">
        <x:v>1227</x:v>
      </x:c>
      <x:c r="E175" s="2" t="n">
        <x:v>18</x:v>
      </x:c>
      <x:c r="F175" s="2" t="n">
        <x:v>-9</x:v>
      </x:c>
      <x:c r="G175" s="2" t="n">
        <x:v>0</x:v>
      </x:c>
      <x:c r="H175" s="2" t="n">
        <x:v>-1</x:v>
      </x:c>
      <x:c r="I175" s="2" t="n">
        <x:v>0</x:v>
      </x:c>
      <x:c r="J175" s="2" t="n">
        <x:v>2.5</x:v>
      </x:c>
      <x:c r="K175" s="2" t="n">
        <x:v>12</x:v>
      </x:c>
      <x:c r="L175" s="2" t="str">
        <x:v>R14 tervezői kiosztás; tényleges laphoz és csavarhoz próbafúrás</x:v>
      </x:c>
    </x:row>
    <x:row r="176" ht="36" customHeight="1">
      <x:c r="A176" s="2" t="str">
        <x:v>H0338</x:v>
      </x:c>
      <x:c r="B176" s="2" t="str">
        <x:v>KI14-BAT-02</x:v>
      </x:c>
      <x:c r="C176" s="2" t="str">
        <x:v>LEC_OLDAL / R14-J023</x:v>
      </x:c>
      <x:c r="D176" s="2" t="n">
        <x:v>1592</x:v>
      </x:c>
      <x:c r="E176" s="2" t="n">
        <x:v>9</x:v>
      </x:c>
      <x:c r="F176" s="2" t="n">
        <x:v>0</x:v>
      </x:c>
      <x:c r="G176" s="2" t="n">
        <x:v>0</x:v>
      </x:c>
      <x:c r="H176" s="2" t="n">
        <x:v>0</x:v>
      </x:c>
      <x:c r="I176" s="2" t="n">
        <x:v>-1</x:v>
      </x:c>
      <x:c r="J176" s="2" t="n">
        <x:v>4</x:v>
      </x:c>
      <x:c r="K176" s="2" t="n">
        <x:v>18</x:v>
      </x:c>
      <x:c r="L176" s="2" t="str">
        <x:v>R14 tervezői kiosztás; tényleges laphoz és csavarhoz próbafúrás</x:v>
      </x:c>
    </x:row>
    <x:row r="177" ht="36" customHeight="1">
      <x:c r="A177" s="2" t="str">
        <x:v>H0339</x:v>
      </x:c>
      <x:c r="B177" s="2" t="str">
        <x:v>KI12-TV01S-02</x:v>
      </x:c>
      <x:c r="C177" s="2" t="str">
        <x:v>LEC_OLDAL / R14-J023</x:v>
      </x:c>
      <x:c r="D177" s="2" t="n">
        <x:v>1630</x:v>
      </x:c>
      <x:c r="E177" s="2" t="n">
        <x:v>345</x:v>
      </x:c>
      <x:c r="F177" s="2" t="n">
        <x:v>0</x:v>
      </x:c>
      <x:c r="G177" s="2" t="n">
        <x:v>0</x:v>
      </x:c>
      <x:c r="H177" s="2" t="n">
        <x:v>0</x:v>
      </x:c>
      <x:c r="I177" s="2" t="n">
        <x:v>-1</x:v>
      </x:c>
      <x:c r="J177" s="2" t="n">
        <x:v>2.5</x:v>
      </x:c>
      <x:c r="K177" s="2" t="n">
        <x:v>12</x:v>
      </x:c>
      <x:c r="L177" s="2" t="str">
        <x:v>R14 tervezői kiosztás; tényleges laphoz és csavarhoz próbafúrás</x:v>
      </x:c>
    </x:row>
    <x:row r="178" ht="36" customHeight="1">
      <x:c r="A178" s="2" t="str">
        <x:v>H0340</x:v>
      </x:c>
      <x:c r="B178" s="2" t="str">
        <x:v>KI12-TV01H-01</x:v>
      </x:c>
      <x:c r="C178" s="2" t="str">
        <x:v>HATLAP_LEC / R14-J024</x:v>
      </x:c>
      <x:c r="D178" s="2" t="n">
        <x:v>1626</x:v>
      </x:c>
      <x:c r="E178" s="2" t="n">
        <x:v>674</x:v>
      </x:c>
      <x:c r="F178" s="2" t="n">
        <x:v>0</x:v>
      </x:c>
      <x:c r="G178" s="2" t="n">
        <x:v>0</x:v>
      </x:c>
      <x:c r="H178" s="2" t="n">
        <x:v>0</x:v>
      </x:c>
      <x:c r="I178" s="2" t="n">
        <x:v>-1</x:v>
      </x:c>
      <x:c r="J178" s="2" t="n">
        <x:v>3.5</x:v>
      </x:c>
      <x:c r="K178" s="2" t="n">
        <x:v>8</x:v>
      </x:c>
      <x:c r="L178" s="2" t="str">
        <x:v>R14 tervezői kiosztás; tényleges laphoz és csavarhoz próbafúrás</x:v>
      </x:c>
    </x:row>
    <x:row r="179" ht="36" customHeight="1">
      <x:c r="A179" s="2" t="str">
        <x:v>H0341</x:v>
      </x:c>
      <x:c r="B179" s="2" t="str">
        <x:v>KI14-BAT-02</x:v>
      </x:c>
      <x:c r="C179" s="2" t="str">
        <x:v>HATLAP_LEC / R14-J024</x:v>
      </x:c>
      <x:c r="D179" s="2" t="n">
        <x:v>1607</x:v>
      </x:c>
      <x:c r="E179" s="2" t="n">
        <x:v>18</x:v>
      </x:c>
      <x:c r="F179" s="2" t="n">
        <x:v>-9</x:v>
      </x:c>
      <x:c r="G179" s="2" t="n">
        <x:v>0</x:v>
      </x:c>
      <x:c r="H179" s="2" t="n">
        <x:v>-1</x:v>
      </x:c>
      <x:c r="I179" s="2" t="n">
        <x:v>0</x:v>
      </x:c>
      <x:c r="J179" s="2" t="n">
        <x:v>2.5</x:v>
      </x:c>
      <x:c r="K179" s="2" t="n">
        <x:v>12</x:v>
      </x:c>
      <x:c r="L179" s="2" t="str">
        <x:v>R14 tervezői kiosztás; tényleges laphoz és csavarhoz próbafúrás</x:v>
      </x:c>
    </x:row>
    <x:row r="180" ht="36" customHeight="1">
      <x:c r="A180" s="2" t="str">
        <x:v>H0342</x:v>
      </x:c>
      <x:c r="B180" s="2" t="str">
        <x:v>KI14-BAT-02</x:v>
      </x:c>
      <x:c r="C180" s="2" t="str">
        <x:v>LEC_OLDAL / R14-J025</x:v>
      </x:c>
      <x:c r="D180" s="2" t="n">
        <x:v>1972</x:v>
      </x:c>
      <x:c r="E180" s="2" t="n">
        <x:v>9</x:v>
      </x:c>
      <x:c r="F180" s="2" t="n">
        <x:v>0</x:v>
      </x:c>
      <x:c r="G180" s="2" t="n">
        <x:v>0</x:v>
      </x:c>
      <x:c r="H180" s="2" t="n">
        <x:v>0</x:v>
      </x:c>
      <x:c r="I180" s="2" t="n">
        <x:v>-1</x:v>
      </x:c>
      <x:c r="J180" s="2" t="n">
        <x:v>4</x:v>
      </x:c>
      <x:c r="K180" s="2" t="n">
        <x:v>18</x:v>
      </x:c>
      <x:c r="L180" s="2" t="str">
        <x:v>R14 tervezői kiosztás; tényleges laphoz és csavarhoz próbafúrás</x:v>
      </x:c>
    </x:row>
    <x:row r="181" ht="36" customHeight="1">
      <x:c r="A181" s="2" t="str">
        <x:v>H0343</x:v>
      </x:c>
      <x:c r="B181" s="2" t="str">
        <x:v>KI12-TV01S-02</x:v>
      </x:c>
      <x:c r="C181" s="2" t="str">
        <x:v>LEC_OLDAL / R14-J025</x:v>
      </x:c>
      <x:c r="D181" s="2" t="n">
        <x:v>2010</x:v>
      </x:c>
      <x:c r="E181" s="2" t="n">
        <x:v>345</x:v>
      </x:c>
      <x:c r="F181" s="2" t="n">
        <x:v>0</x:v>
      </x:c>
      <x:c r="G181" s="2" t="n">
        <x:v>0</x:v>
      </x:c>
      <x:c r="H181" s="2" t="n">
        <x:v>0</x:v>
      </x:c>
      <x:c r="I181" s="2" t="n">
        <x:v>-1</x:v>
      </x:c>
      <x:c r="J181" s="2" t="n">
        <x:v>2.5</x:v>
      </x:c>
      <x:c r="K181" s="2" t="n">
        <x:v>12</x:v>
      </x:c>
      <x:c r="L181" s="2" t="str">
        <x:v>R14 tervezői kiosztás; tényleges laphoz és csavarhoz próbafúrás</x:v>
      </x:c>
    </x:row>
    <x:row r="182" ht="36" customHeight="1">
      <x:c r="A182" s="2" t="str">
        <x:v>H0344</x:v>
      </x:c>
      <x:c r="B182" s="2" t="str">
        <x:v>KI12-TV01H-01</x:v>
      </x:c>
      <x:c r="C182" s="2" t="str">
        <x:v>HATLAP_LEC / R14-J026</x:v>
      </x:c>
      <x:c r="D182" s="2" t="n">
        <x:v>2006</x:v>
      </x:c>
      <x:c r="E182" s="2" t="n">
        <x:v>674</x:v>
      </x:c>
      <x:c r="F182" s="2" t="n">
        <x:v>0</x:v>
      </x:c>
      <x:c r="G182" s="2" t="n">
        <x:v>0</x:v>
      </x:c>
      <x:c r="H182" s="2" t="n">
        <x:v>0</x:v>
      </x:c>
      <x:c r="I182" s="2" t="n">
        <x:v>-1</x:v>
      </x:c>
      <x:c r="J182" s="2" t="n">
        <x:v>3.5</x:v>
      </x:c>
      <x:c r="K182" s="2" t="n">
        <x:v>8</x:v>
      </x:c>
      <x:c r="L182" s="2" t="str">
        <x:v>R14 tervezői kiosztás; tényleges laphoz és csavarhoz próbafúrás</x:v>
      </x:c>
    </x:row>
    <x:row r="183" ht="36" customHeight="1">
      <x:c r="A183" s="2" t="str">
        <x:v>H0345</x:v>
      </x:c>
      <x:c r="B183" s="2" t="str">
        <x:v>KI14-BAT-02</x:v>
      </x:c>
      <x:c r="C183" s="2" t="str">
        <x:v>HATLAP_LEC / R14-J026</x:v>
      </x:c>
      <x:c r="D183" s="2" t="n">
        <x:v>1987</x:v>
      </x:c>
      <x:c r="E183" s="2" t="n">
        <x:v>18</x:v>
      </x:c>
      <x:c r="F183" s="2" t="n">
        <x:v>-9</x:v>
      </x:c>
      <x:c r="G183" s="2" t="n">
        <x:v>0</x:v>
      </x:c>
      <x:c r="H183" s="2" t="n">
        <x:v>-1</x:v>
      </x:c>
      <x:c r="I183" s="2" t="n">
        <x:v>0</x:v>
      </x:c>
      <x:c r="J183" s="2" t="n">
        <x:v>2.5</x:v>
      </x:c>
      <x:c r="K183" s="2" t="n">
        <x:v>12</x:v>
      </x:c>
      <x:c r="L183" s="2" t="str">
        <x:v>R14 tervezői kiosztás; tényleges laphoz és csavarhoz próbafúrás</x:v>
      </x:c>
    </x:row>
    <x:row r="184" ht="36" customHeight="1">
      <x:c r="A184" s="2" t="str">
        <x:v>H0346</x:v>
      </x:c>
      <x:c r="B184" s="2" t="str">
        <x:v>KI14-BAT-02</x:v>
      </x:c>
      <x:c r="C184" s="2" t="str">
        <x:v>LEC_OLDAL / R14-J027</x:v>
      </x:c>
      <x:c r="D184" s="2" t="n">
        <x:v>2112</x:v>
      </x:c>
      <x:c r="E184" s="2" t="n">
        <x:v>9</x:v>
      </x:c>
      <x:c r="F184" s="2" t="n">
        <x:v>0</x:v>
      </x:c>
      <x:c r="G184" s="2" t="n">
        <x:v>0</x:v>
      </x:c>
      <x:c r="H184" s="2" t="n">
        <x:v>0</x:v>
      </x:c>
      <x:c r="I184" s="2" t="n">
        <x:v>-1</x:v>
      </x:c>
      <x:c r="J184" s="2" t="n">
        <x:v>4</x:v>
      </x:c>
      <x:c r="K184" s="2" t="n">
        <x:v>18</x:v>
      </x:c>
      <x:c r="L184" s="2" t="str">
        <x:v>R14 tervezői kiosztás; tényleges laphoz és csavarhoz próbafúrás</x:v>
      </x:c>
    </x:row>
    <x:row r="185" ht="36" customHeight="1">
      <x:c r="A185" s="2" t="str">
        <x:v>H0347</x:v>
      </x:c>
      <x:c r="B185" s="2" t="str">
        <x:v>KI12-TV01S-02</x:v>
      </x:c>
      <x:c r="C185" s="2" t="str">
        <x:v>LEC_OLDAL / R14-J027</x:v>
      </x:c>
      <x:c r="D185" s="2" t="n">
        <x:v>2150</x:v>
      </x:c>
      <x:c r="E185" s="2" t="n">
        <x:v>345</x:v>
      </x:c>
      <x:c r="F185" s="2" t="n">
        <x:v>0</x:v>
      </x:c>
      <x:c r="G185" s="2" t="n">
        <x:v>0</x:v>
      </x:c>
      <x:c r="H185" s="2" t="n">
        <x:v>0</x:v>
      </x:c>
      <x:c r="I185" s="2" t="n">
        <x:v>-1</x:v>
      </x:c>
      <x:c r="J185" s="2" t="n">
        <x:v>2.5</x:v>
      </x:c>
      <x:c r="K185" s="2" t="n">
        <x:v>12</x:v>
      </x:c>
      <x:c r="L185" s="2" t="str">
        <x:v>R14 tervezői kiosztás; tényleges laphoz és csavarhoz próbafúrás</x:v>
      </x:c>
    </x:row>
    <x:row r="186" ht="36" customHeight="1">
      <x:c r="A186" s="2" t="str">
        <x:v>H0348</x:v>
      </x:c>
      <x:c r="B186" s="2" t="str">
        <x:v>KI12-TV01H-01</x:v>
      </x:c>
      <x:c r="C186" s="2" t="str">
        <x:v>HATLAP_LEC / R14-J028</x:v>
      </x:c>
      <x:c r="D186" s="2" t="n">
        <x:v>2146</x:v>
      </x:c>
      <x:c r="E186" s="2" t="n">
        <x:v>674</x:v>
      </x:c>
      <x:c r="F186" s="2" t="n">
        <x:v>0</x:v>
      </x:c>
      <x:c r="G186" s="2" t="n">
        <x:v>0</x:v>
      </x:c>
      <x:c r="H186" s="2" t="n">
        <x:v>0</x:v>
      </x:c>
      <x:c r="I186" s="2" t="n">
        <x:v>-1</x:v>
      </x:c>
      <x:c r="J186" s="2" t="n">
        <x:v>3.5</x:v>
      </x:c>
      <x:c r="K186" s="2" t="n">
        <x:v>8</x:v>
      </x:c>
      <x:c r="L186" s="2" t="str">
        <x:v>R14 tervezői kiosztás; tényleges laphoz és csavarhoz próbafúrás</x:v>
      </x:c>
    </x:row>
    <x:row r="187" ht="36" customHeight="1">
      <x:c r="A187" s="2" t="str">
        <x:v>H0349</x:v>
      </x:c>
      <x:c r="B187" s="2" t="str">
        <x:v>KI14-BAT-02</x:v>
      </x:c>
      <x:c r="C187" s="2" t="str">
        <x:v>HATLAP_LEC / R14-J028</x:v>
      </x:c>
      <x:c r="D187" s="2" t="n">
        <x:v>2127</x:v>
      </x:c>
      <x:c r="E187" s="2" t="n">
        <x:v>18</x:v>
      </x:c>
      <x:c r="F187" s="2" t="n">
        <x:v>-9</x:v>
      </x:c>
      <x:c r="G187" s="2" t="n">
        <x:v>0</x:v>
      </x:c>
      <x:c r="H187" s="2" t="n">
        <x:v>-1</x:v>
      </x:c>
      <x:c r="I187" s="2" t="n">
        <x:v>0</x:v>
      </x:c>
      <x:c r="J187" s="2" t="n">
        <x:v>2.5</x:v>
      </x:c>
      <x:c r="K187" s="2" t="n">
        <x:v>12</x:v>
      </x:c>
      <x:c r="L187" s="2" t="str">
        <x:v>R14 tervezői kiosztás; tényleges laphoz és csavarhoz próbafúrás</x:v>
      </x:c>
    </x:row>
    <x:row r="188" ht="36" customHeight="1">
      <x:c r="A188" s="2" t="str">
        <x:v>H0546</x:v>
      </x:c>
      <x:c r="B188" s="2" t="str">
        <x:v>KI14-RAIL-06</x:v>
      </x:c>
      <x:c r="C188" s="2" t="str">
        <x:v>MEREVITO_CSAP / R14-J127</x:v>
      </x:c>
      <x:c r="D188" s="2" t="n">
        <x:v>333</x:v>
      </x:c>
      <x:c r="E188" s="2" t="n">
        <x:v>20</x:v>
      </x:c>
      <x:c r="F188" s="2" t="n">
        <x:v>-9</x:v>
      </x:c>
      <x:c r="G188" s="2" t="n">
        <x:v>-1</x:v>
      </x:c>
      <x:c r="H188" s="2" t="n">
        <x:v>0</x:v>
      </x:c>
      <x:c r="I188" s="2" t="n">
        <x:v>0</x:v>
      </x:c>
      <x:c r="J188" s="2" t="n">
        <x:v>8</x:v>
      </x:c>
      <x:c r="K188" s="2" t="n">
        <x:v>22</x:v>
      </x:c>
      <x:c r="L188" s="2" t="str">
        <x:v>R14 Ø8x30 bükk csap, 22+12 mélység; ragasztott próbakötés</x:v>
      </x:c>
    </x:row>
    <x:row r="189" ht="36" customHeight="1">
      <x:c r="A189" s="2" t="str">
        <x:v>H0547</x:v>
      </x:c>
      <x:c r="B189" s="2" t="str">
        <x:v>KI12-TV01S-01</x:v>
      </x:c>
      <x:c r="C189" s="2" t="str">
        <x:v>MEREVITO_CSAP / R14-J127</x:v>
      </x:c>
      <x:c r="D189" s="2" t="n">
        <x:v>2102</x:v>
      </x:c>
      <x:c r="E189" s="2" t="n">
        <x:v>327</x:v>
      </x:c>
      <x:c r="F189" s="2" t="n">
        <x:v>-18</x:v>
      </x:c>
      <x:c r="G189" s="2" t="n">
        <x:v>0</x:v>
      </x:c>
      <x:c r="H189" s="2" t="n">
        <x:v>0</x:v>
      </x:c>
      <x:c r="I189" s="2" t="n">
        <x:v>1</x:v>
      </x:c>
      <x:c r="J189" s="2" t="n">
        <x:v>8</x:v>
      </x:c>
      <x:c r="K189" s="2" t="n">
        <x:v>12</x:v>
      </x:c>
      <x:c r="L189" s="2" t="str">
        <x:v>R14 Ø8x30 bükk csap, 22+12 mélység; középosztón 10 mm eltolt tengely</x:v>
      </x:c>
    </x:row>
    <x:row r="190" ht="36" customHeight="1">
      <x:c r="A190" s="2" t="str">
        <x:v>H0548</x:v>
      </x:c>
      <x:c r="B190" s="2" t="str">
        <x:v>KI14-RAIL-06</x:v>
      </x:c>
      <x:c r="C190" s="2" t="str">
        <x:v>MEREVITO_CSAP / R14-J128</x:v>
      </x:c>
      <x:c r="D190" s="2" t="n">
        <x:v>333</x:v>
      </x:c>
      <x:c r="E190" s="2" t="n">
        <x:v>50</x:v>
      </x:c>
      <x:c r="F190" s="2" t="n">
        <x:v>-9</x:v>
      </x:c>
      <x:c r="G190" s="2" t="n">
        <x:v>-1</x:v>
      </x:c>
      <x:c r="H190" s="2" t="n">
        <x:v>0</x:v>
      </x:c>
      <x:c r="I190" s="2" t="n">
        <x:v>0</x:v>
      </x:c>
      <x:c r="J190" s="2" t="n">
        <x:v>8</x:v>
      </x:c>
      <x:c r="K190" s="2" t="n">
        <x:v>22</x:v>
      </x:c>
      <x:c r="L190" s="2" t="str">
        <x:v>R14 Ø8x30 bükk csap, 22+12 mélység; ragasztott próbakötés</x:v>
      </x:c>
    </x:row>
    <x:row r="191" ht="36" customHeight="1">
      <x:c r="A191" s="2" t="str">
        <x:v>H0549</x:v>
      </x:c>
      <x:c r="B191" s="2" t="str">
        <x:v>KI12-TV01S-01</x:v>
      </x:c>
      <x:c r="C191" s="2" t="str">
        <x:v>MEREVITO_CSAP / R14-J128</x:v>
      </x:c>
      <x:c r="D191" s="2" t="n">
        <x:v>2132</x:v>
      </x:c>
      <x:c r="E191" s="2" t="n">
        <x:v>327</x:v>
      </x:c>
      <x:c r="F191" s="2" t="n">
        <x:v>-18</x:v>
      </x:c>
      <x:c r="G191" s="2" t="n">
        <x:v>0</x:v>
      </x:c>
      <x:c r="H191" s="2" t="n">
        <x:v>0</x:v>
      </x:c>
      <x:c r="I191" s="2" t="n">
        <x:v>1</x:v>
      </x:c>
      <x:c r="J191" s="2" t="n">
        <x:v>8</x:v>
      </x:c>
      <x:c r="K191" s="2" t="n">
        <x:v>12</x:v>
      </x:c>
      <x:c r="L191" s="2" t="str">
        <x:v>R14 Ø8x30 bükk csap, 22+12 mélység; középosztón 10 mm eltolt tengely</x:v>
      </x:c>
    </x:row>
    <x:row r="192" ht="36" customHeight="1">
      <x:c r="A192" s="2" t="str">
        <x:v>H0550</x:v>
      </x:c>
      <x:c r="B192" s="2" t="str">
        <x:v>KI14-RAIL-06</x:v>
      </x:c>
      <x:c r="C192" s="2" t="str">
        <x:v>MEREVITO_CSAP / R14-J129</x:v>
      </x:c>
      <x:c r="D192" s="2" t="n">
        <x:v>333</x:v>
      </x:c>
      <x:c r="E192" s="2" t="n">
        <x:v>80</x:v>
      </x:c>
      <x:c r="F192" s="2" t="n">
        <x:v>-9</x:v>
      </x:c>
      <x:c r="G192" s="2" t="n">
        <x:v>-1</x:v>
      </x:c>
      <x:c r="H192" s="2" t="n">
        <x:v>0</x:v>
      </x:c>
      <x:c r="I192" s="2" t="n">
        <x:v>0</x:v>
      </x:c>
      <x:c r="J192" s="2" t="n">
        <x:v>8</x:v>
      </x:c>
      <x:c r="K192" s="2" t="n">
        <x:v>22</x:v>
      </x:c>
      <x:c r="L192" s="2" t="str">
        <x:v>R14 Ø8x30 bükk csap, 22+12 mélység; ragasztott próbakötés</x:v>
      </x:c>
    </x:row>
    <x:row r="193" ht="36" customHeight="1">
      <x:c r="A193" s="2" t="str">
        <x:v>H0551</x:v>
      </x:c>
      <x:c r="B193" s="2" t="str">
        <x:v>KI12-TV01S-01</x:v>
      </x:c>
      <x:c r="C193" s="2" t="str">
        <x:v>MEREVITO_CSAP / R14-J129</x:v>
      </x:c>
      <x:c r="D193" s="2" t="n">
        <x:v>2162</x:v>
      </x:c>
      <x:c r="E193" s="2" t="n">
        <x:v>327</x:v>
      </x:c>
      <x:c r="F193" s="2" t="n">
        <x:v>-18</x:v>
      </x:c>
      <x:c r="G193" s="2" t="n">
        <x:v>0</x:v>
      </x:c>
      <x:c r="H193" s="2" t="n">
        <x:v>0</x:v>
      </x:c>
      <x:c r="I193" s="2" t="n">
        <x:v>1</x:v>
      </x:c>
      <x:c r="J193" s="2" t="n">
        <x:v>8</x:v>
      </x:c>
      <x:c r="K193" s="2" t="n">
        <x:v>12</x:v>
      </x:c>
      <x:c r="L193" s="2" t="str">
        <x:v>R14 Ø8x30 bükk csap, 22+12 mélység; középosztón 10 mm eltolt tengely</x:v>
      </x:c>
    </x:row>
    <x:row r="194" ht="36" customHeight="1">
      <x:c r="A194" s="2" t="str">
        <x:v>H0552</x:v>
      </x:c>
      <x:c r="B194" s="2" t="str">
        <x:v>KI14-RAIL-06</x:v>
      </x:c>
      <x:c r="C194" s="2" t="str">
        <x:v>MEREVITO_CSAP / R14-J130</x:v>
      </x:c>
      <x:c r="D194" s="2" t="n">
        <x:v>0</x:v>
      </x:c>
      <x:c r="E194" s="2" t="n">
        <x:v>20</x:v>
      </x:c>
      <x:c r="F194" s="2" t="n">
        <x:v>-9</x:v>
      </x:c>
      <x:c r="G194" s="2" t="n">
        <x:v>1</x:v>
      </x:c>
      <x:c r="H194" s="2" t="n">
        <x:v>0</x:v>
      </x:c>
      <x:c r="I194" s="2" t="n">
        <x:v>0</x:v>
      </x:c>
      <x:c r="J194" s="2" t="n">
        <x:v>8</x:v>
      </x:c>
      <x:c r="K194" s="2" t="n">
        <x:v>22</x:v>
      </x:c>
      <x:c r="L194" s="2" t="str">
        <x:v>R14 Ø8x30 bükk csap, 22+12 mélység; ragasztott próbakötés</x:v>
      </x:c>
    </x:row>
    <x:row r="195" ht="36" customHeight="1">
      <x:c r="A195" s="2" t="str">
        <x:v>H0553</x:v>
      </x:c>
      <x:c r="B195" s="2" t="str">
        <x:v>KI12-TV01C-01</x:v>
      </x:c>
      <x:c r="C195" s="2" t="str">
        <x:v>MEREVITO_CSAP / R14-J130</x:v>
      </x:c>
      <x:c r="D195" s="2" t="n">
        <x:v>2084</x:v>
      </x:c>
      <x:c r="E195" s="2" t="n">
        <x:v>327</x:v>
      </x:c>
      <x:c r="F195" s="2" t="n">
        <x:v>0</x:v>
      </x:c>
      <x:c r="G195" s="2" t="n">
        <x:v>0</x:v>
      </x:c>
      <x:c r="H195" s="2" t="n">
        <x:v>0</x:v>
      </x:c>
      <x:c r="I195" s="2" t="n">
        <x:v>-1</x:v>
      </x:c>
      <x:c r="J195" s="2" t="n">
        <x:v>8</x:v>
      </x:c>
      <x:c r="K195" s="2" t="n">
        <x:v>12</x:v>
      </x:c>
      <x:c r="L195" s="2" t="str">
        <x:v>R14 Ø8x30 bükk csap, 22+12 mélység; középosztón 10 mm eltolt tengely</x:v>
      </x:c>
    </x:row>
    <x:row r="196" ht="36" customHeight="1">
      <x:c r="A196" s="2" t="str">
        <x:v>H0554</x:v>
      </x:c>
      <x:c r="B196" s="2" t="str">
        <x:v>KI14-RAIL-06</x:v>
      </x:c>
      <x:c r="C196" s="2" t="str">
        <x:v>MEREVITO_CSAP / R14-J131</x:v>
      </x:c>
      <x:c r="D196" s="2" t="n">
        <x:v>0</x:v>
      </x:c>
      <x:c r="E196" s="2" t="n">
        <x:v>50</x:v>
      </x:c>
      <x:c r="F196" s="2" t="n">
        <x:v>-9</x:v>
      </x:c>
      <x:c r="G196" s="2" t="n">
        <x:v>1</x:v>
      </x:c>
      <x:c r="H196" s="2" t="n">
        <x:v>0</x:v>
      </x:c>
      <x:c r="I196" s="2" t="n">
        <x:v>0</x:v>
      </x:c>
      <x:c r="J196" s="2" t="n">
        <x:v>8</x:v>
      </x:c>
      <x:c r="K196" s="2" t="n">
        <x:v>22</x:v>
      </x:c>
      <x:c r="L196" s="2" t="str">
        <x:v>R14 Ø8x30 bükk csap, 22+12 mélység; ragasztott próbakötés</x:v>
      </x:c>
    </x:row>
    <x:row r="197" ht="36" customHeight="1">
      <x:c r="A197" s="2" t="str">
        <x:v>H0555</x:v>
      </x:c>
      <x:c r="B197" s="2" t="str">
        <x:v>KI12-TV01C-01</x:v>
      </x:c>
      <x:c r="C197" s="2" t="str">
        <x:v>MEREVITO_CSAP / R14-J131</x:v>
      </x:c>
      <x:c r="D197" s="2" t="n">
        <x:v>2114</x:v>
      </x:c>
      <x:c r="E197" s="2" t="n">
        <x:v>327</x:v>
      </x:c>
      <x:c r="F197" s="2" t="n">
        <x:v>0</x:v>
      </x:c>
      <x:c r="G197" s="2" t="n">
        <x:v>0</x:v>
      </x:c>
      <x:c r="H197" s="2" t="n">
        <x:v>0</x:v>
      </x:c>
      <x:c r="I197" s="2" t="n">
        <x:v>-1</x:v>
      </x:c>
      <x:c r="J197" s="2" t="n">
        <x:v>8</x:v>
      </x:c>
      <x:c r="K197" s="2" t="n">
        <x:v>12</x:v>
      </x:c>
      <x:c r="L197" s="2" t="str">
        <x:v>R14 Ø8x30 bükk csap, 22+12 mélység; középosztón 10 mm eltolt tengely</x:v>
      </x:c>
    </x:row>
    <x:row r="198" ht="36" customHeight="1">
      <x:c r="A198" s="2" t="str">
        <x:v>H0556</x:v>
      </x:c>
      <x:c r="B198" s="2" t="str">
        <x:v>KI14-RAIL-06</x:v>
      </x:c>
      <x:c r="C198" s="2" t="str">
        <x:v>MEREVITO_CSAP / R14-J132</x:v>
      </x:c>
      <x:c r="D198" s="2" t="n">
        <x:v>0</x:v>
      </x:c>
      <x:c r="E198" s="2" t="n">
        <x:v>80</x:v>
      </x:c>
      <x:c r="F198" s="2" t="n">
        <x:v>-9</x:v>
      </x:c>
      <x:c r="G198" s="2" t="n">
        <x:v>1</x:v>
      </x:c>
      <x:c r="H198" s="2" t="n">
        <x:v>0</x:v>
      </x:c>
      <x:c r="I198" s="2" t="n">
        <x:v>0</x:v>
      </x:c>
      <x:c r="J198" s="2" t="n">
        <x:v>8</x:v>
      </x:c>
      <x:c r="K198" s="2" t="n">
        <x:v>22</x:v>
      </x:c>
      <x:c r="L198" s="2" t="str">
        <x:v>R14 Ø8x30 bükk csap, 22+12 mélység; ragasztott próbakötés</x:v>
      </x:c>
    </x:row>
    <x:row r="199" ht="36" customHeight="1">
      <x:c r="A199" s="2" t="str">
        <x:v>H0557</x:v>
      </x:c>
      <x:c r="B199" s="2" t="str">
        <x:v>KI12-TV01C-01</x:v>
      </x:c>
      <x:c r="C199" s="2" t="str">
        <x:v>MEREVITO_CSAP / R14-J132</x:v>
      </x:c>
      <x:c r="D199" s="2" t="n">
        <x:v>2144</x:v>
      </x:c>
      <x:c r="E199" s="2" t="n">
        <x:v>327</x:v>
      </x:c>
      <x:c r="F199" s="2" t="n">
        <x:v>0</x:v>
      </x:c>
      <x:c r="G199" s="2" t="n">
        <x:v>0</x:v>
      </x:c>
      <x:c r="H199" s="2" t="n">
        <x:v>0</x:v>
      </x:c>
      <x:c r="I199" s="2" t="n">
        <x:v>-1</x:v>
      </x:c>
      <x:c r="J199" s="2" t="n">
        <x:v>8</x:v>
      </x:c>
      <x:c r="K199" s="2" t="n">
        <x:v>12</x:v>
      </x:c>
      <x:c r="L199" s="2" t="str">
        <x:v>R14 Ø8x30 bükk csap, 22+12 mélység; középosztón 10 mm eltolt tengely</x:v>
      </x:c>
    </x:row>
    <x:row r="200" ht="36" customHeight="1">
      <x:c r="A200" s="2" t="str">
        <x:v>H0558</x:v>
      </x:c>
      <x:c r="B200" s="2" t="str">
        <x:v>KI14-RAIL-07</x:v>
      </x:c>
      <x:c r="C200" s="2" t="str">
        <x:v>MEREVITO_CSAP / R14-J133</x:v>
      </x:c>
      <x:c r="D200" s="2" t="n">
        <x:v>333</x:v>
      </x:c>
      <x:c r="E200" s="2" t="n">
        <x:v>30</x:v>
      </x:c>
      <x:c r="F200" s="2" t="n">
        <x:v>-9</x:v>
      </x:c>
      <x:c r="G200" s="2" t="n">
        <x:v>-1</x:v>
      </x:c>
      <x:c r="H200" s="2" t="n">
        <x:v>0</x:v>
      </x:c>
      <x:c r="I200" s="2" t="n">
        <x:v>0</x:v>
      </x:c>
      <x:c r="J200" s="2" t="n">
        <x:v>8</x:v>
      </x:c>
      <x:c r="K200" s="2" t="n">
        <x:v>22</x:v>
      </x:c>
      <x:c r="L200" s="2" t="str">
        <x:v>R14 Ø8x30 bükk csap, 22+12 mélység; ragasztott próbakötés</x:v>
      </x:c>
    </x:row>
    <x:row r="201" ht="36" customHeight="1">
      <x:c r="A201" s="2" t="str">
        <x:v>H0559</x:v>
      </x:c>
      <x:c r="B201" s="2" t="str">
        <x:v>KI12-TV01C-01</x:v>
      </x:c>
      <x:c r="C201" s="2" t="str">
        <x:v>MEREVITO_CSAP / R14-J133</x:v>
      </x:c>
      <x:c r="D201" s="2" t="n">
        <x:v>2094</x:v>
      </x:c>
      <x:c r="E201" s="2" t="n">
        <x:v>327</x:v>
      </x:c>
      <x:c r="F201" s="2" t="n">
        <x:v>-18</x:v>
      </x:c>
      <x:c r="G201" s="2" t="n">
        <x:v>0</x:v>
      </x:c>
      <x:c r="H201" s="2" t="n">
        <x:v>0</x:v>
      </x:c>
      <x:c r="I201" s="2" t="n">
        <x:v>1</x:v>
      </x:c>
      <x:c r="J201" s="2" t="n">
        <x:v>8</x:v>
      </x:c>
      <x:c r="K201" s="2" t="n">
        <x:v>12</x:v>
      </x:c>
      <x:c r="L201" s="2" t="str">
        <x:v>R14 Ø8x30 bükk csap, 22+12 mélység; középosztón 10 mm eltolt tengely</x:v>
      </x:c>
    </x:row>
    <x:row r="202" ht="36" customHeight="1">
      <x:c r="A202" s="2" t="str">
        <x:v>H0560</x:v>
      </x:c>
      <x:c r="B202" s="2" t="str">
        <x:v>KI14-RAIL-07</x:v>
      </x:c>
      <x:c r="C202" s="2" t="str">
        <x:v>MEREVITO_CSAP / R14-J134</x:v>
      </x:c>
      <x:c r="D202" s="2" t="n">
        <x:v>333</x:v>
      </x:c>
      <x:c r="E202" s="2" t="n">
        <x:v>60</x:v>
      </x:c>
      <x:c r="F202" s="2" t="n">
        <x:v>-9</x:v>
      </x:c>
      <x:c r="G202" s="2" t="n">
        <x:v>-1</x:v>
      </x:c>
      <x:c r="H202" s="2" t="n">
        <x:v>0</x:v>
      </x:c>
      <x:c r="I202" s="2" t="n">
        <x:v>0</x:v>
      </x:c>
      <x:c r="J202" s="2" t="n">
        <x:v>8</x:v>
      </x:c>
      <x:c r="K202" s="2" t="n">
        <x:v>22</x:v>
      </x:c>
      <x:c r="L202" s="2" t="str">
        <x:v>R14 Ø8x30 bükk csap, 22+12 mélység; ragasztott próbakötés</x:v>
      </x:c>
    </x:row>
    <x:row r="203" ht="36" customHeight="1">
      <x:c r="A203" s="2" t="str">
        <x:v>H0561</x:v>
      </x:c>
      <x:c r="B203" s="2" t="str">
        <x:v>KI12-TV01C-01</x:v>
      </x:c>
      <x:c r="C203" s="2" t="str">
        <x:v>MEREVITO_CSAP / R14-J134</x:v>
      </x:c>
      <x:c r="D203" s="2" t="n">
        <x:v>2124</x:v>
      </x:c>
      <x:c r="E203" s="2" t="n">
        <x:v>327</x:v>
      </x:c>
      <x:c r="F203" s="2" t="n">
        <x:v>-18</x:v>
      </x:c>
      <x:c r="G203" s="2" t="n">
        <x:v>0</x:v>
      </x:c>
      <x:c r="H203" s="2" t="n">
        <x:v>0</x:v>
      </x:c>
      <x:c r="I203" s="2" t="n">
        <x:v>1</x:v>
      </x:c>
      <x:c r="J203" s="2" t="n">
        <x:v>8</x:v>
      </x:c>
      <x:c r="K203" s="2" t="n">
        <x:v>12</x:v>
      </x:c>
      <x:c r="L203" s="2" t="str">
        <x:v>R14 Ø8x30 bükk csap, 22+12 mélység; középosztón 10 mm eltolt tengely</x:v>
      </x:c>
    </x:row>
    <x:row r="204" ht="36" customHeight="1">
      <x:c r="A204" s="2" t="str">
        <x:v>H0562</x:v>
      </x:c>
      <x:c r="B204" s="2" t="str">
        <x:v>KI14-RAIL-07</x:v>
      </x:c>
      <x:c r="C204" s="2" t="str">
        <x:v>MEREVITO_CSAP / R14-J135</x:v>
      </x:c>
      <x:c r="D204" s="2" t="n">
        <x:v>333</x:v>
      </x:c>
      <x:c r="E204" s="2" t="n">
        <x:v>90</x:v>
      </x:c>
      <x:c r="F204" s="2" t="n">
        <x:v>-9</x:v>
      </x:c>
      <x:c r="G204" s="2" t="n">
        <x:v>-1</x:v>
      </x:c>
      <x:c r="H204" s="2" t="n">
        <x:v>0</x:v>
      </x:c>
      <x:c r="I204" s="2" t="n">
        <x:v>0</x:v>
      </x:c>
      <x:c r="J204" s="2" t="n">
        <x:v>8</x:v>
      </x:c>
      <x:c r="K204" s="2" t="n">
        <x:v>22</x:v>
      </x:c>
      <x:c r="L204" s="2" t="str">
        <x:v>R14 Ø8x30 bükk csap, 22+12 mélység; ragasztott próbakötés</x:v>
      </x:c>
    </x:row>
    <x:row r="205" ht="36" customHeight="1">
      <x:c r="A205" s="2" t="str">
        <x:v>H0563</x:v>
      </x:c>
      <x:c r="B205" s="2" t="str">
        <x:v>KI12-TV01C-01</x:v>
      </x:c>
      <x:c r="C205" s="2" t="str">
        <x:v>MEREVITO_CSAP / R14-J135</x:v>
      </x:c>
      <x:c r="D205" s="2" t="n">
        <x:v>2154</x:v>
      </x:c>
      <x:c r="E205" s="2" t="n">
        <x:v>327</x:v>
      </x:c>
      <x:c r="F205" s="2" t="n">
        <x:v>-18</x:v>
      </x:c>
      <x:c r="G205" s="2" t="n">
        <x:v>0</x:v>
      </x:c>
      <x:c r="H205" s="2" t="n">
        <x:v>0</x:v>
      </x:c>
      <x:c r="I205" s="2" t="n">
        <x:v>1</x:v>
      </x:c>
      <x:c r="J205" s="2" t="n">
        <x:v>8</x:v>
      </x:c>
      <x:c r="K205" s="2" t="n">
        <x:v>12</x:v>
      </x:c>
      <x:c r="L205" s="2" t="str">
        <x:v>R14 Ø8x30 bükk csap, 22+12 mélység; középosztón 10 mm eltolt tengely</x:v>
      </x:c>
    </x:row>
    <x:row r="206" ht="36" customHeight="1">
      <x:c r="A206" s="2" t="str">
        <x:v>H0564</x:v>
      </x:c>
      <x:c r="B206" s="2" t="str">
        <x:v>KI14-RAIL-07</x:v>
      </x:c>
      <x:c r="C206" s="2" t="str">
        <x:v>MEREVITO_CSAP / R14-J136</x:v>
      </x:c>
      <x:c r="D206" s="2" t="n">
        <x:v>0</x:v>
      </x:c>
      <x:c r="E206" s="2" t="n">
        <x:v>30</x:v>
      </x:c>
      <x:c r="F206" s="2" t="n">
        <x:v>-9</x:v>
      </x:c>
      <x:c r="G206" s="2" t="n">
        <x:v>1</x:v>
      </x:c>
      <x:c r="H206" s="2" t="n">
        <x:v>0</x:v>
      </x:c>
      <x:c r="I206" s="2" t="n">
        <x:v>0</x:v>
      </x:c>
      <x:c r="J206" s="2" t="n">
        <x:v>8</x:v>
      </x:c>
      <x:c r="K206" s="2" t="n">
        <x:v>22</x:v>
      </x:c>
      <x:c r="L206" s="2" t="str">
        <x:v>R14 Ø8x30 bükk csap, 22+12 mélység; ragasztott próbakötés</x:v>
      </x:c>
    </x:row>
    <x:row r="207" ht="36" customHeight="1">
      <x:c r="A207" s="2" t="str">
        <x:v>H0565</x:v>
      </x:c>
      <x:c r="B207" s="2" t="str">
        <x:v>KI12-TV01S-02</x:v>
      </x:c>
      <x:c r="C207" s="2" t="str">
        <x:v>MEREVITO_CSAP / R14-J136</x:v>
      </x:c>
      <x:c r="D207" s="2" t="n">
        <x:v>2112</x:v>
      </x:c>
      <x:c r="E207" s="2" t="n">
        <x:v>327</x:v>
      </x:c>
      <x:c r="F207" s="2" t="n">
        <x:v>0</x:v>
      </x:c>
      <x:c r="G207" s="2" t="n">
        <x:v>0</x:v>
      </x:c>
      <x:c r="H207" s="2" t="n">
        <x:v>0</x:v>
      </x:c>
      <x:c r="I207" s="2" t="n">
        <x:v>-1</x:v>
      </x:c>
      <x:c r="J207" s="2" t="n">
        <x:v>8</x:v>
      </x:c>
      <x:c r="K207" s="2" t="n">
        <x:v>12</x:v>
      </x:c>
      <x:c r="L207" s="2" t="str">
        <x:v>R14 Ø8x30 bükk csap, 22+12 mélység; középosztón 10 mm eltolt tengely</x:v>
      </x:c>
    </x:row>
    <x:row r="208" ht="36" customHeight="1">
      <x:c r="A208" s="2" t="str">
        <x:v>H0566</x:v>
      </x:c>
      <x:c r="B208" s="2" t="str">
        <x:v>KI14-RAIL-07</x:v>
      </x:c>
      <x:c r="C208" s="2" t="str">
        <x:v>MEREVITO_CSAP / R14-J137</x:v>
      </x:c>
      <x:c r="D208" s="2" t="n">
        <x:v>0</x:v>
      </x:c>
      <x:c r="E208" s="2" t="n">
        <x:v>60</x:v>
      </x:c>
      <x:c r="F208" s="2" t="n">
        <x:v>-9</x:v>
      </x:c>
      <x:c r="G208" s="2" t="n">
        <x:v>1</x:v>
      </x:c>
      <x:c r="H208" s="2" t="n">
        <x:v>0</x:v>
      </x:c>
      <x:c r="I208" s="2" t="n">
        <x:v>0</x:v>
      </x:c>
      <x:c r="J208" s="2" t="n">
        <x:v>8</x:v>
      </x:c>
      <x:c r="K208" s="2" t="n">
        <x:v>22</x:v>
      </x:c>
      <x:c r="L208" s="2" t="str">
        <x:v>R14 Ø8x30 bükk csap, 22+12 mélység; ragasztott próbakötés</x:v>
      </x:c>
    </x:row>
    <x:row r="209" ht="36" customHeight="1">
      <x:c r="A209" s="2" t="str">
        <x:v>H0567</x:v>
      </x:c>
      <x:c r="B209" s="2" t="str">
        <x:v>KI12-TV01S-02</x:v>
      </x:c>
      <x:c r="C209" s="2" t="str">
        <x:v>MEREVITO_CSAP / R14-J137</x:v>
      </x:c>
      <x:c r="D209" s="2" t="n">
        <x:v>2142</x:v>
      </x:c>
      <x:c r="E209" s="2" t="n">
        <x:v>327</x:v>
      </x:c>
      <x:c r="F209" s="2" t="n">
        <x:v>0</x:v>
      </x:c>
      <x:c r="G209" s="2" t="n">
        <x:v>0</x:v>
      </x:c>
      <x:c r="H209" s="2" t="n">
        <x:v>0</x:v>
      </x:c>
      <x:c r="I209" s="2" t="n">
        <x:v>-1</x:v>
      </x:c>
      <x:c r="J209" s="2" t="n">
        <x:v>8</x:v>
      </x:c>
      <x:c r="K209" s="2" t="n">
        <x:v>12</x:v>
      </x:c>
      <x:c r="L209" s="2" t="str">
        <x:v>R14 Ø8x30 bükk csap, 22+12 mélység; középosztón 10 mm eltolt tengely</x:v>
      </x:c>
    </x:row>
    <x:row r="210" ht="36" customHeight="1">
      <x:c r="A210" s="2" t="str">
        <x:v>H0568</x:v>
      </x:c>
      <x:c r="B210" s="2" t="str">
        <x:v>KI14-RAIL-07</x:v>
      </x:c>
      <x:c r="C210" s="2" t="str">
        <x:v>MEREVITO_CSAP / R14-J138</x:v>
      </x:c>
      <x:c r="D210" s="2" t="n">
        <x:v>0</x:v>
      </x:c>
      <x:c r="E210" s="2" t="n">
        <x:v>90</x:v>
      </x:c>
      <x:c r="F210" s="2" t="n">
        <x:v>-9</x:v>
      </x:c>
      <x:c r="G210" s="2" t="n">
        <x:v>1</x:v>
      </x:c>
      <x:c r="H210" s="2" t="n">
        <x:v>0</x:v>
      </x:c>
      <x:c r="I210" s="2" t="n">
        <x:v>0</x:v>
      </x:c>
      <x:c r="J210" s="2" t="n">
        <x:v>8</x:v>
      </x:c>
      <x:c r="K210" s="2" t="n">
        <x:v>22</x:v>
      </x:c>
      <x:c r="L210" s="2" t="str">
        <x:v>R14 Ø8x30 bükk csap, 22+12 mélység; ragasztott próbakötés</x:v>
      </x:c>
    </x:row>
    <x:row r="211" ht="36" customHeight="1">
      <x:c r="A211" s="2" t="str">
        <x:v>H0569</x:v>
      </x:c>
      <x:c r="B211" s="2" t="str">
        <x:v>KI12-TV01S-02</x:v>
      </x:c>
      <x:c r="C211" s="2" t="str">
        <x:v>MEREVITO_CSAP / R14-J138</x:v>
      </x:c>
      <x:c r="D211" s="2" t="n">
        <x:v>2172</x:v>
      </x:c>
      <x:c r="E211" s="2" t="n">
        <x:v>327</x:v>
      </x:c>
      <x:c r="F211" s="2" t="n">
        <x:v>0</x:v>
      </x:c>
      <x:c r="G211" s="2" t="n">
        <x:v>0</x:v>
      </x:c>
      <x:c r="H211" s="2" t="n">
        <x:v>0</x:v>
      </x:c>
      <x:c r="I211" s="2" t="n">
        <x:v>-1</x:v>
      </x:c>
      <x:c r="J211" s="2" t="n">
        <x:v>8</x:v>
      </x:c>
      <x:c r="K211" s="2" t="n">
        <x:v>12</x:v>
      </x:c>
      <x:c r="L211" s="2" t="str">
        <x:v>R14 Ø8x30 bükk csap, 22+12 mélység; középosztón 10 mm eltolt tengely</x:v>
      </x:c>
    </x:row>
    <x:row r="212" ht="36" customHeight="1">
      <x:c r="A212" s="2" t="str">
        <x:v>H0570</x:v>
      </x:c>
      <x:c r="B212" s="2" t="str">
        <x:v>KI12-TV01C-01</x:v>
      </x:c>
      <x:c r="C212" s="2" t="str">
        <x:v>TIPON_ADAPTER</x:v>
      </x:c>
      <x:c r="D212" s="2" t="n">
        <x:v>632</x:v>
      </x:c>
      <x:c r="E212" s="2" t="n">
        <x:v>20</x:v>
      </x:c>
      <x:c r="F212" s="2" t="n">
        <x:v>0</x:v>
      </x:c>
      <x:c r="G212" s="2" t="n">
        <x:v>0</x:v>
      </x:c>
      <x:c r="H212" s="2" t="n">
        <x:v>0</x:v>
      </x:c>
      <x:c r="I212" s="2" t="n">
        <x:v>-1</x:v>
      </x:c>
      <x:c r="J212" s="2" t="n">
        <x:v>2.5</x:v>
      </x:c>
      <x:c r="K212" s="2" t="n">
        <x:v>10</x:v>
      </x:c>
      <x:c r="L212" s="2" t="str">
        <x:v>Blum LIT.HNG4700.06.17 p2: setback20/spacing32; Ø2.5x10 designer pilot, trial required</x:v>
      </x:c>
    </x:row>
    <x:row r="213" ht="36" customHeight="1">
      <x:c r="A213" s="2" t="str">
        <x:v>H0571</x:v>
      </x:c>
      <x:c r="B213" s="2" t="str">
        <x:v>KI12-TV01C-01</x:v>
      </x:c>
      <x:c r="C213" s="2" t="str">
        <x:v>TIPON_ADAPTER</x:v>
      </x:c>
      <x:c r="D213" s="2" t="n">
        <x:v>632</x:v>
      </x:c>
      <x:c r="E213" s="2" t="n">
        <x:v>52</x:v>
      </x:c>
      <x:c r="F213" s="2" t="n">
        <x:v>0</x:v>
      </x:c>
      <x:c r="G213" s="2" t="n">
        <x:v>0</x:v>
      </x:c>
      <x:c r="H213" s="2" t="n">
        <x:v>0</x:v>
      </x:c>
      <x:c r="I213" s="2" t="n">
        <x:v>-1</x:v>
      </x:c>
      <x:c r="J213" s="2" t="n">
        <x:v>2.5</x:v>
      </x:c>
      <x:c r="K213" s="2" t="n">
        <x:v>10</x:v>
      </x:c>
      <x:c r="L213" s="2" t="str">
        <x:v>Blum LIT.HNG4700.06.17 p2: setback20/spacing32; Ø2.5x10 designer pilot, trial required</x:v>
      </x:c>
    </x:row>
    <x:row r="214" ht="36" customHeight="1">
      <x:c r="A214" s="2" t="str">
        <x:v>H0572</x:v>
      </x:c>
      <x:c r="B214" s="2" t="str">
        <x:v>KI12-TV01C-01</x:v>
      </x:c>
      <x:c r="C214" s="2" t="str">
        <x:v>TIPON_ADAPTER</x:v>
      </x:c>
      <x:c r="D214" s="2" t="n">
        <x:v>682</x:v>
      </x:c>
      <x:c r="E214" s="2" t="n">
        <x:v>20</x:v>
      </x:c>
      <x:c r="F214" s="2" t="n">
        <x:v>-18</x:v>
      </x:c>
      <x:c r="G214" s="2" t="n">
        <x:v>0</x:v>
      </x:c>
      <x:c r="H214" s="2" t="n">
        <x:v>0</x:v>
      </x:c>
      <x:c r="I214" s="2" t="n">
        <x:v>1</x:v>
      </x:c>
      <x:c r="J214" s="2" t="n">
        <x:v>2.5</x:v>
      </x:c>
      <x:c r="K214" s="2" t="n">
        <x:v>10</x:v>
      </x:c>
      <x:c r="L214" s="2" t="str">
        <x:v>Blum LIT.HNG4700.06.17 p2: setback20/spacing32; Ø2.5x10 designer pilot, trial required</x:v>
      </x:c>
    </x:row>
    <x:row r="215" ht="36" customHeight="1">
      <x:c r="A215" s="2" t="str">
        <x:v>H0573</x:v>
      </x:c>
      <x:c r="B215" s="2" t="str">
        <x:v>KI12-TV01C-01</x:v>
      </x:c>
      <x:c r="C215" s="2" t="str">
        <x:v>TIPON_ADAPTER</x:v>
      </x:c>
      <x:c r="D215" s="2" t="n">
        <x:v>682</x:v>
      </x:c>
      <x:c r="E215" s="2" t="n">
        <x:v>52</x:v>
      </x:c>
      <x:c r="F215" s="2" t="n">
        <x:v>-18</x:v>
      </x:c>
      <x:c r="G215" s="2" t="n">
        <x:v>0</x:v>
      </x:c>
      <x:c r="H215" s="2" t="n">
        <x:v>0</x:v>
      </x:c>
      <x:c r="I215" s="2" t="n">
        <x:v>1</x:v>
      </x:c>
      <x:c r="J215" s="2" t="n">
        <x:v>2.5</x:v>
      </x:c>
      <x:c r="K215" s="2" t="n">
        <x:v>10</x:v>
      </x:c>
      <x:c r="L215" s="2" t="str">
        <x:v>Blum LIT.HNG4700.06.17 p2: setback20/spacing32; Ø2.5x10 designer pilot, trial required</x:v>
      </x:c>
    </x:row>
    <x:row r="216" ht="36" customHeight="1">
      <x:c r="A216" s="2" t="str">
        <x:v>H0580</x:v>
      </x:c>
      <x:c r="B216" s="2" t="str">
        <x:v>KI12-TV01S-01</x:v>
      </x:c>
      <x:c r="C216" s="2" t="str">
        <x:v>CAMAR807_DUBEL</x:v>
      </x:c>
      <x:c r="D216" s="2" t="n">
        <x:v>2282</x:v>
      </x:c>
      <x:c r="E216" s="2" t="n">
        <x:v>330</x:v>
      </x:c>
      <x:c r="F216" s="2" t="n">
        <x:v>-18</x:v>
      </x:c>
      <x:c r="G216" s="2" t="n">
        <x:v>0</x:v>
      </x:c>
      <x:c r="H216" s="2" t="n">
        <x:v>0</x:v>
      </x:c>
      <x:c r="I216" s="2" t="n">
        <x:v>1</x:v>
      </x:c>
      <x:c r="J216" s="2" t="n">
        <x:v>10</x:v>
      </x:c>
      <x:c r="K216" s="2" t="n">
        <x:v>12</x:v>
      </x:c>
      <x:c r="L216" s="2" t="str">
        <x:v>Camar807_IN.pdf F1: Ø10/12,32x64;30mm felső visszaállás; új vasalat/oldallap próba és alkalmazás jóváhagyandó</x:v>
      </x:c>
    </x:row>
    <x:row r="217" ht="36" customHeight="1">
      <x:c r="A217" s="2" t="str">
        <x:v>H0581</x:v>
      </x:c>
      <x:c r="B217" s="2" t="str">
        <x:v>KI12-TV01S-01</x:v>
      </x:c>
      <x:c r="C217" s="2" t="str">
        <x:v>CAMAR807_DUBEL</x:v>
      </x:c>
      <x:c r="D217" s="2" t="n">
        <x:v>2218</x:v>
      </x:c>
      <x:c r="E217" s="2" t="n">
        <x:v>330</x:v>
      </x:c>
      <x:c r="F217" s="2" t="n">
        <x:v>-18</x:v>
      </x:c>
      <x:c r="G217" s="2" t="n">
        <x:v>0</x:v>
      </x:c>
      <x:c r="H217" s="2" t="n">
        <x:v>0</x:v>
      </x:c>
      <x:c r="I217" s="2" t="n">
        <x:v>1</x:v>
      </x:c>
      <x:c r="J217" s="2" t="n">
        <x:v>10</x:v>
      </x:c>
      <x:c r="K217" s="2" t="n">
        <x:v>12</x:v>
      </x:c>
      <x:c r="L217" s="2" t="str">
        <x:v>Camar807_IN.pdf F1: Ø10/12,32x64;30mm felső visszaállás; új vasalat/oldallap próba és alkalmazás jóváhagyandó</x:v>
      </x:c>
    </x:row>
    <x:row r="218" ht="36" customHeight="1">
      <x:c r="A218" s="2" t="str">
        <x:v>H0582</x:v>
      </x:c>
      <x:c r="B218" s="2" t="str">
        <x:v>KI12-TV01S-01</x:v>
      </x:c>
      <x:c r="C218" s="2" t="str">
        <x:v>CAMAR807_DUBEL</x:v>
      </x:c>
      <x:c r="D218" s="2" t="n">
        <x:v>2282</x:v>
      </x:c>
      <x:c r="E218" s="2" t="n">
        <x:v>362</x:v>
      </x:c>
      <x:c r="F218" s="2" t="n">
        <x:v>-18</x:v>
      </x:c>
      <x:c r="G218" s="2" t="n">
        <x:v>0</x:v>
      </x:c>
      <x:c r="H218" s="2" t="n">
        <x:v>0</x:v>
      </x:c>
      <x:c r="I218" s="2" t="n">
        <x:v>1</x:v>
      </x:c>
      <x:c r="J218" s="2" t="n">
        <x:v>10</x:v>
      </x:c>
      <x:c r="K218" s="2" t="n">
        <x:v>12</x:v>
      </x:c>
      <x:c r="L218" s="2" t="str">
        <x:v>Camar807_IN.pdf F1: Ø10/12,32x64;30mm felső visszaállás; új vasalat/oldallap próba és alkalmazás jóváhagyandó</x:v>
      </x:c>
    </x:row>
    <x:row r="219" ht="36" customHeight="1">
      <x:c r="A219" s="2" t="str">
        <x:v>H0583</x:v>
      </x:c>
      <x:c r="B219" s="2" t="str">
        <x:v>KI12-TV01S-01</x:v>
      </x:c>
      <x:c r="C219" s="2" t="str">
        <x:v>CAMAR807_DUBEL</x:v>
      </x:c>
      <x:c r="D219" s="2" t="n">
        <x:v>2218</x:v>
      </x:c>
      <x:c r="E219" s="2" t="n">
        <x:v>362</x:v>
      </x:c>
      <x:c r="F219" s="2" t="n">
        <x:v>-18</x:v>
      </x:c>
      <x:c r="G219" s="2" t="n">
        <x:v>0</x:v>
      </x:c>
      <x:c r="H219" s="2" t="n">
        <x:v>0</x:v>
      </x:c>
      <x:c r="I219" s="2" t="n">
        <x:v>1</x:v>
      </x:c>
      <x:c r="J219" s="2" t="n">
        <x:v>10</x:v>
      </x:c>
      <x:c r="K219" s="2" t="n">
        <x:v>12</x:v>
      </x:c>
      <x:c r="L219" s="2" t="str">
        <x:v>Camar807_IN.pdf F1: Ø10/12,32x64;30mm felső visszaállás; új vasalat/oldallap próba és alkalmazás jóváhagyandó</x:v>
      </x:c>
    </x:row>
    <x:row r="220" ht="36" customHeight="1">
      <x:c r="A220" s="2" t="str">
        <x:v>H0584</x:v>
      </x:c>
      <x:c r="B220" s="2" t="str">
        <x:v>KI12-TV01S-02</x:v>
      </x:c>
      <x:c r="C220" s="2" t="str">
        <x:v>CAMAR807_DUBEL</x:v>
      </x:c>
      <x:c r="D220" s="2" t="n">
        <x:v>2282</x:v>
      </x:c>
      <x:c r="E220" s="2" t="n">
        <x:v>330</x:v>
      </x:c>
      <x:c r="F220" s="2" t="n">
        <x:v>0</x:v>
      </x:c>
      <x:c r="G220" s="2" t="n">
        <x:v>0</x:v>
      </x:c>
      <x:c r="H220" s="2" t="n">
        <x:v>0</x:v>
      </x:c>
      <x:c r="I220" s="2" t="n">
        <x:v>-1</x:v>
      </x:c>
      <x:c r="J220" s="2" t="n">
        <x:v>10</x:v>
      </x:c>
      <x:c r="K220" s="2" t="n">
        <x:v>12</x:v>
      </x:c>
      <x:c r="L220" s="2" t="str">
        <x:v>Camar807_IN.pdf F1: Ø10/12,32x64;30mm felső visszaállás; új vasalat/oldallap próba és alkalmazás jóváhagyandó</x:v>
      </x:c>
    </x:row>
    <x:row r="221" ht="36" customHeight="1">
      <x:c r="A221" s="2" t="str">
        <x:v>H0585</x:v>
      </x:c>
      <x:c r="B221" s="2" t="str">
        <x:v>KI12-TV01S-02</x:v>
      </x:c>
      <x:c r="C221" s="2" t="str">
        <x:v>CAMAR807_DUBEL</x:v>
      </x:c>
      <x:c r="D221" s="2" t="n">
        <x:v>2218</x:v>
      </x:c>
      <x:c r="E221" s="2" t="n">
        <x:v>330</x:v>
      </x:c>
      <x:c r="F221" s="2" t="n">
        <x:v>0</x:v>
      </x:c>
      <x:c r="G221" s="2" t="n">
        <x:v>0</x:v>
      </x:c>
      <x:c r="H221" s="2" t="n">
        <x:v>0</x:v>
      </x:c>
      <x:c r="I221" s="2" t="n">
        <x:v>-1</x:v>
      </x:c>
      <x:c r="J221" s="2" t="n">
        <x:v>10</x:v>
      </x:c>
      <x:c r="K221" s="2" t="n">
        <x:v>12</x:v>
      </x:c>
      <x:c r="L221" s="2" t="str">
        <x:v>Camar807_IN.pdf F1: Ø10/12,32x64;30mm felső visszaállás; új vasalat/oldallap próba és alkalmazás jóváhagyandó</x:v>
      </x:c>
    </x:row>
    <x:row r="222" ht="36" customHeight="1">
      <x:c r="A222" s="2" t="str">
        <x:v>H0586</x:v>
      </x:c>
      <x:c r="B222" s="2" t="str">
        <x:v>KI12-TV01S-02</x:v>
      </x:c>
      <x:c r="C222" s="2" t="str">
        <x:v>CAMAR807_DUBEL</x:v>
      </x:c>
      <x:c r="D222" s="2" t="n">
        <x:v>2282</x:v>
      </x:c>
      <x:c r="E222" s="2" t="n">
        <x:v>362</x:v>
      </x:c>
      <x:c r="F222" s="2" t="n">
        <x:v>0</x:v>
      </x:c>
      <x:c r="G222" s="2" t="n">
        <x:v>0</x:v>
      </x:c>
      <x:c r="H222" s="2" t="n">
        <x:v>0</x:v>
      </x:c>
      <x:c r="I222" s="2" t="n">
        <x:v>-1</x:v>
      </x:c>
      <x:c r="J222" s="2" t="n">
        <x:v>10</x:v>
      </x:c>
      <x:c r="K222" s="2" t="n">
        <x:v>12</x:v>
      </x:c>
      <x:c r="L222" s="2" t="str">
        <x:v>Camar807_IN.pdf F1: Ø10/12,32x64;30mm felső visszaállás; új vasalat/oldallap próba és alkalmazás jóváhagyandó</x:v>
      </x:c>
    </x:row>
    <x:row r="223" ht="36" customHeight="1">
      <x:c r="A223" s="2" t="str">
        <x:v>H0587</x:v>
      </x:c>
      <x:c r="B223" s="2" t="str">
        <x:v>KI12-TV01S-02</x:v>
      </x:c>
      <x:c r="C223" s="2" t="str">
        <x:v>CAMAR807_DUBEL</x:v>
      </x:c>
      <x:c r="D223" s="2" t="n">
        <x:v>2218</x:v>
      </x:c>
      <x:c r="E223" s="2" t="n">
        <x:v>362</x:v>
      </x:c>
      <x:c r="F223" s="2" t="n">
        <x:v>0</x:v>
      </x:c>
      <x:c r="G223" s="2" t="n">
        <x:v>0</x:v>
      </x:c>
      <x:c r="H223" s="2" t="n">
        <x:v>0</x:v>
      </x:c>
      <x:c r="I223" s="2" t="n">
        <x:v>-1</x:v>
      </x:c>
      <x:c r="J223" s="2" t="n">
        <x:v>10</x:v>
      </x:c>
      <x:c r="K223" s="2" t="n">
        <x:v>12</x:v>
      </x:c>
      <x:c r="L223" s="2" t="str">
        <x:v>Camar807_IN.pdf F1: Ø10/12,32x64;30mm felső visszaállás; új vasalat/oldallap próba és alkalmazás jóváhagyandó</x:v>
      </x:c>
    </x:row>
    <x:row r="224" ht="36" customHeight="1">
      <x:c r="A224" s="2" t="str">
        <x:v>H0628</x:v>
      </x:c>
      <x:c r="B224" s="2" t="str">
        <x:v>KI12-TV03P-01</x:v>
      </x:c>
      <x:c r="C224" s="2" t="str">
        <x:v>MF375_PANEL_CSAVAR</x:v>
      </x:c>
      <x:c r="D224" s="2" t="n">
        <x:v>100</x:v>
      </x:c>
      <x:c r="E224" s="2" t="n">
        <x:v>43.99800000000005</x:v>
      </x:c>
      <x:c r="F224" s="2" t="n">
        <x:v>0</x:v>
      </x:c>
      <x:c r="G224" s="2" t="n">
        <x:v>0</x:v>
      </x:c>
      <x:c r="H224" s="2" t="n">
        <x:v>0</x:v>
      </x:c>
      <x:c r="I224" s="2" t="n">
        <x:v>-1</x:v>
      </x:c>
      <x:c r="J224" s="2" t="n">
        <x:v>2.5</x:v>
      </x:c>
      <x:c r="K224" s="2" t="n">
        <x:v>12</x:v>
      </x:c>
      <x:c r="L224" s="2" t="str">
        <x:v>MF375.pdf 32.004mm furatköz; Ø2.5x12 próbaérték 3.5x16 pan-head csavarhoz</x:v>
      </x:c>
    </x:row>
    <x:row r="225" ht="36" customHeight="1">
      <x:c r="A225" s="2" t="str">
        <x:v>H0629</x:v>
      </x:c>
      <x:c r="B225" s="2" t="str">
        <x:v>KI12-TV03P-01</x:v>
      </x:c>
      <x:c r="C225" s="2" t="str">
        <x:v>MF375_PANEL_CSAVAR</x:v>
      </x:c>
      <x:c r="D225" s="2" t="n">
        <x:v>100</x:v>
      </x:c>
      <x:c r="E225" s="2" t="n">
        <x:v>76.00199999999995</x:v>
      </x:c>
      <x:c r="F225" s="2" t="n">
        <x:v>0</x:v>
      </x:c>
      <x:c r="G225" s="2" t="n">
        <x:v>0</x:v>
      </x:c>
      <x:c r="H225" s="2" t="n">
        <x:v>0</x:v>
      </x:c>
      <x:c r="I225" s="2" t="n">
        <x:v>-1</x:v>
      </x:c>
      <x:c r="J225" s="2" t="n">
        <x:v>2.5</x:v>
      </x:c>
      <x:c r="K225" s="2" t="n">
        <x:v>12</x:v>
      </x:c>
      <x:c r="L225" s="2" t="str">
        <x:v>MF375.pdf 32.004mm furatköz; Ø2.5x12 próbaérték 3.5x16 pan-head csavarhoz</x:v>
      </x:c>
    </x:row>
    <x:row r="226" ht="36" customHeight="1">
      <x:c r="A226" s="2" t="str">
        <x:v>H0630</x:v>
      </x:c>
      <x:c r="B226" s="2" t="str">
        <x:v>KI12-TV03P-01</x:v>
      </x:c>
      <x:c r="C226" s="2" t="str">
        <x:v>MF375_PANEL_CSAVAR</x:v>
      </x:c>
      <x:c r="D226" s="2" t="n">
        <x:v>100</x:v>
      </x:c>
      <x:c r="E226" s="2" t="n">
        <x:v>317.49800000000005</x:v>
      </x:c>
      <x:c r="F226" s="2" t="n">
        <x:v>0</x:v>
      </x:c>
      <x:c r="G226" s="2" t="n">
        <x:v>0</x:v>
      </x:c>
      <x:c r="H226" s="2" t="n">
        <x:v>0</x:v>
      </x:c>
      <x:c r="I226" s="2" t="n">
        <x:v>-1</x:v>
      </x:c>
      <x:c r="J226" s="2" t="n">
        <x:v>2.5</x:v>
      </x:c>
      <x:c r="K226" s="2" t="n">
        <x:v>12</x:v>
      </x:c>
      <x:c r="L226" s="2" t="str">
        <x:v>MF375.pdf 32.004mm furatköz; Ø2.5x12 próbaérték 3.5x16 pan-head csavarhoz</x:v>
      </x:c>
    </x:row>
    <x:row r="227" ht="36" customHeight="1">
      <x:c r="A227" s="2" t="str">
        <x:v>H0631</x:v>
      </x:c>
      <x:c r="B227" s="2" t="str">
        <x:v>KI12-TV03P-01</x:v>
      </x:c>
      <x:c r="C227" s="2" t="str">
        <x:v>MF375_PANEL_CSAVAR</x:v>
      </x:c>
      <x:c r="D227" s="2" t="n">
        <x:v>100</x:v>
      </x:c>
      <x:c r="E227" s="2" t="n">
        <x:v>349.50199999999995</x:v>
      </x:c>
      <x:c r="F227" s="2" t="n">
        <x:v>0</x:v>
      </x:c>
      <x:c r="G227" s="2" t="n">
        <x:v>0</x:v>
      </x:c>
      <x:c r="H227" s="2" t="n">
        <x:v>0</x:v>
      </x:c>
      <x:c r="I227" s="2" t="n">
        <x:v>-1</x:v>
      </x:c>
      <x:c r="J227" s="2" t="n">
        <x:v>2.5</x:v>
      </x:c>
      <x:c r="K227" s="2" t="n">
        <x:v>12</x:v>
      </x:c>
      <x:c r="L227" s="2" t="str">
        <x:v>MF375.pdf 32.004mm furatköz; Ø2.5x12 próbaérték 3.5x16 pan-head csavarhoz</x:v>
      </x:c>
    </x:row>
    <x:row r="228" ht="36" customHeight="1">
      <x:c r="A228" s="2" t="str">
        <x:v>H0632</x:v>
      </x:c>
      <x:c r="B228" s="2" t="str">
        <x:v>KI12-TV03P-01</x:v>
      </x:c>
      <x:c r="C228" s="2" t="str">
        <x:v>MF375_PANEL_CSAVAR</x:v>
      </x:c>
      <x:c r="D228" s="2" t="n">
        <x:v>100</x:v>
      </x:c>
      <x:c r="E228" s="2" t="n">
        <x:v>590.998</x:v>
      </x:c>
      <x:c r="F228" s="2" t="n">
        <x:v>0</x:v>
      </x:c>
      <x:c r="G228" s="2" t="n">
        <x:v>0</x:v>
      </x:c>
      <x:c r="H228" s="2" t="n">
        <x:v>0</x:v>
      </x:c>
      <x:c r="I228" s="2" t="n">
        <x:v>-1</x:v>
      </x:c>
      <x:c r="J228" s="2" t="n">
        <x:v>2.5</x:v>
      </x:c>
      <x:c r="K228" s="2" t="n">
        <x:v>12</x:v>
      </x:c>
      <x:c r="L228" s="2" t="str">
        <x:v>MF375.pdf 32.004mm furatköz; Ø2.5x12 próbaérték 3.5x16 pan-head csavarhoz</x:v>
      </x:c>
    </x:row>
    <x:row r="229" ht="36" customHeight="1">
      <x:c r="A229" s="2" t="str">
        <x:v>H0633</x:v>
      </x:c>
      <x:c r="B229" s="2" t="str">
        <x:v>KI12-TV03P-01</x:v>
      </x:c>
      <x:c r="C229" s="2" t="str">
        <x:v>MF375_PANEL_CSAVAR</x:v>
      </x:c>
      <x:c r="D229" s="2" t="n">
        <x:v>100</x:v>
      </x:c>
      <x:c r="E229" s="2" t="n">
        <x:v>623.002</x:v>
      </x:c>
      <x:c r="F229" s="2" t="n">
        <x:v>0</x:v>
      </x:c>
      <x:c r="G229" s="2" t="n">
        <x:v>0</x:v>
      </x:c>
      <x:c r="H229" s="2" t="n">
        <x:v>0</x:v>
      </x:c>
      <x:c r="I229" s="2" t="n">
        <x:v>-1</x:v>
      </x:c>
      <x:c r="J229" s="2" t="n">
        <x:v>2.5</x:v>
      </x:c>
      <x:c r="K229" s="2" t="n">
        <x:v>12</x:v>
      </x:c>
      <x:c r="L229" s="2" t="str">
        <x:v>MF375.pdf 32.004mm furatköz; Ø2.5x12 próbaérték 3.5x16 pan-head csavarhoz</x:v>
      </x:c>
    </x:row>
    <x:row r="230" ht="36" customHeight="1">
      <x:c r="A230" s="2" t="str">
        <x:v>H0634</x:v>
      </x:c>
      <x:c r="B230" s="2" t="str">
        <x:v>KI12-TV03P-01</x:v>
      </x:c>
      <x:c r="C230" s="2" t="str">
        <x:v>MF375_PANEL_CSAVAR</x:v>
      </x:c>
      <x:c r="D230" s="2" t="n">
        <x:v>800</x:v>
      </x:c>
      <x:c r="E230" s="2" t="n">
        <x:v>43.99800000000005</x:v>
      </x:c>
      <x:c r="F230" s="2" t="n">
        <x:v>0</x:v>
      </x:c>
      <x:c r="G230" s="2" t="n">
        <x:v>0</x:v>
      </x:c>
      <x:c r="H230" s="2" t="n">
        <x:v>0</x:v>
      </x:c>
      <x:c r="I230" s="2" t="n">
        <x:v>-1</x:v>
      </x:c>
      <x:c r="J230" s="2" t="n">
        <x:v>2.5</x:v>
      </x:c>
      <x:c r="K230" s="2" t="n">
        <x:v>12</x:v>
      </x:c>
      <x:c r="L230" s="2" t="str">
        <x:v>MF375.pdf 32.004mm furatköz; Ø2.5x12 próbaérték 3.5x16 pan-head csavarhoz</x:v>
      </x:c>
    </x:row>
    <x:row r="231" ht="36" customHeight="1">
      <x:c r="A231" s="2" t="str">
        <x:v>H0635</x:v>
      </x:c>
      <x:c r="B231" s="2" t="str">
        <x:v>KI12-TV03P-01</x:v>
      </x:c>
      <x:c r="C231" s="2" t="str">
        <x:v>MF375_PANEL_CSAVAR</x:v>
      </x:c>
      <x:c r="D231" s="2" t="n">
        <x:v>800</x:v>
      </x:c>
      <x:c r="E231" s="2" t="n">
        <x:v>76.00199999999995</x:v>
      </x:c>
      <x:c r="F231" s="2" t="n">
        <x:v>0</x:v>
      </x:c>
      <x:c r="G231" s="2" t="n">
        <x:v>0</x:v>
      </x:c>
      <x:c r="H231" s="2" t="n">
        <x:v>0</x:v>
      </x:c>
      <x:c r="I231" s="2" t="n">
        <x:v>-1</x:v>
      </x:c>
      <x:c r="J231" s="2" t="n">
        <x:v>2.5</x:v>
      </x:c>
      <x:c r="K231" s="2" t="n">
        <x:v>12</x:v>
      </x:c>
      <x:c r="L231" s="2" t="str">
        <x:v>MF375.pdf 32.004mm furatköz; Ø2.5x12 próbaérték 3.5x16 pan-head csavarhoz</x:v>
      </x:c>
    </x:row>
    <x:row r="232" ht="36" customHeight="1">
      <x:c r="A232" s="2" t="str">
        <x:v>H0636</x:v>
      </x:c>
      <x:c r="B232" s="2" t="str">
        <x:v>KI12-TV03P-01</x:v>
      </x:c>
      <x:c r="C232" s="2" t="str">
        <x:v>MF375_PANEL_CSAVAR</x:v>
      </x:c>
      <x:c r="D232" s="2" t="n">
        <x:v>800</x:v>
      </x:c>
      <x:c r="E232" s="2" t="n">
        <x:v>317.49800000000005</x:v>
      </x:c>
      <x:c r="F232" s="2" t="n">
        <x:v>0</x:v>
      </x:c>
      <x:c r="G232" s="2" t="n">
        <x:v>0</x:v>
      </x:c>
      <x:c r="H232" s="2" t="n">
        <x:v>0</x:v>
      </x:c>
      <x:c r="I232" s="2" t="n">
        <x:v>-1</x:v>
      </x:c>
      <x:c r="J232" s="2" t="n">
        <x:v>2.5</x:v>
      </x:c>
      <x:c r="K232" s="2" t="n">
        <x:v>12</x:v>
      </x:c>
      <x:c r="L232" s="2" t="str">
        <x:v>MF375.pdf 32.004mm furatköz; Ø2.5x12 próbaérték 3.5x16 pan-head csavarhoz</x:v>
      </x:c>
    </x:row>
    <x:row r="233" ht="36" customHeight="1">
      <x:c r="A233" s="2" t="str">
        <x:v>H0637</x:v>
      </x:c>
      <x:c r="B233" s="2" t="str">
        <x:v>KI12-TV03P-01</x:v>
      </x:c>
      <x:c r="C233" s="2" t="str">
        <x:v>MF375_PANEL_CSAVAR</x:v>
      </x:c>
      <x:c r="D233" s="2" t="n">
        <x:v>800</x:v>
      </x:c>
      <x:c r="E233" s="2" t="n">
        <x:v>349.50199999999995</x:v>
      </x:c>
      <x:c r="F233" s="2" t="n">
        <x:v>0</x:v>
      </x:c>
      <x:c r="G233" s="2" t="n">
        <x:v>0</x:v>
      </x:c>
      <x:c r="H233" s="2" t="n">
        <x:v>0</x:v>
      </x:c>
      <x:c r="I233" s="2" t="n">
        <x:v>-1</x:v>
      </x:c>
      <x:c r="J233" s="2" t="n">
        <x:v>2.5</x:v>
      </x:c>
      <x:c r="K233" s="2" t="n">
        <x:v>12</x:v>
      </x:c>
      <x:c r="L233" s="2" t="str">
        <x:v>MF375.pdf 32.004mm furatköz; Ø2.5x12 próbaérték 3.5x16 pan-head csavarhoz</x:v>
      </x:c>
    </x:row>
    <x:row r="234" ht="36" customHeight="1">
      <x:c r="A234" s="2" t="str">
        <x:v>H0638</x:v>
      </x:c>
      <x:c r="B234" s="2" t="str">
        <x:v>KI12-TV03P-01</x:v>
      </x:c>
      <x:c r="C234" s="2" t="str">
        <x:v>MF375_PANEL_CSAVAR</x:v>
      </x:c>
      <x:c r="D234" s="2" t="n">
        <x:v>800</x:v>
      </x:c>
      <x:c r="E234" s="2" t="n">
        <x:v>590.998</x:v>
      </x:c>
      <x:c r="F234" s="2" t="n">
        <x:v>0</x:v>
      </x:c>
      <x:c r="G234" s="2" t="n">
        <x:v>0</x:v>
      </x:c>
      <x:c r="H234" s="2" t="n">
        <x:v>0</x:v>
      </x:c>
      <x:c r="I234" s="2" t="n">
        <x:v>-1</x:v>
      </x:c>
      <x:c r="J234" s="2" t="n">
        <x:v>2.5</x:v>
      </x:c>
      <x:c r="K234" s="2" t="n">
        <x:v>12</x:v>
      </x:c>
      <x:c r="L234" s="2" t="str">
        <x:v>MF375.pdf 32.004mm furatköz; Ø2.5x12 próbaérték 3.5x16 pan-head csavarhoz</x:v>
      </x:c>
    </x:row>
    <x:row r="235" ht="36" customHeight="1">
      <x:c r="A235" s="2" t="str">
        <x:v>H0639</x:v>
      </x:c>
      <x:c r="B235" s="2" t="str">
        <x:v>KI12-TV03P-01</x:v>
      </x:c>
      <x:c r="C235" s="2" t="str">
        <x:v>MF375_PANEL_CSAVAR</x:v>
      </x:c>
      <x:c r="D235" s="2" t="n">
        <x:v>800</x:v>
      </x:c>
      <x:c r="E235" s="2" t="n">
        <x:v>623.002</x:v>
      </x:c>
      <x:c r="F235" s="2" t="n">
        <x:v>0</x:v>
      </x:c>
      <x:c r="G235" s="2" t="n">
        <x:v>0</x:v>
      </x:c>
      <x:c r="H235" s="2" t="n">
        <x:v>0</x:v>
      </x:c>
      <x:c r="I235" s="2" t="n">
        <x:v>-1</x:v>
      </x:c>
      <x:c r="J235" s="2" t="n">
        <x:v>2.5</x:v>
      </x:c>
      <x:c r="K235" s="2" t="n">
        <x:v>12</x:v>
      </x:c>
      <x:c r="L235" s="2" t="str">
        <x:v>MF375.pdf 32.004mm furatköz; Ø2.5x12 próbaérték 3.5x16 pan-head csavarhoz</x:v>
      </x:c>
    </x:row>
    <x:row r="236" ht="36" customHeight="1">
      <x:c r="A236" s="2" t="str">
        <x:v>H0640</x:v>
      </x:c>
      <x:c r="B236" s="2" t="str">
        <x:v>KI12-TV03P-01</x:v>
      </x:c>
      <x:c r="C236" s="2" t="str">
        <x:v>MF375_PANEL_CSAVAR</x:v>
      </x:c>
      <x:c r="D236" s="2" t="n">
        <x:v>1500</x:v>
      </x:c>
      <x:c r="E236" s="2" t="n">
        <x:v>43.99800000000005</x:v>
      </x:c>
      <x:c r="F236" s="2" t="n">
        <x:v>0</x:v>
      </x:c>
      <x:c r="G236" s="2" t="n">
        <x:v>0</x:v>
      </x:c>
      <x:c r="H236" s="2" t="n">
        <x:v>0</x:v>
      </x:c>
      <x:c r="I236" s="2" t="n">
        <x:v>-1</x:v>
      </x:c>
      <x:c r="J236" s="2" t="n">
        <x:v>2.5</x:v>
      </x:c>
      <x:c r="K236" s="2" t="n">
        <x:v>12</x:v>
      </x:c>
      <x:c r="L236" s="2" t="str">
        <x:v>MF375.pdf 32.004mm furatköz; Ø2.5x12 próbaérték 3.5x16 pan-head csavarhoz</x:v>
      </x:c>
    </x:row>
    <x:row r="237" ht="36" customHeight="1">
      <x:c r="A237" s="2" t="str">
        <x:v>H0641</x:v>
      </x:c>
      <x:c r="B237" s="2" t="str">
        <x:v>KI12-TV03P-01</x:v>
      </x:c>
      <x:c r="C237" s="2" t="str">
        <x:v>MF375_PANEL_CSAVAR</x:v>
      </x:c>
      <x:c r="D237" s="2" t="n">
        <x:v>1500</x:v>
      </x:c>
      <x:c r="E237" s="2" t="n">
        <x:v>76.00199999999995</x:v>
      </x:c>
      <x:c r="F237" s="2" t="n">
        <x:v>0</x:v>
      </x:c>
      <x:c r="G237" s="2" t="n">
        <x:v>0</x:v>
      </x:c>
      <x:c r="H237" s="2" t="n">
        <x:v>0</x:v>
      </x:c>
      <x:c r="I237" s="2" t="n">
        <x:v>-1</x:v>
      </x:c>
      <x:c r="J237" s="2" t="n">
        <x:v>2.5</x:v>
      </x:c>
      <x:c r="K237" s="2" t="n">
        <x:v>12</x:v>
      </x:c>
      <x:c r="L237" s="2" t="str">
        <x:v>MF375.pdf 32.004mm furatköz; Ø2.5x12 próbaérték 3.5x16 pan-head csavarhoz</x:v>
      </x:c>
    </x:row>
    <x:row r="238" ht="36" customHeight="1">
      <x:c r="A238" s="2" t="str">
        <x:v>H0642</x:v>
      </x:c>
      <x:c r="B238" s="2" t="str">
        <x:v>KI12-TV03P-01</x:v>
      </x:c>
      <x:c r="C238" s="2" t="str">
        <x:v>MF375_PANEL_CSAVAR</x:v>
      </x:c>
      <x:c r="D238" s="2" t="n">
        <x:v>1500</x:v>
      </x:c>
      <x:c r="E238" s="2" t="n">
        <x:v>317.49800000000005</x:v>
      </x:c>
      <x:c r="F238" s="2" t="n">
        <x:v>0</x:v>
      </x:c>
      <x:c r="G238" s="2" t="n">
        <x:v>0</x:v>
      </x:c>
      <x:c r="H238" s="2" t="n">
        <x:v>0</x:v>
      </x:c>
      <x:c r="I238" s="2" t="n">
        <x:v>-1</x:v>
      </x:c>
      <x:c r="J238" s="2" t="n">
        <x:v>2.5</x:v>
      </x:c>
      <x:c r="K238" s="2" t="n">
        <x:v>12</x:v>
      </x:c>
      <x:c r="L238" s="2" t="str">
        <x:v>MF375.pdf 32.004mm furatköz; Ø2.5x12 próbaérték 3.5x16 pan-head csavarhoz</x:v>
      </x:c>
    </x:row>
    <x:row r="239" ht="36" customHeight="1">
      <x:c r="A239" s="2" t="str">
        <x:v>H0643</x:v>
      </x:c>
      <x:c r="B239" s="2" t="str">
        <x:v>KI12-TV03P-01</x:v>
      </x:c>
      <x:c r="C239" s="2" t="str">
        <x:v>MF375_PANEL_CSAVAR</x:v>
      </x:c>
      <x:c r="D239" s="2" t="n">
        <x:v>1500</x:v>
      </x:c>
      <x:c r="E239" s="2" t="n">
        <x:v>349.50199999999995</x:v>
      </x:c>
      <x:c r="F239" s="2" t="n">
        <x:v>0</x:v>
      </x:c>
      <x:c r="G239" s="2" t="n">
        <x:v>0</x:v>
      </x:c>
      <x:c r="H239" s="2" t="n">
        <x:v>0</x:v>
      </x:c>
      <x:c r="I239" s="2" t="n">
        <x:v>-1</x:v>
      </x:c>
      <x:c r="J239" s="2" t="n">
        <x:v>2.5</x:v>
      </x:c>
      <x:c r="K239" s="2" t="n">
        <x:v>12</x:v>
      </x:c>
      <x:c r="L239" s="2" t="str">
        <x:v>MF375.pdf 32.004mm furatköz; Ø2.5x12 próbaérték 3.5x16 pan-head csavarhoz</x:v>
      </x:c>
    </x:row>
    <x:row r="240" ht="36" customHeight="1">
      <x:c r="A240" s="2" t="str">
        <x:v>H0644</x:v>
      </x:c>
      <x:c r="B240" s="2" t="str">
        <x:v>KI12-TV03P-01</x:v>
      </x:c>
      <x:c r="C240" s="2" t="str">
        <x:v>MF375_PANEL_CSAVAR</x:v>
      </x:c>
      <x:c r="D240" s="2" t="n">
        <x:v>1500</x:v>
      </x:c>
      <x:c r="E240" s="2" t="n">
        <x:v>590.998</x:v>
      </x:c>
      <x:c r="F240" s="2" t="n">
        <x:v>0</x:v>
      </x:c>
      <x:c r="G240" s="2" t="n">
        <x:v>0</x:v>
      </x:c>
      <x:c r="H240" s="2" t="n">
        <x:v>0</x:v>
      </x:c>
      <x:c r="I240" s="2" t="n">
        <x:v>-1</x:v>
      </x:c>
      <x:c r="J240" s="2" t="n">
        <x:v>2.5</x:v>
      </x:c>
      <x:c r="K240" s="2" t="n">
        <x:v>12</x:v>
      </x:c>
      <x:c r="L240" s="2" t="str">
        <x:v>MF375.pdf 32.004mm furatköz; Ø2.5x12 próbaérték 3.5x16 pan-head csavarhoz</x:v>
      </x:c>
    </x:row>
    <x:row r="241" ht="36" customHeight="1">
      <x:c r="A241" s="2" t="str">
        <x:v>H0645</x:v>
      </x:c>
      <x:c r="B241" s="2" t="str">
        <x:v>KI12-TV03P-01</x:v>
      </x:c>
      <x:c r="C241" s="2" t="str">
        <x:v>MF375_PANEL_CSAVAR</x:v>
      </x:c>
      <x:c r="D241" s="2" t="n">
        <x:v>1500</x:v>
      </x:c>
      <x:c r="E241" s="2" t="n">
        <x:v>623.002</x:v>
      </x:c>
      <x:c r="F241" s="2" t="n">
        <x:v>0</x:v>
      </x:c>
      <x:c r="G241" s="2" t="n">
        <x:v>0</x:v>
      </x:c>
      <x:c r="H241" s="2" t="n">
        <x:v>0</x:v>
      </x:c>
      <x:c r="I241" s="2" t="n">
        <x:v>-1</x:v>
      </x:c>
      <x:c r="J241" s="2" t="n">
        <x:v>2.5</x:v>
      </x:c>
      <x:c r="K241" s="2" t="n">
        <x:v>12</x:v>
      </x:c>
      <x:c r="L241" s="2" t="str">
        <x:v>MF375.pdf 32.004mm furatköz; Ø2.5x12 próbaérték 3.5x16 pan-head csavarhoz</x:v>
      </x:c>
    </x:row>
    <x:row r="242" ht="36" customHeight="1">
      <x:c r="A242" s="2" t="str">
        <x:v>H0646</x:v>
      </x:c>
      <x:c r="B242" s="2" t="str">
        <x:v>KI12-TV03P-01</x:v>
      </x:c>
      <x:c r="C242" s="2" t="str">
        <x:v>MF375_PANEL_CSAVAR</x:v>
      </x:c>
      <x:c r="D242" s="2" t="n">
        <x:v>2200</x:v>
      </x:c>
      <x:c r="E242" s="2" t="n">
        <x:v>43.99800000000005</x:v>
      </x:c>
      <x:c r="F242" s="2" t="n">
        <x:v>0</x:v>
      </x:c>
      <x:c r="G242" s="2" t="n">
        <x:v>0</x:v>
      </x:c>
      <x:c r="H242" s="2" t="n">
        <x:v>0</x:v>
      </x:c>
      <x:c r="I242" s="2" t="n">
        <x:v>-1</x:v>
      </x:c>
      <x:c r="J242" s="2" t="n">
        <x:v>2.5</x:v>
      </x:c>
      <x:c r="K242" s="2" t="n">
        <x:v>12</x:v>
      </x:c>
      <x:c r="L242" s="2" t="str">
        <x:v>MF375.pdf 32.004mm furatköz; Ø2.5x12 próbaérték 3.5x16 pan-head csavarhoz</x:v>
      </x:c>
    </x:row>
    <x:row r="243" ht="36" customHeight="1">
      <x:c r="A243" s="2" t="str">
        <x:v>H0647</x:v>
      </x:c>
      <x:c r="B243" s="2" t="str">
        <x:v>KI12-TV03P-01</x:v>
      </x:c>
      <x:c r="C243" s="2" t="str">
        <x:v>MF375_PANEL_CSAVAR</x:v>
      </x:c>
      <x:c r="D243" s="2" t="n">
        <x:v>2200</x:v>
      </x:c>
      <x:c r="E243" s="2" t="n">
        <x:v>76.00199999999995</x:v>
      </x:c>
      <x:c r="F243" s="2" t="n">
        <x:v>0</x:v>
      </x:c>
      <x:c r="G243" s="2" t="n">
        <x:v>0</x:v>
      </x:c>
      <x:c r="H243" s="2" t="n">
        <x:v>0</x:v>
      </x:c>
      <x:c r="I243" s="2" t="n">
        <x:v>-1</x:v>
      </x:c>
      <x:c r="J243" s="2" t="n">
        <x:v>2.5</x:v>
      </x:c>
      <x:c r="K243" s="2" t="n">
        <x:v>12</x:v>
      </x:c>
      <x:c r="L243" s="2" t="str">
        <x:v>MF375.pdf 32.004mm furatköz; Ø2.5x12 próbaérték 3.5x16 pan-head csavarhoz</x:v>
      </x:c>
    </x:row>
    <x:row r="244" ht="36" customHeight="1">
      <x:c r="A244" s="2" t="str">
        <x:v>H0648</x:v>
      </x:c>
      <x:c r="B244" s="2" t="str">
        <x:v>KI12-TV03P-01</x:v>
      </x:c>
      <x:c r="C244" s="2" t="str">
        <x:v>MF375_PANEL_CSAVAR</x:v>
      </x:c>
      <x:c r="D244" s="2" t="n">
        <x:v>2200</x:v>
      </x:c>
      <x:c r="E244" s="2" t="n">
        <x:v>317.49800000000005</x:v>
      </x:c>
      <x:c r="F244" s="2" t="n">
        <x:v>0</x:v>
      </x:c>
      <x:c r="G244" s="2" t="n">
        <x:v>0</x:v>
      </x:c>
      <x:c r="H244" s="2" t="n">
        <x:v>0</x:v>
      </x:c>
      <x:c r="I244" s="2" t="n">
        <x:v>-1</x:v>
      </x:c>
      <x:c r="J244" s="2" t="n">
        <x:v>2.5</x:v>
      </x:c>
      <x:c r="K244" s="2" t="n">
        <x:v>12</x:v>
      </x:c>
      <x:c r="L244" s="2" t="str">
        <x:v>MF375.pdf 32.004mm furatköz; Ø2.5x12 próbaérték 3.5x16 pan-head csavarhoz</x:v>
      </x:c>
    </x:row>
    <x:row r="245" ht="36" customHeight="1">
      <x:c r="A245" s="2" t="str">
        <x:v>H0649</x:v>
      </x:c>
      <x:c r="B245" s="2" t="str">
        <x:v>KI12-TV03P-01</x:v>
      </x:c>
      <x:c r="C245" s="2" t="str">
        <x:v>MF375_PANEL_CSAVAR</x:v>
      </x:c>
      <x:c r="D245" s="2" t="n">
        <x:v>2200</x:v>
      </x:c>
      <x:c r="E245" s="2" t="n">
        <x:v>349.50199999999995</x:v>
      </x:c>
      <x:c r="F245" s="2" t="n">
        <x:v>0</x:v>
      </x:c>
      <x:c r="G245" s="2" t="n">
        <x:v>0</x:v>
      </x:c>
      <x:c r="H245" s="2" t="n">
        <x:v>0</x:v>
      </x:c>
      <x:c r="I245" s="2" t="n">
        <x:v>-1</x:v>
      </x:c>
      <x:c r="J245" s="2" t="n">
        <x:v>2.5</x:v>
      </x:c>
      <x:c r="K245" s="2" t="n">
        <x:v>12</x:v>
      </x:c>
      <x:c r="L245" s="2" t="str">
        <x:v>MF375.pdf 32.004mm furatköz; Ø2.5x12 próbaérték 3.5x16 pan-head csavarhoz</x:v>
      </x:c>
    </x:row>
    <x:row r="246" ht="36" customHeight="1">
      <x:c r="A246" s="2" t="str">
        <x:v>H0650</x:v>
      </x:c>
      <x:c r="B246" s="2" t="str">
        <x:v>KI12-TV03P-01</x:v>
      </x:c>
      <x:c r="C246" s="2" t="str">
        <x:v>MF375_PANEL_CSAVAR</x:v>
      </x:c>
      <x:c r="D246" s="2" t="n">
        <x:v>2200</x:v>
      </x:c>
      <x:c r="E246" s="2" t="n">
        <x:v>590.998</x:v>
      </x:c>
      <x:c r="F246" s="2" t="n">
        <x:v>0</x:v>
      </x:c>
      <x:c r="G246" s="2" t="n">
        <x:v>0</x:v>
      </x:c>
      <x:c r="H246" s="2" t="n">
        <x:v>0</x:v>
      </x:c>
      <x:c r="I246" s="2" t="n">
        <x:v>-1</x:v>
      </x:c>
      <x:c r="J246" s="2" t="n">
        <x:v>2.5</x:v>
      </x:c>
      <x:c r="K246" s="2" t="n">
        <x:v>12</x:v>
      </x:c>
      <x:c r="L246" s="2" t="str">
        <x:v>MF375.pdf 32.004mm furatköz; Ø2.5x12 próbaérték 3.5x16 pan-head csavarhoz</x:v>
      </x:c>
    </x:row>
    <x:row r="247" ht="36" customHeight="1">
      <x:c r="A247" s="2" t="str">
        <x:v>H0651</x:v>
      </x:c>
      <x:c r="B247" s="2" t="str">
        <x:v>KI12-TV03P-01</x:v>
      </x:c>
      <x:c r="C247" s="2" t="str">
        <x:v>MF375_PANEL_CSAVAR</x:v>
      </x:c>
      <x:c r="D247" s="2" t="n">
        <x:v>2200</x:v>
      </x:c>
      <x:c r="E247" s="2" t="n">
        <x:v>623.002</x:v>
      </x:c>
      <x:c r="F247" s="2" t="n">
        <x:v>0</x:v>
      </x:c>
      <x:c r="G247" s="2" t="n">
        <x:v>0</x:v>
      </x:c>
      <x:c r="H247" s="2" t="n">
        <x:v>0</x:v>
      </x:c>
      <x:c r="I247" s="2" t="n">
        <x:v>-1</x:v>
      </x:c>
      <x:c r="J247" s="2" t="n">
        <x:v>2.5</x:v>
      </x:c>
      <x:c r="K247" s="2" t="n">
        <x:v>12</x:v>
      </x:c>
      <x:c r="L247" s="2" t="str">
        <x:v>MF375.pdf 32.004mm furatköz; Ø2.5x12 próbaérték 3.5x16 pan-head csavarhoz</x:v>
      </x:c>
    </x:row>
    <x:row r="248" ht="36" customHeight="1">
      <x:c r="A248" s="2" t="str">
        <x:v>H0652</x:v>
      </x:c>
      <x:c r="B248" s="2" t="str">
        <x:v>KI12-TV03P-02</x:v>
      </x:c>
      <x:c r="C248" s="2" t="str">
        <x:v>MF375_PANEL_CSAVAR</x:v>
      </x:c>
      <x:c r="D248" s="2" t="n">
        <x:v>100</x:v>
      </x:c>
      <x:c r="E248" s="2" t="n">
        <x:v>43.99800000000005</x:v>
      </x:c>
      <x:c r="F248" s="2" t="n">
        <x:v>0</x:v>
      </x:c>
      <x:c r="G248" s="2" t="n">
        <x:v>0</x:v>
      </x:c>
      <x:c r="H248" s="2" t="n">
        <x:v>0</x:v>
      </x:c>
      <x:c r="I248" s="2" t="n">
        <x:v>-1</x:v>
      </x:c>
      <x:c r="J248" s="2" t="n">
        <x:v>2.5</x:v>
      </x:c>
      <x:c r="K248" s="2" t="n">
        <x:v>12</x:v>
      </x:c>
      <x:c r="L248" s="2" t="str">
        <x:v>MF375.pdf 32.004mm furatköz; Ø2.5x12 próbaérték 3.5x16 pan-head csavarhoz</x:v>
      </x:c>
    </x:row>
    <x:row r="249" ht="36" customHeight="1">
      <x:c r="A249" s="2" t="str">
        <x:v>H0653</x:v>
      </x:c>
      <x:c r="B249" s="2" t="str">
        <x:v>KI12-TV03P-02</x:v>
      </x:c>
      <x:c r="C249" s="2" t="str">
        <x:v>MF375_PANEL_CSAVAR</x:v>
      </x:c>
      <x:c r="D249" s="2" t="n">
        <x:v>100</x:v>
      </x:c>
      <x:c r="E249" s="2" t="n">
        <x:v>76.00199999999995</x:v>
      </x:c>
      <x:c r="F249" s="2" t="n">
        <x:v>0</x:v>
      </x:c>
      <x:c r="G249" s="2" t="n">
        <x:v>0</x:v>
      </x:c>
      <x:c r="H249" s="2" t="n">
        <x:v>0</x:v>
      </x:c>
      <x:c r="I249" s="2" t="n">
        <x:v>-1</x:v>
      </x:c>
      <x:c r="J249" s="2" t="n">
        <x:v>2.5</x:v>
      </x:c>
      <x:c r="K249" s="2" t="n">
        <x:v>12</x:v>
      </x:c>
      <x:c r="L249" s="2" t="str">
        <x:v>MF375.pdf 32.004mm furatköz; Ø2.5x12 próbaérték 3.5x16 pan-head csavarhoz</x:v>
      </x:c>
    </x:row>
    <x:row r="250" ht="36" customHeight="1">
      <x:c r="A250" s="2" t="str">
        <x:v>H0654</x:v>
      </x:c>
      <x:c r="B250" s="2" t="str">
        <x:v>KI12-TV03P-02</x:v>
      </x:c>
      <x:c r="C250" s="2" t="str">
        <x:v>MF375_PANEL_CSAVAR</x:v>
      </x:c>
      <x:c r="D250" s="2" t="n">
        <x:v>100</x:v>
      </x:c>
      <x:c r="E250" s="2" t="n">
        <x:v>317.49800000000005</x:v>
      </x:c>
      <x:c r="F250" s="2" t="n">
        <x:v>0</x:v>
      </x:c>
      <x:c r="G250" s="2" t="n">
        <x:v>0</x:v>
      </x:c>
      <x:c r="H250" s="2" t="n">
        <x:v>0</x:v>
      </x:c>
      <x:c r="I250" s="2" t="n">
        <x:v>-1</x:v>
      </x:c>
      <x:c r="J250" s="2" t="n">
        <x:v>2.5</x:v>
      </x:c>
      <x:c r="K250" s="2" t="n">
        <x:v>12</x:v>
      </x:c>
      <x:c r="L250" s="2" t="str">
        <x:v>MF375.pdf 32.004mm furatköz; Ø2.5x12 próbaérték 3.5x16 pan-head csavarhoz</x:v>
      </x:c>
    </x:row>
    <x:row r="251" ht="36" customHeight="1">
      <x:c r="A251" s="2" t="str">
        <x:v>H0655</x:v>
      </x:c>
      <x:c r="B251" s="2" t="str">
        <x:v>KI12-TV03P-02</x:v>
      </x:c>
      <x:c r="C251" s="2" t="str">
        <x:v>MF375_PANEL_CSAVAR</x:v>
      </x:c>
      <x:c r="D251" s="2" t="n">
        <x:v>100</x:v>
      </x:c>
      <x:c r="E251" s="2" t="n">
        <x:v>349.50199999999995</x:v>
      </x:c>
      <x:c r="F251" s="2" t="n">
        <x:v>0</x:v>
      </x:c>
      <x:c r="G251" s="2" t="n">
        <x:v>0</x:v>
      </x:c>
      <x:c r="H251" s="2" t="n">
        <x:v>0</x:v>
      </x:c>
      <x:c r="I251" s="2" t="n">
        <x:v>-1</x:v>
      </x:c>
      <x:c r="J251" s="2" t="n">
        <x:v>2.5</x:v>
      </x:c>
      <x:c r="K251" s="2" t="n">
        <x:v>12</x:v>
      </x:c>
      <x:c r="L251" s="2" t="str">
        <x:v>MF375.pdf 32.004mm furatköz; Ø2.5x12 próbaérték 3.5x16 pan-head csavarhoz</x:v>
      </x:c>
    </x:row>
    <x:row r="252" ht="36" customHeight="1">
      <x:c r="A252" s="2" t="str">
        <x:v>H0656</x:v>
      </x:c>
      <x:c r="B252" s="2" t="str">
        <x:v>KI12-TV03P-02</x:v>
      </x:c>
      <x:c r="C252" s="2" t="str">
        <x:v>MF375_PANEL_CSAVAR</x:v>
      </x:c>
      <x:c r="D252" s="2" t="n">
        <x:v>100</x:v>
      </x:c>
      <x:c r="E252" s="2" t="n">
        <x:v>590.998</x:v>
      </x:c>
      <x:c r="F252" s="2" t="n">
        <x:v>0</x:v>
      </x:c>
      <x:c r="G252" s="2" t="n">
        <x:v>0</x:v>
      </x:c>
      <x:c r="H252" s="2" t="n">
        <x:v>0</x:v>
      </x:c>
      <x:c r="I252" s="2" t="n">
        <x:v>-1</x:v>
      </x:c>
      <x:c r="J252" s="2" t="n">
        <x:v>2.5</x:v>
      </x:c>
      <x:c r="K252" s="2" t="n">
        <x:v>12</x:v>
      </x:c>
      <x:c r="L252" s="2" t="str">
        <x:v>MF375.pdf 32.004mm furatköz; Ø2.5x12 próbaérték 3.5x16 pan-head csavarhoz</x:v>
      </x:c>
    </x:row>
    <x:row r="253" ht="36" customHeight="1">
      <x:c r="A253" s="2" t="str">
        <x:v>H0657</x:v>
      </x:c>
      <x:c r="B253" s="2" t="str">
        <x:v>KI12-TV03P-02</x:v>
      </x:c>
      <x:c r="C253" s="2" t="str">
        <x:v>MF375_PANEL_CSAVAR</x:v>
      </x:c>
      <x:c r="D253" s="2" t="n">
        <x:v>100</x:v>
      </x:c>
      <x:c r="E253" s="2" t="n">
        <x:v>623.002</x:v>
      </x:c>
      <x:c r="F253" s="2" t="n">
        <x:v>0</x:v>
      </x:c>
      <x:c r="G253" s="2" t="n">
        <x:v>0</x:v>
      </x:c>
      <x:c r="H253" s="2" t="n">
        <x:v>0</x:v>
      </x:c>
      <x:c r="I253" s="2" t="n">
        <x:v>-1</x:v>
      </x:c>
      <x:c r="J253" s="2" t="n">
        <x:v>2.5</x:v>
      </x:c>
      <x:c r="K253" s="2" t="n">
        <x:v>12</x:v>
      </x:c>
      <x:c r="L253" s="2" t="str">
        <x:v>MF375.pdf 32.004mm furatköz; Ø2.5x12 próbaérték 3.5x16 pan-head csavarhoz</x:v>
      </x:c>
    </x:row>
    <x:row r="254" ht="36" customHeight="1">
      <x:c r="A254" s="2" t="str">
        <x:v>H0658</x:v>
      </x:c>
      <x:c r="B254" s="2" t="str">
        <x:v>KI12-TV03P-02</x:v>
      </x:c>
      <x:c r="C254" s="2" t="str">
        <x:v>MF375_PANEL_CSAVAR</x:v>
      </x:c>
      <x:c r="D254" s="2" t="n">
        <x:v>800</x:v>
      </x:c>
      <x:c r="E254" s="2" t="n">
        <x:v>43.99800000000005</x:v>
      </x:c>
      <x:c r="F254" s="2" t="n">
        <x:v>0</x:v>
      </x:c>
      <x:c r="G254" s="2" t="n">
        <x:v>0</x:v>
      </x:c>
      <x:c r="H254" s="2" t="n">
        <x:v>0</x:v>
      </x:c>
      <x:c r="I254" s="2" t="n">
        <x:v>-1</x:v>
      </x:c>
      <x:c r="J254" s="2" t="n">
        <x:v>2.5</x:v>
      </x:c>
      <x:c r="K254" s="2" t="n">
        <x:v>12</x:v>
      </x:c>
      <x:c r="L254" s="2" t="str">
        <x:v>MF375.pdf 32.004mm furatköz; Ø2.5x12 próbaérték 3.5x16 pan-head csavarhoz</x:v>
      </x:c>
    </x:row>
    <x:row r="255" ht="36" customHeight="1">
      <x:c r="A255" s="2" t="str">
        <x:v>H0659</x:v>
      </x:c>
      <x:c r="B255" s="2" t="str">
        <x:v>KI12-TV03P-02</x:v>
      </x:c>
      <x:c r="C255" s="2" t="str">
        <x:v>MF375_PANEL_CSAVAR</x:v>
      </x:c>
      <x:c r="D255" s="2" t="n">
        <x:v>800</x:v>
      </x:c>
      <x:c r="E255" s="2" t="n">
        <x:v>76.00199999999995</x:v>
      </x:c>
      <x:c r="F255" s="2" t="n">
        <x:v>0</x:v>
      </x:c>
      <x:c r="G255" s="2" t="n">
        <x:v>0</x:v>
      </x:c>
      <x:c r="H255" s="2" t="n">
        <x:v>0</x:v>
      </x:c>
      <x:c r="I255" s="2" t="n">
        <x:v>-1</x:v>
      </x:c>
      <x:c r="J255" s="2" t="n">
        <x:v>2.5</x:v>
      </x:c>
      <x:c r="K255" s="2" t="n">
        <x:v>12</x:v>
      </x:c>
      <x:c r="L255" s="2" t="str">
        <x:v>MF375.pdf 32.004mm furatköz; Ø2.5x12 próbaérték 3.5x16 pan-head csavarhoz</x:v>
      </x:c>
    </x:row>
    <x:row r="256" ht="36" customHeight="1">
      <x:c r="A256" s="2" t="str">
        <x:v>H0660</x:v>
      </x:c>
      <x:c r="B256" s="2" t="str">
        <x:v>KI12-TV03P-02</x:v>
      </x:c>
      <x:c r="C256" s="2" t="str">
        <x:v>MF375_PANEL_CSAVAR</x:v>
      </x:c>
      <x:c r="D256" s="2" t="n">
        <x:v>800</x:v>
      </x:c>
      <x:c r="E256" s="2" t="n">
        <x:v>317.49800000000005</x:v>
      </x:c>
      <x:c r="F256" s="2" t="n">
        <x:v>0</x:v>
      </x:c>
      <x:c r="G256" s="2" t="n">
        <x:v>0</x:v>
      </x:c>
      <x:c r="H256" s="2" t="n">
        <x:v>0</x:v>
      </x:c>
      <x:c r="I256" s="2" t="n">
        <x:v>-1</x:v>
      </x:c>
      <x:c r="J256" s="2" t="n">
        <x:v>2.5</x:v>
      </x:c>
      <x:c r="K256" s="2" t="n">
        <x:v>12</x:v>
      </x:c>
      <x:c r="L256" s="2" t="str">
        <x:v>MF375.pdf 32.004mm furatköz; Ø2.5x12 próbaérték 3.5x16 pan-head csavarhoz</x:v>
      </x:c>
    </x:row>
    <x:row r="257" ht="36" customHeight="1">
      <x:c r="A257" s="2" t="str">
        <x:v>H0661</x:v>
      </x:c>
      <x:c r="B257" s="2" t="str">
        <x:v>KI12-TV03P-02</x:v>
      </x:c>
      <x:c r="C257" s="2" t="str">
        <x:v>MF375_PANEL_CSAVAR</x:v>
      </x:c>
      <x:c r="D257" s="2" t="n">
        <x:v>800</x:v>
      </x:c>
      <x:c r="E257" s="2" t="n">
        <x:v>349.50199999999995</x:v>
      </x:c>
      <x:c r="F257" s="2" t="n">
        <x:v>0</x:v>
      </x:c>
      <x:c r="G257" s="2" t="n">
        <x:v>0</x:v>
      </x:c>
      <x:c r="H257" s="2" t="n">
        <x:v>0</x:v>
      </x:c>
      <x:c r="I257" s="2" t="n">
        <x:v>-1</x:v>
      </x:c>
      <x:c r="J257" s="2" t="n">
        <x:v>2.5</x:v>
      </x:c>
      <x:c r="K257" s="2" t="n">
        <x:v>12</x:v>
      </x:c>
      <x:c r="L257" s="2" t="str">
        <x:v>MF375.pdf 32.004mm furatköz; Ø2.5x12 próbaérték 3.5x16 pan-head csavarhoz</x:v>
      </x:c>
    </x:row>
    <x:row r="258" ht="36" customHeight="1">
      <x:c r="A258" s="2" t="str">
        <x:v>H0662</x:v>
      </x:c>
      <x:c r="B258" s="2" t="str">
        <x:v>KI12-TV03P-02</x:v>
      </x:c>
      <x:c r="C258" s="2" t="str">
        <x:v>MF375_PANEL_CSAVAR</x:v>
      </x:c>
      <x:c r="D258" s="2" t="n">
        <x:v>800</x:v>
      </x:c>
      <x:c r="E258" s="2" t="n">
        <x:v>590.998</x:v>
      </x:c>
      <x:c r="F258" s="2" t="n">
        <x:v>0</x:v>
      </x:c>
      <x:c r="G258" s="2" t="n">
        <x:v>0</x:v>
      </x:c>
      <x:c r="H258" s="2" t="n">
        <x:v>0</x:v>
      </x:c>
      <x:c r="I258" s="2" t="n">
        <x:v>-1</x:v>
      </x:c>
      <x:c r="J258" s="2" t="n">
        <x:v>2.5</x:v>
      </x:c>
      <x:c r="K258" s="2" t="n">
        <x:v>12</x:v>
      </x:c>
      <x:c r="L258" s="2" t="str">
        <x:v>MF375.pdf 32.004mm furatköz; Ø2.5x12 próbaérték 3.5x16 pan-head csavarhoz</x:v>
      </x:c>
    </x:row>
    <x:row r="259" ht="36" customHeight="1">
      <x:c r="A259" s="2" t="str">
        <x:v>H0663</x:v>
      </x:c>
      <x:c r="B259" s="2" t="str">
        <x:v>KI12-TV03P-02</x:v>
      </x:c>
      <x:c r="C259" s="2" t="str">
        <x:v>MF375_PANEL_CSAVAR</x:v>
      </x:c>
      <x:c r="D259" s="2" t="n">
        <x:v>800</x:v>
      </x:c>
      <x:c r="E259" s="2" t="n">
        <x:v>623.002</x:v>
      </x:c>
      <x:c r="F259" s="2" t="n">
        <x:v>0</x:v>
      </x:c>
      <x:c r="G259" s="2" t="n">
        <x:v>0</x:v>
      </x:c>
      <x:c r="H259" s="2" t="n">
        <x:v>0</x:v>
      </x:c>
      <x:c r="I259" s="2" t="n">
        <x:v>-1</x:v>
      </x:c>
      <x:c r="J259" s="2" t="n">
        <x:v>2.5</x:v>
      </x:c>
      <x:c r="K259" s="2" t="n">
        <x:v>12</x:v>
      </x:c>
      <x:c r="L259" s="2" t="str">
        <x:v>MF375.pdf 32.004mm furatköz; Ø2.5x12 próbaérték 3.5x16 pan-head csavarhoz</x:v>
      </x:c>
    </x:row>
    <x:row r="260" ht="36" customHeight="1">
      <x:c r="A260" s="2" t="str">
        <x:v>H0664</x:v>
      </x:c>
      <x:c r="B260" s="2" t="str">
        <x:v>KI12-TV03P-02</x:v>
      </x:c>
      <x:c r="C260" s="2" t="str">
        <x:v>MF375_PANEL_CSAVAR</x:v>
      </x:c>
      <x:c r="D260" s="2" t="n">
        <x:v>1500</x:v>
      </x:c>
      <x:c r="E260" s="2" t="n">
        <x:v>43.99800000000005</x:v>
      </x:c>
      <x:c r="F260" s="2" t="n">
        <x:v>0</x:v>
      </x:c>
      <x:c r="G260" s="2" t="n">
        <x:v>0</x:v>
      </x:c>
      <x:c r="H260" s="2" t="n">
        <x:v>0</x:v>
      </x:c>
      <x:c r="I260" s="2" t="n">
        <x:v>-1</x:v>
      </x:c>
      <x:c r="J260" s="2" t="n">
        <x:v>2.5</x:v>
      </x:c>
      <x:c r="K260" s="2" t="n">
        <x:v>12</x:v>
      </x:c>
      <x:c r="L260" s="2" t="str">
        <x:v>MF375.pdf 32.004mm furatköz; Ø2.5x12 próbaérték 3.5x16 pan-head csavarhoz</x:v>
      </x:c>
    </x:row>
    <x:row r="261" ht="36" customHeight="1">
      <x:c r="A261" s="2" t="str">
        <x:v>H0665</x:v>
      </x:c>
      <x:c r="B261" s="2" t="str">
        <x:v>KI12-TV03P-02</x:v>
      </x:c>
      <x:c r="C261" s="2" t="str">
        <x:v>MF375_PANEL_CSAVAR</x:v>
      </x:c>
      <x:c r="D261" s="2" t="n">
        <x:v>1500</x:v>
      </x:c>
      <x:c r="E261" s="2" t="n">
        <x:v>76.00199999999995</x:v>
      </x:c>
      <x:c r="F261" s="2" t="n">
        <x:v>0</x:v>
      </x:c>
      <x:c r="G261" s="2" t="n">
        <x:v>0</x:v>
      </x:c>
      <x:c r="H261" s="2" t="n">
        <x:v>0</x:v>
      </x:c>
      <x:c r="I261" s="2" t="n">
        <x:v>-1</x:v>
      </x:c>
      <x:c r="J261" s="2" t="n">
        <x:v>2.5</x:v>
      </x:c>
      <x:c r="K261" s="2" t="n">
        <x:v>12</x:v>
      </x:c>
      <x:c r="L261" s="2" t="str">
        <x:v>MF375.pdf 32.004mm furatköz; Ø2.5x12 próbaérték 3.5x16 pan-head csavarhoz</x:v>
      </x:c>
    </x:row>
    <x:row r="262" ht="36" customHeight="1">
      <x:c r="A262" s="2" t="str">
        <x:v>H0666</x:v>
      </x:c>
      <x:c r="B262" s="2" t="str">
        <x:v>KI12-TV03P-02</x:v>
      </x:c>
      <x:c r="C262" s="2" t="str">
        <x:v>MF375_PANEL_CSAVAR</x:v>
      </x:c>
      <x:c r="D262" s="2" t="n">
        <x:v>1500</x:v>
      </x:c>
      <x:c r="E262" s="2" t="n">
        <x:v>317.49800000000005</x:v>
      </x:c>
      <x:c r="F262" s="2" t="n">
        <x:v>0</x:v>
      </x:c>
      <x:c r="G262" s="2" t="n">
        <x:v>0</x:v>
      </x:c>
      <x:c r="H262" s="2" t="n">
        <x:v>0</x:v>
      </x:c>
      <x:c r="I262" s="2" t="n">
        <x:v>-1</x:v>
      </x:c>
      <x:c r="J262" s="2" t="n">
        <x:v>2.5</x:v>
      </x:c>
      <x:c r="K262" s="2" t="n">
        <x:v>12</x:v>
      </x:c>
      <x:c r="L262" s="2" t="str">
        <x:v>MF375.pdf 32.004mm furatköz; Ø2.5x12 próbaérték 3.5x16 pan-head csavarhoz</x:v>
      </x:c>
    </x:row>
    <x:row r="263" ht="36" customHeight="1">
      <x:c r="A263" s="2" t="str">
        <x:v>H0667</x:v>
      </x:c>
      <x:c r="B263" s="2" t="str">
        <x:v>KI12-TV03P-02</x:v>
      </x:c>
      <x:c r="C263" s="2" t="str">
        <x:v>MF375_PANEL_CSAVAR</x:v>
      </x:c>
      <x:c r="D263" s="2" t="n">
        <x:v>1500</x:v>
      </x:c>
      <x:c r="E263" s="2" t="n">
        <x:v>349.50199999999995</x:v>
      </x:c>
      <x:c r="F263" s="2" t="n">
        <x:v>0</x:v>
      </x:c>
      <x:c r="G263" s="2" t="n">
        <x:v>0</x:v>
      </x:c>
      <x:c r="H263" s="2" t="n">
        <x:v>0</x:v>
      </x:c>
      <x:c r="I263" s="2" t="n">
        <x:v>-1</x:v>
      </x:c>
      <x:c r="J263" s="2" t="n">
        <x:v>2.5</x:v>
      </x:c>
      <x:c r="K263" s="2" t="n">
        <x:v>12</x:v>
      </x:c>
      <x:c r="L263" s="2" t="str">
        <x:v>MF375.pdf 32.004mm furatköz; Ø2.5x12 próbaérték 3.5x16 pan-head csavarhoz</x:v>
      </x:c>
    </x:row>
    <x:row r="264" ht="36" customHeight="1">
      <x:c r="A264" s="2" t="str">
        <x:v>H0668</x:v>
      </x:c>
      <x:c r="B264" s="2" t="str">
        <x:v>KI12-TV03P-02</x:v>
      </x:c>
      <x:c r="C264" s="2" t="str">
        <x:v>MF375_PANEL_CSAVAR</x:v>
      </x:c>
      <x:c r="D264" s="2" t="n">
        <x:v>1500</x:v>
      </x:c>
      <x:c r="E264" s="2" t="n">
        <x:v>590.998</x:v>
      </x:c>
      <x:c r="F264" s="2" t="n">
        <x:v>0</x:v>
      </x:c>
      <x:c r="G264" s="2" t="n">
        <x:v>0</x:v>
      </x:c>
      <x:c r="H264" s="2" t="n">
        <x:v>0</x:v>
      </x:c>
      <x:c r="I264" s="2" t="n">
        <x:v>-1</x:v>
      </x:c>
      <x:c r="J264" s="2" t="n">
        <x:v>2.5</x:v>
      </x:c>
      <x:c r="K264" s="2" t="n">
        <x:v>12</x:v>
      </x:c>
      <x:c r="L264" s="2" t="str">
        <x:v>MF375.pdf 32.004mm furatköz; Ø2.5x12 próbaérték 3.5x16 pan-head csavarhoz</x:v>
      </x:c>
    </x:row>
    <x:row r="265" ht="36" customHeight="1">
      <x:c r="A265" s="2" t="str">
        <x:v>H0669</x:v>
      </x:c>
      <x:c r="B265" s="2" t="str">
        <x:v>KI12-TV03P-02</x:v>
      </x:c>
      <x:c r="C265" s="2" t="str">
        <x:v>MF375_PANEL_CSAVAR</x:v>
      </x:c>
      <x:c r="D265" s="2" t="n">
        <x:v>1500</x:v>
      </x:c>
      <x:c r="E265" s="2" t="n">
        <x:v>623.002</x:v>
      </x:c>
      <x:c r="F265" s="2" t="n">
        <x:v>0</x:v>
      </x:c>
      <x:c r="G265" s="2" t="n">
        <x:v>0</x:v>
      </x:c>
      <x:c r="H265" s="2" t="n">
        <x:v>0</x:v>
      </x:c>
      <x:c r="I265" s="2" t="n">
        <x:v>-1</x:v>
      </x:c>
      <x:c r="J265" s="2" t="n">
        <x:v>2.5</x:v>
      </x:c>
      <x:c r="K265" s="2" t="n">
        <x:v>12</x:v>
      </x:c>
      <x:c r="L265" s="2" t="str">
        <x:v>MF375.pdf 32.004mm furatköz; Ø2.5x12 próbaérték 3.5x16 pan-head csavarhoz</x:v>
      </x:c>
    </x:row>
    <x:row r="266" ht="36" customHeight="1">
      <x:c r="A266" s="2" t="str">
        <x:v>H0670</x:v>
      </x:c>
      <x:c r="B266" s="2" t="str">
        <x:v>KI12-TV03P-02</x:v>
      </x:c>
      <x:c r="C266" s="2" t="str">
        <x:v>MF375_PANEL_CSAVAR</x:v>
      </x:c>
      <x:c r="D266" s="2" t="n">
        <x:v>2200</x:v>
      </x:c>
      <x:c r="E266" s="2" t="n">
        <x:v>43.99800000000005</x:v>
      </x:c>
      <x:c r="F266" s="2" t="n">
        <x:v>0</x:v>
      </x:c>
      <x:c r="G266" s="2" t="n">
        <x:v>0</x:v>
      </x:c>
      <x:c r="H266" s="2" t="n">
        <x:v>0</x:v>
      </x:c>
      <x:c r="I266" s="2" t="n">
        <x:v>-1</x:v>
      </x:c>
      <x:c r="J266" s="2" t="n">
        <x:v>2.5</x:v>
      </x:c>
      <x:c r="K266" s="2" t="n">
        <x:v>12</x:v>
      </x:c>
      <x:c r="L266" s="2" t="str">
        <x:v>MF375.pdf 32.004mm furatköz; Ø2.5x12 próbaérték 3.5x16 pan-head csavarhoz</x:v>
      </x:c>
    </x:row>
    <x:row r="267" ht="36" customHeight="1">
      <x:c r="A267" s="2" t="str">
        <x:v>H0671</x:v>
      </x:c>
      <x:c r="B267" s="2" t="str">
        <x:v>KI12-TV03P-02</x:v>
      </x:c>
      <x:c r="C267" s="2" t="str">
        <x:v>MF375_PANEL_CSAVAR</x:v>
      </x:c>
      <x:c r="D267" s="2" t="n">
        <x:v>2200</x:v>
      </x:c>
      <x:c r="E267" s="2" t="n">
        <x:v>76.00199999999995</x:v>
      </x:c>
      <x:c r="F267" s="2" t="n">
        <x:v>0</x:v>
      </x:c>
      <x:c r="G267" s="2" t="n">
        <x:v>0</x:v>
      </x:c>
      <x:c r="H267" s="2" t="n">
        <x:v>0</x:v>
      </x:c>
      <x:c r="I267" s="2" t="n">
        <x:v>-1</x:v>
      </x:c>
      <x:c r="J267" s="2" t="n">
        <x:v>2.5</x:v>
      </x:c>
      <x:c r="K267" s="2" t="n">
        <x:v>12</x:v>
      </x:c>
      <x:c r="L267" s="2" t="str">
        <x:v>MF375.pdf 32.004mm furatköz; Ø2.5x12 próbaérték 3.5x16 pan-head csavarhoz</x:v>
      </x:c>
    </x:row>
    <x:row r="268" ht="36" customHeight="1">
      <x:c r="A268" s="2" t="str">
        <x:v>H0672</x:v>
      </x:c>
      <x:c r="B268" s="2" t="str">
        <x:v>KI12-TV03P-02</x:v>
      </x:c>
      <x:c r="C268" s="2" t="str">
        <x:v>MF375_PANEL_CSAVAR</x:v>
      </x:c>
      <x:c r="D268" s="2" t="n">
        <x:v>2200</x:v>
      </x:c>
      <x:c r="E268" s="2" t="n">
        <x:v>317.49800000000005</x:v>
      </x:c>
      <x:c r="F268" s="2" t="n">
        <x:v>0</x:v>
      </x:c>
      <x:c r="G268" s="2" t="n">
        <x:v>0</x:v>
      </x:c>
      <x:c r="H268" s="2" t="n">
        <x:v>0</x:v>
      </x:c>
      <x:c r="I268" s="2" t="n">
        <x:v>-1</x:v>
      </x:c>
      <x:c r="J268" s="2" t="n">
        <x:v>2.5</x:v>
      </x:c>
      <x:c r="K268" s="2" t="n">
        <x:v>12</x:v>
      </x:c>
      <x:c r="L268" s="2" t="str">
        <x:v>MF375.pdf 32.004mm furatköz; Ø2.5x12 próbaérték 3.5x16 pan-head csavarhoz</x:v>
      </x:c>
    </x:row>
    <x:row r="269" ht="36" customHeight="1">
      <x:c r="A269" s="2" t="str">
        <x:v>H0673</x:v>
      </x:c>
      <x:c r="B269" s="2" t="str">
        <x:v>KI12-TV03P-02</x:v>
      </x:c>
      <x:c r="C269" s="2" t="str">
        <x:v>MF375_PANEL_CSAVAR</x:v>
      </x:c>
      <x:c r="D269" s="2" t="n">
        <x:v>2200</x:v>
      </x:c>
      <x:c r="E269" s="2" t="n">
        <x:v>349.50199999999995</x:v>
      </x:c>
      <x:c r="F269" s="2" t="n">
        <x:v>0</x:v>
      </x:c>
      <x:c r="G269" s="2" t="n">
        <x:v>0</x:v>
      </x:c>
      <x:c r="H269" s="2" t="n">
        <x:v>0</x:v>
      </x:c>
      <x:c r="I269" s="2" t="n">
        <x:v>-1</x:v>
      </x:c>
      <x:c r="J269" s="2" t="n">
        <x:v>2.5</x:v>
      </x:c>
      <x:c r="K269" s="2" t="n">
        <x:v>12</x:v>
      </x:c>
      <x:c r="L269" s="2" t="str">
        <x:v>MF375.pdf 32.004mm furatköz; Ø2.5x12 próbaérték 3.5x16 pan-head csavarhoz</x:v>
      </x:c>
    </x:row>
    <x:row r="270" ht="36" customHeight="1">
      <x:c r="A270" s="2" t="str">
        <x:v>H0674</x:v>
      </x:c>
      <x:c r="B270" s="2" t="str">
        <x:v>KI12-TV03P-02</x:v>
      </x:c>
      <x:c r="C270" s="2" t="str">
        <x:v>MF375_PANEL_CSAVAR</x:v>
      </x:c>
      <x:c r="D270" s="2" t="n">
        <x:v>2200</x:v>
      </x:c>
      <x:c r="E270" s="2" t="n">
        <x:v>590.998</x:v>
      </x:c>
      <x:c r="F270" s="2" t="n">
        <x:v>0</x:v>
      </x:c>
      <x:c r="G270" s="2" t="n">
        <x:v>0</x:v>
      </x:c>
      <x:c r="H270" s="2" t="n">
        <x:v>0</x:v>
      </x:c>
      <x:c r="I270" s="2" t="n">
        <x:v>-1</x:v>
      </x:c>
      <x:c r="J270" s="2" t="n">
        <x:v>2.5</x:v>
      </x:c>
      <x:c r="K270" s="2" t="n">
        <x:v>12</x:v>
      </x:c>
      <x:c r="L270" s="2" t="str">
        <x:v>MF375.pdf 32.004mm furatköz; Ø2.5x12 próbaérték 3.5x16 pan-head csavarhoz</x:v>
      </x:c>
    </x:row>
    <x:row r="271" ht="36" customHeight="1">
      <x:c r="A271" s="2" t="str">
        <x:v>H0675</x:v>
      </x:c>
      <x:c r="B271" s="2" t="str">
        <x:v>KI12-TV03P-02</x:v>
      </x:c>
      <x:c r="C271" s="2" t="str">
        <x:v>MF375_PANEL_CSAVAR</x:v>
      </x:c>
      <x:c r="D271" s="2" t="n">
        <x:v>2200</x:v>
      </x:c>
      <x:c r="E271" s="2" t="n">
        <x:v>623.002</x:v>
      </x:c>
      <x:c r="F271" s="2" t="n">
        <x:v>0</x:v>
      </x:c>
      <x:c r="G271" s="2" t="n">
        <x:v>0</x:v>
      </x:c>
      <x:c r="H271" s="2" t="n">
        <x:v>0</x:v>
      </x:c>
      <x:c r="I271" s="2" t="n">
        <x:v>-1</x:v>
      </x:c>
      <x:c r="J271" s="2" t="n">
        <x:v>2.5</x:v>
      </x:c>
      <x:c r="K271" s="2" t="n">
        <x:v>12</x:v>
      </x:c>
      <x:c r="L271" s="2" t="str">
        <x:v>MF375.pdf 32.004mm furatköz; Ø2.5x12 próbaérték 3.5x16 pan-head csavarhoz</x:v>
      </x:c>
    </x:row>
    <x:row r="272" ht="36" customHeight="1">
      <x:c r="A272" s="2" t="str">
        <x:v>H0676</x:v>
      </x:c>
      <x:c r="B272" s="2" t="str">
        <x:v>KI12-TV03P-03</x:v>
      </x:c>
      <x:c r="C272" s="2" t="str">
        <x:v>MF375_PANEL_CSAVAR</x:v>
      </x:c>
      <x:c r="D272" s="2" t="n">
        <x:v>100</x:v>
      </x:c>
      <x:c r="E272" s="2" t="n">
        <x:v>43.99800000000005</x:v>
      </x:c>
      <x:c r="F272" s="2" t="n">
        <x:v>0</x:v>
      </x:c>
      <x:c r="G272" s="2" t="n">
        <x:v>0</x:v>
      </x:c>
      <x:c r="H272" s="2" t="n">
        <x:v>0</x:v>
      </x:c>
      <x:c r="I272" s="2" t="n">
        <x:v>-1</x:v>
      </x:c>
      <x:c r="J272" s="2" t="n">
        <x:v>2.5</x:v>
      </x:c>
      <x:c r="K272" s="2" t="n">
        <x:v>12</x:v>
      </x:c>
      <x:c r="L272" s="2" t="str">
        <x:v>MF375.pdf 32.004mm furatköz; Ø2.5x12 próbaérték 3.5x16 pan-head csavarhoz</x:v>
      </x:c>
    </x:row>
    <x:row r="273" ht="36" customHeight="1">
      <x:c r="A273" s="2" t="str">
        <x:v>H0677</x:v>
      </x:c>
      <x:c r="B273" s="2" t="str">
        <x:v>KI12-TV03P-03</x:v>
      </x:c>
      <x:c r="C273" s="2" t="str">
        <x:v>MF375_PANEL_CSAVAR</x:v>
      </x:c>
      <x:c r="D273" s="2" t="n">
        <x:v>100</x:v>
      </x:c>
      <x:c r="E273" s="2" t="n">
        <x:v>76.00199999999995</x:v>
      </x:c>
      <x:c r="F273" s="2" t="n">
        <x:v>0</x:v>
      </x:c>
      <x:c r="G273" s="2" t="n">
        <x:v>0</x:v>
      </x:c>
      <x:c r="H273" s="2" t="n">
        <x:v>0</x:v>
      </x:c>
      <x:c r="I273" s="2" t="n">
        <x:v>-1</x:v>
      </x:c>
      <x:c r="J273" s="2" t="n">
        <x:v>2.5</x:v>
      </x:c>
      <x:c r="K273" s="2" t="n">
        <x:v>12</x:v>
      </x:c>
      <x:c r="L273" s="2" t="str">
        <x:v>MF375.pdf 32.004mm furatköz; Ø2.5x12 próbaérték 3.5x16 pan-head csavarhoz</x:v>
      </x:c>
    </x:row>
    <x:row r="274" ht="36" customHeight="1">
      <x:c r="A274" s="2" t="str">
        <x:v>H0678</x:v>
      </x:c>
      <x:c r="B274" s="2" t="str">
        <x:v>KI12-TV03P-03</x:v>
      </x:c>
      <x:c r="C274" s="2" t="str">
        <x:v>MF375_PANEL_CSAVAR</x:v>
      </x:c>
      <x:c r="D274" s="2" t="n">
        <x:v>100</x:v>
      </x:c>
      <x:c r="E274" s="2" t="n">
        <x:v>317.49800000000005</x:v>
      </x:c>
      <x:c r="F274" s="2" t="n">
        <x:v>0</x:v>
      </x:c>
      <x:c r="G274" s="2" t="n">
        <x:v>0</x:v>
      </x:c>
      <x:c r="H274" s="2" t="n">
        <x:v>0</x:v>
      </x:c>
      <x:c r="I274" s="2" t="n">
        <x:v>-1</x:v>
      </x:c>
      <x:c r="J274" s="2" t="n">
        <x:v>2.5</x:v>
      </x:c>
      <x:c r="K274" s="2" t="n">
        <x:v>12</x:v>
      </x:c>
      <x:c r="L274" s="2" t="str">
        <x:v>MF375.pdf 32.004mm furatköz; Ø2.5x12 próbaérték 3.5x16 pan-head csavarhoz</x:v>
      </x:c>
    </x:row>
    <x:row r="275" ht="36" customHeight="1">
      <x:c r="A275" s="2" t="str">
        <x:v>H0679</x:v>
      </x:c>
      <x:c r="B275" s="2" t="str">
        <x:v>KI12-TV03P-03</x:v>
      </x:c>
      <x:c r="C275" s="2" t="str">
        <x:v>MF375_PANEL_CSAVAR</x:v>
      </x:c>
      <x:c r="D275" s="2" t="n">
        <x:v>100</x:v>
      </x:c>
      <x:c r="E275" s="2" t="n">
        <x:v>349.50199999999995</x:v>
      </x:c>
      <x:c r="F275" s="2" t="n">
        <x:v>0</x:v>
      </x:c>
      <x:c r="G275" s="2" t="n">
        <x:v>0</x:v>
      </x:c>
      <x:c r="H275" s="2" t="n">
        <x:v>0</x:v>
      </x:c>
      <x:c r="I275" s="2" t="n">
        <x:v>-1</x:v>
      </x:c>
      <x:c r="J275" s="2" t="n">
        <x:v>2.5</x:v>
      </x:c>
      <x:c r="K275" s="2" t="n">
        <x:v>12</x:v>
      </x:c>
      <x:c r="L275" s="2" t="str">
        <x:v>MF375.pdf 32.004mm furatköz; Ø2.5x12 próbaérték 3.5x16 pan-head csavarhoz</x:v>
      </x:c>
    </x:row>
    <x:row r="276" ht="36" customHeight="1">
      <x:c r="A276" s="2" t="str">
        <x:v>H0680</x:v>
      </x:c>
      <x:c r="B276" s="2" t="str">
        <x:v>KI12-TV03P-03</x:v>
      </x:c>
      <x:c r="C276" s="2" t="str">
        <x:v>MF375_PANEL_CSAVAR</x:v>
      </x:c>
      <x:c r="D276" s="2" t="n">
        <x:v>100</x:v>
      </x:c>
      <x:c r="E276" s="2" t="n">
        <x:v>590.998</x:v>
      </x:c>
      <x:c r="F276" s="2" t="n">
        <x:v>0</x:v>
      </x:c>
      <x:c r="G276" s="2" t="n">
        <x:v>0</x:v>
      </x:c>
      <x:c r="H276" s="2" t="n">
        <x:v>0</x:v>
      </x:c>
      <x:c r="I276" s="2" t="n">
        <x:v>-1</x:v>
      </x:c>
      <x:c r="J276" s="2" t="n">
        <x:v>2.5</x:v>
      </x:c>
      <x:c r="K276" s="2" t="n">
        <x:v>12</x:v>
      </x:c>
      <x:c r="L276" s="2" t="str">
        <x:v>MF375.pdf 32.004mm furatköz; Ø2.5x12 próbaérték 3.5x16 pan-head csavarhoz</x:v>
      </x:c>
    </x:row>
    <x:row r="277" ht="36" customHeight="1">
      <x:c r="A277" s="2" t="str">
        <x:v>H0681</x:v>
      </x:c>
      <x:c r="B277" s="2" t="str">
        <x:v>KI12-TV03P-03</x:v>
      </x:c>
      <x:c r="C277" s="2" t="str">
        <x:v>MF375_PANEL_CSAVAR</x:v>
      </x:c>
      <x:c r="D277" s="2" t="n">
        <x:v>100</x:v>
      </x:c>
      <x:c r="E277" s="2" t="n">
        <x:v>623.002</x:v>
      </x:c>
      <x:c r="F277" s="2" t="n">
        <x:v>0</x:v>
      </x:c>
      <x:c r="G277" s="2" t="n">
        <x:v>0</x:v>
      </x:c>
      <x:c r="H277" s="2" t="n">
        <x:v>0</x:v>
      </x:c>
      <x:c r="I277" s="2" t="n">
        <x:v>-1</x:v>
      </x:c>
      <x:c r="J277" s="2" t="n">
        <x:v>2.5</x:v>
      </x:c>
      <x:c r="K277" s="2" t="n">
        <x:v>12</x:v>
      </x:c>
      <x:c r="L277" s="2" t="str">
        <x:v>MF375.pdf 32.004mm furatköz; Ø2.5x12 próbaérték 3.5x16 pan-head csavarhoz</x:v>
      </x:c>
    </x:row>
    <x:row r="278" ht="36" customHeight="1">
      <x:c r="A278" s="2" t="str">
        <x:v>H0682</x:v>
      </x:c>
      <x:c r="B278" s="2" t="str">
        <x:v>KI12-TV03P-03</x:v>
      </x:c>
      <x:c r="C278" s="2" t="str">
        <x:v>MF375_PANEL_CSAVAR</x:v>
      </x:c>
      <x:c r="D278" s="2" t="n">
        <x:v>800</x:v>
      </x:c>
      <x:c r="E278" s="2" t="n">
        <x:v>43.99800000000005</x:v>
      </x:c>
      <x:c r="F278" s="2" t="n">
        <x:v>0</x:v>
      </x:c>
      <x:c r="G278" s="2" t="n">
        <x:v>0</x:v>
      </x:c>
      <x:c r="H278" s="2" t="n">
        <x:v>0</x:v>
      </x:c>
      <x:c r="I278" s="2" t="n">
        <x:v>-1</x:v>
      </x:c>
      <x:c r="J278" s="2" t="n">
        <x:v>2.5</x:v>
      </x:c>
      <x:c r="K278" s="2" t="n">
        <x:v>12</x:v>
      </x:c>
      <x:c r="L278" s="2" t="str">
        <x:v>MF375.pdf 32.004mm furatköz; Ø2.5x12 próbaérték 3.5x16 pan-head csavarhoz</x:v>
      </x:c>
    </x:row>
    <x:row r="279" ht="36" customHeight="1">
      <x:c r="A279" s="2" t="str">
        <x:v>H0683</x:v>
      </x:c>
      <x:c r="B279" s="2" t="str">
        <x:v>KI12-TV03P-03</x:v>
      </x:c>
      <x:c r="C279" s="2" t="str">
        <x:v>MF375_PANEL_CSAVAR</x:v>
      </x:c>
      <x:c r="D279" s="2" t="n">
        <x:v>800</x:v>
      </x:c>
      <x:c r="E279" s="2" t="n">
        <x:v>76.00199999999995</x:v>
      </x:c>
      <x:c r="F279" s="2" t="n">
        <x:v>0</x:v>
      </x:c>
      <x:c r="G279" s="2" t="n">
        <x:v>0</x:v>
      </x:c>
      <x:c r="H279" s="2" t="n">
        <x:v>0</x:v>
      </x:c>
      <x:c r="I279" s="2" t="n">
        <x:v>-1</x:v>
      </x:c>
      <x:c r="J279" s="2" t="n">
        <x:v>2.5</x:v>
      </x:c>
      <x:c r="K279" s="2" t="n">
        <x:v>12</x:v>
      </x:c>
      <x:c r="L279" s="2" t="str">
        <x:v>MF375.pdf 32.004mm furatköz; Ø2.5x12 próbaérték 3.5x16 pan-head csavarhoz</x:v>
      </x:c>
    </x:row>
    <x:row r="280" ht="36" customHeight="1">
      <x:c r="A280" s="2" t="str">
        <x:v>H0684</x:v>
      </x:c>
      <x:c r="B280" s="2" t="str">
        <x:v>KI12-TV03P-03</x:v>
      </x:c>
      <x:c r="C280" s="2" t="str">
        <x:v>MF375_PANEL_CSAVAR</x:v>
      </x:c>
      <x:c r="D280" s="2" t="n">
        <x:v>800</x:v>
      </x:c>
      <x:c r="E280" s="2" t="n">
        <x:v>317.49800000000005</x:v>
      </x:c>
      <x:c r="F280" s="2" t="n">
        <x:v>0</x:v>
      </x:c>
      <x:c r="G280" s="2" t="n">
        <x:v>0</x:v>
      </x:c>
      <x:c r="H280" s="2" t="n">
        <x:v>0</x:v>
      </x:c>
      <x:c r="I280" s="2" t="n">
        <x:v>-1</x:v>
      </x:c>
      <x:c r="J280" s="2" t="n">
        <x:v>2.5</x:v>
      </x:c>
      <x:c r="K280" s="2" t="n">
        <x:v>12</x:v>
      </x:c>
      <x:c r="L280" s="2" t="str">
        <x:v>MF375.pdf 32.004mm furatköz; Ø2.5x12 próbaérték 3.5x16 pan-head csavarhoz</x:v>
      </x:c>
    </x:row>
    <x:row r="281" ht="36" customHeight="1">
      <x:c r="A281" s="2" t="str">
        <x:v>H0685</x:v>
      </x:c>
      <x:c r="B281" s="2" t="str">
        <x:v>KI12-TV03P-03</x:v>
      </x:c>
      <x:c r="C281" s="2" t="str">
        <x:v>MF375_PANEL_CSAVAR</x:v>
      </x:c>
      <x:c r="D281" s="2" t="n">
        <x:v>800</x:v>
      </x:c>
      <x:c r="E281" s="2" t="n">
        <x:v>349.50199999999995</x:v>
      </x:c>
      <x:c r="F281" s="2" t="n">
        <x:v>0</x:v>
      </x:c>
      <x:c r="G281" s="2" t="n">
        <x:v>0</x:v>
      </x:c>
      <x:c r="H281" s="2" t="n">
        <x:v>0</x:v>
      </x:c>
      <x:c r="I281" s="2" t="n">
        <x:v>-1</x:v>
      </x:c>
      <x:c r="J281" s="2" t="n">
        <x:v>2.5</x:v>
      </x:c>
      <x:c r="K281" s="2" t="n">
        <x:v>12</x:v>
      </x:c>
      <x:c r="L281" s="2" t="str">
        <x:v>MF375.pdf 32.004mm furatköz; Ø2.5x12 próbaérték 3.5x16 pan-head csavarhoz</x:v>
      </x:c>
    </x:row>
    <x:row r="282" ht="36" customHeight="1">
      <x:c r="A282" s="2" t="str">
        <x:v>H0686</x:v>
      </x:c>
      <x:c r="B282" s="2" t="str">
        <x:v>KI12-TV03P-03</x:v>
      </x:c>
      <x:c r="C282" s="2" t="str">
        <x:v>MF375_PANEL_CSAVAR</x:v>
      </x:c>
      <x:c r="D282" s="2" t="n">
        <x:v>800</x:v>
      </x:c>
      <x:c r="E282" s="2" t="n">
        <x:v>590.998</x:v>
      </x:c>
      <x:c r="F282" s="2" t="n">
        <x:v>0</x:v>
      </x:c>
      <x:c r="G282" s="2" t="n">
        <x:v>0</x:v>
      </x:c>
      <x:c r="H282" s="2" t="n">
        <x:v>0</x:v>
      </x:c>
      <x:c r="I282" s="2" t="n">
        <x:v>-1</x:v>
      </x:c>
      <x:c r="J282" s="2" t="n">
        <x:v>2.5</x:v>
      </x:c>
      <x:c r="K282" s="2" t="n">
        <x:v>12</x:v>
      </x:c>
      <x:c r="L282" s="2" t="str">
        <x:v>MF375.pdf 32.004mm furatköz; Ø2.5x12 próbaérték 3.5x16 pan-head csavarhoz</x:v>
      </x:c>
    </x:row>
    <x:row r="283" ht="36" customHeight="1">
      <x:c r="A283" s="2" t="str">
        <x:v>H0687</x:v>
      </x:c>
      <x:c r="B283" s="2" t="str">
        <x:v>KI12-TV03P-03</x:v>
      </x:c>
      <x:c r="C283" s="2" t="str">
        <x:v>MF375_PANEL_CSAVAR</x:v>
      </x:c>
      <x:c r="D283" s="2" t="n">
        <x:v>800</x:v>
      </x:c>
      <x:c r="E283" s="2" t="n">
        <x:v>623.002</x:v>
      </x:c>
      <x:c r="F283" s="2" t="n">
        <x:v>0</x:v>
      </x:c>
      <x:c r="G283" s="2" t="n">
        <x:v>0</x:v>
      </x:c>
      <x:c r="H283" s="2" t="n">
        <x:v>0</x:v>
      </x:c>
      <x:c r="I283" s="2" t="n">
        <x:v>-1</x:v>
      </x:c>
      <x:c r="J283" s="2" t="n">
        <x:v>2.5</x:v>
      </x:c>
      <x:c r="K283" s="2" t="n">
        <x:v>12</x:v>
      </x:c>
      <x:c r="L283" s="2" t="str">
        <x:v>MF375.pdf 32.004mm furatköz; Ø2.5x12 próbaérték 3.5x16 pan-head csavarhoz</x:v>
      </x:c>
    </x:row>
    <x:row r="284" ht="36" customHeight="1">
      <x:c r="A284" s="2" t="str">
        <x:v>H0688</x:v>
      </x:c>
      <x:c r="B284" s="2" t="str">
        <x:v>KI12-TV03P-03</x:v>
      </x:c>
      <x:c r="C284" s="2" t="str">
        <x:v>MF375_PANEL_CSAVAR</x:v>
      </x:c>
      <x:c r="D284" s="2" t="n">
        <x:v>1500</x:v>
      </x:c>
      <x:c r="E284" s="2" t="n">
        <x:v>43.99800000000005</x:v>
      </x:c>
      <x:c r="F284" s="2" t="n">
        <x:v>0</x:v>
      </x:c>
      <x:c r="G284" s="2" t="n">
        <x:v>0</x:v>
      </x:c>
      <x:c r="H284" s="2" t="n">
        <x:v>0</x:v>
      </x:c>
      <x:c r="I284" s="2" t="n">
        <x:v>-1</x:v>
      </x:c>
      <x:c r="J284" s="2" t="n">
        <x:v>2.5</x:v>
      </x:c>
      <x:c r="K284" s="2" t="n">
        <x:v>12</x:v>
      </x:c>
      <x:c r="L284" s="2" t="str">
        <x:v>MF375.pdf 32.004mm furatköz; Ø2.5x12 próbaérték 3.5x16 pan-head csavarhoz</x:v>
      </x:c>
    </x:row>
    <x:row r="285" ht="36" customHeight="1">
      <x:c r="A285" s="2" t="str">
        <x:v>H0689</x:v>
      </x:c>
      <x:c r="B285" s="2" t="str">
        <x:v>KI12-TV03P-03</x:v>
      </x:c>
      <x:c r="C285" s="2" t="str">
        <x:v>MF375_PANEL_CSAVAR</x:v>
      </x:c>
      <x:c r="D285" s="2" t="n">
        <x:v>1500</x:v>
      </x:c>
      <x:c r="E285" s="2" t="n">
        <x:v>76.00199999999995</x:v>
      </x:c>
      <x:c r="F285" s="2" t="n">
        <x:v>0</x:v>
      </x:c>
      <x:c r="G285" s="2" t="n">
        <x:v>0</x:v>
      </x:c>
      <x:c r="H285" s="2" t="n">
        <x:v>0</x:v>
      </x:c>
      <x:c r="I285" s="2" t="n">
        <x:v>-1</x:v>
      </x:c>
      <x:c r="J285" s="2" t="n">
        <x:v>2.5</x:v>
      </x:c>
      <x:c r="K285" s="2" t="n">
        <x:v>12</x:v>
      </x:c>
      <x:c r="L285" s="2" t="str">
        <x:v>MF375.pdf 32.004mm furatköz; Ø2.5x12 próbaérték 3.5x16 pan-head csavarhoz</x:v>
      </x:c>
    </x:row>
    <x:row r="286" ht="36" customHeight="1">
      <x:c r="A286" s="2" t="str">
        <x:v>H0690</x:v>
      </x:c>
      <x:c r="B286" s="2" t="str">
        <x:v>KI12-TV03P-03</x:v>
      </x:c>
      <x:c r="C286" s="2" t="str">
        <x:v>MF375_PANEL_CSAVAR</x:v>
      </x:c>
      <x:c r="D286" s="2" t="n">
        <x:v>1500</x:v>
      </x:c>
      <x:c r="E286" s="2" t="n">
        <x:v>317.49800000000005</x:v>
      </x:c>
      <x:c r="F286" s="2" t="n">
        <x:v>0</x:v>
      </x:c>
      <x:c r="G286" s="2" t="n">
        <x:v>0</x:v>
      </x:c>
      <x:c r="H286" s="2" t="n">
        <x:v>0</x:v>
      </x:c>
      <x:c r="I286" s="2" t="n">
        <x:v>-1</x:v>
      </x:c>
      <x:c r="J286" s="2" t="n">
        <x:v>2.5</x:v>
      </x:c>
      <x:c r="K286" s="2" t="n">
        <x:v>12</x:v>
      </x:c>
      <x:c r="L286" s="2" t="str">
        <x:v>MF375.pdf 32.004mm furatköz; Ø2.5x12 próbaérték 3.5x16 pan-head csavarhoz</x:v>
      </x:c>
    </x:row>
    <x:row r="287" ht="36" customHeight="1">
      <x:c r="A287" s="2" t="str">
        <x:v>H0691</x:v>
      </x:c>
      <x:c r="B287" s="2" t="str">
        <x:v>KI12-TV03P-03</x:v>
      </x:c>
      <x:c r="C287" s="2" t="str">
        <x:v>MF375_PANEL_CSAVAR</x:v>
      </x:c>
      <x:c r="D287" s="2" t="n">
        <x:v>1500</x:v>
      </x:c>
      <x:c r="E287" s="2" t="n">
        <x:v>349.50199999999995</x:v>
      </x:c>
      <x:c r="F287" s="2" t="n">
        <x:v>0</x:v>
      </x:c>
      <x:c r="G287" s="2" t="n">
        <x:v>0</x:v>
      </x:c>
      <x:c r="H287" s="2" t="n">
        <x:v>0</x:v>
      </x:c>
      <x:c r="I287" s="2" t="n">
        <x:v>-1</x:v>
      </x:c>
      <x:c r="J287" s="2" t="n">
        <x:v>2.5</x:v>
      </x:c>
      <x:c r="K287" s="2" t="n">
        <x:v>12</x:v>
      </x:c>
      <x:c r="L287" s="2" t="str">
        <x:v>MF375.pdf 32.004mm furatköz; Ø2.5x12 próbaérték 3.5x16 pan-head csavarhoz</x:v>
      </x:c>
    </x:row>
    <x:row r="288" ht="36" customHeight="1">
      <x:c r="A288" s="2" t="str">
        <x:v>H0692</x:v>
      </x:c>
      <x:c r="B288" s="2" t="str">
        <x:v>KI12-TV03P-03</x:v>
      </x:c>
      <x:c r="C288" s="2" t="str">
        <x:v>MF375_PANEL_CSAVAR</x:v>
      </x:c>
      <x:c r="D288" s="2" t="n">
        <x:v>1500</x:v>
      </x:c>
      <x:c r="E288" s="2" t="n">
        <x:v>590.998</x:v>
      </x:c>
      <x:c r="F288" s="2" t="n">
        <x:v>0</x:v>
      </x:c>
      <x:c r="G288" s="2" t="n">
        <x:v>0</x:v>
      </x:c>
      <x:c r="H288" s="2" t="n">
        <x:v>0</x:v>
      </x:c>
      <x:c r="I288" s="2" t="n">
        <x:v>-1</x:v>
      </x:c>
      <x:c r="J288" s="2" t="n">
        <x:v>2.5</x:v>
      </x:c>
      <x:c r="K288" s="2" t="n">
        <x:v>12</x:v>
      </x:c>
      <x:c r="L288" s="2" t="str">
        <x:v>MF375.pdf 32.004mm furatköz; Ø2.5x12 próbaérték 3.5x16 pan-head csavarhoz</x:v>
      </x:c>
    </x:row>
    <x:row r="289" ht="36" customHeight="1">
      <x:c r="A289" s="2" t="str">
        <x:v>H0693</x:v>
      </x:c>
      <x:c r="B289" s="2" t="str">
        <x:v>KI12-TV03P-03</x:v>
      </x:c>
      <x:c r="C289" s="2" t="str">
        <x:v>MF375_PANEL_CSAVAR</x:v>
      </x:c>
      <x:c r="D289" s="2" t="n">
        <x:v>1500</x:v>
      </x:c>
      <x:c r="E289" s="2" t="n">
        <x:v>623.002</x:v>
      </x:c>
      <x:c r="F289" s="2" t="n">
        <x:v>0</x:v>
      </x:c>
      <x:c r="G289" s="2" t="n">
        <x:v>0</x:v>
      </x:c>
      <x:c r="H289" s="2" t="n">
        <x:v>0</x:v>
      </x:c>
      <x:c r="I289" s="2" t="n">
        <x:v>-1</x:v>
      </x:c>
      <x:c r="J289" s="2" t="n">
        <x:v>2.5</x:v>
      </x:c>
      <x:c r="K289" s="2" t="n">
        <x:v>12</x:v>
      </x:c>
      <x:c r="L289" s="2" t="str">
        <x:v>MF375.pdf 32.004mm furatköz; Ø2.5x12 próbaérték 3.5x16 pan-head csavarhoz</x:v>
      </x:c>
    </x:row>
    <x:row r="290" ht="36" customHeight="1">
      <x:c r="A290" s="2" t="str">
        <x:v>H0694</x:v>
      </x:c>
      <x:c r="B290" s="2" t="str">
        <x:v>KI12-TV03P-03</x:v>
      </x:c>
      <x:c r="C290" s="2" t="str">
        <x:v>MF375_PANEL_CSAVAR</x:v>
      </x:c>
      <x:c r="D290" s="2" t="n">
        <x:v>2200</x:v>
      </x:c>
      <x:c r="E290" s="2" t="n">
        <x:v>43.99800000000005</x:v>
      </x:c>
      <x:c r="F290" s="2" t="n">
        <x:v>0</x:v>
      </x:c>
      <x:c r="G290" s="2" t="n">
        <x:v>0</x:v>
      </x:c>
      <x:c r="H290" s="2" t="n">
        <x:v>0</x:v>
      </x:c>
      <x:c r="I290" s="2" t="n">
        <x:v>-1</x:v>
      </x:c>
      <x:c r="J290" s="2" t="n">
        <x:v>2.5</x:v>
      </x:c>
      <x:c r="K290" s="2" t="n">
        <x:v>12</x:v>
      </x:c>
      <x:c r="L290" s="2" t="str">
        <x:v>MF375.pdf 32.004mm furatköz; Ø2.5x12 próbaérték 3.5x16 pan-head csavarhoz</x:v>
      </x:c>
    </x:row>
    <x:row r="291" ht="36" customHeight="1">
      <x:c r="A291" s="2" t="str">
        <x:v>H0695</x:v>
      </x:c>
      <x:c r="B291" s="2" t="str">
        <x:v>KI12-TV03P-03</x:v>
      </x:c>
      <x:c r="C291" s="2" t="str">
        <x:v>MF375_PANEL_CSAVAR</x:v>
      </x:c>
      <x:c r="D291" s="2" t="n">
        <x:v>2200</x:v>
      </x:c>
      <x:c r="E291" s="2" t="n">
        <x:v>76.00199999999995</x:v>
      </x:c>
      <x:c r="F291" s="2" t="n">
        <x:v>0</x:v>
      </x:c>
      <x:c r="G291" s="2" t="n">
        <x:v>0</x:v>
      </x:c>
      <x:c r="H291" s="2" t="n">
        <x:v>0</x:v>
      </x:c>
      <x:c r="I291" s="2" t="n">
        <x:v>-1</x:v>
      </x:c>
      <x:c r="J291" s="2" t="n">
        <x:v>2.5</x:v>
      </x:c>
      <x:c r="K291" s="2" t="n">
        <x:v>12</x:v>
      </x:c>
      <x:c r="L291" s="2" t="str">
        <x:v>MF375.pdf 32.004mm furatköz; Ø2.5x12 próbaérték 3.5x16 pan-head csavarhoz</x:v>
      </x:c>
    </x:row>
    <x:row r="292" ht="36" customHeight="1">
      <x:c r="A292" s="2" t="str">
        <x:v>H0696</x:v>
      </x:c>
      <x:c r="B292" s="2" t="str">
        <x:v>KI12-TV03P-03</x:v>
      </x:c>
      <x:c r="C292" s="2" t="str">
        <x:v>MF375_PANEL_CSAVAR</x:v>
      </x:c>
      <x:c r="D292" s="2" t="n">
        <x:v>2200</x:v>
      </x:c>
      <x:c r="E292" s="2" t="n">
        <x:v>317.49800000000005</x:v>
      </x:c>
      <x:c r="F292" s="2" t="n">
        <x:v>0</x:v>
      </x:c>
      <x:c r="G292" s="2" t="n">
        <x:v>0</x:v>
      </x:c>
      <x:c r="H292" s="2" t="n">
        <x:v>0</x:v>
      </x:c>
      <x:c r="I292" s="2" t="n">
        <x:v>-1</x:v>
      </x:c>
      <x:c r="J292" s="2" t="n">
        <x:v>2.5</x:v>
      </x:c>
      <x:c r="K292" s="2" t="n">
        <x:v>12</x:v>
      </x:c>
      <x:c r="L292" s="2" t="str">
        <x:v>MF375.pdf 32.004mm furatköz; Ø2.5x12 próbaérték 3.5x16 pan-head csavarhoz</x:v>
      </x:c>
    </x:row>
    <x:row r="293" ht="36" customHeight="1">
      <x:c r="A293" s="2" t="str">
        <x:v>H0697</x:v>
      </x:c>
      <x:c r="B293" s="2" t="str">
        <x:v>KI12-TV03P-03</x:v>
      </x:c>
      <x:c r="C293" s="2" t="str">
        <x:v>MF375_PANEL_CSAVAR</x:v>
      </x:c>
      <x:c r="D293" s="2" t="n">
        <x:v>2200</x:v>
      </x:c>
      <x:c r="E293" s="2" t="n">
        <x:v>349.50199999999995</x:v>
      </x:c>
      <x:c r="F293" s="2" t="n">
        <x:v>0</x:v>
      </x:c>
      <x:c r="G293" s="2" t="n">
        <x:v>0</x:v>
      </x:c>
      <x:c r="H293" s="2" t="n">
        <x:v>0</x:v>
      </x:c>
      <x:c r="I293" s="2" t="n">
        <x:v>-1</x:v>
      </x:c>
      <x:c r="J293" s="2" t="n">
        <x:v>2.5</x:v>
      </x:c>
      <x:c r="K293" s="2" t="n">
        <x:v>12</x:v>
      </x:c>
      <x:c r="L293" s="2" t="str">
        <x:v>MF375.pdf 32.004mm furatköz; Ø2.5x12 próbaérték 3.5x16 pan-head csavarhoz</x:v>
      </x:c>
    </x:row>
    <x:row r="294" ht="36" customHeight="1">
      <x:c r="A294" s="2" t="str">
        <x:v>H0698</x:v>
      </x:c>
      <x:c r="B294" s="2" t="str">
        <x:v>KI12-TV03P-03</x:v>
      </x:c>
      <x:c r="C294" s="2" t="str">
        <x:v>MF375_PANEL_CSAVAR</x:v>
      </x:c>
      <x:c r="D294" s="2" t="n">
        <x:v>2200</x:v>
      </x:c>
      <x:c r="E294" s="2" t="n">
        <x:v>590.998</x:v>
      </x:c>
      <x:c r="F294" s="2" t="n">
        <x:v>0</x:v>
      </x:c>
      <x:c r="G294" s="2" t="n">
        <x:v>0</x:v>
      </x:c>
      <x:c r="H294" s="2" t="n">
        <x:v>0</x:v>
      </x:c>
      <x:c r="I294" s="2" t="n">
        <x:v>-1</x:v>
      </x:c>
      <x:c r="J294" s="2" t="n">
        <x:v>2.5</x:v>
      </x:c>
      <x:c r="K294" s="2" t="n">
        <x:v>12</x:v>
      </x:c>
      <x:c r="L294" s="2" t="str">
        <x:v>MF375.pdf 32.004mm furatköz; Ø2.5x12 próbaérték 3.5x16 pan-head csavarhoz</x:v>
      </x:c>
    </x:row>
    <x:row r="295" ht="36" customHeight="1">
      <x:c r="A295" s="2" t="str">
        <x:v>H0699</x:v>
      </x:c>
      <x:c r="B295" s="2" t="str">
        <x:v>KI12-TV03P-03</x:v>
      </x:c>
      <x:c r="C295" s="2" t="str">
        <x:v>MF375_PANEL_CSAVAR</x:v>
      </x:c>
      <x:c r="D295" s="2" t="n">
        <x:v>2200</x:v>
      </x:c>
      <x:c r="E295" s="2" t="n">
        <x:v>623.002</x:v>
      </x:c>
      <x:c r="F295" s="2" t="n">
        <x:v>0</x:v>
      </x:c>
      <x:c r="G295" s="2" t="n">
        <x:v>0</x:v>
      </x:c>
      <x:c r="H295" s="2" t="n">
        <x:v>0</x:v>
      </x:c>
      <x:c r="I295" s="2" t="n">
        <x:v>-1</x:v>
      </x:c>
      <x:c r="J295" s="2" t="n">
        <x:v>2.5</x:v>
      </x:c>
      <x:c r="K295" s="2" t="n">
        <x:v>12</x:v>
      </x:c>
      <x:c r="L295" s="2" t="str">
        <x:v>MF375.pdf 32.004mm furatköz; Ø2.5x12 próbaérték 3.5x16 pan-head csavarhoz</x:v>
      </x:c>
    </x:row>
    <x:row r="296" ht="36" customHeight="1">
      <x:c r="A296" s="2" t="str">
        <x:v>H0700</x:v>
      </x:c>
      <x:c r="B296" s="2" t="str">
        <x:v>KI12-TV03P-04</x:v>
      </x:c>
      <x:c r="C296" s="2" t="str">
        <x:v>MF375_PANEL_CSAVAR</x:v>
      </x:c>
      <x:c r="D296" s="2" t="n">
        <x:v>100</x:v>
      </x:c>
      <x:c r="E296" s="2" t="n">
        <x:v>43.99800000000005</x:v>
      </x:c>
      <x:c r="F296" s="2" t="n">
        <x:v>0</x:v>
      </x:c>
      <x:c r="G296" s="2" t="n">
        <x:v>0</x:v>
      </x:c>
      <x:c r="H296" s="2" t="n">
        <x:v>0</x:v>
      </x:c>
      <x:c r="I296" s="2" t="n">
        <x:v>-1</x:v>
      </x:c>
      <x:c r="J296" s="2" t="n">
        <x:v>2.5</x:v>
      </x:c>
      <x:c r="K296" s="2" t="n">
        <x:v>12</x:v>
      </x:c>
      <x:c r="L296" s="2" t="str">
        <x:v>MF375.pdf 32.004mm furatköz; Ø2.5x12 próbaérték 3.5x16 pan-head csavarhoz</x:v>
      </x:c>
    </x:row>
    <x:row r="297" ht="36" customHeight="1">
      <x:c r="A297" s="2" t="str">
        <x:v>H0701</x:v>
      </x:c>
      <x:c r="B297" s="2" t="str">
        <x:v>KI12-TV03P-04</x:v>
      </x:c>
      <x:c r="C297" s="2" t="str">
        <x:v>MF375_PANEL_CSAVAR</x:v>
      </x:c>
      <x:c r="D297" s="2" t="n">
        <x:v>100</x:v>
      </x:c>
      <x:c r="E297" s="2" t="n">
        <x:v>76.00199999999995</x:v>
      </x:c>
      <x:c r="F297" s="2" t="n">
        <x:v>0</x:v>
      </x:c>
      <x:c r="G297" s="2" t="n">
        <x:v>0</x:v>
      </x:c>
      <x:c r="H297" s="2" t="n">
        <x:v>0</x:v>
      </x:c>
      <x:c r="I297" s="2" t="n">
        <x:v>-1</x:v>
      </x:c>
      <x:c r="J297" s="2" t="n">
        <x:v>2.5</x:v>
      </x:c>
      <x:c r="K297" s="2" t="n">
        <x:v>12</x:v>
      </x:c>
      <x:c r="L297" s="2" t="str">
        <x:v>MF375.pdf 32.004mm furatköz; Ø2.5x12 próbaérték 3.5x16 pan-head csavarhoz</x:v>
      </x:c>
    </x:row>
    <x:row r="298" ht="36" customHeight="1">
      <x:c r="A298" s="2" t="str">
        <x:v>H0702</x:v>
      </x:c>
      <x:c r="B298" s="2" t="str">
        <x:v>KI12-TV03P-04</x:v>
      </x:c>
      <x:c r="C298" s="2" t="str">
        <x:v>MF375_PANEL_CSAVAR</x:v>
      </x:c>
      <x:c r="D298" s="2" t="n">
        <x:v>100</x:v>
      </x:c>
      <x:c r="E298" s="2" t="n">
        <x:v>317.49800000000005</x:v>
      </x:c>
      <x:c r="F298" s="2" t="n">
        <x:v>0</x:v>
      </x:c>
      <x:c r="G298" s="2" t="n">
        <x:v>0</x:v>
      </x:c>
      <x:c r="H298" s="2" t="n">
        <x:v>0</x:v>
      </x:c>
      <x:c r="I298" s="2" t="n">
        <x:v>-1</x:v>
      </x:c>
      <x:c r="J298" s="2" t="n">
        <x:v>2.5</x:v>
      </x:c>
      <x:c r="K298" s="2" t="n">
        <x:v>12</x:v>
      </x:c>
      <x:c r="L298" s="2" t="str">
        <x:v>MF375.pdf 32.004mm furatköz; Ø2.5x12 próbaérték 3.5x16 pan-head csavarhoz</x:v>
      </x:c>
    </x:row>
    <x:row r="299" ht="36" customHeight="1">
      <x:c r="A299" s="2" t="str">
        <x:v>H0703</x:v>
      </x:c>
      <x:c r="B299" s="2" t="str">
        <x:v>KI12-TV03P-04</x:v>
      </x:c>
      <x:c r="C299" s="2" t="str">
        <x:v>MF375_PANEL_CSAVAR</x:v>
      </x:c>
      <x:c r="D299" s="2" t="n">
        <x:v>100</x:v>
      </x:c>
      <x:c r="E299" s="2" t="n">
        <x:v>349.50199999999995</x:v>
      </x:c>
      <x:c r="F299" s="2" t="n">
        <x:v>0</x:v>
      </x:c>
      <x:c r="G299" s="2" t="n">
        <x:v>0</x:v>
      </x:c>
      <x:c r="H299" s="2" t="n">
        <x:v>0</x:v>
      </x:c>
      <x:c r="I299" s="2" t="n">
        <x:v>-1</x:v>
      </x:c>
      <x:c r="J299" s="2" t="n">
        <x:v>2.5</x:v>
      </x:c>
      <x:c r="K299" s="2" t="n">
        <x:v>12</x:v>
      </x:c>
      <x:c r="L299" s="2" t="str">
        <x:v>MF375.pdf 32.004mm furatköz; Ø2.5x12 próbaérték 3.5x16 pan-head csavarhoz</x:v>
      </x:c>
    </x:row>
    <x:row r="300" ht="36" customHeight="1">
      <x:c r="A300" s="2" t="str">
        <x:v>H0704</x:v>
      </x:c>
      <x:c r="B300" s="2" t="str">
        <x:v>KI12-TV03P-04</x:v>
      </x:c>
      <x:c r="C300" s="2" t="str">
        <x:v>MF375_PANEL_CSAVAR</x:v>
      </x:c>
      <x:c r="D300" s="2" t="n">
        <x:v>100</x:v>
      </x:c>
      <x:c r="E300" s="2" t="n">
        <x:v>590.998</x:v>
      </x:c>
      <x:c r="F300" s="2" t="n">
        <x:v>0</x:v>
      </x:c>
      <x:c r="G300" s="2" t="n">
        <x:v>0</x:v>
      </x:c>
      <x:c r="H300" s="2" t="n">
        <x:v>0</x:v>
      </x:c>
      <x:c r="I300" s="2" t="n">
        <x:v>-1</x:v>
      </x:c>
      <x:c r="J300" s="2" t="n">
        <x:v>2.5</x:v>
      </x:c>
      <x:c r="K300" s="2" t="n">
        <x:v>12</x:v>
      </x:c>
      <x:c r="L300" s="2" t="str">
        <x:v>MF375.pdf 32.004mm furatköz; Ø2.5x12 próbaérték 3.5x16 pan-head csavarhoz</x:v>
      </x:c>
    </x:row>
    <x:row r="301" ht="36" customHeight="1">
      <x:c r="A301" s="2" t="str">
        <x:v>H0705</x:v>
      </x:c>
      <x:c r="B301" s="2" t="str">
        <x:v>KI12-TV03P-04</x:v>
      </x:c>
      <x:c r="C301" s="2" t="str">
        <x:v>MF375_PANEL_CSAVAR</x:v>
      </x:c>
      <x:c r="D301" s="2" t="n">
        <x:v>100</x:v>
      </x:c>
      <x:c r="E301" s="2" t="n">
        <x:v>623.002</x:v>
      </x:c>
      <x:c r="F301" s="2" t="n">
        <x:v>0</x:v>
      </x:c>
      <x:c r="G301" s="2" t="n">
        <x:v>0</x:v>
      </x:c>
      <x:c r="H301" s="2" t="n">
        <x:v>0</x:v>
      </x:c>
      <x:c r="I301" s="2" t="n">
        <x:v>-1</x:v>
      </x:c>
      <x:c r="J301" s="2" t="n">
        <x:v>2.5</x:v>
      </x:c>
      <x:c r="K301" s="2" t="n">
        <x:v>12</x:v>
      </x:c>
      <x:c r="L301" s="2" t="str">
        <x:v>MF375.pdf 32.004mm furatköz; Ø2.5x12 próbaérték 3.5x16 pan-head csavarhoz</x:v>
      </x:c>
    </x:row>
    <x:row r="302" ht="36" customHeight="1">
      <x:c r="A302" s="2" t="str">
        <x:v>H0706</x:v>
      </x:c>
      <x:c r="B302" s="2" t="str">
        <x:v>KI12-TV03P-04</x:v>
      </x:c>
      <x:c r="C302" s="2" t="str">
        <x:v>MF375_PANEL_CSAVAR</x:v>
      </x:c>
      <x:c r="D302" s="2" t="n">
        <x:v>800</x:v>
      </x:c>
      <x:c r="E302" s="2" t="n">
        <x:v>43.99800000000005</x:v>
      </x:c>
      <x:c r="F302" s="2" t="n">
        <x:v>0</x:v>
      </x:c>
      <x:c r="G302" s="2" t="n">
        <x:v>0</x:v>
      </x:c>
      <x:c r="H302" s="2" t="n">
        <x:v>0</x:v>
      </x:c>
      <x:c r="I302" s="2" t="n">
        <x:v>-1</x:v>
      </x:c>
      <x:c r="J302" s="2" t="n">
        <x:v>2.5</x:v>
      </x:c>
      <x:c r="K302" s="2" t="n">
        <x:v>12</x:v>
      </x:c>
      <x:c r="L302" s="2" t="str">
        <x:v>MF375.pdf 32.004mm furatköz; Ø2.5x12 próbaérték 3.5x16 pan-head csavarhoz</x:v>
      </x:c>
    </x:row>
    <x:row r="303" ht="36" customHeight="1">
      <x:c r="A303" s="2" t="str">
        <x:v>H0707</x:v>
      </x:c>
      <x:c r="B303" s="2" t="str">
        <x:v>KI12-TV03P-04</x:v>
      </x:c>
      <x:c r="C303" s="2" t="str">
        <x:v>MF375_PANEL_CSAVAR</x:v>
      </x:c>
      <x:c r="D303" s="2" t="n">
        <x:v>800</x:v>
      </x:c>
      <x:c r="E303" s="2" t="n">
        <x:v>76.00199999999995</x:v>
      </x:c>
      <x:c r="F303" s="2" t="n">
        <x:v>0</x:v>
      </x:c>
      <x:c r="G303" s="2" t="n">
        <x:v>0</x:v>
      </x:c>
      <x:c r="H303" s="2" t="n">
        <x:v>0</x:v>
      </x:c>
      <x:c r="I303" s="2" t="n">
        <x:v>-1</x:v>
      </x:c>
      <x:c r="J303" s="2" t="n">
        <x:v>2.5</x:v>
      </x:c>
      <x:c r="K303" s="2" t="n">
        <x:v>12</x:v>
      </x:c>
      <x:c r="L303" s="2" t="str">
        <x:v>MF375.pdf 32.004mm furatköz; Ø2.5x12 próbaérték 3.5x16 pan-head csavarhoz</x:v>
      </x:c>
    </x:row>
    <x:row r="304" ht="36" customHeight="1">
      <x:c r="A304" s="2" t="str">
        <x:v>H0708</x:v>
      </x:c>
      <x:c r="B304" s="2" t="str">
        <x:v>KI12-TV03P-04</x:v>
      </x:c>
      <x:c r="C304" s="2" t="str">
        <x:v>MF375_PANEL_CSAVAR</x:v>
      </x:c>
      <x:c r="D304" s="2" t="n">
        <x:v>800</x:v>
      </x:c>
      <x:c r="E304" s="2" t="n">
        <x:v>317.49800000000005</x:v>
      </x:c>
      <x:c r="F304" s="2" t="n">
        <x:v>0</x:v>
      </x:c>
      <x:c r="G304" s="2" t="n">
        <x:v>0</x:v>
      </x:c>
      <x:c r="H304" s="2" t="n">
        <x:v>0</x:v>
      </x:c>
      <x:c r="I304" s="2" t="n">
        <x:v>-1</x:v>
      </x:c>
      <x:c r="J304" s="2" t="n">
        <x:v>2.5</x:v>
      </x:c>
      <x:c r="K304" s="2" t="n">
        <x:v>12</x:v>
      </x:c>
      <x:c r="L304" s="2" t="str">
        <x:v>MF375.pdf 32.004mm furatköz; Ø2.5x12 próbaérték 3.5x16 pan-head csavarhoz</x:v>
      </x:c>
    </x:row>
    <x:row r="305" ht="36" customHeight="1">
      <x:c r="A305" s="2" t="str">
        <x:v>H0709</x:v>
      </x:c>
      <x:c r="B305" s="2" t="str">
        <x:v>KI12-TV03P-04</x:v>
      </x:c>
      <x:c r="C305" s="2" t="str">
        <x:v>MF375_PANEL_CSAVAR</x:v>
      </x:c>
      <x:c r="D305" s="2" t="n">
        <x:v>800</x:v>
      </x:c>
      <x:c r="E305" s="2" t="n">
        <x:v>349.50199999999995</x:v>
      </x:c>
      <x:c r="F305" s="2" t="n">
        <x:v>0</x:v>
      </x:c>
      <x:c r="G305" s="2" t="n">
        <x:v>0</x:v>
      </x:c>
      <x:c r="H305" s="2" t="n">
        <x:v>0</x:v>
      </x:c>
      <x:c r="I305" s="2" t="n">
        <x:v>-1</x:v>
      </x:c>
      <x:c r="J305" s="2" t="n">
        <x:v>2.5</x:v>
      </x:c>
      <x:c r="K305" s="2" t="n">
        <x:v>12</x:v>
      </x:c>
      <x:c r="L305" s="2" t="str">
        <x:v>MF375.pdf 32.004mm furatköz; Ø2.5x12 próbaérték 3.5x16 pan-head csavarhoz</x:v>
      </x:c>
    </x:row>
    <x:row r="306" ht="36" customHeight="1">
      <x:c r="A306" s="2" t="str">
        <x:v>H0710</x:v>
      </x:c>
      <x:c r="B306" s="2" t="str">
        <x:v>KI12-TV03P-04</x:v>
      </x:c>
      <x:c r="C306" s="2" t="str">
        <x:v>MF375_PANEL_CSAVAR</x:v>
      </x:c>
      <x:c r="D306" s="2" t="n">
        <x:v>800</x:v>
      </x:c>
      <x:c r="E306" s="2" t="n">
        <x:v>590.998</x:v>
      </x:c>
      <x:c r="F306" s="2" t="n">
        <x:v>0</x:v>
      </x:c>
      <x:c r="G306" s="2" t="n">
        <x:v>0</x:v>
      </x:c>
      <x:c r="H306" s="2" t="n">
        <x:v>0</x:v>
      </x:c>
      <x:c r="I306" s="2" t="n">
        <x:v>-1</x:v>
      </x:c>
      <x:c r="J306" s="2" t="n">
        <x:v>2.5</x:v>
      </x:c>
      <x:c r="K306" s="2" t="n">
        <x:v>12</x:v>
      </x:c>
      <x:c r="L306" s="2" t="str">
        <x:v>MF375.pdf 32.004mm furatköz; Ø2.5x12 próbaérték 3.5x16 pan-head csavarhoz</x:v>
      </x:c>
    </x:row>
    <x:row r="307" ht="36" customHeight="1">
      <x:c r="A307" s="2" t="str">
        <x:v>H0711</x:v>
      </x:c>
      <x:c r="B307" s="2" t="str">
        <x:v>KI12-TV03P-04</x:v>
      </x:c>
      <x:c r="C307" s="2" t="str">
        <x:v>MF375_PANEL_CSAVAR</x:v>
      </x:c>
      <x:c r="D307" s="2" t="n">
        <x:v>800</x:v>
      </x:c>
      <x:c r="E307" s="2" t="n">
        <x:v>623.002</x:v>
      </x:c>
      <x:c r="F307" s="2" t="n">
        <x:v>0</x:v>
      </x:c>
      <x:c r="G307" s="2" t="n">
        <x:v>0</x:v>
      </x:c>
      <x:c r="H307" s="2" t="n">
        <x:v>0</x:v>
      </x:c>
      <x:c r="I307" s="2" t="n">
        <x:v>-1</x:v>
      </x:c>
      <x:c r="J307" s="2" t="n">
        <x:v>2.5</x:v>
      </x:c>
      <x:c r="K307" s="2" t="n">
        <x:v>12</x:v>
      </x:c>
      <x:c r="L307" s="2" t="str">
        <x:v>MF375.pdf 32.004mm furatköz; Ø2.5x12 próbaérték 3.5x16 pan-head csavarhoz</x:v>
      </x:c>
    </x:row>
    <x:row r="308" ht="36" customHeight="1">
      <x:c r="A308" s="2" t="str">
        <x:v>H0712</x:v>
      </x:c>
      <x:c r="B308" s="2" t="str">
        <x:v>KI12-TV03P-04</x:v>
      </x:c>
      <x:c r="C308" s="2" t="str">
        <x:v>MF375_PANEL_CSAVAR</x:v>
      </x:c>
      <x:c r="D308" s="2" t="n">
        <x:v>1500</x:v>
      </x:c>
      <x:c r="E308" s="2" t="n">
        <x:v>43.99800000000005</x:v>
      </x:c>
      <x:c r="F308" s="2" t="n">
        <x:v>0</x:v>
      </x:c>
      <x:c r="G308" s="2" t="n">
        <x:v>0</x:v>
      </x:c>
      <x:c r="H308" s="2" t="n">
        <x:v>0</x:v>
      </x:c>
      <x:c r="I308" s="2" t="n">
        <x:v>-1</x:v>
      </x:c>
      <x:c r="J308" s="2" t="n">
        <x:v>2.5</x:v>
      </x:c>
      <x:c r="K308" s="2" t="n">
        <x:v>12</x:v>
      </x:c>
      <x:c r="L308" s="2" t="str">
        <x:v>MF375.pdf 32.004mm furatköz; Ø2.5x12 próbaérték 3.5x16 pan-head csavarhoz</x:v>
      </x:c>
    </x:row>
    <x:row r="309" ht="36" customHeight="1">
      <x:c r="A309" s="2" t="str">
        <x:v>H0713</x:v>
      </x:c>
      <x:c r="B309" s="2" t="str">
        <x:v>KI12-TV03P-04</x:v>
      </x:c>
      <x:c r="C309" s="2" t="str">
        <x:v>MF375_PANEL_CSAVAR</x:v>
      </x:c>
      <x:c r="D309" s="2" t="n">
        <x:v>1500</x:v>
      </x:c>
      <x:c r="E309" s="2" t="n">
        <x:v>76.00199999999995</x:v>
      </x:c>
      <x:c r="F309" s="2" t="n">
        <x:v>0</x:v>
      </x:c>
      <x:c r="G309" s="2" t="n">
        <x:v>0</x:v>
      </x:c>
      <x:c r="H309" s="2" t="n">
        <x:v>0</x:v>
      </x:c>
      <x:c r="I309" s="2" t="n">
        <x:v>-1</x:v>
      </x:c>
      <x:c r="J309" s="2" t="n">
        <x:v>2.5</x:v>
      </x:c>
      <x:c r="K309" s="2" t="n">
        <x:v>12</x:v>
      </x:c>
      <x:c r="L309" s="2" t="str">
        <x:v>MF375.pdf 32.004mm furatköz; Ø2.5x12 próbaérték 3.5x16 pan-head csavarhoz</x:v>
      </x:c>
    </x:row>
    <x:row r="310" ht="36" customHeight="1">
      <x:c r="A310" s="2" t="str">
        <x:v>H0714</x:v>
      </x:c>
      <x:c r="B310" s="2" t="str">
        <x:v>KI12-TV03P-04</x:v>
      </x:c>
      <x:c r="C310" s="2" t="str">
        <x:v>MF375_PANEL_CSAVAR</x:v>
      </x:c>
      <x:c r="D310" s="2" t="n">
        <x:v>1500</x:v>
      </x:c>
      <x:c r="E310" s="2" t="n">
        <x:v>317.49800000000005</x:v>
      </x:c>
      <x:c r="F310" s="2" t="n">
        <x:v>0</x:v>
      </x:c>
      <x:c r="G310" s="2" t="n">
        <x:v>0</x:v>
      </x:c>
      <x:c r="H310" s="2" t="n">
        <x:v>0</x:v>
      </x:c>
      <x:c r="I310" s="2" t="n">
        <x:v>-1</x:v>
      </x:c>
      <x:c r="J310" s="2" t="n">
        <x:v>2.5</x:v>
      </x:c>
      <x:c r="K310" s="2" t="n">
        <x:v>12</x:v>
      </x:c>
      <x:c r="L310" s="2" t="str">
        <x:v>MF375.pdf 32.004mm furatköz; Ø2.5x12 próbaérték 3.5x16 pan-head csavarhoz</x:v>
      </x:c>
    </x:row>
    <x:row r="311" ht="36" customHeight="1">
      <x:c r="A311" s="2" t="str">
        <x:v>H0715</x:v>
      </x:c>
      <x:c r="B311" s="2" t="str">
        <x:v>KI12-TV03P-04</x:v>
      </x:c>
      <x:c r="C311" s="2" t="str">
        <x:v>MF375_PANEL_CSAVAR</x:v>
      </x:c>
      <x:c r="D311" s="2" t="n">
        <x:v>1500</x:v>
      </x:c>
      <x:c r="E311" s="2" t="n">
        <x:v>349.50199999999995</x:v>
      </x:c>
      <x:c r="F311" s="2" t="n">
        <x:v>0</x:v>
      </x:c>
      <x:c r="G311" s="2" t="n">
        <x:v>0</x:v>
      </x:c>
      <x:c r="H311" s="2" t="n">
        <x:v>0</x:v>
      </x:c>
      <x:c r="I311" s="2" t="n">
        <x:v>-1</x:v>
      </x:c>
      <x:c r="J311" s="2" t="n">
        <x:v>2.5</x:v>
      </x:c>
      <x:c r="K311" s="2" t="n">
        <x:v>12</x:v>
      </x:c>
      <x:c r="L311" s="2" t="str">
        <x:v>MF375.pdf 32.004mm furatköz; Ø2.5x12 próbaérték 3.5x16 pan-head csavarhoz</x:v>
      </x:c>
    </x:row>
    <x:row r="312" ht="36" customHeight="1">
      <x:c r="A312" s="2" t="str">
        <x:v>H0716</x:v>
      </x:c>
      <x:c r="B312" s="2" t="str">
        <x:v>KI12-TV03P-04</x:v>
      </x:c>
      <x:c r="C312" s="2" t="str">
        <x:v>MF375_PANEL_CSAVAR</x:v>
      </x:c>
      <x:c r="D312" s="2" t="n">
        <x:v>1500</x:v>
      </x:c>
      <x:c r="E312" s="2" t="n">
        <x:v>590.998</x:v>
      </x:c>
      <x:c r="F312" s="2" t="n">
        <x:v>0</x:v>
      </x:c>
      <x:c r="G312" s="2" t="n">
        <x:v>0</x:v>
      </x:c>
      <x:c r="H312" s="2" t="n">
        <x:v>0</x:v>
      </x:c>
      <x:c r="I312" s="2" t="n">
        <x:v>-1</x:v>
      </x:c>
      <x:c r="J312" s="2" t="n">
        <x:v>2.5</x:v>
      </x:c>
      <x:c r="K312" s="2" t="n">
        <x:v>12</x:v>
      </x:c>
      <x:c r="L312" s="2" t="str">
        <x:v>MF375.pdf 32.004mm furatköz; Ø2.5x12 próbaérték 3.5x16 pan-head csavarhoz</x:v>
      </x:c>
    </x:row>
    <x:row r="313" ht="36" customHeight="1">
      <x:c r="A313" s="2" t="str">
        <x:v>H0717</x:v>
      </x:c>
      <x:c r="B313" s="2" t="str">
        <x:v>KI12-TV03P-04</x:v>
      </x:c>
      <x:c r="C313" s="2" t="str">
        <x:v>MF375_PANEL_CSAVAR</x:v>
      </x:c>
      <x:c r="D313" s="2" t="n">
        <x:v>1500</x:v>
      </x:c>
      <x:c r="E313" s="2" t="n">
        <x:v>623.002</x:v>
      </x:c>
      <x:c r="F313" s="2" t="n">
        <x:v>0</x:v>
      </x:c>
      <x:c r="G313" s="2" t="n">
        <x:v>0</x:v>
      </x:c>
      <x:c r="H313" s="2" t="n">
        <x:v>0</x:v>
      </x:c>
      <x:c r="I313" s="2" t="n">
        <x:v>-1</x:v>
      </x:c>
      <x:c r="J313" s="2" t="n">
        <x:v>2.5</x:v>
      </x:c>
      <x:c r="K313" s="2" t="n">
        <x:v>12</x:v>
      </x:c>
      <x:c r="L313" s="2" t="str">
        <x:v>MF375.pdf 32.004mm furatköz; Ø2.5x12 próbaérték 3.5x16 pan-head csavarhoz</x:v>
      </x:c>
    </x:row>
    <x:row r="314" ht="36" customHeight="1">
      <x:c r="A314" s="2" t="str">
        <x:v>H0718</x:v>
      </x:c>
      <x:c r="B314" s="2" t="str">
        <x:v>KI12-TV03P-04</x:v>
      </x:c>
      <x:c r="C314" s="2" t="str">
        <x:v>MF375_PANEL_CSAVAR</x:v>
      </x:c>
      <x:c r="D314" s="2" t="n">
        <x:v>2200</x:v>
      </x:c>
      <x:c r="E314" s="2" t="n">
        <x:v>43.99800000000005</x:v>
      </x:c>
      <x:c r="F314" s="2" t="n">
        <x:v>0</x:v>
      </x:c>
      <x:c r="G314" s="2" t="n">
        <x:v>0</x:v>
      </x:c>
      <x:c r="H314" s="2" t="n">
        <x:v>0</x:v>
      </x:c>
      <x:c r="I314" s="2" t="n">
        <x:v>-1</x:v>
      </x:c>
      <x:c r="J314" s="2" t="n">
        <x:v>2.5</x:v>
      </x:c>
      <x:c r="K314" s="2" t="n">
        <x:v>12</x:v>
      </x:c>
      <x:c r="L314" s="2" t="str">
        <x:v>MF375.pdf 32.004mm furatköz; Ø2.5x12 próbaérték 3.5x16 pan-head csavarhoz</x:v>
      </x:c>
    </x:row>
    <x:row r="315" ht="36" customHeight="1">
      <x:c r="A315" s="2" t="str">
        <x:v>H0719</x:v>
      </x:c>
      <x:c r="B315" s="2" t="str">
        <x:v>KI12-TV03P-04</x:v>
      </x:c>
      <x:c r="C315" s="2" t="str">
        <x:v>MF375_PANEL_CSAVAR</x:v>
      </x:c>
      <x:c r="D315" s="2" t="n">
        <x:v>2200</x:v>
      </x:c>
      <x:c r="E315" s="2" t="n">
        <x:v>76.00199999999995</x:v>
      </x:c>
      <x:c r="F315" s="2" t="n">
        <x:v>0</x:v>
      </x:c>
      <x:c r="G315" s="2" t="n">
        <x:v>0</x:v>
      </x:c>
      <x:c r="H315" s="2" t="n">
        <x:v>0</x:v>
      </x:c>
      <x:c r="I315" s="2" t="n">
        <x:v>-1</x:v>
      </x:c>
      <x:c r="J315" s="2" t="n">
        <x:v>2.5</x:v>
      </x:c>
      <x:c r="K315" s="2" t="n">
        <x:v>12</x:v>
      </x:c>
      <x:c r="L315" s="2" t="str">
        <x:v>MF375.pdf 32.004mm furatköz; Ø2.5x12 próbaérték 3.5x16 pan-head csavarhoz</x:v>
      </x:c>
    </x:row>
    <x:row r="316" ht="36" customHeight="1">
      <x:c r="A316" s="2" t="str">
        <x:v>H0720</x:v>
      </x:c>
      <x:c r="B316" s="2" t="str">
        <x:v>KI12-TV03P-04</x:v>
      </x:c>
      <x:c r="C316" s="2" t="str">
        <x:v>MF375_PANEL_CSAVAR</x:v>
      </x:c>
      <x:c r="D316" s="2" t="n">
        <x:v>2200</x:v>
      </x:c>
      <x:c r="E316" s="2" t="n">
        <x:v>317.49800000000005</x:v>
      </x:c>
      <x:c r="F316" s="2" t="n">
        <x:v>0</x:v>
      </x:c>
      <x:c r="G316" s="2" t="n">
        <x:v>0</x:v>
      </x:c>
      <x:c r="H316" s="2" t="n">
        <x:v>0</x:v>
      </x:c>
      <x:c r="I316" s="2" t="n">
        <x:v>-1</x:v>
      </x:c>
      <x:c r="J316" s="2" t="n">
        <x:v>2.5</x:v>
      </x:c>
      <x:c r="K316" s="2" t="n">
        <x:v>12</x:v>
      </x:c>
      <x:c r="L316" s="2" t="str">
        <x:v>MF375.pdf 32.004mm furatköz; Ø2.5x12 próbaérték 3.5x16 pan-head csavarhoz</x:v>
      </x:c>
    </x:row>
    <x:row r="317" ht="36" customHeight="1">
      <x:c r="A317" s="2" t="str">
        <x:v>H0721</x:v>
      </x:c>
      <x:c r="B317" s="2" t="str">
        <x:v>KI12-TV03P-04</x:v>
      </x:c>
      <x:c r="C317" s="2" t="str">
        <x:v>MF375_PANEL_CSAVAR</x:v>
      </x:c>
      <x:c r="D317" s="2" t="n">
        <x:v>2200</x:v>
      </x:c>
      <x:c r="E317" s="2" t="n">
        <x:v>349.50199999999995</x:v>
      </x:c>
      <x:c r="F317" s="2" t="n">
        <x:v>0</x:v>
      </x:c>
      <x:c r="G317" s="2" t="n">
        <x:v>0</x:v>
      </x:c>
      <x:c r="H317" s="2" t="n">
        <x:v>0</x:v>
      </x:c>
      <x:c r="I317" s="2" t="n">
        <x:v>-1</x:v>
      </x:c>
      <x:c r="J317" s="2" t="n">
        <x:v>2.5</x:v>
      </x:c>
      <x:c r="K317" s="2" t="n">
        <x:v>12</x:v>
      </x:c>
      <x:c r="L317" s="2" t="str">
        <x:v>MF375.pdf 32.004mm furatköz; Ø2.5x12 próbaérték 3.5x16 pan-head csavarhoz</x:v>
      </x:c>
    </x:row>
    <x:row r="318" ht="36" customHeight="1">
      <x:c r="A318" s="2" t="str">
        <x:v>H0722</x:v>
      </x:c>
      <x:c r="B318" s="2" t="str">
        <x:v>KI12-TV03P-04</x:v>
      </x:c>
      <x:c r="C318" s="2" t="str">
        <x:v>MF375_PANEL_CSAVAR</x:v>
      </x:c>
      <x:c r="D318" s="2" t="n">
        <x:v>2200</x:v>
      </x:c>
      <x:c r="E318" s="2" t="n">
        <x:v>590.998</x:v>
      </x:c>
      <x:c r="F318" s="2" t="n">
        <x:v>0</x:v>
      </x:c>
      <x:c r="G318" s="2" t="n">
        <x:v>0</x:v>
      </x:c>
      <x:c r="H318" s="2" t="n">
        <x:v>0</x:v>
      </x:c>
      <x:c r="I318" s="2" t="n">
        <x:v>-1</x:v>
      </x:c>
      <x:c r="J318" s="2" t="n">
        <x:v>2.5</x:v>
      </x:c>
      <x:c r="K318" s="2" t="n">
        <x:v>12</x:v>
      </x:c>
      <x:c r="L318" s="2" t="str">
        <x:v>MF375.pdf 32.004mm furatköz; Ø2.5x12 próbaérték 3.5x16 pan-head csavarhoz</x:v>
      </x:c>
    </x:row>
    <x:row r="319" ht="36" customHeight="1">
      <x:c r="A319" s="2" t="str">
        <x:v>H0723</x:v>
      </x:c>
      <x:c r="B319" s="2" t="str">
        <x:v>KI12-TV03P-04</x:v>
      </x:c>
      <x:c r="C319" s="2" t="str">
        <x:v>MF375_PANEL_CSAVAR</x:v>
      </x:c>
      <x:c r="D319" s="2" t="n">
        <x:v>2200</x:v>
      </x:c>
      <x:c r="E319" s="2" t="n">
        <x:v>623.002</x:v>
      </x:c>
      <x:c r="F319" s="2" t="n">
        <x:v>0</x:v>
      </x:c>
      <x:c r="G319" s="2" t="n">
        <x:v>0</x:v>
      </x:c>
      <x:c r="H319" s="2" t="n">
        <x:v>0</x:v>
      </x:c>
      <x:c r="I319" s="2" t="n">
        <x:v>-1</x:v>
      </x:c>
      <x:c r="J319" s="2" t="n">
        <x:v>2.5</x:v>
      </x:c>
      <x:c r="K319" s="2" t="n">
        <x:v>12</x:v>
      </x:c>
      <x:c r="L319" s="2" t="str">
        <x:v>MF375.pdf 32.004mm furatköz; Ø2.5x12 próbaérték 3.5x16 pan-head csavarhoz</x:v>
      </x:c>
    </x:row>
    <x:row r="320" ht="36" customHeight="1">
      <x:c r="A320" s="2" t="str">
        <x:v>R16H0315</x:v>
      </x:c>
      <x:c r="B320" s="2" t="str">
        <x:v>KI12-TV02S-01</x:v>
      </x:c>
      <x:c r="C320" s="2" t="str">
        <x:v>CSAP J23</x:v>
      </x:c>
      <x:c r="D320" s="2" t="n">
        <x:v>9</x:v>
      </x:c>
      <x:c r="E320" s="2" t="n">
        <x:v>50</x:v>
      </x:c>
      <x:c r="F320" s="2" t="n">
        <x:v>-18</x:v>
      </x:c>
      <x:c r="G320" s="2" t="n">
        <x:v>0</x:v>
      </x:c>
      <x:c r="H320" s="2" t="n">
        <x:v>0</x:v>
      </x:c>
      <x:c r="I320" s="2" t="n">
        <x:v>1</x:v>
      </x:c>
      <x:c r="J320" s="2" t="n">
        <x:v>8</x:v>
      </x:c>
      <x:c r="K320" s="2" t="n">
        <x:v>12</x:v>
      </x:c>
      <x:c r="L320" s="2" t="str">
        <x:v>R12 J01-J26 / 8x30, 12+22</x:v>
      </x:c>
    </x:row>
    <x:row r="321" ht="36" customHeight="1">
      <x:c r="A321" s="2" t="str">
        <x:v>R16H0316</x:v>
      </x:c>
      <x:c r="B321" s="2" t="str">
        <x:v>KI12-TV02S-01</x:v>
      </x:c>
      <x:c r="C321" s="2" t="str">
        <x:v>CSAP J23</x:v>
      </x:c>
      <x:c r="D321" s="2" t="n">
        <x:v>9</x:v>
      </x:c>
      <x:c r="E321" s="2" t="n">
        <x:v>191</x:v>
      </x:c>
      <x:c r="F321" s="2" t="n">
        <x:v>-18</x:v>
      </x:c>
      <x:c r="G321" s="2" t="n">
        <x:v>0</x:v>
      </x:c>
      <x:c r="H321" s="2" t="n">
        <x:v>0</x:v>
      </x:c>
      <x:c r="I321" s="2" t="n">
        <x:v>1</x:v>
      </x:c>
      <x:c r="J321" s="2" t="n">
        <x:v>8</x:v>
      </x:c>
      <x:c r="K321" s="2" t="n">
        <x:v>12</x:v>
      </x:c>
      <x:c r="L321" s="2" t="str">
        <x:v>R12 J01-J26 / 8x30, 12+22</x:v>
      </x:c>
    </x:row>
    <x:row r="322" ht="36" customHeight="1">
      <x:c r="A322" s="2" t="str">
        <x:v>R16H0317</x:v>
      </x:c>
      <x:c r="B322" s="2" t="str">
        <x:v>KI12-TV02S-01</x:v>
      </x:c>
      <x:c r="C322" s="2" t="str">
        <x:v>CSAP J23</x:v>
      </x:c>
      <x:c r="D322" s="2" t="n">
        <x:v>9</x:v>
      </x:c>
      <x:c r="E322" s="2" t="n">
        <x:v>332</x:v>
      </x:c>
      <x:c r="F322" s="2" t="n">
        <x:v>-18</x:v>
      </x:c>
      <x:c r="G322" s="2" t="n">
        <x:v>0</x:v>
      </x:c>
      <x:c r="H322" s="2" t="n">
        <x:v>0</x:v>
      </x:c>
      <x:c r="I322" s="2" t="n">
        <x:v>1</x:v>
      </x:c>
      <x:c r="J322" s="2" t="n">
        <x:v>8</x:v>
      </x:c>
      <x:c r="K322" s="2" t="n">
        <x:v>12</x:v>
      </x:c>
      <x:c r="L322" s="2" t="str">
        <x:v>R12 J01-J26 / 8x30, 12+22</x:v>
      </x:c>
    </x:row>
    <x:row r="323" ht="36" customHeight="1">
      <x:c r="A323" s="2" t="str">
        <x:v>R16H0318</x:v>
      </x:c>
      <x:c r="B323" s="2" t="str">
        <x:v>KI12-TV02S-01</x:v>
      </x:c>
      <x:c r="C323" s="2" t="str">
        <x:v>CSAP J24</x:v>
      </x:c>
      <x:c r="D323" s="2" t="n">
        <x:v>382</x:v>
      </x:c>
      <x:c r="E323" s="2" t="n">
        <x:v>50</x:v>
      </x:c>
      <x:c r="F323" s="2" t="n">
        <x:v>-9</x:v>
      </x:c>
      <x:c r="G323" s="2" t="n">
        <x:v>-1</x:v>
      </x:c>
      <x:c r="H323" s="2" t="n">
        <x:v>0</x:v>
      </x:c>
      <x:c r="I323" s="2" t="n">
        <x:v>0</x:v>
      </x:c>
      <x:c r="J323" s="2" t="n">
        <x:v>8</x:v>
      </x:c>
      <x:c r="K323" s="2" t="n">
        <x:v>22</x:v>
      </x:c>
      <x:c r="L323" s="2" t="str">
        <x:v>R12 J01-J26 / 8x30, 12+22</x:v>
      </x:c>
    </x:row>
    <x:row r="324" ht="36" customHeight="1">
      <x:c r="A324" s="2" t="str">
        <x:v>R16H0319</x:v>
      </x:c>
      <x:c r="B324" s="2" t="str">
        <x:v>KI12-TV02S-01</x:v>
      </x:c>
      <x:c r="C324" s="2" t="str">
        <x:v>CSAP J24</x:v>
      </x:c>
      <x:c r="D324" s="2" t="n">
        <x:v>382</x:v>
      </x:c>
      <x:c r="E324" s="2" t="n">
        <x:v>191</x:v>
      </x:c>
      <x:c r="F324" s="2" t="n">
        <x:v>-9</x:v>
      </x:c>
      <x:c r="G324" s="2" t="n">
        <x:v>-1</x:v>
      </x:c>
      <x:c r="H324" s="2" t="n">
        <x:v>0</x:v>
      </x:c>
      <x:c r="I324" s="2" t="n">
        <x:v>0</x:v>
      </x:c>
      <x:c r="J324" s="2" t="n">
        <x:v>8</x:v>
      </x:c>
      <x:c r="K324" s="2" t="n">
        <x:v>22</x:v>
      </x:c>
      <x:c r="L324" s="2" t="str">
        <x:v>R12 J01-J26 / 8x30, 12+22</x:v>
      </x:c>
    </x:row>
    <x:row r="325" ht="36" customHeight="1">
      <x:c r="A325" s="2" t="str">
        <x:v>R16H0320</x:v>
      </x:c>
      <x:c r="B325" s="2" t="str">
        <x:v>KI12-TV02S-01</x:v>
      </x:c>
      <x:c r="C325" s="2" t="str">
        <x:v>CSAP J24</x:v>
      </x:c>
      <x:c r="D325" s="2" t="n">
        <x:v>382</x:v>
      </x:c>
      <x:c r="E325" s="2" t="n">
        <x:v>332</x:v>
      </x:c>
      <x:c r="F325" s="2" t="n">
        <x:v>-9</x:v>
      </x:c>
      <x:c r="G325" s="2" t="n">
        <x:v>-1</x:v>
      </x:c>
      <x:c r="H325" s="2" t="n">
        <x:v>0</x:v>
      </x:c>
      <x:c r="I325" s="2" t="n">
        <x:v>0</x:v>
      </x:c>
      <x:c r="J325" s="2" t="n">
        <x:v>8</x:v>
      </x:c>
      <x:c r="K325" s="2" t="n">
        <x:v>22</x:v>
      </x:c>
      <x:c r="L325" s="2" t="str">
        <x:v>R12 J01-J26 / 8x30, 12+22</x:v>
      </x:c>
    </x:row>
    <x:row r="326" ht="36" customHeight="1">
      <x:c r="A326" s="2" t="str">
        <x:v>R16H0321</x:v>
      </x:c>
      <x:c r="B326" s="2" t="str">
        <x:v>KI12-TV02S-01</x:v>
      </x:c>
      <x:c r="C326" s="2" t="str">
        <x:v>LEC_OLDAL / R14-J077</x:v>
      </x:c>
      <x:c r="D326" s="2" t="n">
        <x:v>60</x:v>
      </x:c>
      <x:c r="E326" s="2" t="n">
        <x:v>345</x:v>
      </x:c>
      <x:c r="F326" s="2" t="n">
        <x:v>-18</x:v>
      </x:c>
      <x:c r="G326" s="2" t="n">
        <x:v>0</x:v>
      </x:c>
      <x:c r="H326" s="2" t="n">
        <x:v>0</x:v>
      </x:c>
      <x:c r="I326" s="2" t="n">
        <x:v>1</x:v>
      </x:c>
      <x:c r="J326" s="2" t="n">
        <x:v>2.5</x:v>
      </x:c>
      <x:c r="K326" s="2" t="n">
        <x:v>12</x:v>
      </x:c>
      <x:c r="L326" s="2" t="str">
        <x:v>R14 tervezői kiosztás; tényleges laphoz és csavarhoz próbafúrás</x:v>
      </x:c>
    </x:row>
    <x:row r="327" ht="36" customHeight="1">
      <x:c r="A327" s="2" t="str">
        <x:v>R16H0322</x:v>
      </x:c>
      <x:c r="B327" s="2" t="str">
        <x:v>KI12-TV02S-01</x:v>
      </x:c>
      <x:c r="C327" s="2" t="str">
        <x:v>LEC_OLDAL / R14-J079</x:v>
      </x:c>
      <x:c r="D327" s="2" t="n">
        <x:v>140</x:v>
      </x:c>
      <x:c r="E327" s="2" t="n">
        <x:v>345</x:v>
      </x:c>
      <x:c r="F327" s="2" t="n">
        <x:v>-18</x:v>
      </x:c>
      <x:c r="G327" s="2" t="n">
        <x:v>0</x:v>
      </x:c>
      <x:c r="H327" s="2" t="n">
        <x:v>0</x:v>
      </x:c>
      <x:c r="I327" s="2" t="n">
        <x:v>1</x:v>
      </x:c>
      <x:c r="J327" s="2" t="n">
        <x:v>2.5</x:v>
      </x:c>
      <x:c r="K327" s="2" t="n">
        <x:v>12</x:v>
      </x:c>
      <x:c r="L327" s="2" t="str">
        <x:v>R14 tervezői kiosztás; tényleges laphoz és csavarhoz próbafúrás</x:v>
      </x:c>
    </x:row>
    <x:row r="328" ht="36" customHeight="1">
      <x:c r="A328" s="2" t="str">
        <x:v>R16H0323</x:v>
      </x:c>
      <x:c r="B328" s="2" t="str">
        <x:v>KI12-TV02S-01</x:v>
      </x:c>
      <x:c r="C328" s="2" t="str">
        <x:v>LEC_OLDAL / R14-J081</x:v>
      </x:c>
      <x:c r="D328" s="2" t="n">
        <x:v>220</x:v>
      </x:c>
      <x:c r="E328" s="2" t="n">
        <x:v>345</x:v>
      </x:c>
      <x:c r="F328" s="2" t="n">
        <x:v>-18</x:v>
      </x:c>
      <x:c r="G328" s="2" t="n">
        <x:v>0</x:v>
      </x:c>
      <x:c r="H328" s="2" t="n">
        <x:v>0</x:v>
      </x:c>
      <x:c r="I328" s="2" t="n">
        <x:v>1</x:v>
      </x:c>
      <x:c r="J328" s="2" t="n">
        <x:v>2.5</x:v>
      </x:c>
      <x:c r="K328" s="2" t="n">
        <x:v>12</x:v>
      </x:c>
      <x:c r="L328" s="2" t="str">
        <x:v>R14 tervezői kiosztás; tényleges laphoz és csavarhoz próbafúrás</x:v>
      </x:c>
    </x:row>
    <x:row r="329" ht="36" customHeight="1">
      <x:c r="A329" s="2" t="str">
        <x:v>R16H0324</x:v>
      </x:c>
      <x:c r="B329" s="2" t="str">
        <x:v>KI12-TV02S-01</x:v>
      </x:c>
      <x:c r="C329" s="2" t="str">
        <x:v>MEREVITO_CSAP / R14-J121</x:v>
      </x:c>
      <x:c r="D329" s="2" t="n">
        <x:v>170</x:v>
      </x:c>
      <x:c r="E329" s="2" t="n">
        <x:v>327</x:v>
      </x:c>
      <x:c r="F329" s="2" t="n">
        <x:v>-18</x:v>
      </x:c>
      <x:c r="G329" s="2" t="n">
        <x:v>0</x:v>
      </x:c>
      <x:c r="H329" s="2" t="n">
        <x:v>0</x:v>
      </x:c>
      <x:c r="I329" s="2" t="n">
        <x:v>1</x:v>
      </x:c>
      <x:c r="J329" s="2" t="n">
        <x:v>8</x:v>
      </x:c>
      <x:c r="K329" s="2" t="n">
        <x:v>12</x:v>
      </x:c>
      <x:c r="L329" s="2" t="str">
        <x:v>R14 Ø8x30 bükk csap, 22+12 mélység; középosztón 10 mm eltolt tengely</x:v>
      </x:c>
    </x:row>
    <x:row r="330" ht="36" customHeight="1">
      <x:c r="A330" s="2" t="str">
        <x:v>R16H0325</x:v>
      </x:c>
      <x:c r="B330" s="2" t="str">
        <x:v>KI12-TV02S-01</x:v>
      </x:c>
      <x:c r="C330" s="2" t="str">
        <x:v>MEREVITO_CSAP / R14-J122</x:v>
      </x:c>
      <x:c r="D330" s="2" t="n">
        <x:v>200</x:v>
      </x:c>
      <x:c r="E330" s="2" t="n">
        <x:v>327</x:v>
      </x:c>
      <x:c r="F330" s="2" t="n">
        <x:v>-18</x:v>
      </x:c>
      <x:c r="G330" s="2" t="n">
        <x:v>0</x:v>
      </x:c>
      <x:c r="H330" s="2" t="n">
        <x:v>0</x:v>
      </x:c>
      <x:c r="I330" s="2" t="n">
        <x:v>1</x:v>
      </x:c>
      <x:c r="J330" s="2" t="n">
        <x:v>8</x:v>
      </x:c>
      <x:c r="K330" s="2" t="n">
        <x:v>12</x:v>
      </x:c>
      <x:c r="L330" s="2" t="str">
        <x:v>R14 Ø8x30 bükk csap, 22+12 mélység; középosztón 10 mm eltolt tengely</x:v>
      </x:c>
    </x:row>
    <x:row r="331" ht="36" customHeight="1">
      <x:c r="A331" s="2" t="str">
        <x:v>R16H0326</x:v>
      </x:c>
      <x:c r="B331" s="2" t="str">
        <x:v>KI12-TV02S-01</x:v>
      </x:c>
      <x:c r="C331" s="2" t="str">
        <x:v>MEREVITO_CSAP / R14-J123</x:v>
      </x:c>
      <x:c r="D331" s="2" t="n">
        <x:v>230</x:v>
      </x:c>
      <x:c r="E331" s="2" t="n">
        <x:v>327</x:v>
      </x:c>
      <x:c r="F331" s="2" t="n">
        <x:v>-18</x:v>
      </x:c>
      <x:c r="G331" s="2" t="n">
        <x:v>0</x:v>
      </x:c>
      <x:c r="H331" s="2" t="n">
        <x:v>0</x:v>
      </x:c>
      <x:c r="I331" s="2" t="n">
        <x:v>1</x:v>
      </x:c>
      <x:c r="J331" s="2" t="n">
        <x:v>8</x:v>
      </x:c>
      <x:c r="K331" s="2" t="n">
        <x:v>12</x:v>
      </x:c>
      <x:c r="L331" s="2" t="str">
        <x:v>R14 Ø8x30 bükk csap, 22+12 mélység; középosztón 10 mm eltolt tengely</x:v>
      </x:c>
    </x:row>
    <x:row r="332" ht="36" customHeight="1">
      <x:c r="A332" s="2" t="str">
        <x:v>R16H0327</x:v>
      </x:c>
      <x:c r="B332" s="2" t="str">
        <x:v>KI12-TV02S-01</x:v>
      </x:c>
      <x:c r="C332" s="2" t="str">
        <x:v>CAMAR807_DUBEL</x:v>
      </x:c>
      <x:c r="D332" s="2" t="n">
        <x:v>352</x:v>
      </x:c>
      <x:c r="E332" s="2" t="n">
        <x:v>330</x:v>
      </x:c>
      <x:c r="F332" s="2" t="n">
        <x:v>-18</x:v>
      </x:c>
      <x:c r="G332" s="2" t="n">
        <x:v>0</x:v>
      </x:c>
      <x:c r="H332" s="2" t="n">
        <x:v>0</x:v>
      </x:c>
      <x:c r="I332" s="2" t="n">
        <x:v>1</x:v>
      </x:c>
      <x:c r="J332" s="2" t="n">
        <x:v>10</x:v>
      </x:c>
      <x:c r="K332" s="2" t="n">
        <x:v>12</x:v>
      </x:c>
      <x:c r="L332" s="2" t="str">
        <x:v>Camar807_IN.pdf F1: Ø10/12,32x64;30mm felső visszaállás; új vasalat/oldallap próba és alkalmazás jóváhagyandó</x:v>
      </x:c>
    </x:row>
    <x:row r="333" ht="36" customHeight="1">
      <x:c r="A333" s="2" t="str">
        <x:v>R16H0328</x:v>
      </x:c>
      <x:c r="B333" s="2" t="str">
        <x:v>KI12-TV02S-01</x:v>
      </x:c>
      <x:c r="C333" s="2" t="str">
        <x:v>CAMAR807_DUBEL</x:v>
      </x:c>
      <x:c r="D333" s="2" t="n">
        <x:v>288</x:v>
      </x:c>
      <x:c r="E333" s="2" t="n">
        <x:v>330</x:v>
      </x:c>
      <x:c r="F333" s="2" t="n">
        <x:v>-18</x:v>
      </x:c>
      <x:c r="G333" s="2" t="n">
        <x:v>0</x:v>
      </x:c>
      <x:c r="H333" s="2" t="n">
        <x:v>0</x:v>
      </x:c>
      <x:c r="I333" s="2" t="n">
        <x:v>1</x:v>
      </x:c>
      <x:c r="J333" s="2" t="n">
        <x:v>10</x:v>
      </x:c>
      <x:c r="K333" s="2" t="n">
        <x:v>12</x:v>
      </x:c>
      <x:c r="L333" s="2" t="str">
        <x:v>Camar807_IN.pdf F1: Ø10/12,32x64;30mm felső visszaállás; új vasalat/oldallap próba és alkalmazás jóváhagyandó</x:v>
      </x:c>
    </x:row>
    <x:row r="334" ht="36" customHeight="1">
      <x:c r="A334" s="2" t="str">
        <x:v>R16H0329</x:v>
      </x:c>
      <x:c r="B334" s="2" t="str">
        <x:v>KI12-TV02S-01</x:v>
      </x:c>
      <x:c r="C334" s="2" t="str">
        <x:v>CAMAR807_DUBEL</x:v>
      </x:c>
      <x:c r="D334" s="2" t="n">
        <x:v>352</x:v>
      </x:c>
      <x:c r="E334" s="2" t="n">
        <x:v>362</x:v>
      </x:c>
      <x:c r="F334" s="2" t="n">
        <x:v>-18</x:v>
      </x:c>
      <x:c r="G334" s="2" t="n">
        <x:v>0</x:v>
      </x:c>
      <x:c r="H334" s="2" t="n">
        <x:v>0</x:v>
      </x:c>
      <x:c r="I334" s="2" t="n">
        <x:v>1</x:v>
      </x:c>
      <x:c r="J334" s="2" t="n">
        <x:v>10</x:v>
      </x:c>
      <x:c r="K334" s="2" t="n">
        <x:v>12</x:v>
      </x:c>
      <x:c r="L334" s="2" t="str">
        <x:v>Camar807_IN.pdf F1: Ø10/12,32x64;30mm felső visszaállás; új vasalat/oldallap próba és alkalmazás jóváhagyandó</x:v>
      </x:c>
    </x:row>
    <x:row r="335" ht="36" customHeight="1">
      <x:c r="A335" s="2" t="str">
        <x:v>R16H0330</x:v>
      </x:c>
      <x:c r="B335" s="2" t="str">
        <x:v>KI12-TV02S-01</x:v>
      </x:c>
      <x:c r="C335" s="2" t="str">
        <x:v>CAMAR807_DUBEL</x:v>
      </x:c>
      <x:c r="D335" s="2" t="n">
        <x:v>288</x:v>
      </x:c>
      <x:c r="E335" s="2" t="n">
        <x:v>362</x:v>
      </x:c>
      <x:c r="F335" s="2" t="n">
        <x:v>-18</x:v>
      </x:c>
      <x:c r="G335" s="2" t="n">
        <x:v>0</x:v>
      </x:c>
      <x:c r="H335" s="2" t="n">
        <x:v>0</x:v>
      </x:c>
      <x:c r="I335" s="2" t="n">
        <x:v>1</x:v>
      </x:c>
      <x:c r="J335" s="2" t="n">
        <x:v>10</x:v>
      </x:c>
      <x:c r="K335" s="2" t="n">
        <x:v>12</x:v>
      </x:c>
      <x:c r="L335" s="2" t="str">
        <x:v>Camar807_IN.pdf F1: Ø10/12,32x64;30mm felső visszaállás; új vasalat/oldallap próba és alkalmazás jóváhagyandó</x:v>
      </x:c>
    </x:row>
    <x:row r="336" ht="36" customHeight="1">
      <x:c r="A336" s="2" t="str">
        <x:v>R16H0331</x:v>
      </x:c>
      <x:c r="B336" s="2" t="str">
        <x:v>KI12-TV02S-02</x:v>
      </x:c>
      <x:c r="C336" s="2" t="str">
        <x:v>CSAP J25</x:v>
      </x:c>
      <x:c r="D336" s="2" t="n">
        <x:v>9</x:v>
      </x:c>
      <x:c r="E336" s="2" t="n">
        <x:v>50</x:v>
      </x:c>
      <x:c r="F336" s="2" t="n">
        <x:v>0</x:v>
      </x:c>
      <x:c r="G336" s="2" t="n">
        <x:v>0</x:v>
      </x:c>
      <x:c r="H336" s="2" t="n">
        <x:v>0</x:v>
      </x:c>
      <x:c r="I336" s="2" t="n">
        <x:v>-1</x:v>
      </x:c>
      <x:c r="J336" s="2" t="n">
        <x:v>8</x:v>
      </x:c>
      <x:c r="K336" s="2" t="n">
        <x:v>12</x:v>
      </x:c>
      <x:c r="L336" s="2" t="str">
        <x:v>R12 J01-J26 / 8x30, 12+22</x:v>
      </x:c>
    </x:row>
    <x:row r="337" ht="36" customHeight="1">
      <x:c r="A337" s="2" t="str">
        <x:v>R16H0332</x:v>
      </x:c>
      <x:c r="B337" s="2" t="str">
        <x:v>KI12-TV02S-02</x:v>
      </x:c>
      <x:c r="C337" s="2" t="str">
        <x:v>CSAP J25</x:v>
      </x:c>
      <x:c r="D337" s="2" t="n">
        <x:v>9</x:v>
      </x:c>
      <x:c r="E337" s="2" t="n">
        <x:v>191</x:v>
      </x:c>
      <x:c r="F337" s="2" t="n">
        <x:v>0</x:v>
      </x:c>
      <x:c r="G337" s="2" t="n">
        <x:v>0</x:v>
      </x:c>
      <x:c r="H337" s="2" t="n">
        <x:v>0</x:v>
      </x:c>
      <x:c r="I337" s="2" t="n">
        <x:v>-1</x:v>
      </x:c>
      <x:c r="J337" s="2" t="n">
        <x:v>8</x:v>
      </x:c>
      <x:c r="K337" s="2" t="n">
        <x:v>12</x:v>
      </x:c>
      <x:c r="L337" s="2" t="str">
        <x:v>R12 J01-J26 / 8x30, 12+22</x:v>
      </x:c>
    </x:row>
    <x:row r="338" ht="36" customHeight="1">
      <x:c r="A338" s="2" t="str">
        <x:v>R16H0333</x:v>
      </x:c>
      <x:c r="B338" s="2" t="str">
        <x:v>KI12-TV02S-02</x:v>
      </x:c>
      <x:c r="C338" s="2" t="str">
        <x:v>CSAP J25</x:v>
      </x:c>
      <x:c r="D338" s="2" t="n">
        <x:v>9</x:v>
      </x:c>
      <x:c r="E338" s="2" t="n">
        <x:v>332</x:v>
      </x:c>
      <x:c r="F338" s="2" t="n">
        <x:v>0</x:v>
      </x:c>
      <x:c r="G338" s="2" t="n">
        <x:v>0</x:v>
      </x:c>
      <x:c r="H338" s="2" t="n">
        <x:v>0</x:v>
      </x:c>
      <x:c r="I338" s="2" t="n">
        <x:v>-1</x:v>
      </x:c>
      <x:c r="J338" s="2" t="n">
        <x:v>8</x:v>
      </x:c>
      <x:c r="K338" s="2" t="n">
        <x:v>12</x:v>
      </x:c>
      <x:c r="L338" s="2" t="str">
        <x:v>R12 J01-J26 / 8x30, 12+22</x:v>
      </x:c>
    </x:row>
    <x:row r="339" ht="36" customHeight="1">
      <x:c r="A339" s="2" t="str">
        <x:v>R16H0334</x:v>
      </x:c>
      <x:c r="B339" s="2" t="str">
        <x:v>KI12-TV02S-02</x:v>
      </x:c>
      <x:c r="C339" s="2" t="str">
        <x:v>CSAP J26</x:v>
      </x:c>
      <x:c r="D339" s="2" t="n">
        <x:v>382</x:v>
      </x:c>
      <x:c r="E339" s="2" t="n">
        <x:v>50</x:v>
      </x:c>
      <x:c r="F339" s="2" t="n">
        <x:v>-9</x:v>
      </x:c>
      <x:c r="G339" s="2" t="n">
        <x:v>-1</x:v>
      </x:c>
      <x:c r="H339" s="2" t="n">
        <x:v>0</x:v>
      </x:c>
      <x:c r="I339" s="2" t="n">
        <x:v>0</x:v>
      </x:c>
      <x:c r="J339" s="2" t="n">
        <x:v>8</x:v>
      </x:c>
      <x:c r="K339" s="2" t="n">
        <x:v>22</x:v>
      </x:c>
      <x:c r="L339" s="2" t="str">
        <x:v>R12 J01-J26 / 8x30, 12+22</x:v>
      </x:c>
    </x:row>
    <x:row r="340" ht="36" customHeight="1">
      <x:c r="A340" s="2" t="str">
        <x:v>R16H0335</x:v>
      </x:c>
      <x:c r="B340" s="2" t="str">
        <x:v>KI12-TV02S-02</x:v>
      </x:c>
      <x:c r="C340" s="2" t="str">
        <x:v>CSAP J26</x:v>
      </x:c>
      <x:c r="D340" s="2" t="n">
        <x:v>382</x:v>
      </x:c>
      <x:c r="E340" s="2" t="n">
        <x:v>191</x:v>
      </x:c>
      <x:c r="F340" s="2" t="n">
        <x:v>-9</x:v>
      </x:c>
      <x:c r="G340" s="2" t="n">
        <x:v>-1</x:v>
      </x:c>
      <x:c r="H340" s="2" t="n">
        <x:v>0</x:v>
      </x:c>
      <x:c r="I340" s="2" t="n">
        <x:v>0</x:v>
      </x:c>
      <x:c r="J340" s="2" t="n">
        <x:v>8</x:v>
      </x:c>
      <x:c r="K340" s="2" t="n">
        <x:v>22</x:v>
      </x:c>
      <x:c r="L340" s="2" t="str">
        <x:v>R12 J01-J26 / 8x30, 12+22</x:v>
      </x:c>
    </x:row>
    <x:row r="341" ht="36" customHeight="1">
      <x:c r="A341" s="2" t="str">
        <x:v>R16H0336</x:v>
      </x:c>
      <x:c r="B341" s="2" t="str">
        <x:v>KI12-TV02S-02</x:v>
      </x:c>
      <x:c r="C341" s="2" t="str">
        <x:v>CSAP J26</x:v>
      </x:c>
      <x:c r="D341" s="2" t="n">
        <x:v>382</x:v>
      </x:c>
      <x:c r="E341" s="2" t="n">
        <x:v>332</x:v>
      </x:c>
      <x:c r="F341" s="2" t="n">
        <x:v>-9</x:v>
      </x:c>
      <x:c r="G341" s="2" t="n">
        <x:v>-1</x:v>
      </x:c>
      <x:c r="H341" s="2" t="n">
        <x:v>0</x:v>
      </x:c>
      <x:c r="I341" s="2" t="n">
        <x:v>0</x:v>
      </x:c>
      <x:c r="J341" s="2" t="n">
        <x:v>8</x:v>
      </x:c>
      <x:c r="K341" s="2" t="n">
        <x:v>22</x:v>
      </x:c>
      <x:c r="L341" s="2" t="str">
        <x:v>R12 J01-J26 / 8x30, 12+22</x:v>
      </x:c>
    </x:row>
    <x:row r="342" ht="36" customHeight="1">
      <x:c r="A342" s="2" t="str">
        <x:v>R16H0337</x:v>
      </x:c>
      <x:c r="B342" s="2" t="str">
        <x:v>KI12-TV02S-02</x:v>
      </x:c>
      <x:c r="C342" s="2" t="str">
        <x:v>LEC_OLDAL / R14-J083</x:v>
      </x:c>
      <x:c r="D342" s="2" t="n">
        <x:v>60</x:v>
      </x:c>
      <x:c r="E342" s="2" t="n">
        <x:v>345</x:v>
      </x:c>
      <x:c r="F342" s="2" t="n">
        <x:v>0</x:v>
      </x:c>
      <x:c r="G342" s="2" t="n">
        <x:v>0</x:v>
      </x:c>
      <x:c r="H342" s="2" t="n">
        <x:v>0</x:v>
      </x:c>
      <x:c r="I342" s="2" t="n">
        <x:v>-1</x:v>
      </x:c>
      <x:c r="J342" s="2" t="n">
        <x:v>2.5</x:v>
      </x:c>
      <x:c r="K342" s="2" t="n">
        <x:v>12</x:v>
      </x:c>
      <x:c r="L342" s="2" t="str">
        <x:v>R14 tervezői kiosztás; tényleges laphoz és csavarhoz próbafúrás</x:v>
      </x:c>
    </x:row>
    <x:row r="343" ht="36" customHeight="1">
      <x:c r="A343" s="2" t="str">
        <x:v>R16H0338</x:v>
      </x:c>
      <x:c r="B343" s="2" t="str">
        <x:v>KI12-TV02S-02</x:v>
      </x:c>
      <x:c r="C343" s="2" t="str">
        <x:v>LEC_OLDAL / R14-J085</x:v>
      </x:c>
      <x:c r="D343" s="2" t="n">
        <x:v>140</x:v>
      </x:c>
      <x:c r="E343" s="2" t="n">
        <x:v>345</x:v>
      </x:c>
      <x:c r="F343" s="2" t="n">
        <x:v>0</x:v>
      </x:c>
      <x:c r="G343" s="2" t="n">
        <x:v>0</x:v>
      </x:c>
      <x:c r="H343" s="2" t="n">
        <x:v>0</x:v>
      </x:c>
      <x:c r="I343" s="2" t="n">
        <x:v>-1</x:v>
      </x:c>
      <x:c r="J343" s="2" t="n">
        <x:v>2.5</x:v>
      </x:c>
      <x:c r="K343" s="2" t="n">
        <x:v>12</x:v>
      </x:c>
      <x:c r="L343" s="2" t="str">
        <x:v>R14 tervezői kiosztás; tényleges laphoz és csavarhoz próbafúrás</x:v>
      </x:c>
    </x:row>
    <x:row r="344" ht="36" customHeight="1">
      <x:c r="A344" s="2" t="str">
        <x:v>R16H0339</x:v>
      </x:c>
      <x:c r="B344" s="2" t="str">
        <x:v>KI12-TV02S-02</x:v>
      </x:c>
      <x:c r="C344" s="2" t="str">
        <x:v>LEC_OLDAL / R14-J087</x:v>
      </x:c>
      <x:c r="D344" s="2" t="n">
        <x:v>220</x:v>
      </x:c>
      <x:c r="E344" s="2" t="n">
        <x:v>345</x:v>
      </x:c>
      <x:c r="F344" s="2" t="n">
        <x:v>0</x:v>
      </x:c>
      <x:c r="G344" s="2" t="n">
        <x:v>0</x:v>
      </x:c>
      <x:c r="H344" s="2" t="n">
        <x:v>0</x:v>
      </x:c>
      <x:c r="I344" s="2" t="n">
        <x:v>-1</x:v>
      </x:c>
      <x:c r="J344" s="2" t="n">
        <x:v>2.5</x:v>
      </x:c>
      <x:c r="K344" s="2" t="n">
        <x:v>12</x:v>
      </x:c>
      <x:c r="L344" s="2" t="str">
        <x:v>R14 tervezői kiosztás; tényleges laphoz és csavarhoz próbafúrás</x:v>
      </x:c>
    </x:row>
    <x:row r="345" ht="36" customHeight="1">
      <x:c r="A345" s="2" t="str">
        <x:v>R16H0340</x:v>
      </x:c>
      <x:c r="B345" s="2" t="str">
        <x:v>KI12-TV02S-02</x:v>
      </x:c>
      <x:c r="C345" s="2" t="str">
        <x:v>MEREVITO_CSAP / R14-J124</x:v>
      </x:c>
      <x:c r="D345" s="2" t="n">
        <x:v>170</x:v>
      </x:c>
      <x:c r="E345" s="2" t="n">
        <x:v>327</x:v>
      </x:c>
      <x:c r="F345" s="2" t="n">
        <x:v>0</x:v>
      </x:c>
      <x:c r="G345" s="2" t="n">
        <x:v>0</x:v>
      </x:c>
      <x:c r="H345" s="2" t="n">
        <x:v>0</x:v>
      </x:c>
      <x:c r="I345" s="2" t="n">
        <x:v>-1</x:v>
      </x:c>
      <x:c r="J345" s="2" t="n">
        <x:v>8</x:v>
      </x:c>
      <x:c r="K345" s="2" t="n">
        <x:v>12</x:v>
      </x:c>
      <x:c r="L345" s="2" t="str">
        <x:v>R14 Ø8x30 bükk csap, 22+12 mélység; középosztón 10 mm eltolt tengely</x:v>
      </x:c>
    </x:row>
    <x:row r="346" ht="36" customHeight="1">
      <x:c r="A346" s="2" t="str">
        <x:v>R16H0341</x:v>
      </x:c>
      <x:c r="B346" s="2" t="str">
        <x:v>KI12-TV02S-02</x:v>
      </x:c>
      <x:c r="C346" s="2" t="str">
        <x:v>MEREVITO_CSAP / R14-J125</x:v>
      </x:c>
      <x:c r="D346" s="2" t="n">
        <x:v>200</x:v>
      </x:c>
      <x:c r="E346" s="2" t="n">
        <x:v>327</x:v>
      </x:c>
      <x:c r="F346" s="2" t="n">
        <x:v>0</x:v>
      </x:c>
      <x:c r="G346" s="2" t="n">
        <x:v>0</x:v>
      </x:c>
      <x:c r="H346" s="2" t="n">
        <x:v>0</x:v>
      </x:c>
      <x:c r="I346" s="2" t="n">
        <x:v>-1</x:v>
      </x:c>
      <x:c r="J346" s="2" t="n">
        <x:v>8</x:v>
      </x:c>
      <x:c r="K346" s="2" t="n">
        <x:v>12</x:v>
      </x:c>
      <x:c r="L346" s="2" t="str">
        <x:v>R14 Ø8x30 bükk csap, 22+12 mélység; középosztón 10 mm eltolt tengely</x:v>
      </x:c>
    </x:row>
    <x:row r="347" ht="36" customHeight="1">
      <x:c r="A347" s="2" t="str">
        <x:v>R16H0342</x:v>
      </x:c>
      <x:c r="B347" s="2" t="str">
        <x:v>KI12-TV02S-02</x:v>
      </x:c>
      <x:c r="C347" s="2" t="str">
        <x:v>MEREVITO_CSAP / R14-J126</x:v>
      </x:c>
      <x:c r="D347" s="2" t="n">
        <x:v>230</x:v>
      </x:c>
      <x:c r="E347" s="2" t="n">
        <x:v>327</x:v>
      </x:c>
      <x:c r="F347" s="2" t="n">
        <x:v>0</x:v>
      </x:c>
      <x:c r="G347" s="2" t="n">
        <x:v>0</x:v>
      </x:c>
      <x:c r="H347" s="2" t="n">
        <x:v>0</x:v>
      </x:c>
      <x:c r="I347" s="2" t="n">
        <x:v>-1</x:v>
      </x:c>
      <x:c r="J347" s="2" t="n">
        <x:v>8</x:v>
      </x:c>
      <x:c r="K347" s="2" t="n">
        <x:v>12</x:v>
      </x:c>
      <x:c r="L347" s="2" t="str">
        <x:v>R14 Ø8x30 bükk csap, 22+12 mélység; középosztón 10 mm eltolt tengely</x:v>
      </x:c>
    </x:row>
    <x:row r="348" ht="36" customHeight="1">
      <x:c r="A348" s="2" t="str">
        <x:v>R16H0343</x:v>
      </x:c>
      <x:c r="B348" s="2" t="str">
        <x:v>KI12-TV02S-02</x:v>
      </x:c>
      <x:c r="C348" s="2" t="str">
        <x:v>CAMAR807_DUBEL</x:v>
      </x:c>
      <x:c r="D348" s="2" t="n">
        <x:v>352</x:v>
      </x:c>
      <x:c r="E348" s="2" t="n">
        <x:v>330</x:v>
      </x:c>
      <x:c r="F348" s="2" t="n">
        <x:v>0</x:v>
      </x:c>
      <x:c r="G348" s="2" t="n">
        <x:v>0</x:v>
      </x:c>
      <x:c r="H348" s="2" t="n">
        <x:v>0</x:v>
      </x:c>
      <x:c r="I348" s="2" t="n">
        <x:v>-1</x:v>
      </x:c>
      <x:c r="J348" s="2" t="n">
        <x:v>10</x:v>
      </x:c>
      <x:c r="K348" s="2" t="n">
        <x:v>12</x:v>
      </x:c>
      <x:c r="L348" s="2" t="str">
        <x:v>Camar807_IN.pdf F1: Ø10/12,32x64;30mm felső visszaállás; új vasalat/oldallap próba és alkalmazás jóváhagyandó</x:v>
      </x:c>
    </x:row>
    <x:row r="349" ht="36" customHeight="1">
      <x:c r="A349" s="2" t="str">
        <x:v>R16H0344</x:v>
      </x:c>
      <x:c r="B349" s="2" t="str">
        <x:v>KI12-TV02S-02</x:v>
      </x:c>
      <x:c r="C349" s="2" t="str">
        <x:v>CAMAR807_DUBEL</x:v>
      </x:c>
      <x:c r="D349" s="2" t="n">
        <x:v>288</x:v>
      </x:c>
      <x:c r="E349" s="2" t="n">
        <x:v>330</x:v>
      </x:c>
      <x:c r="F349" s="2" t="n">
        <x:v>0</x:v>
      </x:c>
      <x:c r="G349" s="2" t="n">
        <x:v>0</x:v>
      </x:c>
      <x:c r="H349" s="2" t="n">
        <x:v>0</x:v>
      </x:c>
      <x:c r="I349" s="2" t="n">
        <x:v>-1</x:v>
      </x:c>
      <x:c r="J349" s="2" t="n">
        <x:v>10</x:v>
      </x:c>
      <x:c r="K349" s="2" t="n">
        <x:v>12</x:v>
      </x:c>
      <x:c r="L349" s="2" t="str">
        <x:v>Camar807_IN.pdf F1: Ø10/12,32x64;30mm felső visszaállás; új vasalat/oldallap próba és alkalmazás jóváhagyandó</x:v>
      </x:c>
    </x:row>
    <x:row r="350" ht="36" customHeight="1">
      <x:c r="A350" s="2" t="str">
        <x:v>R16H0345</x:v>
      </x:c>
      <x:c r="B350" s="2" t="str">
        <x:v>KI12-TV02S-02</x:v>
      </x:c>
      <x:c r="C350" s="2" t="str">
        <x:v>CAMAR807_DUBEL</x:v>
      </x:c>
      <x:c r="D350" s="2" t="n">
        <x:v>352</x:v>
      </x:c>
      <x:c r="E350" s="2" t="n">
        <x:v>362</x:v>
      </x:c>
      <x:c r="F350" s="2" t="n">
        <x:v>0</x:v>
      </x:c>
      <x:c r="G350" s="2" t="n">
        <x:v>0</x:v>
      </x:c>
      <x:c r="H350" s="2" t="n">
        <x:v>0</x:v>
      </x:c>
      <x:c r="I350" s="2" t="n">
        <x:v>-1</x:v>
      </x:c>
      <x:c r="J350" s="2" t="n">
        <x:v>10</x:v>
      </x:c>
      <x:c r="K350" s="2" t="n">
        <x:v>12</x:v>
      </x:c>
      <x:c r="L350" s="2" t="str">
        <x:v>Camar807_IN.pdf F1: Ø10/12,32x64;30mm felső visszaállás; új vasalat/oldallap próba és alkalmazás jóváhagyandó</x:v>
      </x:c>
    </x:row>
    <x:row r="351" ht="36" customHeight="1">
      <x:c r="A351" s="2" t="str">
        <x:v>R16H0346</x:v>
      </x:c>
      <x:c r="B351" s="2" t="str">
        <x:v>KI12-TV02S-02</x:v>
      </x:c>
      <x:c r="C351" s="2" t="str">
        <x:v>CAMAR807_DUBEL</x:v>
      </x:c>
      <x:c r="D351" s="2" t="n">
        <x:v>288</x:v>
      </x:c>
      <x:c r="E351" s="2" t="n">
        <x:v>362</x:v>
      </x:c>
      <x:c r="F351" s="2" t="n">
        <x:v>0</x:v>
      </x:c>
      <x:c r="G351" s="2" t="n">
        <x:v>0</x:v>
      </x:c>
      <x:c r="H351" s="2" t="n">
        <x:v>0</x:v>
      </x:c>
      <x:c r="I351" s="2" t="n">
        <x:v>-1</x:v>
      </x:c>
      <x:c r="J351" s="2" t="n">
        <x:v>10</x:v>
      </x:c>
      <x:c r="K351" s="2" t="n">
        <x:v>12</x:v>
      </x:c>
      <x:c r="L351" s="2" t="str">
        <x:v>Camar807_IN.pdf F1: Ø10/12,32x64;30mm felső visszaállás; új vasalat/oldallap próba és alkalmazás jóváhagyandó</x:v>
      </x:c>
    </x:row>
    <x:row r="352" ht="36" customHeight="1">
      <x:c r="A352" s="2" t="str">
        <x:v>R16H0347</x:v>
      </x:c>
      <x:c r="B352" s="2" t="str">
        <x:v>KI12-TV02T1-01</x:v>
      </x:c>
      <x:c r="C352" s="2" t="str">
        <x:v>CSAP J23</x:v>
      </x:c>
      <x:c r="D352" s="2" t="n">
        <x:v>0</x:v>
      </x:c>
      <x:c r="E352" s="2" t="n">
        <x:v>50</x:v>
      </x:c>
      <x:c r="F352" s="2" t="n">
        <x:v>-9</x:v>
      </x:c>
      <x:c r="G352" s="2" t="n">
        <x:v>1</x:v>
      </x:c>
      <x:c r="H352" s="2" t="n">
        <x:v>0</x:v>
      </x:c>
      <x:c r="I352" s="2" t="n">
        <x:v>0</x:v>
      </x:c>
      <x:c r="J352" s="2" t="n">
        <x:v>8</x:v>
      </x:c>
      <x:c r="K352" s="2" t="n">
        <x:v>22</x:v>
      </x:c>
      <x:c r="L352" s="2" t="str">
        <x:v>R12 J01-J26 / 8x30, 12+22</x:v>
      </x:c>
    </x:row>
    <x:row r="353" ht="36" customHeight="1">
      <x:c r="A353" s="2" t="str">
        <x:v>R16H0348</x:v>
      </x:c>
      <x:c r="B353" s="2" t="str">
        <x:v>KI12-TV02T1-01</x:v>
      </x:c>
      <x:c r="C353" s="2" t="str">
        <x:v>CSAP J23</x:v>
      </x:c>
      <x:c r="D353" s="2" t="n">
        <x:v>0</x:v>
      </x:c>
      <x:c r="E353" s="2" t="n">
        <x:v>191</x:v>
      </x:c>
      <x:c r="F353" s="2" t="n">
        <x:v>-9</x:v>
      </x:c>
      <x:c r="G353" s="2" t="n">
        <x:v>1</x:v>
      </x:c>
      <x:c r="H353" s="2" t="n">
        <x:v>0</x:v>
      </x:c>
      <x:c r="I353" s="2" t="n">
        <x:v>0</x:v>
      </x:c>
      <x:c r="J353" s="2" t="n">
        <x:v>8</x:v>
      </x:c>
      <x:c r="K353" s="2" t="n">
        <x:v>22</x:v>
      </x:c>
      <x:c r="L353" s="2" t="str">
        <x:v>R12 J01-J26 / 8x30, 12+22</x:v>
      </x:c>
    </x:row>
    <x:row r="354" ht="36" customHeight="1">
      <x:c r="A354" s="2" t="str">
        <x:v>R16H0349</x:v>
      </x:c>
      <x:c r="B354" s="2" t="str">
        <x:v>KI12-TV02T1-01</x:v>
      </x:c>
      <x:c r="C354" s="2" t="str">
        <x:v>CSAP J23</x:v>
      </x:c>
      <x:c r="D354" s="2" t="n">
        <x:v>0</x:v>
      </x:c>
      <x:c r="E354" s="2" t="n">
        <x:v>332</x:v>
      </x:c>
      <x:c r="F354" s="2" t="n">
        <x:v>-9</x:v>
      </x:c>
      <x:c r="G354" s="2" t="n">
        <x:v>1</x:v>
      </x:c>
      <x:c r="H354" s="2" t="n">
        <x:v>0</x:v>
      </x:c>
      <x:c r="I354" s="2" t="n">
        <x:v>0</x:v>
      </x:c>
      <x:c r="J354" s="2" t="n">
        <x:v>8</x:v>
      </x:c>
      <x:c r="K354" s="2" t="n">
        <x:v>22</x:v>
      </x:c>
      <x:c r="L354" s="2" t="str">
        <x:v>R12 J01-J26 / 8x30, 12+22</x:v>
      </x:c>
    </x:row>
    <x:row r="355" ht="36" customHeight="1">
      <x:c r="A355" s="2" t="str">
        <x:v>R16H0350</x:v>
      </x:c>
      <x:c r="B355" s="2" t="str">
        <x:v>KI12-TV02T1-01</x:v>
      </x:c>
      <x:c r="C355" s="2" t="str">
        <x:v>CSAP J25</x:v>
      </x:c>
      <x:c r="D355" s="2" t="n">
        <x:v>684</x:v>
      </x:c>
      <x:c r="E355" s="2" t="n">
        <x:v>50</x:v>
      </x:c>
      <x:c r="F355" s="2" t="n">
        <x:v>-9</x:v>
      </x:c>
      <x:c r="G355" s="2" t="n">
        <x:v>-1</x:v>
      </x:c>
      <x:c r="H355" s="2" t="n">
        <x:v>0</x:v>
      </x:c>
      <x:c r="I355" s="2" t="n">
        <x:v>0</x:v>
      </x:c>
      <x:c r="J355" s="2" t="n">
        <x:v>8</x:v>
      </x:c>
      <x:c r="K355" s="2" t="n">
        <x:v>22</x:v>
      </x:c>
      <x:c r="L355" s="2" t="str">
        <x:v>R12 J01-J26 / 8x30, 12+22</x:v>
      </x:c>
    </x:row>
    <x:row r="356" ht="36" customHeight="1">
      <x:c r="A356" s="2" t="str">
        <x:v>R16H0351</x:v>
      </x:c>
      <x:c r="B356" s="2" t="str">
        <x:v>KI12-TV02T1-01</x:v>
      </x:c>
      <x:c r="C356" s="2" t="str">
        <x:v>CSAP J25</x:v>
      </x:c>
      <x:c r="D356" s="2" t="n">
        <x:v>684</x:v>
      </x:c>
      <x:c r="E356" s="2" t="n">
        <x:v>191</x:v>
      </x:c>
      <x:c r="F356" s="2" t="n">
        <x:v>-9</x:v>
      </x:c>
      <x:c r="G356" s="2" t="n">
        <x:v>-1</x:v>
      </x:c>
      <x:c r="H356" s="2" t="n">
        <x:v>0</x:v>
      </x:c>
      <x:c r="I356" s="2" t="n">
        <x:v>0</x:v>
      </x:c>
      <x:c r="J356" s="2" t="n">
        <x:v>8</x:v>
      </x:c>
      <x:c r="K356" s="2" t="n">
        <x:v>22</x:v>
      </x:c>
      <x:c r="L356" s="2" t="str">
        <x:v>R12 J01-J26 / 8x30, 12+22</x:v>
      </x:c>
    </x:row>
    <x:row r="357" ht="36" customHeight="1">
      <x:c r="A357" s="2" t="str">
        <x:v>R16H0352</x:v>
      </x:c>
      <x:c r="B357" s="2" t="str">
        <x:v>KI12-TV02T1-01</x:v>
      </x:c>
      <x:c r="C357" s="2" t="str">
        <x:v>CSAP J25</x:v>
      </x:c>
      <x:c r="D357" s="2" t="n">
        <x:v>684</x:v>
      </x:c>
      <x:c r="E357" s="2" t="n">
        <x:v>332</x:v>
      </x:c>
      <x:c r="F357" s="2" t="n">
        <x:v>-9</x:v>
      </x:c>
      <x:c r="G357" s="2" t="n">
        <x:v>-1</x:v>
      </x:c>
      <x:c r="H357" s="2" t="n">
        <x:v>0</x:v>
      </x:c>
      <x:c r="I357" s="2" t="n">
        <x:v>0</x:v>
      </x:c>
      <x:c r="J357" s="2" t="n">
        <x:v>8</x:v>
      </x:c>
      <x:c r="K357" s="2" t="n">
        <x:v>22</x:v>
      </x:c>
      <x:c r="L357" s="2" t="str">
        <x:v>R12 J01-J26 / 8x30, 12+22</x:v>
      </x:c>
    </x:row>
    <x:row r="358" ht="36" customHeight="1">
      <x:c r="A358" s="2" t="str">
        <x:v>R16H0353</x:v>
      </x:c>
      <x:c r="B358" s="2" t="str">
        <x:v>KI12-TV02H1-01</x:v>
      </x:c>
      <x:c r="C358" s="2" t="str">
        <x:v>HATLAP_LEC / R14-J078</x:v>
      </x:c>
      <x:c r="D358" s="2" t="n">
        <x:v>674</x:v>
      </x:c>
      <x:c r="E358" s="2" t="n">
        <x:v>56</x:v>
      </x:c>
      <x:c r="F358" s="2" t="n">
        <x:v>0</x:v>
      </x:c>
      <x:c r="G358" s="2" t="n">
        <x:v>0</x:v>
      </x:c>
      <x:c r="H358" s="2" t="n">
        <x:v>0</x:v>
      </x:c>
      <x:c r="I358" s="2" t="n">
        <x:v>-1</x:v>
      </x:c>
      <x:c r="J358" s="2" t="n">
        <x:v>3.5</x:v>
      </x:c>
      <x:c r="K358" s="2" t="n">
        <x:v>8</x:v>
      </x:c>
      <x:c r="L358" s="2" t="str">
        <x:v>R14 tervezői kiosztás; tényleges laphoz és csavarhoz próbafúrás</x:v>
      </x:c>
    </x:row>
    <x:row r="359" ht="36" customHeight="1">
      <x:c r="A359" s="2" t="str">
        <x:v>R16H0354</x:v>
      </x:c>
      <x:c r="B359" s="2" t="str">
        <x:v>KI12-TV02H1-01</x:v>
      </x:c>
      <x:c r="C359" s="2" t="str">
        <x:v>HATLAP_LEC / R14-J080</x:v>
      </x:c>
      <x:c r="D359" s="2" t="n">
        <x:v>674</x:v>
      </x:c>
      <x:c r="E359" s="2" t="n">
        <x:v>136</x:v>
      </x:c>
      <x:c r="F359" s="2" t="n">
        <x:v>0</x:v>
      </x:c>
      <x:c r="G359" s="2" t="n">
        <x:v>0</x:v>
      </x:c>
      <x:c r="H359" s="2" t="n">
        <x:v>0</x:v>
      </x:c>
      <x:c r="I359" s="2" t="n">
        <x:v>-1</x:v>
      </x:c>
      <x:c r="J359" s="2" t="n">
        <x:v>3.5</x:v>
      </x:c>
      <x:c r="K359" s="2" t="n">
        <x:v>8</x:v>
      </x:c>
      <x:c r="L359" s="2" t="str">
        <x:v>R14 tervezői kiosztás; tényleges laphoz és csavarhoz próbafúrás</x:v>
      </x:c>
    </x:row>
    <x:row r="360" ht="36" customHeight="1">
      <x:c r="A360" s="2" t="str">
        <x:v>R16H0355</x:v>
      </x:c>
      <x:c r="B360" s="2" t="str">
        <x:v>KI12-TV02H1-01</x:v>
      </x:c>
      <x:c r="C360" s="2" t="str">
        <x:v>HATLAP_LEC / R14-J082</x:v>
      </x:c>
      <x:c r="D360" s="2" t="n">
        <x:v>674</x:v>
      </x:c>
      <x:c r="E360" s="2" t="n">
        <x:v>216</x:v>
      </x:c>
      <x:c r="F360" s="2" t="n">
        <x:v>0</x:v>
      </x:c>
      <x:c r="G360" s="2" t="n">
        <x:v>0</x:v>
      </x:c>
      <x:c r="H360" s="2" t="n">
        <x:v>0</x:v>
      </x:c>
      <x:c r="I360" s="2" t="n">
        <x:v>-1</x:v>
      </x:c>
      <x:c r="J360" s="2" t="n">
        <x:v>3.5</x:v>
      </x:c>
      <x:c r="K360" s="2" t="n">
        <x:v>8</x:v>
      </x:c>
      <x:c r="L360" s="2" t="str">
        <x:v>R14 tervezői kiosztás; tényleges laphoz és csavarhoz próbafúrás</x:v>
      </x:c>
    </x:row>
    <x:row r="361" ht="36" customHeight="1">
      <x:c r="A361" s="2" t="str">
        <x:v>R16H0356</x:v>
      </x:c>
      <x:c r="B361" s="2" t="str">
        <x:v>KI12-TV02H1-01</x:v>
      </x:c>
      <x:c r="C361" s="2" t="str">
        <x:v>HATLAP_LEC / R14-J084</x:v>
      </x:c>
      <x:c r="D361" s="2" t="n">
        <x:v>8</x:v>
      </x:c>
      <x:c r="E361" s="2" t="n">
        <x:v>56</x:v>
      </x:c>
      <x:c r="F361" s="2" t="n">
        <x:v>0</x:v>
      </x:c>
      <x:c r="G361" s="2" t="n">
        <x:v>0</x:v>
      </x:c>
      <x:c r="H361" s="2" t="n">
        <x:v>0</x:v>
      </x:c>
      <x:c r="I361" s="2" t="n">
        <x:v>-1</x:v>
      </x:c>
      <x:c r="J361" s="2" t="n">
        <x:v>3.5</x:v>
      </x:c>
      <x:c r="K361" s="2" t="n">
        <x:v>8</x:v>
      </x:c>
      <x:c r="L361" s="2" t="str">
        <x:v>R14 tervezői kiosztás; tényleges laphoz és csavarhoz próbafúrás</x:v>
      </x:c>
    </x:row>
    <x:row r="362" ht="36" customHeight="1">
      <x:c r="A362" s="2" t="str">
        <x:v>R16H0357</x:v>
      </x:c>
      <x:c r="B362" s="2" t="str">
        <x:v>KI12-TV02H1-01</x:v>
      </x:c>
      <x:c r="C362" s="2" t="str">
        <x:v>HATLAP_LEC / R14-J086</x:v>
      </x:c>
      <x:c r="D362" s="2" t="n">
        <x:v>8</x:v>
      </x:c>
      <x:c r="E362" s="2" t="n">
        <x:v>136</x:v>
      </x:c>
      <x:c r="F362" s="2" t="n">
        <x:v>0</x:v>
      </x:c>
      <x:c r="G362" s="2" t="n">
        <x:v>0</x:v>
      </x:c>
      <x:c r="H362" s="2" t="n">
        <x:v>0</x:v>
      </x:c>
      <x:c r="I362" s="2" t="n">
        <x:v>-1</x:v>
      </x:c>
      <x:c r="J362" s="2" t="n">
        <x:v>3.5</x:v>
      </x:c>
      <x:c r="K362" s="2" t="n">
        <x:v>8</x:v>
      </x:c>
      <x:c r="L362" s="2" t="str">
        <x:v>R14 tervezői kiosztás; tényleges laphoz és csavarhoz próbafúrás</x:v>
      </x:c>
    </x:row>
    <x:row r="363" ht="36" customHeight="1">
      <x:c r="A363" s="2" t="str">
        <x:v>R16H0358</x:v>
      </x:c>
      <x:c r="B363" s="2" t="str">
        <x:v>KI12-TV02H1-01</x:v>
      </x:c>
      <x:c r="C363" s="2" t="str">
        <x:v>HATLAP_LEC / R14-J088</x:v>
      </x:c>
      <x:c r="D363" s="2" t="n">
        <x:v>8</x:v>
      </x:c>
      <x:c r="E363" s="2" t="n">
        <x:v>216</x:v>
      </x:c>
      <x:c r="F363" s="2" t="n">
        <x:v>0</x:v>
      </x:c>
      <x:c r="G363" s="2" t="n">
        <x:v>0</x:v>
      </x:c>
      <x:c r="H363" s="2" t="n">
        <x:v>0</x:v>
      </x:c>
      <x:c r="I363" s="2" t="n">
        <x:v>-1</x:v>
      </x:c>
      <x:c r="J363" s="2" t="n">
        <x:v>3.5</x:v>
      </x:c>
      <x:c r="K363" s="2" t="n">
        <x:v>8</x:v>
      </x:c>
      <x:c r="L363" s="2" t="str">
        <x:v>R14 tervezői kiosztás; tényleges laphoz és csavarhoz próbafúrás</x:v>
      </x:c>
    </x:row>
    <x:row r="364" ht="36" customHeight="1">
      <x:c r="A364" s="2" t="str">
        <x:v>R16H0359</x:v>
      </x:c>
      <x:c r="B364" s="2" t="str">
        <x:v>KI14-BAT-03</x:v>
      </x:c>
      <x:c r="C364" s="2" t="str">
        <x:v>LEC_OLDAL / R14-J077</x:v>
      </x:c>
      <x:c r="D364" s="2" t="n">
        <x:v>22</x:v>
      </x:c>
      <x:c r="E364" s="2" t="n">
        <x:v>9</x:v>
      </x:c>
      <x:c r="F364" s="2" t="n">
        <x:v>-18</x:v>
      </x:c>
      <x:c r="G364" s="2" t="n">
        <x:v>0</x:v>
      </x:c>
      <x:c r="H364" s="2" t="n">
        <x:v>0</x:v>
      </x:c>
      <x:c r="I364" s="2" t="n">
        <x:v>1</x:v>
      </x:c>
      <x:c r="J364" s="2" t="n">
        <x:v>4</x:v>
      </x:c>
      <x:c r="K364" s="2" t="n">
        <x:v>18</x:v>
      </x:c>
      <x:c r="L364" s="2" t="str">
        <x:v>R14 tervezői kiosztás; tényleges laphoz és csavarhoz próbafúrás</x:v>
      </x:c>
    </x:row>
    <x:row r="365" ht="36" customHeight="1">
      <x:c r="A365" s="2" t="str">
        <x:v>R16H0360</x:v>
      </x:c>
      <x:c r="B365" s="2" t="str">
        <x:v>KI14-BAT-03</x:v>
      </x:c>
      <x:c r="C365" s="2" t="str">
        <x:v>HATLAP_LEC / R14-J078</x:v>
      </x:c>
      <x:c r="D365" s="2" t="n">
        <x:v>37</x:v>
      </x:c>
      <x:c r="E365" s="2" t="n">
        <x:v>18</x:v>
      </x:c>
      <x:c r="F365" s="2" t="n">
        <x:v>-9</x:v>
      </x:c>
      <x:c r="G365" s="2" t="n">
        <x:v>0</x:v>
      </x:c>
      <x:c r="H365" s="2" t="n">
        <x:v>-1</x:v>
      </x:c>
      <x:c r="I365" s="2" t="n">
        <x:v>0</x:v>
      </x:c>
      <x:c r="J365" s="2" t="n">
        <x:v>2.5</x:v>
      </x:c>
      <x:c r="K365" s="2" t="n">
        <x:v>12</x:v>
      </x:c>
      <x:c r="L365" s="2" t="str">
        <x:v>R14 tervezői kiosztás; tényleges laphoz és csavarhoz próbafúrás</x:v>
      </x:c>
    </x:row>
    <x:row r="366" ht="36" customHeight="1">
      <x:c r="A366" s="2" t="str">
        <x:v>R16H0361</x:v>
      </x:c>
      <x:c r="B366" s="2" t="str">
        <x:v>KI14-BAT-03</x:v>
      </x:c>
      <x:c r="C366" s="2" t="str">
        <x:v>LEC_OLDAL / R14-J079</x:v>
      </x:c>
      <x:c r="D366" s="2" t="n">
        <x:v>102</x:v>
      </x:c>
      <x:c r="E366" s="2" t="n">
        <x:v>9</x:v>
      </x:c>
      <x:c r="F366" s="2" t="n">
        <x:v>-18</x:v>
      </x:c>
      <x:c r="G366" s="2" t="n">
        <x:v>0</x:v>
      </x:c>
      <x:c r="H366" s="2" t="n">
        <x:v>0</x:v>
      </x:c>
      <x:c r="I366" s="2" t="n">
        <x:v>1</x:v>
      </x:c>
      <x:c r="J366" s="2" t="n">
        <x:v>4</x:v>
      </x:c>
      <x:c r="K366" s="2" t="n">
        <x:v>18</x:v>
      </x:c>
      <x:c r="L366" s="2" t="str">
        <x:v>R14 tervezői kiosztás; tényleges laphoz és csavarhoz próbafúrás</x:v>
      </x:c>
    </x:row>
    <x:row r="367" ht="36" customHeight="1">
      <x:c r="A367" s="2" t="str">
        <x:v>R16H0362</x:v>
      </x:c>
      <x:c r="B367" s="2" t="str">
        <x:v>KI14-BAT-03</x:v>
      </x:c>
      <x:c r="C367" s="2" t="str">
        <x:v>HATLAP_LEC / R14-J080</x:v>
      </x:c>
      <x:c r="D367" s="2" t="n">
        <x:v>117</x:v>
      </x:c>
      <x:c r="E367" s="2" t="n">
        <x:v>18</x:v>
      </x:c>
      <x:c r="F367" s="2" t="n">
        <x:v>-9</x:v>
      </x:c>
      <x:c r="G367" s="2" t="n">
        <x:v>0</x:v>
      </x:c>
      <x:c r="H367" s="2" t="n">
        <x:v>-1</x:v>
      </x:c>
      <x:c r="I367" s="2" t="n">
        <x:v>0</x:v>
      </x:c>
      <x:c r="J367" s="2" t="n">
        <x:v>2.5</x:v>
      </x:c>
      <x:c r="K367" s="2" t="n">
        <x:v>12</x:v>
      </x:c>
      <x:c r="L367" s="2" t="str">
        <x:v>R14 tervezői kiosztás; tényleges laphoz és csavarhoz próbafúrás</x:v>
      </x:c>
    </x:row>
    <x:row r="368" ht="36" customHeight="1">
      <x:c r="A368" s="2" t="str">
        <x:v>R16H0363</x:v>
      </x:c>
      <x:c r="B368" s="2" t="str">
        <x:v>KI14-BAT-03</x:v>
      </x:c>
      <x:c r="C368" s="2" t="str">
        <x:v>LEC_OLDAL / R14-J081</x:v>
      </x:c>
      <x:c r="D368" s="2" t="n">
        <x:v>182</x:v>
      </x:c>
      <x:c r="E368" s="2" t="n">
        <x:v>9</x:v>
      </x:c>
      <x:c r="F368" s="2" t="n">
        <x:v>-18</x:v>
      </x:c>
      <x:c r="G368" s="2" t="n">
        <x:v>0</x:v>
      </x:c>
      <x:c r="H368" s="2" t="n">
        <x:v>0</x:v>
      </x:c>
      <x:c r="I368" s="2" t="n">
        <x:v>1</x:v>
      </x:c>
      <x:c r="J368" s="2" t="n">
        <x:v>4</x:v>
      </x:c>
      <x:c r="K368" s="2" t="n">
        <x:v>18</x:v>
      </x:c>
      <x:c r="L368" s="2" t="str">
        <x:v>R14 tervezői kiosztás; tényleges laphoz és csavarhoz próbafúrás</x:v>
      </x:c>
    </x:row>
    <x:row r="369" ht="36" customHeight="1">
      <x:c r="A369" s="2" t="str">
        <x:v>R16H0364</x:v>
      </x:c>
      <x:c r="B369" s="2" t="str">
        <x:v>KI14-BAT-03</x:v>
      </x:c>
      <x:c r="C369" s="2" t="str">
        <x:v>HATLAP_LEC / R14-J082</x:v>
      </x:c>
      <x:c r="D369" s="2" t="n">
        <x:v>197</x:v>
      </x:c>
      <x:c r="E369" s="2" t="n">
        <x:v>18</x:v>
      </x:c>
      <x:c r="F369" s="2" t="n">
        <x:v>-9</x:v>
      </x:c>
      <x:c r="G369" s="2" t="n">
        <x:v>0</x:v>
      </x:c>
      <x:c r="H369" s="2" t="n">
        <x:v>-1</x:v>
      </x:c>
      <x:c r="I369" s="2" t="n">
        <x:v>0</x:v>
      </x:c>
      <x:c r="J369" s="2" t="n">
        <x:v>2.5</x:v>
      </x:c>
      <x:c r="K369" s="2" t="n">
        <x:v>12</x:v>
      </x:c>
      <x:c r="L369" s="2" t="str">
        <x:v>R14 tervezői kiosztás; tényleges laphoz és csavarhoz próbafúrás</x:v>
      </x:c>
    </x:row>
    <x:row r="370" ht="36" customHeight="1">
      <x:c r="A370" s="2" t="str">
        <x:v>R16H0365</x:v>
      </x:c>
      <x:c r="B370" s="2" t="str">
        <x:v>KI14-BAT-04</x:v>
      </x:c>
      <x:c r="C370" s="2" t="str">
        <x:v>LEC_OLDAL / R14-J083</x:v>
      </x:c>
      <x:c r="D370" s="2" t="n">
        <x:v>22</x:v>
      </x:c>
      <x:c r="E370" s="2" t="n">
        <x:v>9</x:v>
      </x:c>
      <x:c r="F370" s="2" t="n">
        <x:v>0</x:v>
      </x:c>
      <x:c r="G370" s="2" t="n">
        <x:v>0</x:v>
      </x:c>
      <x:c r="H370" s="2" t="n">
        <x:v>0</x:v>
      </x:c>
      <x:c r="I370" s="2" t="n">
        <x:v>-1</x:v>
      </x:c>
      <x:c r="J370" s="2" t="n">
        <x:v>4</x:v>
      </x:c>
      <x:c r="K370" s="2" t="n">
        <x:v>18</x:v>
      </x:c>
      <x:c r="L370" s="2" t="str">
        <x:v>R14 tervezői kiosztás; tényleges laphoz és csavarhoz próbafúrás</x:v>
      </x:c>
    </x:row>
    <x:row r="371" ht="36" customHeight="1">
      <x:c r="A371" s="2" t="str">
        <x:v>R16H0366</x:v>
      </x:c>
      <x:c r="B371" s="2" t="str">
        <x:v>KI14-BAT-04</x:v>
      </x:c>
      <x:c r="C371" s="2" t="str">
        <x:v>HATLAP_LEC / R14-J084</x:v>
      </x:c>
      <x:c r="D371" s="2" t="n">
        <x:v>37</x:v>
      </x:c>
      <x:c r="E371" s="2" t="n">
        <x:v>18</x:v>
      </x:c>
      <x:c r="F371" s="2" t="n">
        <x:v>-9</x:v>
      </x:c>
      <x:c r="G371" s="2" t="n">
        <x:v>0</x:v>
      </x:c>
      <x:c r="H371" s="2" t="n">
        <x:v>-1</x:v>
      </x:c>
      <x:c r="I371" s="2" t="n">
        <x:v>0</x:v>
      </x:c>
      <x:c r="J371" s="2" t="n">
        <x:v>2.5</x:v>
      </x:c>
      <x:c r="K371" s="2" t="n">
        <x:v>12</x:v>
      </x:c>
      <x:c r="L371" s="2" t="str">
        <x:v>R14 tervezői kiosztás; tényleges laphoz és csavarhoz próbafúrás</x:v>
      </x:c>
    </x:row>
    <x:row r="372" ht="36" customHeight="1">
      <x:c r="A372" s="2" t="str">
        <x:v>R16H0367</x:v>
      </x:c>
      <x:c r="B372" s="2" t="str">
        <x:v>KI14-BAT-04</x:v>
      </x:c>
      <x:c r="C372" s="2" t="str">
        <x:v>LEC_OLDAL / R14-J085</x:v>
      </x:c>
      <x:c r="D372" s="2" t="n">
        <x:v>102</x:v>
      </x:c>
      <x:c r="E372" s="2" t="n">
        <x:v>9</x:v>
      </x:c>
      <x:c r="F372" s="2" t="n">
        <x:v>0</x:v>
      </x:c>
      <x:c r="G372" s="2" t="n">
        <x:v>0</x:v>
      </x:c>
      <x:c r="H372" s="2" t="n">
        <x:v>0</x:v>
      </x:c>
      <x:c r="I372" s="2" t="n">
        <x:v>-1</x:v>
      </x:c>
      <x:c r="J372" s="2" t="n">
        <x:v>4</x:v>
      </x:c>
      <x:c r="K372" s="2" t="n">
        <x:v>18</x:v>
      </x:c>
      <x:c r="L372" s="2" t="str">
        <x:v>R14 tervezői kiosztás; tényleges laphoz és csavarhoz próbafúrás</x:v>
      </x:c>
    </x:row>
    <x:row r="373" ht="36" customHeight="1">
      <x:c r="A373" s="2" t="str">
        <x:v>R16H0368</x:v>
      </x:c>
      <x:c r="B373" s="2" t="str">
        <x:v>KI14-BAT-04</x:v>
      </x:c>
      <x:c r="C373" s="2" t="str">
        <x:v>HATLAP_LEC / R14-J086</x:v>
      </x:c>
      <x:c r="D373" s="2" t="n">
        <x:v>117</x:v>
      </x:c>
      <x:c r="E373" s="2" t="n">
        <x:v>18</x:v>
      </x:c>
      <x:c r="F373" s="2" t="n">
        <x:v>-9</x:v>
      </x:c>
      <x:c r="G373" s="2" t="n">
        <x:v>0</x:v>
      </x:c>
      <x:c r="H373" s="2" t="n">
        <x:v>-1</x:v>
      </x:c>
      <x:c r="I373" s="2" t="n">
        <x:v>0</x:v>
      </x:c>
      <x:c r="J373" s="2" t="n">
        <x:v>2.5</x:v>
      </x:c>
      <x:c r="K373" s="2" t="n">
        <x:v>12</x:v>
      </x:c>
      <x:c r="L373" s="2" t="str">
        <x:v>R14 tervezői kiosztás; tényleges laphoz és csavarhoz próbafúrás</x:v>
      </x:c>
    </x:row>
    <x:row r="374" ht="36" customHeight="1">
      <x:c r="A374" s="2" t="str">
        <x:v>R16H0369</x:v>
      </x:c>
      <x:c r="B374" s="2" t="str">
        <x:v>KI14-BAT-04</x:v>
      </x:c>
      <x:c r="C374" s="2" t="str">
        <x:v>LEC_OLDAL / R14-J087</x:v>
      </x:c>
      <x:c r="D374" s="2" t="n">
        <x:v>182</x:v>
      </x:c>
      <x:c r="E374" s="2" t="n">
        <x:v>9</x:v>
      </x:c>
      <x:c r="F374" s="2" t="n">
        <x:v>0</x:v>
      </x:c>
      <x:c r="G374" s="2" t="n">
        <x:v>0</x:v>
      </x:c>
      <x:c r="H374" s="2" t="n">
        <x:v>0</x:v>
      </x:c>
      <x:c r="I374" s="2" t="n">
        <x:v>-1</x:v>
      </x:c>
      <x:c r="J374" s="2" t="n">
        <x:v>4</x:v>
      </x:c>
      <x:c r="K374" s="2" t="n">
        <x:v>18</x:v>
      </x:c>
      <x:c r="L374" s="2" t="str">
        <x:v>R14 tervezői kiosztás; tényleges laphoz és csavarhoz próbafúrás</x:v>
      </x:c>
    </x:row>
    <x:row r="375" ht="36" customHeight="1">
      <x:c r="A375" s="2" t="str">
        <x:v>R16H0370</x:v>
      </x:c>
      <x:c r="B375" s="2" t="str">
        <x:v>KI14-BAT-04</x:v>
      </x:c>
      <x:c r="C375" s="2" t="str">
        <x:v>HATLAP_LEC / R14-J088</x:v>
      </x:c>
      <x:c r="D375" s="2" t="n">
        <x:v>197</x:v>
      </x:c>
      <x:c r="E375" s="2" t="n">
        <x:v>18</x:v>
      </x:c>
      <x:c r="F375" s="2" t="n">
        <x:v>-9</x:v>
      </x:c>
      <x:c r="G375" s="2" t="n">
        <x:v>0</x:v>
      </x:c>
      <x:c r="H375" s="2" t="n">
        <x:v>-1</x:v>
      </x:c>
      <x:c r="I375" s="2" t="n">
        <x:v>0</x:v>
      </x:c>
      <x:c r="J375" s="2" t="n">
        <x:v>2.5</x:v>
      </x:c>
      <x:c r="K375" s="2" t="n">
        <x:v>12</x:v>
      </x:c>
      <x:c r="L375" s="2" t="str">
        <x:v>R14 tervezői kiosztás; tényleges laphoz és csavarhoz próbafúrás</x:v>
      </x:c>
    </x:row>
    <x:row r="376" ht="36" customHeight="1">
      <x:c r="A376" s="2" t="str">
        <x:v>R16H0371</x:v>
      </x:c>
      <x:c r="B376" s="2" t="str">
        <x:v>KI14-RAIL-01</x:v>
      </x:c>
      <x:c r="C376" s="2" t="str">
        <x:v>MEREVITO_CSAP / R14-J121</x:v>
      </x:c>
      <x:c r="D376" s="2" t="n">
        <x:v>684</x:v>
      </x:c>
      <x:c r="E376" s="2" t="n">
        <x:v>20</x:v>
      </x:c>
      <x:c r="F376" s="2" t="n">
        <x:v>-9</x:v>
      </x:c>
      <x:c r="G376" s="2" t="n">
        <x:v>-1</x:v>
      </x:c>
      <x:c r="H376" s="2" t="n">
        <x:v>0</x:v>
      </x:c>
      <x:c r="I376" s="2" t="n">
        <x:v>0</x:v>
      </x:c>
      <x:c r="J376" s="2" t="n">
        <x:v>8</x:v>
      </x:c>
      <x:c r="K376" s="2" t="n">
        <x:v>22</x:v>
      </x:c>
      <x:c r="L376" s="2" t="str">
        <x:v>R14 Ø8x30 bükk csap, 22+12 mélység; ragasztott próbakötés</x:v>
      </x:c>
    </x:row>
    <x:row r="377" ht="36" customHeight="1">
      <x:c r="A377" s="2" t="str">
        <x:v>R16H0372</x:v>
      </x:c>
      <x:c r="B377" s="2" t="str">
        <x:v>KI14-RAIL-01</x:v>
      </x:c>
      <x:c r="C377" s="2" t="str">
        <x:v>MEREVITO_CSAP / R14-J122</x:v>
      </x:c>
      <x:c r="D377" s="2" t="n">
        <x:v>684</x:v>
      </x:c>
      <x:c r="E377" s="2" t="n">
        <x:v>50</x:v>
      </x:c>
      <x:c r="F377" s="2" t="n">
        <x:v>-9</x:v>
      </x:c>
      <x:c r="G377" s="2" t="n">
        <x:v>-1</x:v>
      </x:c>
      <x:c r="H377" s="2" t="n">
        <x:v>0</x:v>
      </x:c>
      <x:c r="I377" s="2" t="n">
        <x:v>0</x:v>
      </x:c>
      <x:c r="J377" s="2" t="n">
        <x:v>8</x:v>
      </x:c>
      <x:c r="K377" s="2" t="n">
        <x:v>22</x:v>
      </x:c>
      <x:c r="L377" s="2" t="str">
        <x:v>R14 Ø8x30 bükk csap, 22+12 mélység; ragasztott próbakötés</x:v>
      </x:c>
    </x:row>
    <x:row r="378" ht="36" customHeight="1">
      <x:c r="A378" s="2" t="str">
        <x:v>R16H0373</x:v>
      </x:c>
      <x:c r="B378" s="2" t="str">
        <x:v>KI14-RAIL-01</x:v>
      </x:c>
      <x:c r="C378" s="2" t="str">
        <x:v>MEREVITO_CSAP / R14-J123</x:v>
      </x:c>
      <x:c r="D378" s="2" t="n">
        <x:v>684</x:v>
      </x:c>
      <x:c r="E378" s="2" t="n">
        <x:v>80</x:v>
      </x:c>
      <x:c r="F378" s="2" t="n">
        <x:v>-9</x:v>
      </x:c>
      <x:c r="G378" s="2" t="n">
        <x:v>-1</x:v>
      </x:c>
      <x:c r="H378" s="2" t="n">
        <x:v>0</x:v>
      </x:c>
      <x:c r="I378" s="2" t="n">
        <x:v>0</x:v>
      </x:c>
      <x:c r="J378" s="2" t="n">
        <x:v>8</x:v>
      </x:c>
      <x:c r="K378" s="2" t="n">
        <x:v>22</x:v>
      </x:c>
      <x:c r="L378" s="2" t="str">
        <x:v>R14 Ø8x30 bükk csap, 22+12 mélység; ragasztott próbakötés</x:v>
      </x:c>
    </x:row>
    <x:row r="379" ht="36" customHeight="1">
      <x:c r="A379" s="2" t="str">
        <x:v>R16H0374</x:v>
      </x:c>
      <x:c r="B379" s="2" t="str">
        <x:v>KI14-RAIL-01</x:v>
      </x:c>
      <x:c r="C379" s="2" t="str">
        <x:v>MEREVITO_CSAP / R14-J124</x:v>
      </x:c>
      <x:c r="D379" s="2" t="n">
        <x:v>0</x:v>
      </x:c>
      <x:c r="E379" s="2" t="n">
        <x:v>20</x:v>
      </x:c>
      <x:c r="F379" s="2" t="n">
        <x:v>-9</x:v>
      </x:c>
      <x:c r="G379" s="2" t="n">
        <x:v>1</x:v>
      </x:c>
      <x:c r="H379" s="2" t="n">
        <x:v>0</x:v>
      </x:c>
      <x:c r="I379" s="2" t="n">
        <x:v>0</x:v>
      </x:c>
      <x:c r="J379" s="2" t="n">
        <x:v>8</x:v>
      </x:c>
      <x:c r="K379" s="2" t="n">
        <x:v>22</x:v>
      </x:c>
      <x:c r="L379" s="2" t="str">
        <x:v>R14 Ø8x30 bükk csap, 22+12 mélység; ragasztott próbakötés</x:v>
      </x:c>
    </x:row>
    <x:row r="380" ht="36" customHeight="1">
      <x:c r="A380" s="2" t="str">
        <x:v>R16H0375</x:v>
      </x:c>
      <x:c r="B380" s="2" t="str">
        <x:v>KI14-RAIL-01</x:v>
      </x:c>
      <x:c r="C380" s="2" t="str">
        <x:v>MEREVITO_CSAP / R14-J125</x:v>
      </x:c>
      <x:c r="D380" s="2" t="n">
        <x:v>0</x:v>
      </x:c>
      <x:c r="E380" s="2" t="n">
        <x:v>50</x:v>
      </x:c>
      <x:c r="F380" s="2" t="n">
        <x:v>-9</x:v>
      </x:c>
      <x:c r="G380" s="2" t="n">
        <x:v>1</x:v>
      </x:c>
      <x:c r="H380" s="2" t="n">
        <x:v>0</x:v>
      </x:c>
      <x:c r="I380" s="2" t="n">
        <x:v>0</x:v>
      </x:c>
      <x:c r="J380" s="2" t="n">
        <x:v>8</x:v>
      </x:c>
      <x:c r="K380" s="2" t="n">
        <x:v>22</x:v>
      </x:c>
      <x:c r="L380" s="2" t="str">
        <x:v>R14 Ø8x30 bükk csap, 22+12 mélység; ragasztott próbakötés</x:v>
      </x:c>
    </x:row>
    <x:row r="381" ht="36" customHeight="1">
      <x:c r="A381" s="2" t="str">
        <x:v>R16H0376</x:v>
      </x:c>
      <x:c r="B381" s="2" t="str">
        <x:v>KI14-RAIL-01</x:v>
      </x:c>
      <x:c r="C381" s="2" t="str">
        <x:v>MEREVITO_CSAP / R14-J126</x:v>
      </x:c>
      <x:c r="D381" s="2" t="n">
        <x:v>0</x:v>
      </x:c>
      <x:c r="E381" s="2" t="n">
        <x:v>80</x:v>
      </x:c>
      <x:c r="F381" s="2" t="n">
        <x:v>-9</x:v>
      </x:c>
      <x:c r="G381" s="2" t="n">
        <x:v>1</x:v>
      </x:c>
      <x:c r="H381" s="2" t="n">
        <x:v>0</x:v>
      </x:c>
      <x:c r="I381" s="2" t="n">
        <x:v>0</x:v>
      </x:c>
      <x:c r="J381" s="2" t="n">
        <x:v>8</x:v>
      </x:c>
      <x:c r="K381" s="2" t="n">
        <x:v>22</x:v>
      </x:c>
      <x:c r="L381" s="2" t="str">
        <x:v>R14 Ø8x30 bükk csap, 22+12 mélység; ragasztott próbakötés</x:v>
      </x:c>
    </x:row>
    <x:row r="382" ht="36" customHeight="1">
      <x:c r="A382" s="2" t="str">
        <x:v>R16H0377</x:v>
      </x:c>
      <x:c r="B382" s="2" t="str">
        <x:v>KI12-TV02CAP-01</x:v>
      </x:c>
      <x:c r="C382" s="2" t="str">
        <x:v>CSAP J24</x:v>
      </x:c>
      <x:c r="D382" s="2" t="n">
        <x:v>9</x:v>
      </x:c>
      <x:c r="E382" s="2" t="n">
        <x:v>50</x:v>
      </x:c>
      <x:c r="F382" s="2" t="n">
        <x:v>-18</x:v>
      </x:c>
      <x:c r="G382" s="2" t="n">
        <x:v>0</x:v>
      </x:c>
      <x:c r="H382" s="2" t="n">
        <x:v>0</x:v>
      </x:c>
      <x:c r="I382" s="2" t="n">
        <x:v>1</x:v>
      </x:c>
      <x:c r="J382" s="2" t="n">
        <x:v>8</x:v>
      </x:c>
      <x:c r="K382" s="2" t="n">
        <x:v>12</x:v>
      </x:c>
      <x:c r="L382" s="2" t="str">
        <x:v>R12 J01-J26 / 8x30, 12+22</x:v>
      </x:c>
    </x:row>
    <x:row r="383" ht="36" customHeight="1">
      <x:c r="A383" s="2" t="str">
        <x:v>R16H0378</x:v>
      </x:c>
      <x:c r="B383" s="2" t="str">
        <x:v>KI12-TV02CAP-01</x:v>
      </x:c>
      <x:c r="C383" s="2" t="str">
        <x:v>CSAP J24</x:v>
      </x:c>
      <x:c r="D383" s="2" t="n">
        <x:v>9</x:v>
      </x:c>
      <x:c r="E383" s="2" t="n">
        <x:v>191</x:v>
      </x:c>
      <x:c r="F383" s="2" t="n">
        <x:v>-18</x:v>
      </x:c>
      <x:c r="G383" s="2" t="n">
        <x:v>0</x:v>
      </x:c>
      <x:c r="H383" s="2" t="n">
        <x:v>0</x:v>
      </x:c>
      <x:c r="I383" s="2" t="n">
        <x:v>1</x:v>
      </x:c>
      <x:c r="J383" s="2" t="n">
        <x:v>8</x:v>
      </x:c>
      <x:c r="K383" s="2" t="n">
        <x:v>12</x:v>
      </x:c>
      <x:c r="L383" s="2" t="str">
        <x:v>R12 J01-J26 / 8x30, 12+22</x:v>
      </x:c>
    </x:row>
    <x:row r="384" ht="36" customHeight="1">
      <x:c r="A384" s="2" t="str">
        <x:v>R16H0379</x:v>
      </x:c>
      <x:c r="B384" s="2" t="str">
        <x:v>KI12-TV02CAP-01</x:v>
      </x:c>
      <x:c r="C384" s="2" t="str">
        <x:v>CSAP J24</x:v>
      </x:c>
      <x:c r="D384" s="2" t="n">
        <x:v>9</x:v>
      </x:c>
      <x:c r="E384" s="2" t="n">
        <x:v>332</x:v>
      </x:c>
      <x:c r="F384" s="2" t="n">
        <x:v>-18</x:v>
      </x:c>
      <x:c r="G384" s="2" t="n">
        <x:v>0</x:v>
      </x:c>
      <x:c r="H384" s="2" t="n">
        <x:v>0</x:v>
      </x:c>
      <x:c r="I384" s="2" t="n">
        <x:v>1</x:v>
      </x:c>
      <x:c r="J384" s="2" t="n">
        <x:v>8</x:v>
      </x:c>
      <x:c r="K384" s="2" t="n">
        <x:v>12</x:v>
      </x:c>
      <x:c r="L384" s="2" t="str">
        <x:v>R12 J01-J26 / 8x30, 12+22</x:v>
      </x:c>
    </x:row>
    <x:row r="385" ht="36" customHeight="1">
      <x:c r="A385" s="2" t="str">
        <x:v>R16H0380</x:v>
      </x:c>
      <x:c r="B385" s="2" t="str">
        <x:v>KI12-TV02CAP-01</x:v>
      </x:c>
      <x:c r="C385" s="2" t="str">
        <x:v>CSAP J26</x:v>
      </x:c>
      <x:c r="D385" s="2" t="n">
        <x:v>711</x:v>
      </x:c>
      <x:c r="E385" s="2" t="n">
        <x:v>50</x:v>
      </x:c>
      <x:c r="F385" s="2" t="n">
        <x:v>-18</x:v>
      </x:c>
      <x:c r="G385" s="2" t="n">
        <x:v>0</x:v>
      </x:c>
      <x:c r="H385" s="2" t="n">
        <x:v>0</x:v>
      </x:c>
      <x:c r="I385" s="2" t="n">
        <x:v>1</x:v>
      </x:c>
      <x:c r="J385" s="2" t="n">
        <x:v>8</x:v>
      </x:c>
      <x:c r="K385" s="2" t="n">
        <x:v>12</x:v>
      </x:c>
      <x:c r="L385" s="2" t="str">
        <x:v>R12 J01-J26 / 8x30, 12+22</x:v>
      </x:c>
    </x:row>
    <x:row r="386" ht="36" customHeight="1">
      <x:c r="A386" s="2" t="str">
        <x:v>R16H0381</x:v>
      </x:c>
      <x:c r="B386" s="2" t="str">
        <x:v>KI12-TV02CAP-01</x:v>
      </x:c>
      <x:c r="C386" s="2" t="str">
        <x:v>CSAP J26</x:v>
      </x:c>
      <x:c r="D386" s="2" t="n">
        <x:v>711</x:v>
      </x:c>
      <x:c r="E386" s="2" t="n">
        <x:v>191</x:v>
      </x:c>
      <x:c r="F386" s="2" t="n">
        <x:v>-18</x:v>
      </x:c>
      <x:c r="G386" s="2" t="n">
        <x:v>0</x:v>
      </x:c>
      <x:c r="H386" s="2" t="n">
        <x:v>0</x:v>
      </x:c>
      <x:c r="I386" s="2" t="n">
        <x:v>1</x:v>
      </x:c>
      <x:c r="J386" s="2" t="n">
        <x:v>8</x:v>
      </x:c>
      <x:c r="K386" s="2" t="n">
        <x:v>12</x:v>
      </x:c>
      <x:c r="L386" s="2" t="str">
        <x:v>R12 J01-J26 / 8x30, 12+22</x:v>
      </x:c>
    </x:row>
    <x:row r="387" ht="36" customHeight="1">
      <x:c r="A387" s="2" t="str">
        <x:v>R16H0382</x:v>
      </x:c>
      <x:c r="B387" s="2" t="str">
        <x:v>KI12-TV02CAP-01</x:v>
      </x:c>
      <x:c r="C387" s="2" t="str">
        <x:v>CSAP J26</x:v>
      </x:c>
      <x:c r="D387" s="2" t="n">
        <x:v>711</x:v>
      </x:c>
      <x:c r="E387" s="2" t="n">
        <x:v>332</x:v>
      </x:c>
      <x:c r="F387" s="2" t="n">
        <x:v>-18</x:v>
      </x:c>
      <x:c r="G387" s="2" t="n">
        <x:v>0</x:v>
      </x:c>
      <x:c r="H387" s="2" t="n">
        <x:v>0</x:v>
      </x:c>
      <x:c r="I387" s="2" t="n">
        <x:v>1</x:v>
      </x:c>
      <x:c r="J387" s="2" t="n">
        <x:v>8</x:v>
      </x:c>
      <x:c r="K387" s="2" t="n">
        <x:v>12</x:v>
      </x:c>
      <x:c r="L387" s="2" t="str">
        <x:v>R12 J01-J26 / 8x30, 12+22</x:v>
      </x:c>
    </x:row>
    <x:row r="388" ht="36" customHeight="1">
      <x:c r="A388" s="2" t="str">
        <x:v>R16H0383</x:v>
      </x:c>
      <x:c r="B388" s="2" t="str">
        <x:v>KI16-D1-L</x:v>
      </x:c>
      <x:c r="C388" s="2" t="str">
        <x:v>FIÓK_FENEK_ATMENO</x:v>
      </x:c>
      <x:c r="D388" s="2" t="n">
        <x:v>20.5</x:v>
      </x:c>
      <x:c r="E388" s="2" t="n">
        <x:v>50</x:v>
      </x:c>
      <x:c r="F388" s="2" t="n">
        <x:v>0</x:v>
      </x:c>
      <x:c r="G388" s="2" t="n">
        <x:v>0</x:v>
      </x:c>
      <x:c r="H388" s="2" t="n">
        <x:v>0</x:v>
      </x:c>
      <x:c r="I388" s="2" t="n">
        <x:v>-1</x:v>
      </x:c>
      <x:c r="J388" s="2" t="n">
        <x:v>4.5</x:v>
      </x:c>
      <x:c r="K388" s="2" t="n">
        <x:v>15</x:v>
      </x:c>
      <x:c r="L388" s="2" t="str">
        <x:v>R16 szerkezeti terv; anyaghoz illesztett próbafúrás kell</x:v>
      </x:c>
    </x:row>
    <x:row r="389" ht="36" customHeight="1">
      <x:c r="A389" s="2" t="str">
        <x:v>R16H0384</x:v>
      </x:c>
      <x:c r="B389" s="2" t="str">
        <x:v>KI16-D1-B</x:v>
      </x:c>
      <x:c r="C389" s="2" t="str">
        <x:v>FIÓK_FENEK_PILOT</x:v>
      </x:c>
      <x:c r="D389" s="2" t="n">
        <x:v>0</x:v>
      </x:c>
      <x:c r="E389" s="2" t="n">
        <x:v>50</x:v>
      </x:c>
      <x:c r="F389" s="2" t="n">
        <x:v>-7.5</x:v>
      </x:c>
      <x:c r="G389" s="2" t="n">
        <x:v>1</x:v>
      </x:c>
      <x:c r="H389" s="2" t="n">
        <x:v>0</x:v>
      </x:c>
      <x:c r="I389" s="2" t="n">
        <x:v>0</x:v>
      </x:c>
      <x:c r="J389" s="2" t="n">
        <x:v>2.5</x:v>
      </x:c>
      <x:c r="K389" s="2" t="n">
        <x:v>20</x:v>
      </x:c>
      <x:c r="L389" s="2" t="str">
        <x:v>R16 szerkezeti terv; anyaghoz illesztett próbafúrás kell</x:v>
      </x:c>
    </x:row>
    <x:row r="390" ht="36" customHeight="1">
      <x:c r="A390" s="2" t="str">
        <x:v>R16H0385</x:v>
      </x:c>
      <x:c r="B390" s="2" t="str">
        <x:v>KI16-D1-L</x:v>
      </x:c>
      <x:c r="C390" s="2" t="str">
        <x:v>FIÓK_FENEK_ATMENO</x:v>
      </x:c>
      <x:c r="D390" s="2" t="n">
        <x:v>20.5</x:v>
      </x:c>
      <x:c r="E390" s="2" t="n">
        <x:v>145</x:v>
      </x:c>
      <x:c r="F390" s="2" t="n">
        <x:v>0</x:v>
      </x:c>
      <x:c r="G390" s="2" t="n">
        <x:v>0</x:v>
      </x:c>
      <x:c r="H390" s="2" t="n">
        <x:v>0</x:v>
      </x:c>
      <x:c r="I390" s="2" t="n">
        <x:v>-1</x:v>
      </x:c>
      <x:c r="J390" s="2" t="n">
        <x:v>4.5</x:v>
      </x:c>
      <x:c r="K390" s="2" t="n">
        <x:v>15</x:v>
      </x:c>
      <x:c r="L390" s="2" t="str">
        <x:v>R16 szerkezeti terv; anyaghoz illesztett próbafúrás kell</x:v>
      </x:c>
    </x:row>
    <x:row r="391" ht="36" customHeight="1">
      <x:c r="A391" s="2" t="str">
        <x:v>R16H0386</x:v>
      </x:c>
      <x:c r="B391" s="2" t="str">
        <x:v>KI16-D1-B</x:v>
      </x:c>
      <x:c r="C391" s="2" t="str">
        <x:v>FIÓK_FENEK_PILOT</x:v>
      </x:c>
      <x:c r="D391" s="2" t="n">
        <x:v>0</x:v>
      </x:c>
      <x:c r="E391" s="2" t="n">
        <x:v>145</x:v>
      </x:c>
      <x:c r="F391" s="2" t="n">
        <x:v>-7.5</x:v>
      </x:c>
      <x:c r="G391" s="2" t="n">
        <x:v>1</x:v>
      </x:c>
      <x:c r="H391" s="2" t="n">
        <x:v>0</x:v>
      </x:c>
      <x:c r="I391" s="2" t="n">
        <x:v>0</x:v>
      </x:c>
      <x:c r="J391" s="2" t="n">
        <x:v>2.5</x:v>
      </x:c>
      <x:c r="K391" s="2" t="n">
        <x:v>20</x:v>
      </x:c>
      <x:c r="L391" s="2" t="str">
        <x:v>R16 szerkezeti terv; anyaghoz illesztett próbafúrás kell</x:v>
      </x:c>
    </x:row>
    <x:row r="392" ht="36" customHeight="1">
      <x:c r="A392" s="2" t="str">
        <x:v>R16H0387</x:v>
      </x:c>
      <x:c r="B392" s="2" t="str">
        <x:v>KI16-D1-L</x:v>
      </x:c>
      <x:c r="C392" s="2" t="str">
        <x:v>FIÓK_FENEK_ATMENO</x:v>
      </x:c>
      <x:c r="D392" s="2" t="n">
        <x:v>20.5</x:v>
      </x:c>
      <x:c r="E392" s="2" t="n">
        <x:v>240</x:v>
      </x:c>
      <x:c r="F392" s="2" t="n">
        <x:v>0</x:v>
      </x:c>
      <x:c r="G392" s="2" t="n">
        <x:v>0</x:v>
      </x:c>
      <x:c r="H392" s="2" t="n">
        <x:v>0</x:v>
      </x:c>
      <x:c r="I392" s="2" t="n">
        <x:v>-1</x:v>
      </x:c>
      <x:c r="J392" s="2" t="n">
        <x:v>4.5</x:v>
      </x:c>
      <x:c r="K392" s="2" t="n">
        <x:v>15</x:v>
      </x:c>
      <x:c r="L392" s="2" t="str">
        <x:v>R16 szerkezeti terv; anyaghoz illesztett próbafúrás kell</x:v>
      </x:c>
    </x:row>
    <x:row r="393" ht="36" customHeight="1">
      <x:c r="A393" s="2" t="str">
        <x:v>R16H0388</x:v>
      </x:c>
      <x:c r="B393" s="2" t="str">
        <x:v>KI16-D1-B</x:v>
      </x:c>
      <x:c r="C393" s="2" t="str">
        <x:v>FIÓK_FENEK_PILOT</x:v>
      </x:c>
      <x:c r="D393" s="2" t="n">
        <x:v>0</x:v>
      </x:c>
      <x:c r="E393" s="2" t="n">
        <x:v>240</x:v>
      </x:c>
      <x:c r="F393" s="2" t="n">
        <x:v>-7.5</x:v>
      </x:c>
      <x:c r="G393" s="2" t="n">
        <x:v>1</x:v>
      </x:c>
      <x:c r="H393" s="2" t="n">
        <x:v>0</x:v>
      </x:c>
      <x:c r="I393" s="2" t="n">
        <x:v>0</x:v>
      </x:c>
      <x:c r="J393" s="2" t="n">
        <x:v>2.5</x:v>
      </x:c>
      <x:c r="K393" s="2" t="n">
        <x:v>20</x:v>
      </x:c>
      <x:c r="L393" s="2" t="str">
        <x:v>R16 szerkezeti terv; anyaghoz illesztett próbafúrás kell</x:v>
      </x:c>
    </x:row>
    <x:row r="394" ht="36" customHeight="1">
      <x:c r="A394" s="2" t="str">
        <x:v>R16H0389</x:v>
      </x:c>
      <x:c r="B394" s="2" t="str">
        <x:v>KI16-D1-L</x:v>
      </x:c>
      <x:c r="C394" s="2" t="str">
        <x:v>FIÓK_ELO_HAT_ATMENO</x:v>
      </x:c>
      <x:c r="D394" s="2" t="n">
        <x:v>73</x:v>
      </x:c>
      <x:c r="E394" s="2" t="n">
        <x:v>7.5</x:v>
      </x:c>
      <x:c r="F394" s="2" t="n">
        <x:v>0</x:v>
      </x:c>
      <x:c r="G394" s="2" t="n">
        <x:v>0</x:v>
      </x:c>
      <x:c r="H394" s="2" t="n">
        <x:v>0</x:v>
      </x:c>
      <x:c r="I394" s="2" t="n">
        <x:v>-1</x:v>
      </x:c>
      <x:c r="J394" s="2" t="n">
        <x:v>4.5</x:v>
      </x:c>
      <x:c r="K394" s="2" t="n">
        <x:v>15</x:v>
      </x:c>
      <x:c r="L394" s="2" t="str">
        <x:v>R16 szerkezeti terv; anyaghoz illesztett próbafúrás kell</x:v>
      </x:c>
    </x:row>
    <x:row r="395" ht="36" customHeight="1">
      <x:c r="A395" s="2" t="str">
        <x:v>R16H0390</x:v>
      </x:c>
      <x:c r="B395" s="2" t="str">
        <x:v>KI16-D1-F</x:v>
      </x:c>
      <x:c r="C395" s="2" t="str">
        <x:v>FIÓK_ELO_HAT_PILOT</x:v>
      </x:c>
      <x:c r="D395" s="2" t="n">
        <x:v>642</x:v>
      </x:c>
      <x:c r="E395" s="2" t="n">
        <x:v>45</x:v>
      </x:c>
      <x:c r="F395" s="2" t="n">
        <x:v>-7.5</x:v>
      </x:c>
      <x:c r="G395" s="2" t="n">
        <x:v>-1</x:v>
      </x:c>
      <x:c r="H395" s="2" t="n">
        <x:v>0</x:v>
      </x:c>
      <x:c r="I395" s="2" t="n">
        <x:v>0</x:v>
      </x:c>
      <x:c r="J395" s="2" t="n">
        <x:v>2.5</x:v>
      </x:c>
      <x:c r="K395" s="2" t="n">
        <x:v>20</x:v>
      </x:c>
      <x:c r="L395" s="2" t="str">
        <x:v>R16 szerkezeti terv; anyaghoz illesztett próbafúrás kell</x:v>
      </x:c>
    </x:row>
    <x:row r="396" ht="36" customHeight="1">
      <x:c r="A396" s="2" t="str">
        <x:v>R16H0391</x:v>
      </x:c>
      <x:c r="B396" s="2" t="str">
        <x:v>KI16-D1-L</x:v>
      </x:c>
      <x:c r="C396" s="2" t="str">
        <x:v>FIÓK_ELO_HAT_ATMENO</x:v>
      </x:c>
      <x:c r="D396" s="2" t="n">
        <x:v>203</x:v>
      </x:c>
      <x:c r="E396" s="2" t="n">
        <x:v>7.5</x:v>
      </x:c>
      <x:c r="F396" s="2" t="n">
        <x:v>0</x:v>
      </x:c>
      <x:c r="G396" s="2" t="n">
        <x:v>0</x:v>
      </x:c>
      <x:c r="H396" s="2" t="n">
        <x:v>0</x:v>
      </x:c>
      <x:c r="I396" s="2" t="n">
        <x:v>-1</x:v>
      </x:c>
      <x:c r="J396" s="2" t="n">
        <x:v>4.5</x:v>
      </x:c>
      <x:c r="K396" s="2" t="n">
        <x:v>15</x:v>
      </x:c>
      <x:c r="L396" s="2" t="str">
        <x:v>R16 szerkezeti terv; anyaghoz illesztett próbafúrás kell</x:v>
      </x:c>
    </x:row>
    <x:row r="397" ht="36" customHeight="1">
      <x:c r="A397" s="2" t="str">
        <x:v>R16H0392</x:v>
      </x:c>
      <x:c r="B397" s="2" t="str">
        <x:v>KI16-D1-F</x:v>
      </x:c>
      <x:c r="C397" s="2" t="str">
        <x:v>FIÓK_ELO_HAT_PILOT</x:v>
      </x:c>
      <x:c r="D397" s="2" t="n">
        <x:v>642</x:v>
      </x:c>
      <x:c r="E397" s="2" t="n">
        <x:v>175</x:v>
      </x:c>
      <x:c r="F397" s="2" t="n">
        <x:v>-7.5</x:v>
      </x:c>
      <x:c r="G397" s="2" t="n">
        <x:v>-1</x:v>
      </x:c>
      <x:c r="H397" s="2" t="n">
        <x:v>0</x:v>
      </x:c>
      <x:c r="I397" s="2" t="n">
        <x:v>0</x:v>
      </x:c>
      <x:c r="J397" s="2" t="n">
        <x:v>2.5</x:v>
      </x:c>
      <x:c r="K397" s="2" t="n">
        <x:v>20</x:v>
      </x:c>
      <x:c r="L397" s="2" t="str">
        <x:v>R16 szerkezeti terv; anyaghoz illesztett próbafúrás kell</x:v>
      </x:c>
    </x:row>
    <x:row r="398" ht="36" customHeight="1">
      <x:c r="A398" s="2" t="str">
        <x:v>R16H0393</x:v>
      </x:c>
      <x:c r="B398" s="2" t="str">
        <x:v>KI16-D1-L</x:v>
      </x:c>
      <x:c r="C398" s="2" t="str">
        <x:v>FIÓK_ELO_HAT_ATMENO</x:v>
      </x:c>
      <x:c r="D398" s="2" t="n">
        <x:v>73</x:v>
      </x:c>
      <x:c r="E398" s="2" t="n">
        <x:v>282.5</x:v>
      </x:c>
      <x:c r="F398" s="2" t="n">
        <x:v>0</x:v>
      </x:c>
      <x:c r="G398" s="2" t="n">
        <x:v>0</x:v>
      </x:c>
      <x:c r="H398" s="2" t="n">
        <x:v>0</x:v>
      </x:c>
      <x:c r="I398" s="2" t="n">
        <x:v>-1</x:v>
      </x:c>
      <x:c r="J398" s="2" t="n">
        <x:v>4.5</x:v>
      </x:c>
      <x:c r="K398" s="2" t="n">
        <x:v>15</x:v>
      </x:c>
      <x:c r="L398" s="2" t="str">
        <x:v>R16 szerkezeti terv; anyaghoz illesztett próbafúrás kell</x:v>
      </x:c>
    </x:row>
    <x:row r="399" ht="36" customHeight="1">
      <x:c r="A399" s="2" t="str">
        <x:v>R16H0394</x:v>
      </x:c>
      <x:c r="B399" s="2" t="str">
        <x:v>KI16-D1-H</x:v>
      </x:c>
      <x:c r="C399" s="2" t="str">
        <x:v>FIÓK_ELO_HAT_PILOT</x:v>
      </x:c>
      <x:c r="D399" s="2" t="n">
        <x:v>642</x:v>
      </x:c>
      <x:c r="E399" s="2" t="n">
        <x:v>45</x:v>
      </x:c>
      <x:c r="F399" s="2" t="n">
        <x:v>-7.5</x:v>
      </x:c>
      <x:c r="G399" s="2" t="n">
        <x:v>-1</x:v>
      </x:c>
      <x:c r="H399" s="2" t="n">
        <x:v>0</x:v>
      </x:c>
      <x:c r="I399" s="2" t="n">
        <x:v>0</x:v>
      </x:c>
      <x:c r="J399" s="2" t="n">
        <x:v>2.5</x:v>
      </x:c>
      <x:c r="K399" s="2" t="n">
        <x:v>20</x:v>
      </x:c>
      <x:c r="L399" s="2" t="str">
        <x:v>R16 szerkezeti terv; anyaghoz illesztett próbafúrás kell</x:v>
      </x:c>
    </x:row>
    <x:row r="400" ht="36" customHeight="1">
      <x:c r="A400" s="2" t="str">
        <x:v>R16H0395</x:v>
      </x:c>
      <x:c r="B400" s="2" t="str">
        <x:v>KI16-D1-L</x:v>
      </x:c>
      <x:c r="C400" s="2" t="str">
        <x:v>FIÓK_ELO_HAT_ATMENO</x:v>
      </x:c>
      <x:c r="D400" s="2" t="n">
        <x:v>203</x:v>
      </x:c>
      <x:c r="E400" s="2" t="n">
        <x:v>282.5</x:v>
      </x:c>
      <x:c r="F400" s="2" t="n">
        <x:v>0</x:v>
      </x:c>
      <x:c r="G400" s="2" t="n">
        <x:v>0</x:v>
      </x:c>
      <x:c r="H400" s="2" t="n">
        <x:v>0</x:v>
      </x:c>
      <x:c r="I400" s="2" t="n">
        <x:v>-1</x:v>
      </x:c>
      <x:c r="J400" s="2" t="n">
        <x:v>4.5</x:v>
      </x:c>
      <x:c r="K400" s="2" t="n">
        <x:v>15</x:v>
      </x:c>
      <x:c r="L400" s="2" t="str">
        <x:v>R16 szerkezeti terv; anyaghoz illesztett próbafúrás kell</x:v>
      </x:c>
    </x:row>
    <x:row r="401" ht="36" customHeight="1">
      <x:c r="A401" s="2" t="str">
        <x:v>R16H0396</x:v>
      </x:c>
      <x:c r="B401" s="2" t="str">
        <x:v>KI16-D1-H</x:v>
      </x:c>
      <x:c r="C401" s="2" t="str">
        <x:v>FIÓK_ELO_HAT_PILOT</x:v>
      </x:c>
      <x:c r="D401" s="2" t="n">
        <x:v>642</x:v>
      </x:c>
      <x:c r="E401" s="2" t="n">
        <x:v>175</x:v>
      </x:c>
      <x:c r="F401" s="2" t="n">
        <x:v>-7.5</x:v>
      </x:c>
      <x:c r="G401" s="2" t="n">
        <x:v>-1</x:v>
      </x:c>
      <x:c r="H401" s="2" t="n">
        <x:v>0</x:v>
      </x:c>
      <x:c r="I401" s="2" t="n">
        <x:v>0</x:v>
      </x:c>
      <x:c r="J401" s="2" t="n">
        <x:v>2.5</x:v>
      </x:c>
      <x:c r="K401" s="2" t="n">
        <x:v>20</x:v>
      </x:c>
      <x:c r="L401" s="2" t="str">
        <x:v>R16 szerkezeti terv; anyaghoz illesztett próbafúrás kell</x:v>
      </x:c>
    </x:row>
    <x:row r="402" ht="36" customHeight="1">
      <x:c r="A402" s="2" t="str">
        <x:v>R16H0397</x:v>
      </x:c>
      <x:c r="B402" s="2" t="str">
        <x:v>KI16-D1-R</x:v>
      </x:c>
      <x:c r="C402" s="2" t="str">
        <x:v>FIÓK_FENEK_ATMENO</x:v>
      </x:c>
      <x:c r="D402" s="2" t="n">
        <x:v>20.5</x:v>
      </x:c>
      <x:c r="E402" s="2" t="n">
        <x:v>50</x:v>
      </x:c>
      <x:c r="F402" s="2" t="n">
        <x:v>-15</x:v>
      </x:c>
      <x:c r="G402" s="2" t="n">
        <x:v>0</x:v>
      </x:c>
      <x:c r="H402" s="2" t="n">
        <x:v>0</x:v>
      </x:c>
      <x:c r="I402" s="2" t="n">
        <x:v>1</x:v>
      </x:c>
      <x:c r="J402" s="2" t="n">
        <x:v>4.5</x:v>
      </x:c>
      <x:c r="K402" s="2" t="n">
        <x:v>15</x:v>
      </x:c>
      <x:c r="L402" s="2" t="str">
        <x:v>R16 szerkezeti terv; anyaghoz illesztett próbafúrás kell</x:v>
      </x:c>
    </x:row>
    <x:row r="403" ht="36" customHeight="1">
      <x:c r="A403" s="2" t="str">
        <x:v>R16H0398</x:v>
      </x:c>
      <x:c r="B403" s="2" t="str">
        <x:v>KI16-D1-B</x:v>
      </x:c>
      <x:c r="C403" s="2" t="str">
        <x:v>FIÓK_FENEK_PILOT</x:v>
      </x:c>
      <x:c r="D403" s="2" t="n">
        <x:v>642</x:v>
      </x:c>
      <x:c r="E403" s="2" t="n">
        <x:v>50</x:v>
      </x:c>
      <x:c r="F403" s="2" t="n">
        <x:v>-7.5</x:v>
      </x:c>
      <x:c r="G403" s="2" t="n">
        <x:v>-1</x:v>
      </x:c>
      <x:c r="H403" s="2" t="n">
        <x:v>0</x:v>
      </x:c>
      <x:c r="I403" s="2" t="n">
        <x:v>0</x:v>
      </x:c>
      <x:c r="J403" s="2" t="n">
        <x:v>2.5</x:v>
      </x:c>
      <x:c r="K403" s="2" t="n">
        <x:v>20</x:v>
      </x:c>
      <x:c r="L403" s="2" t="str">
        <x:v>R16 szerkezeti terv; anyaghoz illesztett próbafúrás kell</x:v>
      </x:c>
    </x:row>
    <x:row r="404" ht="36" customHeight="1">
      <x:c r="A404" s="2" t="str">
        <x:v>R16H0399</x:v>
      </x:c>
      <x:c r="B404" s="2" t="str">
        <x:v>KI16-D1-R</x:v>
      </x:c>
      <x:c r="C404" s="2" t="str">
        <x:v>FIÓK_FENEK_ATMENO</x:v>
      </x:c>
      <x:c r="D404" s="2" t="n">
        <x:v>20.5</x:v>
      </x:c>
      <x:c r="E404" s="2" t="n">
        <x:v>145</x:v>
      </x:c>
      <x:c r="F404" s="2" t="n">
        <x:v>-15</x:v>
      </x:c>
      <x:c r="G404" s="2" t="n">
        <x:v>0</x:v>
      </x:c>
      <x:c r="H404" s="2" t="n">
        <x:v>0</x:v>
      </x:c>
      <x:c r="I404" s="2" t="n">
        <x:v>1</x:v>
      </x:c>
      <x:c r="J404" s="2" t="n">
        <x:v>4.5</x:v>
      </x:c>
      <x:c r="K404" s="2" t="n">
        <x:v>15</x:v>
      </x:c>
      <x:c r="L404" s="2" t="str">
        <x:v>R16 szerkezeti terv; anyaghoz illesztett próbafúrás kell</x:v>
      </x:c>
    </x:row>
    <x:row r="405" ht="36" customHeight="1">
      <x:c r="A405" s="2" t="str">
        <x:v>R16H0400</x:v>
      </x:c>
      <x:c r="B405" s="2" t="str">
        <x:v>KI16-D1-B</x:v>
      </x:c>
      <x:c r="C405" s="2" t="str">
        <x:v>FIÓK_FENEK_PILOT</x:v>
      </x:c>
      <x:c r="D405" s="2" t="n">
        <x:v>642</x:v>
      </x:c>
      <x:c r="E405" s="2" t="n">
        <x:v>145</x:v>
      </x:c>
      <x:c r="F405" s="2" t="n">
        <x:v>-7.5</x:v>
      </x:c>
      <x:c r="G405" s="2" t="n">
        <x:v>-1</x:v>
      </x:c>
      <x:c r="H405" s="2" t="n">
        <x:v>0</x:v>
      </x:c>
      <x:c r="I405" s="2" t="n">
        <x:v>0</x:v>
      </x:c>
      <x:c r="J405" s="2" t="n">
        <x:v>2.5</x:v>
      </x:c>
      <x:c r="K405" s="2" t="n">
        <x:v>20</x:v>
      </x:c>
      <x:c r="L405" s="2" t="str">
        <x:v>R16 szerkezeti terv; anyaghoz illesztett próbafúrás kell</x:v>
      </x:c>
    </x:row>
    <x:row r="406" ht="36" customHeight="1">
      <x:c r="A406" s="2" t="str">
        <x:v>R16H0401</x:v>
      </x:c>
      <x:c r="B406" s="2" t="str">
        <x:v>KI16-D1-R</x:v>
      </x:c>
      <x:c r="C406" s="2" t="str">
        <x:v>FIÓK_FENEK_ATMENO</x:v>
      </x:c>
      <x:c r="D406" s="2" t="n">
        <x:v>20.5</x:v>
      </x:c>
      <x:c r="E406" s="2" t="n">
        <x:v>240</x:v>
      </x:c>
      <x:c r="F406" s="2" t="n">
        <x:v>-15</x:v>
      </x:c>
      <x:c r="G406" s="2" t="n">
        <x:v>0</x:v>
      </x:c>
      <x:c r="H406" s="2" t="n">
        <x:v>0</x:v>
      </x:c>
      <x:c r="I406" s="2" t="n">
        <x:v>1</x:v>
      </x:c>
      <x:c r="J406" s="2" t="n">
        <x:v>4.5</x:v>
      </x:c>
      <x:c r="K406" s="2" t="n">
        <x:v>15</x:v>
      </x:c>
      <x:c r="L406" s="2" t="str">
        <x:v>R16 szerkezeti terv; anyaghoz illesztett próbafúrás kell</x:v>
      </x:c>
    </x:row>
    <x:row r="407" ht="36" customHeight="1">
      <x:c r="A407" s="2" t="str">
        <x:v>R16H0402</x:v>
      </x:c>
      <x:c r="B407" s="2" t="str">
        <x:v>KI16-D1-B</x:v>
      </x:c>
      <x:c r="C407" s="2" t="str">
        <x:v>FIÓK_FENEK_PILOT</x:v>
      </x:c>
      <x:c r="D407" s="2" t="n">
        <x:v>642</x:v>
      </x:c>
      <x:c r="E407" s="2" t="n">
        <x:v>240</x:v>
      </x:c>
      <x:c r="F407" s="2" t="n">
        <x:v>-7.5</x:v>
      </x:c>
      <x:c r="G407" s="2" t="n">
        <x:v>-1</x:v>
      </x:c>
      <x:c r="H407" s="2" t="n">
        <x:v>0</x:v>
      </x:c>
      <x:c r="I407" s="2" t="n">
        <x:v>0</x:v>
      </x:c>
      <x:c r="J407" s="2" t="n">
        <x:v>2.5</x:v>
      </x:c>
      <x:c r="K407" s="2" t="n">
        <x:v>20</x:v>
      </x:c>
      <x:c r="L407" s="2" t="str">
        <x:v>R16 szerkezeti terv; anyaghoz illesztett próbafúrás kell</x:v>
      </x:c>
    </x:row>
    <x:row r="408" ht="36" customHeight="1">
      <x:c r="A408" s="2" t="str">
        <x:v>R16H0403</x:v>
      </x:c>
      <x:c r="B408" s="2" t="str">
        <x:v>KI16-D1-R</x:v>
      </x:c>
      <x:c r="C408" s="2" t="str">
        <x:v>FIÓK_ELO_HAT_ATMENO</x:v>
      </x:c>
      <x:c r="D408" s="2" t="n">
        <x:v>73</x:v>
      </x:c>
      <x:c r="E408" s="2" t="n">
        <x:v>7.5</x:v>
      </x:c>
      <x:c r="F408" s="2" t="n">
        <x:v>-15</x:v>
      </x:c>
      <x:c r="G408" s="2" t="n">
        <x:v>0</x:v>
      </x:c>
      <x:c r="H408" s="2" t="n">
        <x:v>0</x:v>
      </x:c>
      <x:c r="I408" s="2" t="n">
        <x:v>1</x:v>
      </x:c>
      <x:c r="J408" s="2" t="n">
        <x:v>4.5</x:v>
      </x:c>
      <x:c r="K408" s="2" t="n">
        <x:v>15</x:v>
      </x:c>
      <x:c r="L408" s="2" t="str">
        <x:v>R16 szerkezeti terv; anyaghoz illesztett próbafúrás kell</x:v>
      </x:c>
    </x:row>
    <x:row r="409" ht="36" customHeight="1">
      <x:c r="A409" s="2" t="str">
        <x:v>R16H0404</x:v>
      </x:c>
      <x:c r="B409" s="2" t="str">
        <x:v>KI16-D1-F</x:v>
      </x:c>
      <x:c r="C409" s="2" t="str">
        <x:v>FIÓK_ELO_HAT_PILOT</x:v>
      </x:c>
      <x:c r="D409" s="2" t="n">
        <x:v>0</x:v>
      </x:c>
      <x:c r="E409" s="2" t="n">
        <x:v>45</x:v>
      </x:c>
      <x:c r="F409" s="2" t="n">
        <x:v>-7.5</x:v>
      </x:c>
      <x:c r="G409" s="2" t="n">
        <x:v>1</x:v>
      </x:c>
      <x:c r="H409" s="2" t="n">
        <x:v>0</x:v>
      </x:c>
      <x:c r="I409" s="2" t="n">
        <x:v>0</x:v>
      </x:c>
      <x:c r="J409" s="2" t="n">
        <x:v>2.5</x:v>
      </x:c>
      <x:c r="K409" s="2" t="n">
        <x:v>20</x:v>
      </x:c>
      <x:c r="L409" s="2" t="str">
        <x:v>R16 szerkezeti terv; anyaghoz illesztett próbafúrás kell</x:v>
      </x:c>
    </x:row>
    <x:row r="410" ht="36" customHeight="1">
      <x:c r="A410" s="2" t="str">
        <x:v>R16H0405</x:v>
      </x:c>
      <x:c r="B410" s="2" t="str">
        <x:v>KI16-D1-R</x:v>
      </x:c>
      <x:c r="C410" s="2" t="str">
        <x:v>FIÓK_ELO_HAT_ATMENO</x:v>
      </x:c>
      <x:c r="D410" s="2" t="n">
        <x:v>203</x:v>
      </x:c>
      <x:c r="E410" s="2" t="n">
        <x:v>7.5</x:v>
      </x:c>
      <x:c r="F410" s="2" t="n">
        <x:v>-15</x:v>
      </x:c>
      <x:c r="G410" s="2" t="n">
        <x:v>0</x:v>
      </x:c>
      <x:c r="H410" s="2" t="n">
        <x:v>0</x:v>
      </x:c>
      <x:c r="I410" s="2" t="n">
        <x:v>1</x:v>
      </x:c>
      <x:c r="J410" s="2" t="n">
        <x:v>4.5</x:v>
      </x:c>
      <x:c r="K410" s="2" t="n">
        <x:v>15</x:v>
      </x:c>
      <x:c r="L410" s="2" t="str">
        <x:v>R16 szerkezeti terv; anyaghoz illesztett próbafúrás kell</x:v>
      </x:c>
    </x:row>
    <x:row r="411" ht="36" customHeight="1">
      <x:c r="A411" s="2" t="str">
        <x:v>R16H0406</x:v>
      </x:c>
      <x:c r="B411" s="2" t="str">
        <x:v>KI16-D1-F</x:v>
      </x:c>
      <x:c r="C411" s="2" t="str">
        <x:v>FIÓK_ELO_HAT_PILOT</x:v>
      </x:c>
      <x:c r="D411" s="2" t="n">
        <x:v>0</x:v>
      </x:c>
      <x:c r="E411" s="2" t="n">
        <x:v>175</x:v>
      </x:c>
      <x:c r="F411" s="2" t="n">
        <x:v>-7.5</x:v>
      </x:c>
      <x:c r="G411" s="2" t="n">
        <x:v>1</x:v>
      </x:c>
      <x:c r="H411" s="2" t="n">
        <x:v>0</x:v>
      </x:c>
      <x:c r="I411" s="2" t="n">
        <x:v>0</x:v>
      </x:c>
      <x:c r="J411" s="2" t="n">
        <x:v>2.5</x:v>
      </x:c>
      <x:c r="K411" s="2" t="n">
        <x:v>20</x:v>
      </x:c>
      <x:c r="L411" s="2" t="str">
        <x:v>R16 szerkezeti terv; anyaghoz illesztett próbafúrás kell</x:v>
      </x:c>
    </x:row>
    <x:row r="412" ht="36" customHeight="1">
      <x:c r="A412" s="2" t="str">
        <x:v>R16H0407</x:v>
      </x:c>
      <x:c r="B412" s="2" t="str">
        <x:v>KI16-D1-R</x:v>
      </x:c>
      <x:c r="C412" s="2" t="str">
        <x:v>FIÓK_ELO_HAT_ATMENO</x:v>
      </x:c>
      <x:c r="D412" s="2" t="n">
        <x:v>73</x:v>
      </x:c>
      <x:c r="E412" s="2" t="n">
        <x:v>282.5</x:v>
      </x:c>
      <x:c r="F412" s="2" t="n">
        <x:v>-15</x:v>
      </x:c>
      <x:c r="G412" s="2" t="n">
        <x:v>0</x:v>
      </x:c>
      <x:c r="H412" s="2" t="n">
        <x:v>0</x:v>
      </x:c>
      <x:c r="I412" s="2" t="n">
        <x:v>1</x:v>
      </x:c>
      <x:c r="J412" s="2" t="n">
        <x:v>4.5</x:v>
      </x:c>
      <x:c r="K412" s="2" t="n">
        <x:v>15</x:v>
      </x:c>
      <x:c r="L412" s="2" t="str">
        <x:v>R16 szerkezeti terv; anyaghoz illesztett próbafúrás kell</x:v>
      </x:c>
    </x:row>
    <x:row r="413" ht="36" customHeight="1">
      <x:c r="A413" s="2" t="str">
        <x:v>R16H0408</x:v>
      </x:c>
      <x:c r="B413" s="2" t="str">
        <x:v>KI16-D1-H</x:v>
      </x:c>
      <x:c r="C413" s="2" t="str">
        <x:v>FIÓK_ELO_HAT_PILOT</x:v>
      </x:c>
      <x:c r="D413" s="2" t="n">
        <x:v>0</x:v>
      </x:c>
      <x:c r="E413" s="2" t="n">
        <x:v>45</x:v>
      </x:c>
      <x:c r="F413" s="2" t="n">
        <x:v>-7.5</x:v>
      </x:c>
      <x:c r="G413" s="2" t="n">
        <x:v>1</x:v>
      </x:c>
      <x:c r="H413" s="2" t="n">
        <x:v>0</x:v>
      </x:c>
      <x:c r="I413" s="2" t="n">
        <x:v>0</x:v>
      </x:c>
      <x:c r="J413" s="2" t="n">
        <x:v>2.5</x:v>
      </x:c>
      <x:c r="K413" s="2" t="n">
        <x:v>20</x:v>
      </x:c>
      <x:c r="L413" s="2" t="str">
        <x:v>R16 szerkezeti terv; anyaghoz illesztett próbafúrás kell</x:v>
      </x:c>
    </x:row>
    <x:row r="414" ht="36" customHeight="1">
      <x:c r="A414" s="2" t="str">
        <x:v>R16H0409</x:v>
      </x:c>
      <x:c r="B414" s="2" t="str">
        <x:v>KI16-D1-R</x:v>
      </x:c>
      <x:c r="C414" s="2" t="str">
        <x:v>FIÓK_ELO_HAT_ATMENO</x:v>
      </x:c>
      <x:c r="D414" s="2" t="n">
        <x:v>203</x:v>
      </x:c>
      <x:c r="E414" s="2" t="n">
        <x:v>282.5</x:v>
      </x:c>
      <x:c r="F414" s="2" t="n">
        <x:v>-15</x:v>
      </x:c>
      <x:c r="G414" s="2" t="n">
        <x:v>0</x:v>
      </x:c>
      <x:c r="H414" s="2" t="n">
        <x:v>0</x:v>
      </x:c>
      <x:c r="I414" s="2" t="n">
        <x:v>1</x:v>
      </x:c>
      <x:c r="J414" s="2" t="n">
        <x:v>4.5</x:v>
      </x:c>
      <x:c r="K414" s="2" t="n">
        <x:v>15</x:v>
      </x:c>
      <x:c r="L414" s="2" t="str">
        <x:v>R16 szerkezeti terv; anyaghoz illesztett próbafúrás kell</x:v>
      </x:c>
    </x:row>
    <x:row r="415" ht="36" customHeight="1">
      <x:c r="A415" s="2" t="str">
        <x:v>R16H0410</x:v>
      </x:c>
      <x:c r="B415" s="2" t="str">
        <x:v>KI16-D1-H</x:v>
      </x:c>
      <x:c r="C415" s="2" t="str">
        <x:v>FIÓK_ELO_HAT_PILOT</x:v>
      </x:c>
      <x:c r="D415" s="2" t="n">
        <x:v>0</x:v>
      </x:c>
      <x:c r="E415" s="2" t="n">
        <x:v>175</x:v>
      </x:c>
      <x:c r="F415" s="2" t="n">
        <x:v>-7.5</x:v>
      </x:c>
      <x:c r="G415" s="2" t="n">
        <x:v>1</x:v>
      </x:c>
      <x:c r="H415" s="2" t="n">
        <x:v>0</x:v>
      </x:c>
      <x:c r="I415" s="2" t="n">
        <x:v>0</x:v>
      </x:c>
      <x:c r="J415" s="2" t="n">
        <x:v>2.5</x:v>
      </x:c>
      <x:c r="K415" s="2" t="n">
        <x:v>20</x:v>
      </x:c>
      <x:c r="L415" s="2" t="str">
        <x:v>R16 szerkezeti terv; anyaghoz illesztett próbafúrás kell</x:v>
      </x:c>
    </x:row>
    <x:row r="416" ht="36" customHeight="1">
      <x:c r="A416" s="2" t="str">
        <x:v>R16H0411</x:v>
      </x:c>
      <x:c r="B416" s="2" t="str">
        <x:v>KI16-D1-F</x:v>
      </x:c>
      <x:c r="C416" s="2" t="str">
        <x:v>FRONT_ROGZITES_ATMENO</x:v>
      </x:c>
      <x:c r="D416" s="2" t="n">
        <x:v>581</x:v>
      </x:c>
      <x:c r="E416" s="2" t="n">
        <x:v>45</x:v>
      </x:c>
      <x:c r="F416" s="2" t="n">
        <x:v>0</x:v>
      </x:c>
      <x:c r="G416" s="2" t="n">
        <x:v>0</x:v>
      </x:c>
      <x:c r="H416" s="2" t="n">
        <x:v>0</x:v>
      </x:c>
      <x:c r="I416" s="2" t="n">
        <x:v>-1</x:v>
      </x:c>
      <x:c r="J416" s="2" t="n">
        <x:v>5</x:v>
      </x:c>
      <x:c r="K416" s="2" t="n">
        <x:v>15</x:v>
      </x:c>
      <x:c r="L416" s="2" t="str">
        <x:v>R16 szerkezeti terv; anyaghoz illesztett próbafúrás kell</x:v>
      </x:c>
    </x:row>
    <x:row r="417" ht="36" customHeight="1">
      <x:c r="A417" s="2" t="str">
        <x:v>R16H0412</x:v>
      </x:c>
      <x:c r="B417" s="2" t="str">
        <x:v>KI12-TV02F1-01</x:v>
      </x:c>
      <x:c r="C417" s="2" t="str">
        <x:v>FRONT_ROGZITES_PILOT</x:v>
      </x:c>
      <x:c r="D417" s="2" t="n">
        <x:v>618.5</x:v>
      </x:c>
      <x:c r="E417" s="2" t="n">
        <x:v>118.5</x:v>
      </x:c>
      <x:c r="F417" s="2" t="n">
        <x:v>0</x:v>
      </x:c>
      <x:c r="G417" s="2" t="n">
        <x:v>0</x:v>
      </x:c>
      <x:c r="H417" s="2" t="n">
        <x:v>0</x:v>
      </x:c>
      <x:c r="I417" s="2" t="n">
        <x:v>-1</x:v>
      </x:c>
      <x:c r="J417" s="2" t="n">
        <x:v>2.5</x:v>
      </x:c>
      <x:c r="K417" s="2" t="n">
        <x:v>12</x:v>
      </x:c>
      <x:c r="L417" s="2" t="str">
        <x:v>R16 szerkezeti terv; anyaghoz illesztett próbafúrás kell</x:v>
      </x:c>
    </x:row>
    <x:row r="418" ht="36" customHeight="1">
      <x:c r="A418" s="2" t="str">
        <x:v>R16H0413</x:v>
      </x:c>
      <x:c r="B418" s="2" t="str">
        <x:v>KI16-D1-F</x:v>
      </x:c>
      <x:c r="C418" s="2" t="str">
        <x:v>FRONT_ROGZITES_ATMENO</x:v>
      </x:c>
      <x:c r="D418" s="2" t="n">
        <x:v>581</x:v>
      </x:c>
      <x:c r="E418" s="2" t="n">
        <x:v>175</x:v>
      </x:c>
      <x:c r="F418" s="2" t="n">
        <x:v>0</x:v>
      </x:c>
      <x:c r="G418" s="2" t="n">
        <x:v>0</x:v>
      </x:c>
      <x:c r="H418" s="2" t="n">
        <x:v>0</x:v>
      </x:c>
      <x:c r="I418" s="2" t="n">
        <x:v>-1</x:v>
      </x:c>
      <x:c r="J418" s="2" t="n">
        <x:v>5</x:v>
      </x:c>
      <x:c r="K418" s="2" t="n">
        <x:v>15</x:v>
      </x:c>
      <x:c r="L418" s="2" t="str">
        <x:v>R16 szerkezeti terv; anyaghoz illesztett próbafúrás kell</x:v>
      </x:c>
    </x:row>
    <x:row r="419" ht="36" customHeight="1">
      <x:c r="A419" s="2" t="str">
        <x:v>R16H0414</x:v>
      </x:c>
      <x:c r="B419" s="2" t="str">
        <x:v>KI12-TV02F1-01</x:v>
      </x:c>
      <x:c r="C419" s="2" t="str">
        <x:v>FRONT_ROGZITES_PILOT</x:v>
      </x:c>
      <x:c r="D419" s="2" t="n">
        <x:v>618.5</x:v>
      </x:c>
      <x:c r="E419" s="2" t="n">
        <x:v>248.5</x:v>
      </x:c>
      <x:c r="F419" s="2" t="n">
        <x:v>0</x:v>
      </x:c>
      <x:c r="G419" s="2" t="n">
        <x:v>0</x:v>
      </x:c>
      <x:c r="H419" s="2" t="n">
        <x:v>0</x:v>
      </x:c>
      <x:c r="I419" s="2" t="n">
        <x:v>-1</x:v>
      </x:c>
      <x:c r="J419" s="2" t="n">
        <x:v>2.5</x:v>
      </x:c>
      <x:c r="K419" s="2" t="n">
        <x:v>12</x:v>
      </x:c>
      <x:c r="L419" s="2" t="str">
        <x:v>R16 szerkezeti terv; anyaghoz illesztett próbafúrás kell</x:v>
      </x:c>
    </x:row>
    <x:row r="420" ht="36" customHeight="1">
      <x:c r="A420" s="2" t="str">
        <x:v>R16H0415</x:v>
      </x:c>
      <x:c r="B420" s="2" t="str">
        <x:v>KI16-D1-F</x:v>
      </x:c>
      <x:c r="C420" s="2" t="str">
        <x:v>FRONT_ROGZITES_ATMENO</x:v>
      </x:c>
      <x:c r="D420" s="2" t="n">
        <x:v>61</x:v>
      </x:c>
      <x:c r="E420" s="2" t="n">
        <x:v>45</x:v>
      </x:c>
      <x:c r="F420" s="2" t="n">
        <x:v>0</x:v>
      </x:c>
      <x:c r="G420" s="2" t="n">
        <x:v>0</x:v>
      </x:c>
      <x:c r="H420" s="2" t="n">
        <x:v>0</x:v>
      </x:c>
      <x:c r="I420" s="2" t="n">
        <x:v>-1</x:v>
      </x:c>
      <x:c r="J420" s="2" t="n">
        <x:v>5</x:v>
      </x:c>
      <x:c r="K420" s="2" t="n">
        <x:v>15</x:v>
      </x:c>
      <x:c r="L420" s="2" t="str">
        <x:v>R16 szerkezeti terv; anyaghoz illesztett próbafúrás kell</x:v>
      </x:c>
    </x:row>
    <x:row r="421" ht="36" customHeight="1">
      <x:c r="A421" s="2" t="str">
        <x:v>R16H0416</x:v>
      </x:c>
      <x:c r="B421" s="2" t="str">
        <x:v>KI12-TV02F1-01</x:v>
      </x:c>
      <x:c r="C421" s="2" t="str">
        <x:v>FRONT_ROGZITES_PILOT</x:v>
      </x:c>
      <x:c r="D421" s="2" t="n">
        <x:v>98.5</x:v>
      </x:c>
      <x:c r="E421" s="2" t="n">
        <x:v>118.5</x:v>
      </x:c>
      <x:c r="F421" s="2" t="n">
        <x:v>0</x:v>
      </x:c>
      <x:c r="G421" s="2" t="n">
        <x:v>0</x:v>
      </x:c>
      <x:c r="H421" s="2" t="n">
        <x:v>0</x:v>
      </x:c>
      <x:c r="I421" s="2" t="n">
        <x:v>-1</x:v>
      </x:c>
      <x:c r="J421" s="2" t="n">
        <x:v>2.5</x:v>
      </x:c>
      <x:c r="K421" s="2" t="n">
        <x:v>12</x:v>
      </x:c>
      <x:c r="L421" s="2" t="str">
        <x:v>R16 szerkezeti terv; anyaghoz illesztett próbafúrás kell</x:v>
      </x:c>
    </x:row>
    <x:row r="422" ht="36" customHeight="1">
      <x:c r="A422" s="2" t="str">
        <x:v>R16H0417</x:v>
      </x:c>
      <x:c r="B422" s="2" t="str">
        <x:v>KI16-D1-F</x:v>
      </x:c>
      <x:c r="C422" s="2" t="str">
        <x:v>FRONT_ROGZITES_ATMENO</x:v>
      </x:c>
      <x:c r="D422" s="2" t="n">
        <x:v>61</x:v>
      </x:c>
      <x:c r="E422" s="2" t="n">
        <x:v>175</x:v>
      </x:c>
      <x:c r="F422" s="2" t="n">
        <x:v>0</x:v>
      </x:c>
      <x:c r="G422" s="2" t="n">
        <x:v>0</x:v>
      </x:c>
      <x:c r="H422" s="2" t="n">
        <x:v>0</x:v>
      </x:c>
      <x:c r="I422" s="2" t="n">
        <x:v>-1</x:v>
      </x:c>
      <x:c r="J422" s="2" t="n">
        <x:v>5</x:v>
      </x:c>
      <x:c r="K422" s="2" t="n">
        <x:v>15</x:v>
      </x:c>
      <x:c r="L422" s="2" t="str">
        <x:v>R16 szerkezeti terv; anyaghoz illesztett próbafúrás kell</x:v>
      </x:c>
    </x:row>
    <x:row r="423" ht="36" customHeight="1">
      <x:c r="A423" s="2" t="str">
        <x:v>R16H0418</x:v>
      </x:c>
      <x:c r="B423" s="2" t="str">
        <x:v>KI12-TV02F1-01</x:v>
      </x:c>
      <x:c r="C423" s="2" t="str">
        <x:v>FRONT_ROGZITES_PILOT</x:v>
      </x:c>
      <x:c r="D423" s="2" t="n">
        <x:v>98.5</x:v>
      </x:c>
      <x:c r="E423" s="2" t="n">
        <x:v>248.5</x:v>
      </x:c>
      <x:c r="F423" s="2" t="n">
        <x:v>0</x:v>
      </x:c>
      <x:c r="G423" s="2" t="n">
        <x:v>0</x:v>
      </x:c>
      <x:c r="H423" s="2" t="n">
        <x:v>0</x:v>
      </x:c>
      <x:c r="I423" s="2" t="n">
        <x:v>-1</x:v>
      </x:c>
      <x:c r="J423" s="2" t="n">
        <x:v>2.5</x:v>
      </x:c>
      <x:c r="K423" s="2" t="n">
        <x:v>12</x:v>
      </x:c>
      <x:c r="L423" s="2" t="str">
        <x:v>R16 szerkezeti terv; anyaghoz illesztett próbafúrás kell</x:v>
      </x:c>
    </x:row>
    <x:row r="424" ht="36" customHeight="1">
      <x:c r="A424" s="2" t="str">
        <x:v>R16H0419</x:v>
      </x:c>
      <x:c r="B424" s="2" t="str">
        <x:v>KI12-TV02S-03</x:v>
      </x:c>
      <x:c r="C424" s="2" t="str">
        <x:v>CSAP J23</x:v>
      </x:c>
      <x:c r="D424" s="2" t="n">
        <x:v>9</x:v>
      </x:c>
      <x:c r="E424" s="2" t="n">
        <x:v>50</x:v>
      </x:c>
      <x:c r="F424" s="2" t="n">
        <x:v>-18</x:v>
      </x:c>
      <x:c r="G424" s="2" t="n">
        <x:v>0</x:v>
      </x:c>
      <x:c r="H424" s="2" t="n">
        <x:v>0</x:v>
      </x:c>
      <x:c r="I424" s="2" t="n">
        <x:v>1</x:v>
      </x:c>
      <x:c r="J424" s="2" t="n">
        <x:v>8</x:v>
      </x:c>
      <x:c r="K424" s="2" t="n">
        <x:v>12</x:v>
      </x:c>
      <x:c r="L424" s="2" t="str">
        <x:v>R12 J01-J26 / 8x30, 12+22</x:v>
      </x:c>
    </x:row>
    <x:row r="425" ht="36" customHeight="1">
      <x:c r="A425" s="2" t="str">
        <x:v>R16H0420</x:v>
      </x:c>
      <x:c r="B425" s="2" t="str">
        <x:v>KI12-TV02S-03</x:v>
      </x:c>
      <x:c r="C425" s="2" t="str">
        <x:v>CSAP J23</x:v>
      </x:c>
      <x:c r="D425" s="2" t="n">
        <x:v>9</x:v>
      </x:c>
      <x:c r="E425" s="2" t="n">
        <x:v>191</x:v>
      </x:c>
      <x:c r="F425" s="2" t="n">
        <x:v>-18</x:v>
      </x:c>
      <x:c r="G425" s="2" t="n">
        <x:v>0</x:v>
      </x:c>
      <x:c r="H425" s="2" t="n">
        <x:v>0</x:v>
      </x:c>
      <x:c r="I425" s="2" t="n">
        <x:v>1</x:v>
      </x:c>
      <x:c r="J425" s="2" t="n">
        <x:v>8</x:v>
      </x:c>
      <x:c r="K425" s="2" t="n">
        <x:v>12</x:v>
      </x:c>
      <x:c r="L425" s="2" t="str">
        <x:v>R12 J01-J26 / 8x30, 12+22</x:v>
      </x:c>
    </x:row>
    <x:row r="426" ht="36" customHeight="1">
      <x:c r="A426" s="2" t="str">
        <x:v>R16H0421</x:v>
      </x:c>
      <x:c r="B426" s="2" t="str">
        <x:v>KI12-TV02S-03</x:v>
      </x:c>
      <x:c r="C426" s="2" t="str">
        <x:v>CSAP J23</x:v>
      </x:c>
      <x:c r="D426" s="2" t="n">
        <x:v>9</x:v>
      </x:c>
      <x:c r="E426" s="2" t="n">
        <x:v>332</x:v>
      </x:c>
      <x:c r="F426" s="2" t="n">
        <x:v>-18</x:v>
      </x:c>
      <x:c r="G426" s="2" t="n">
        <x:v>0</x:v>
      </x:c>
      <x:c r="H426" s="2" t="n">
        <x:v>0</x:v>
      </x:c>
      <x:c r="I426" s="2" t="n">
        <x:v>1</x:v>
      </x:c>
      <x:c r="J426" s="2" t="n">
        <x:v>8</x:v>
      </x:c>
      <x:c r="K426" s="2" t="n">
        <x:v>12</x:v>
      </x:c>
      <x:c r="L426" s="2" t="str">
        <x:v>R12 J01-J26 / 8x30, 12+22</x:v>
      </x:c>
    </x:row>
    <x:row r="427" ht="36" customHeight="1">
      <x:c r="A427" s="2" t="str">
        <x:v>R16H0422</x:v>
      </x:c>
      <x:c r="B427" s="2" t="str">
        <x:v>KI12-TV02S-03</x:v>
      </x:c>
      <x:c r="C427" s="2" t="str">
        <x:v>CSAP J24</x:v>
      </x:c>
      <x:c r="D427" s="2" t="n">
        <x:v>382</x:v>
      </x:c>
      <x:c r="E427" s="2" t="n">
        <x:v>50</x:v>
      </x:c>
      <x:c r="F427" s="2" t="n">
        <x:v>-9</x:v>
      </x:c>
      <x:c r="G427" s="2" t="n">
        <x:v>-1</x:v>
      </x:c>
      <x:c r="H427" s="2" t="n">
        <x:v>0</x:v>
      </x:c>
      <x:c r="I427" s="2" t="n">
        <x:v>0</x:v>
      </x:c>
      <x:c r="J427" s="2" t="n">
        <x:v>8</x:v>
      </x:c>
      <x:c r="K427" s="2" t="n">
        <x:v>22</x:v>
      </x:c>
      <x:c r="L427" s="2" t="str">
        <x:v>R12 J01-J26 / 8x30, 12+22</x:v>
      </x:c>
    </x:row>
    <x:row r="428" ht="36" customHeight="1">
      <x:c r="A428" s="2" t="str">
        <x:v>R16H0423</x:v>
      </x:c>
      <x:c r="B428" s="2" t="str">
        <x:v>KI12-TV02S-03</x:v>
      </x:c>
      <x:c r="C428" s="2" t="str">
        <x:v>CSAP J24</x:v>
      </x:c>
      <x:c r="D428" s="2" t="n">
        <x:v>382</x:v>
      </x:c>
      <x:c r="E428" s="2" t="n">
        <x:v>191</x:v>
      </x:c>
      <x:c r="F428" s="2" t="n">
        <x:v>-9</x:v>
      </x:c>
      <x:c r="G428" s="2" t="n">
        <x:v>-1</x:v>
      </x:c>
      <x:c r="H428" s="2" t="n">
        <x:v>0</x:v>
      </x:c>
      <x:c r="I428" s="2" t="n">
        <x:v>0</x:v>
      </x:c>
      <x:c r="J428" s="2" t="n">
        <x:v>8</x:v>
      </x:c>
      <x:c r="K428" s="2" t="n">
        <x:v>22</x:v>
      </x:c>
      <x:c r="L428" s="2" t="str">
        <x:v>R12 J01-J26 / 8x30, 12+22</x:v>
      </x:c>
    </x:row>
    <x:row r="429" ht="36" customHeight="1">
      <x:c r="A429" s="2" t="str">
        <x:v>R16H0424</x:v>
      </x:c>
      <x:c r="B429" s="2" t="str">
        <x:v>KI12-TV02S-03</x:v>
      </x:c>
      <x:c r="C429" s="2" t="str">
        <x:v>CSAP J24</x:v>
      </x:c>
      <x:c r="D429" s="2" t="n">
        <x:v>382</x:v>
      </x:c>
      <x:c r="E429" s="2" t="n">
        <x:v>332</x:v>
      </x:c>
      <x:c r="F429" s="2" t="n">
        <x:v>-9</x:v>
      </x:c>
      <x:c r="G429" s="2" t="n">
        <x:v>-1</x:v>
      </x:c>
      <x:c r="H429" s="2" t="n">
        <x:v>0</x:v>
      </x:c>
      <x:c r="I429" s="2" t="n">
        <x:v>0</x:v>
      </x:c>
      <x:c r="J429" s="2" t="n">
        <x:v>8</x:v>
      </x:c>
      <x:c r="K429" s="2" t="n">
        <x:v>22</x:v>
      </x:c>
      <x:c r="L429" s="2" t="str">
        <x:v>R12 J01-J26 / 8x30, 12+22</x:v>
      </x:c>
    </x:row>
    <x:row r="430" ht="36" customHeight="1">
      <x:c r="A430" s="2" t="str">
        <x:v>R16H0425</x:v>
      </x:c>
      <x:c r="B430" s="2" t="str">
        <x:v>KI12-TV02S-03</x:v>
      </x:c>
      <x:c r="C430" s="2" t="str">
        <x:v>LEC_OLDAL / R14-J077</x:v>
      </x:c>
      <x:c r="D430" s="2" t="n">
        <x:v>60</x:v>
      </x:c>
      <x:c r="E430" s="2" t="n">
        <x:v>345</x:v>
      </x:c>
      <x:c r="F430" s="2" t="n">
        <x:v>-18</x:v>
      </x:c>
      <x:c r="G430" s="2" t="n">
        <x:v>0</x:v>
      </x:c>
      <x:c r="H430" s="2" t="n">
        <x:v>0</x:v>
      </x:c>
      <x:c r="I430" s="2" t="n">
        <x:v>1</x:v>
      </x:c>
      <x:c r="J430" s="2" t="n">
        <x:v>2.5</x:v>
      </x:c>
      <x:c r="K430" s="2" t="n">
        <x:v>12</x:v>
      </x:c>
      <x:c r="L430" s="2" t="str">
        <x:v>R14 tervezői kiosztás; tényleges laphoz és csavarhoz próbafúrás</x:v>
      </x:c>
    </x:row>
    <x:row r="431" ht="36" customHeight="1">
      <x:c r="A431" s="2" t="str">
        <x:v>R16H0426</x:v>
      </x:c>
      <x:c r="B431" s="2" t="str">
        <x:v>KI12-TV02S-03</x:v>
      </x:c>
      <x:c r="C431" s="2" t="str">
        <x:v>LEC_OLDAL / R14-J079</x:v>
      </x:c>
      <x:c r="D431" s="2" t="n">
        <x:v>140</x:v>
      </x:c>
      <x:c r="E431" s="2" t="n">
        <x:v>345</x:v>
      </x:c>
      <x:c r="F431" s="2" t="n">
        <x:v>-18</x:v>
      </x:c>
      <x:c r="G431" s="2" t="n">
        <x:v>0</x:v>
      </x:c>
      <x:c r="H431" s="2" t="n">
        <x:v>0</x:v>
      </x:c>
      <x:c r="I431" s="2" t="n">
        <x:v>1</x:v>
      </x:c>
      <x:c r="J431" s="2" t="n">
        <x:v>2.5</x:v>
      </x:c>
      <x:c r="K431" s="2" t="n">
        <x:v>12</x:v>
      </x:c>
      <x:c r="L431" s="2" t="str">
        <x:v>R14 tervezői kiosztás; tényleges laphoz és csavarhoz próbafúrás</x:v>
      </x:c>
    </x:row>
    <x:row r="432" ht="36" customHeight="1">
      <x:c r="A432" s="2" t="str">
        <x:v>R16H0427</x:v>
      </x:c>
      <x:c r="B432" s="2" t="str">
        <x:v>KI12-TV02S-03</x:v>
      </x:c>
      <x:c r="C432" s="2" t="str">
        <x:v>LEC_OLDAL / R14-J081</x:v>
      </x:c>
      <x:c r="D432" s="2" t="n">
        <x:v>220</x:v>
      </x:c>
      <x:c r="E432" s="2" t="n">
        <x:v>345</x:v>
      </x:c>
      <x:c r="F432" s="2" t="n">
        <x:v>-18</x:v>
      </x:c>
      <x:c r="G432" s="2" t="n">
        <x:v>0</x:v>
      </x:c>
      <x:c r="H432" s="2" t="n">
        <x:v>0</x:v>
      </x:c>
      <x:c r="I432" s="2" t="n">
        <x:v>1</x:v>
      </x:c>
      <x:c r="J432" s="2" t="n">
        <x:v>2.5</x:v>
      </x:c>
      <x:c r="K432" s="2" t="n">
        <x:v>12</x:v>
      </x:c>
      <x:c r="L432" s="2" t="str">
        <x:v>R14 tervezői kiosztás; tényleges laphoz és csavarhoz próbafúrás</x:v>
      </x:c>
    </x:row>
    <x:row r="433" ht="36" customHeight="1">
      <x:c r="A433" s="2" t="str">
        <x:v>R16H0428</x:v>
      </x:c>
      <x:c r="B433" s="2" t="str">
        <x:v>KI12-TV02S-03</x:v>
      </x:c>
      <x:c r="C433" s="2" t="str">
        <x:v>MEREVITO_CSAP / R14-J121</x:v>
      </x:c>
      <x:c r="D433" s="2" t="n">
        <x:v>170</x:v>
      </x:c>
      <x:c r="E433" s="2" t="n">
        <x:v>327</x:v>
      </x:c>
      <x:c r="F433" s="2" t="n">
        <x:v>-18</x:v>
      </x:c>
      <x:c r="G433" s="2" t="n">
        <x:v>0</x:v>
      </x:c>
      <x:c r="H433" s="2" t="n">
        <x:v>0</x:v>
      </x:c>
      <x:c r="I433" s="2" t="n">
        <x:v>1</x:v>
      </x:c>
      <x:c r="J433" s="2" t="n">
        <x:v>8</x:v>
      </x:c>
      <x:c r="K433" s="2" t="n">
        <x:v>12</x:v>
      </x:c>
      <x:c r="L433" s="2" t="str">
        <x:v>R14 Ø8x30 bükk csap, 22+12 mélység; középosztón 10 mm eltolt tengely</x:v>
      </x:c>
    </x:row>
    <x:row r="434" ht="36" customHeight="1">
      <x:c r="A434" s="2" t="str">
        <x:v>R16H0429</x:v>
      </x:c>
      <x:c r="B434" s="2" t="str">
        <x:v>KI12-TV02S-03</x:v>
      </x:c>
      <x:c r="C434" s="2" t="str">
        <x:v>MEREVITO_CSAP / R14-J122</x:v>
      </x:c>
      <x:c r="D434" s="2" t="n">
        <x:v>200</x:v>
      </x:c>
      <x:c r="E434" s="2" t="n">
        <x:v>327</x:v>
      </x:c>
      <x:c r="F434" s="2" t="n">
        <x:v>-18</x:v>
      </x:c>
      <x:c r="G434" s="2" t="n">
        <x:v>0</x:v>
      </x:c>
      <x:c r="H434" s="2" t="n">
        <x:v>0</x:v>
      </x:c>
      <x:c r="I434" s="2" t="n">
        <x:v>1</x:v>
      </x:c>
      <x:c r="J434" s="2" t="n">
        <x:v>8</x:v>
      </x:c>
      <x:c r="K434" s="2" t="n">
        <x:v>12</x:v>
      </x:c>
      <x:c r="L434" s="2" t="str">
        <x:v>R14 Ø8x30 bükk csap, 22+12 mélység; középosztón 10 mm eltolt tengely</x:v>
      </x:c>
    </x:row>
    <x:row r="435" ht="36" customHeight="1">
      <x:c r="A435" s="2" t="str">
        <x:v>R16H0430</x:v>
      </x:c>
      <x:c r="B435" s="2" t="str">
        <x:v>KI12-TV02S-03</x:v>
      </x:c>
      <x:c r="C435" s="2" t="str">
        <x:v>MEREVITO_CSAP / R14-J123</x:v>
      </x:c>
      <x:c r="D435" s="2" t="n">
        <x:v>230</x:v>
      </x:c>
      <x:c r="E435" s="2" t="n">
        <x:v>327</x:v>
      </x:c>
      <x:c r="F435" s="2" t="n">
        <x:v>-18</x:v>
      </x:c>
      <x:c r="G435" s="2" t="n">
        <x:v>0</x:v>
      </x:c>
      <x:c r="H435" s="2" t="n">
        <x:v>0</x:v>
      </x:c>
      <x:c r="I435" s="2" t="n">
        <x:v>1</x:v>
      </x:c>
      <x:c r="J435" s="2" t="n">
        <x:v>8</x:v>
      </x:c>
      <x:c r="K435" s="2" t="n">
        <x:v>12</x:v>
      </x:c>
      <x:c r="L435" s="2" t="str">
        <x:v>R14 Ø8x30 bükk csap, 22+12 mélység; középosztón 10 mm eltolt tengely</x:v>
      </x:c>
    </x:row>
    <x:row r="436" ht="36" customHeight="1">
      <x:c r="A436" s="2" t="str">
        <x:v>R16H0431</x:v>
      </x:c>
      <x:c r="B436" s="2" t="str">
        <x:v>KI12-TV02S-03</x:v>
      </x:c>
      <x:c r="C436" s="2" t="str">
        <x:v>CAMAR807_DUBEL</x:v>
      </x:c>
      <x:c r="D436" s="2" t="n">
        <x:v>352</x:v>
      </x:c>
      <x:c r="E436" s="2" t="n">
        <x:v>330</x:v>
      </x:c>
      <x:c r="F436" s="2" t="n">
        <x:v>-18</x:v>
      </x:c>
      <x:c r="G436" s="2" t="n">
        <x:v>0</x:v>
      </x:c>
      <x:c r="H436" s="2" t="n">
        <x:v>0</x:v>
      </x:c>
      <x:c r="I436" s="2" t="n">
        <x:v>1</x:v>
      </x:c>
      <x:c r="J436" s="2" t="n">
        <x:v>10</x:v>
      </x:c>
      <x:c r="K436" s="2" t="n">
        <x:v>12</x:v>
      </x:c>
      <x:c r="L436" s="2" t="str">
        <x:v>Camar807_IN.pdf F1: Ø10/12,32x64;30mm felső visszaállás; új vasalat/oldallap próba és alkalmazás jóváhagyandó</x:v>
      </x:c>
    </x:row>
    <x:row r="437" ht="36" customHeight="1">
      <x:c r="A437" s="2" t="str">
        <x:v>R16H0432</x:v>
      </x:c>
      <x:c r="B437" s="2" t="str">
        <x:v>KI12-TV02S-03</x:v>
      </x:c>
      <x:c r="C437" s="2" t="str">
        <x:v>CAMAR807_DUBEL</x:v>
      </x:c>
      <x:c r="D437" s="2" t="n">
        <x:v>288</x:v>
      </x:c>
      <x:c r="E437" s="2" t="n">
        <x:v>330</x:v>
      </x:c>
      <x:c r="F437" s="2" t="n">
        <x:v>-18</x:v>
      </x:c>
      <x:c r="G437" s="2" t="n">
        <x:v>0</x:v>
      </x:c>
      <x:c r="H437" s="2" t="n">
        <x:v>0</x:v>
      </x:c>
      <x:c r="I437" s="2" t="n">
        <x:v>1</x:v>
      </x:c>
      <x:c r="J437" s="2" t="n">
        <x:v>10</x:v>
      </x:c>
      <x:c r="K437" s="2" t="n">
        <x:v>12</x:v>
      </x:c>
      <x:c r="L437" s="2" t="str">
        <x:v>Camar807_IN.pdf F1: Ø10/12,32x64;30mm felső visszaállás; új vasalat/oldallap próba és alkalmazás jóváhagyandó</x:v>
      </x:c>
    </x:row>
    <x:row r="438" ht="36" customHeight="1">
      <x:c r="A438" s="2" t="str">
        <x:v>R16H0433</x:v>
      </x:c>
      <x:c r="B438" s="2" t="str">
        <x:v>KI12-TV02S-03</x:v>
      </x:c>
      <x:c r="C438" s="2" t="str">
        <x:v>CAMAR807_DUBEL</x:v>
      </x:c>
      <x:c r="D438" s="2" t="n">
        <x:v>352</x:v>
      </x:c>
      <x:c r="E438" s="2" t="n">
        <x:v>362</x:v>
      </x:c>
      <x:c r="F438" s="2" t="n">
        <x:v>-18</x:v>
      </x:c>
      <x:c r="G438" s="2" t="n">
        <x:v>0</x:v>
      </x:c>
      <x:c r="H438" s="2" t="n">
        <x:v>0</x:v>
      </x:c>
      <x:c r="I438" s="2" t="n">
        <x:v>1</x:v>
      </x:c>
      <x:c r="J438" s="2" t="n">
        <x:v>10</x:v>
      </x:c>
      <x:c r="K438" s="2" t="n">
        <x:v>12</x:v>
      </x:c>
      <x:c r="L438" s="2" t="str">
        <x:v>Camar807_IN.pdf F1: Ø10/12,32x64;30mm felső visszaállás; új vasalat/oldallap próba és alkalmazás jóváhagyandó</x:v>
      </x:c>
    </x:row>
    <x:row r="439" ht="36" customHeight="1">
      <x:c r="A439" s="2" t="str">
        <x:v>R16H0434</x:v>
      </x:c>
      <x:c r="B439" s="2" t="str">
        <x:v>KI12-TV02S-03</x:v>
      </x:c>
      <x:c r="C439" s="2" t="str">
        <x:v>CAMAR807_DUBEL</x:v>
      </x:c>
      <x:c r="D439" s="2" t="n">
        <x:v>288</x:v>
      </x:c>
      <x:c r="E439" s="2" t="n">
        <x:v>362</x:v>
      </x:c>
      <x:c r="F439" s="2" t="n">
        <x:v>-18</x:v>
      </x:c>
      <x:c r="G439" s="2" t="n">
        <x:v>0</x:v>
      </x:c>
      <x:c r="H439" s="2" t="n">
        <x:v>0</x:v>
      </x:c>
      <x:c r="I439" s="2" t="n">
        <x:v>1</x:v>
      </x:c>
      <x:c r="J439" s="2" t="n">
        <x:v>10</x:v>
      </x:c>
      <x:c r="K439" s="2" t="n">
        <x:v>12</x:v>
      </x:c>
      <x:c r="L439" s="2" t="str">
        <x:v>Camar807_IN.pdf F1: Ø10/12,32x64;30mm felső visszaállás; új vasalat/oldallap próba és alkalmazás jóváhagyandó</x:v>
      </x:c>
    </x:row>
    <x:row r="440" ht="36" customHeight="1">
      <x:c r="A440" s="2" t="str">
        <x:v>R16H0435</x:v>
      </x:c>
      <x:c r="B440" s="2" t="str">
        <x:v>KI12-TV02S-04</x:v>
      </x:c>
      <x:c r="C440" s="2" t="str">
        <x:v>CSAP J25</x:v>
      </x:c>
      <x:c r="D440" s="2" t="n">
        <x:v>9</x:v>
      </x:c>
      <x:c r="E440" s="2" t="n">
        <x:v>50</x:v>
      </x:c>
      <x:c r="F440" s="2" t="n">
        <x:v>0</x:v>
      </x:c>
      <x:c r="G440" s="2" t="n">
        <x:v>0</x:v>
      </x:c>
      <x:c r="H440" s="2" t="n">
        <x:v>0</x:v>
      </x:c>
      <x:c r="I440" s="2" t="n">
        <x:v>-1</x:v>
      </x:c>
      <x:c r="J440" s="2" t="n">
        <x:v>8</x:v>
      </x:c>
      <x:c r="K440" s="2" t="n">
        <x:v>12</x:v>
      </x:c>
      <x:c r="L440" s="2" t="str">
        <x:v>R12 J01-J26 / 8x30, 12+22</x:v>
      </x:c>
    </x:row>
    <x:row r="441" ht="36" customHeight="1">
      <x:c r="A441" s="2" t="str">
        <x:v>R16H0436</x:v>
      </x:c>
      <x:c r="B441" s="2" t="str">
        <x:v>KI12-TV02S-04</x:v>
      </x:c>
      <x:c r="C441" s="2" t="str">
        <x:v>CSAP J25</x:v>
      </x:c>
      <x:c r="D441" s="2" t="n">
        <x:v>9</x:v>
      </x:c>
      <x:c r="E441" s="2" t="n">
        <x:v>191</x:v>
      </x:c>
      <x:c r="F441" s="2" t="n">
        <x:v>0</x:v>
      </x:c>
      <x:c r="G441" s="2" t="n">
        <x:v>0</x:v>
      </x:c>
      <x:c r="H441" s="2" t="n">
        <x:v>0</x:v>
      </x:c>
      <x:c r="I441" s="2" t="n">
        <x:v>-1</x:v>
      </x:c>
      <x:c r="J441" s="2" t="n">
        <x:v>8</x:v>
      </x:c>
      <x:c r="K441" s="2" t="n">
        <x:v>12</x:v>
      </x:c>
      <x:c r="L441" s="2" t="str">
        <x:v>R12 J01-J26 / 8x30, 12+22</x:v>
      </x:c>
    </x:row>
    <x:row r="442" ht="36" customHeight="1">
      <x:c r="A442" s="2" t="str">
        <x:v>R16H0437</x:v>
      </x:c>
      <x:c r="B442" s="2" t="str">
        <x:v>KI12-TV02S-04</x:v>
      </x:c>
      <x:c r="C442" s="2" t="str">
        <x:v>CSAP J25</x:v>
      </x:c>
      <x:c r="D442" s="2" t="n">
        <x:v>9</x:v>
      </x:c>
      <x:c r="E442" s="2" t="n">
        <x:v>332</x:v>
      </x:c>
      <x:c r="F442" s="2" t="n">
        <x:v>0</x:v>
      </x:c>
      <x:c r="G442" s="2" t="n">
        <x:v>0</x:v>
      </x:c>
      <x:c r="H442" s="2" t="n">
        <x:v>0</x:v>
      </x:c>
      <x:c r="I442" s="2" t="n">
        <x:v>-1</x:v>
      </x:c>
      <x:c r="J442" s="2" t="n">
        <x:v>8</x:v>
      </x:c>
      <x:c r="K442" s="2" t="n">
        <x:v>12</x:v>
      </x:c>
      <x:c r="L442" s="2" t="str">
        <x:v>R12 J01-J26 / 8x30, 12+22</x:v>
      </x:c>
    </x:row>
    <x:row r="443" ht="36" customHeight="1">
      <x:c r="A443" s="2" t="str">
        <x:v>R16H0438</x:v>
      </x:c>
      <x:c r="B443" s="2" t="str">
        <x:v>KI12-TV02S-04</x:v>
      </x:c>
      <x:c r="C443" s="2" t="str">
        <x:v>CSAP J26</x:v>
      </x:c>
      <x:c r="D443" s="2" t="n">
        <x:v>382</x:v>
      </x:c>
      <x:c r="E443" s="2" t="n">
        <x:v>50</x:v>
      </x:c>
      <x:c r="F443" s="2" t="n">
        <x:v>-9</x:v>
      </x:c>
      <x:c r="G443" s="2" t="n">
        <x:v>-1</x:v>
      </x:c>
      <x:c r="H443" s="2" t="n">
        <x:v>0</x:v>
      </x:c>
      <x:c r="I443" s="2" t="n">
        <x:v>0</x:v>
      </x:c>
      <x:c r="J443" s="2" t="n">
        <x:v>8</x:v>
      </x:c>
      <x:c r="K443" s="2" t="n">
        <x:v>22</x:v>
      </x:c>
      <x:c r="L443" s="2" t="str">
        <x:v>R12 J01-J26 / 8x30, 12+22</x:v>
      </x:c>
    </x:row>
    <x:row r="444" ht="36" customHeight="1">
      <x:c r="A444" s="2" t="str">
        <x:v>R16H0439</x:v>
      </x:c>
      <x:c r="B444" s="2" t="str">
        <x:v>KI12-TV02S-04</x:v>
      </x:c>
      <x:c r="C444" s="2" t="str">
        <x:v>CSAP J26</x:v>
      </x:c>
      <x:c r="D444" s="2" t="n">
        <x:v>382</x:v>
      </x:c>
      <x:c r="E444" s="2" t="n">
        <x:v>191</x:v>
      </x:c>
      <x:c r="F444" s="2" t="n">
        <x:v>-9</x:v>
      </x:c>
      <x:c r="G444" s="2" t="n">
        <x:v>-1</x:v>
      </x:c>
      <x:c r="H444" s="2" t="n">
        <x:v>0</x:v>
      </x:c>
      <x:c r="I444" s="2" t="n">
        <x:v>0</x:v>
      </x:c>
      <x:c r="J444" s="2" t="n">
        <x:v>8</x:v>
      </x:c>
      <x:c r="K444" s="2" t="n">
        <x:v>22</x:v>
      </x:c>
      <x:c r="L444" s="2" t="str">
        <x:v>R12 J01-J26 / 8x30, 12+22</x:v>
      </x:c>
    </x:row>
    <x:row r="445" ht="36" customHeight="1">
      <x:c r="A445" s="2" t="str">
        <x:v>R16H0440</x:v>
      </x:c>
      <x:c r="B445" s="2" t="str">
        <x:v>KI12-TV02S-04</x:v>
      </x:c>
      <x:c r="C445" s="2" t="str">
        <x:v>CSAP J26</x:v>
      </x:c>
      <x:c r="D445" s="2" t="n">
        <x:v>382</x:v>
      </x:c>
      <x:c r="E445" s="2" t="n">
        <x:v>332</x:v>
      </x:c>
      <x:c r="F445" s="2" t="n">
        <x:v>-9</x:v>
      </x:c>
      <x:c r="G445" s="2" t="n">
        <x:v>-1</x:v>
      </x:c>
      <x:c r="H445" s="2" t="n">
        <x:v>0</x:v>
      </x:c>
      <x:c r="I445" s="2" t="n">
        <x:v>0</x:v>
      </x:c>
      <x:c r="J445" s="2" t="n">
        <x:v>8</x:v>
      </x:c>
      <x:c r="K445" s="2" t="n">
        <x:v>22</x:v>
      </x:c>
      <x:c r="L445" s="2" t="str">
        <x:v>R12 J01-J26 / 8x30, 12+22</x:v>
      </x:c>
    </x:row>
    <x:row r="446" ht="36" customHeight="1">
      <x:c r="A446" s="2" t="str">
        <x:v>R16H0441</x:v>
      </x:c>
      <x:c r="B446" s="2" t="str">
        <x:v>KI12-TV02S-04</x:v>
      </x:c>
      <x:c r="C446" s="2" t="str">
        <x:v>LEC_OLDAL / R14-J083</x:v>
      </x:c>
      <x:c r="D446" s="2" t="n">
        <x:v>60</x:v>
      </x:c>
      <x:c r="E446" s="2" t="n">
        <x:v>345</x:v>
      </x:c>
      <x:c r="F446" s="2" t="n">
        <x:v>0</x:v>
      </x:c>
      <x:c r="G446" s="2" t="n">
        <x:v>0</x:v>
      </x:c>
      <x:c r="H446" s="2" t="n">
        <x:v>0</x:v>
      </x:c>
      <x:c r="I446" s="2" t="n">
        <x:v>-1</x:v>
      </x:c>
      <x:c r="J446" s="2" t="n">
        <x:v>2.5</x:v>
      </x:c>
      <x:c r="K446" s="2" t="n">
        <x:v>12</x:v>
      </x:c>
      <x:c r="L446" s="2" t="str">
        <x:v>R14 tervezői kiosztás; tényleges laphoz és csavarhoz próbafúrás</x:v>
      </x:c>
    </x:row>
    <x:row r="447" ht="36" customHeight="1">
      <x:c r="A447" s="2" t="str">
        <x:v>R16H0442</x:v>
      </x:c>
      <x:c r="B447" s="2" t="str">
        <x:v>KI12-TV02S-04</x:v>
      </x:c>
      <x:c r="C447" s="2" t="str">
        <x:v>LEC_OLDAL / R14-J085</x:v>
      </x:c>
      <x:c r="D447" s="2" t="n">
        <x:v>140</x:v>
      </x:c>
      <x:c r="E447" s="2" t="n">
        <x:v>345</x:v>
      </x:c>
      <x:c r="F447" s="2" t="n">
        <x:v>0</x:v>
      </x:c>
      <x:c r="G447" s="2" t="n">
        <x:v>0</x:v>
      </x:c>
      <x:c r="H447" s="2" t="n">
        <x:v>0</x:v>
      </x:c>
      <x:c r="I447" s="2" t="n">
        <x:v>-1</x:v>
      </x:c>
      <x:c r="J447" s="2" t="n">
        <x:v>2.5</x:v>
      </x:c>
      <x:c r="K447" s="2" t="n">
        <x:v>12</x:v>
      </x:c>
      <x:c r="L447" s="2" t="str">
        <x:v>R14 tervezői kiosztás; tényleges laphoz és csavarhoz próbafúrás</x:v>
      </x:c>
    </x:row>
    <x:row r="448" ht="36" customHeight="1">
      <x:c r="A448" s="2" t="str">
        <x:v>R16H0443</x:v>
      </x:c>
      <x:c r="B448" s="2" t="str">
        <x:v>KI12-TV02S-04</x:v>
      </x:c>
      <x:c r="C448" s="2" t="str">
        <x:v>LEC_OLDAL / R14-J087</x:v>
      </x:c>
      <x:c r="D448" s="2" t="n">
        <x:v>220</x:v>
      </x:c>
      <x:c r="E448" s="2" t="n">
        <x:v>345</x:v>
      </x:c>
      <x:c r="F448" s="2" t="n">
        <x:v>0</x:v>
      </x:c>
      <x:c r="G448" s="2" t="n">
        <x:v>0</x:v>
      </x:c>
      <x:c r="H448" s="2" t="n">
        <x:v>0</x:v>
      </x:c>
      <x:c r="I448" s="2" t="n">
        <x:v>-1</x:v>
      </x:c>
      <x:c r="J448" s="2" t="n">
        <x:v>2.5</x:v>
      </x:c>
      <x:c r="K448" s="2" t="n">
        <x:v>12</x:v>
      </x:c>
      <x:c r="L448" s="2" t="str">
        <x:v>R14 tervezői kiosztás; tényleges laphoz és csavarhoz próbafúrás</x:v>
      </x:c>
    </x:row>
    <x:row r="449" ht="36" customHeight="1">
      <x:c r="A449" s="2" t="str">
        <x:v>R16H0444</x:v>
      </x:c>
      <x:c r="B449" s="2" t="str">
        <x:v>KI12-TV02S-04</x:v>
      </x:c>
      <x:c r="C449" s="2" t="str">
        <x:v>MEREVITO_CSAP / R14-J124</x:v>
      </x:c>
      <x:c r="D449" s="2" t="n">
        <x:v>170</x:v>
      </x:c>
      <x:c r="E449" s="2" t="n">
        <x:v>327</x:v>
      </x:c>
      <x:c r="F449" s="2" t="n">
        <x:v>0</x:v>
      </x:c>
      <x:c r="G449" s="2" t="n">
        <x:v>0</x:v>
      </x:c>
      <x:c r="H449" s="2" t="n">
        <x:v>0</x:v>
      </x:c>
      <x:c r="I449" s="2" t="n">
        <x:v>-1</x:v>
      </x:c>
      <x:c r="J449" s="2" t="n">
        <x:v>8</x:v>
      </x:c>
      <x:c r="K449" s="2" t="n">
        <x:v>12</x:v>
      </x:c>
      <x:c r="L449" s="2" t="str">
        <x:v>R14 Ø8x30 bükk csap, 22+12 mélység; középosztón 10 mm eltolt tengely</x:v>
      </x:c>
    </x:row>
    <x:row r="450" ht="36" customHeight="1">
      <x:c r="A450" s="2" t="str">
        <x:v>R16H0445</x:v>
      </x:c>
      <x:c r="B450" s="2" t="str">
        <x:v>KI12-TV02S-04</x:v>
      </x:c>
      <x:c r="C450" s="2" t="str">
        <x:v>MEREVITO_CSAP / R14-J125</x:v>
      </x:c>
      <x:c r="D450" s="2" t="n">
        <x:v>200</x:v>
      </x:c>
      <x:c r="E450" s="2" t="n">
        <x:v>327</x:v>
      </x:c>
      <x:c r="F450" s="2" t="n">
        <x:v>0</x:v>
      </x:c>
      <x:c r="G450" s="2" t="n">
        <x:v>0</x:v>
      </x:c>
      <x:c r="H450" s="2" t="n">
        <x:v>0</x:v>
      </x:c>
      <x:c r="I450" s="2" t="n">
        <x:v>-1</x:v>
      </x:c>
      <x:c r="J450" s="2" t="n">
        <x:v>8</x:v>
      </x:c>
      <x:c r="K450" s="2" t="n">
        <x:v>12</x:v>
      </x:c>
      <x:c r="L450" s="2" t="str">
        <x:v>R14 Ø8x30 bükk csap, 22+12 mélység; középosztón 10 mm eltolt tengely</x:v>
      </x:c>
    </x:row>
    <x:row r="451" ht="36" customHeight="1">
      <x:c r="A451" s="2" t="str">
        <x:v>R16H0446</x:v>
      </x:c>
      <x:c r="B451" s="2" t="str">
        <x:v>KI12-TV02S-04</x:v>
      </x:c>
      <x:c r="C451" s="2" t="str">
        <x:v>MEREVITO_CSAP / R14-J126</x:v>
      </x:c>
      <x:c r="D451" s="2" t="n">
        <x:v>230</x:v>
      </x:c>
      <x:c r="E451" s="2" t="n">
        <x:v>327</x:v>
      </x:c>
      <x:c r="F451" s="2" t="n">
        <x:v>0</x:v>
      </x:c>
      <x:c r="G451" s="2" t="n">
        <x:v>0</x:v>
      </x:c>
      <x:c r="H451" s="2" t="n">
        <x:v>0</x:v>
      </x:c>
      <x:c r="I451" s="2" t="n">
        <x:v>-1</x:v>
      </x:c>
      <x:c r="J451" s="2" t="n">
        <x:v>8</x:v>
      </x:c>
      <x:c r="K451" s="2" t="n">
        <x:v>12</x:v>
      </x:c>
      <x:c r="L451" s="2" t="str">
        <x:v>R14 Ø8x30 bükk csap, 22+12 mélység; középosztón 10 mm eltolt tengely</x:v>
      </x:c>
    </x:row>
    <x:row r="452" ht="36" customHeight="1">
      <x:c r="A452" s="2" t="str">
        <x:v>R16H0447</x:v>
      </x:c>
      <x:c r="B452" s="2" t="str">
        <x:v>KI12-TV02S-04</x:v>
      </x:c>
      <x:c r="C452" s="2" t="str">
        <x:v>CAMAR807_DUBEL</x:v>
      </x:c>
      <x:c r="D452" s="2" t="n">
        <x:v>352</x:v>
      </x:c>
      <x:c r="E452" s="2" t="n">
        <x:v>330</x:v>
      </x:c>
      <x:c r="F452" s="2" t="n">
        <x:v>0</x:v>
      </x:c>
      <x:c r="G452" s="2" t="n">
        <x:v>0</x:v>
      </x:c>
      <x:c r="H452" s="2" t="n">
        <x:v>0</x:v>
      </x:c>
      <x:c r="I452" s="2" t="n">
        <x:v>-1</x:v>
      </x:c>
      <x:c r="J452" s="2" t="n">
        <x:v>10</x:v>
      </x:c>
      <x:c r="K452" s="2" t="n">
        <x:v>12</x:v>
      </x:c>
      <x:c r="L452" s="2" t="str">
        <x:v>Camar807_IN.pdf F1: Ø10/12,32x64;30mm felső visszaállás; új vasalat/oldallap próba és alkalmazás jóváhagyandó</x:v>
      </x:c>
    </x:row>
    <x:row r="453" ht="36" customHeight="1">
      <x:c r="A453" s="2" t="str">
        <x:v>R16H0448</x:v>
      </x:c>
      <x:c r="B453" s="2" t="str">
        <x:v>KI12-TV02S-04</x:v>
      </x:c>
      <x:c r="C453" s="2" t="str">
        <x:v>CAMAR807_DUBEL</x:v>
      </x:c>
      <x:c r="D453" s="2" t="n">
        <x:v>288</x:v>
      </x:c>
      <x:c r="E453" s="2" t="n">
        <x:v>330</x:v>
      </x:c>
      <x:c r="F453" s="2" t="n">
        <x:v>0</x:v>
      </x:c>
      <x:c r="G453" s="2" t="n">
        <x:v>0</x:v>
      </x:c>
      <x:c r="H453" s="2" t="n">
        <x:v>0</x:v>
      </x:c>
      <x:c r="I453" s="2" t="n">
        <x:v>-1</x:v>
      </x:c>
      <x:c r="J453" s="2" t="n">
        <x:v>10</x:v>
      </x:c>
      <x:c r="K453" s="2" t="n">
        <x:v>12</x:v>
      </x:c>
      <x:c r="L453" s="2" t="str">
        <x:v>Camar807_IN.pdf F1: Ø10/12,32x64;30mm felső visszaállás; új vasalat/oldallap próba és alkalmazás jóváhagyandó</x:v>
      </x:c>
    </x:row>
    <x:row r="454" ht="36" customHeight="1">
      <x:c r="A454" s="2" t="str">
        <x:v>R16H0449</x:v>
      </x:c>
      <x:c r="B454" s="2" t="str">
        <x:v>KI12-TV02S-04</x:v>
      </x:c>
      <x:c r="C454" s="2" t="str">
        <x:v>CAMAR807_DUBEL</x:v>
      </x:c>
      <x:c r="D454" s="2" t="n">
        <x:v>352</x:v>
      </x:c>
      <x:c r="E454" s="2" t="n">
        <x:v>362</x:v>
      </x:c>
      <x:c r="F454" s="2" t="n">
        <x:v>0</x:v>
      </x:c>
      <x:c r="G454" s="2" t="n">
        <x:v>0</x:v>
      </x:c>
      <x:c r="H454" s="2" t="n">
        <x:v>0</x:v>
      </x:c>
      <x:c r="I454" s="2" t="n">
        <x:v>-1</x:v>
      </x:c>
      <x:c r="J454" s="2" t="n">
        <x:v>10</x:v>
      </x:c>
      <x:c r="K454" s="2" t="n">
        <x:v>12</x:v>
      </x:c>
      <x:c r="L454" s="2" t="str">
        <x:v>Camar807_IN.pdf F1: Ø10/12,32x64;30mm felső visszaállás; új vasalat/oldallap próba és alkalmazás jóváhagyandó</x:v>
      </x:c>
    </x:row>
    <x:row r="455" ht="36" customHeight="1">
      <x:c r="A455" s="2" t="str">
        <x:v>R16H0450</x:v>
      </x:c>
      <x:c r="B455" s="2" t="str">
        <x:v>KI12-TV02S-04</x:v>
      </x:c>
      <x:c r="C455" s="2" t="str">
        <x:v>CAMAR807_DUBEL</x:v>
      </x:c>
      <x:c r="D455" s="2" t="n">
        <x:v>288</x:v>
      </x:c>
      <x:c r="E455" s="2" t="n">
        <x:v>362</x:v>
      </x:c>
      <x:c r="F455" s="2" t="n">
        <x:v>0</x:v>
      </x:c>
      <x:c r="G455" s="2" t="n">
        <x:v>0</x:v>
      </x:c>
      <x:c r="H455" s="2" t="n">
        <x:v>0</x:v>
      </x:c>
      <x:c r="I455" s="2" t="n">
        <x:v>-1</x:v>
      </x:c>
      <x:c r="J455" s="2" t="n">
        <x:v>10</x:v>
      </x:c>
      <x:c r="K455" s="2" t="n">
        <x:v>12</x:v>
      </x:c>
      <x:c r="L455" s="2" t="str">
        <x:v>Camar807_IN.pdf F1: Ø10/12,32x64;30mm felső visszaállás; új vasalat/oldallap próba és alkalmazás jóváhagyandó</x:v>
      </x:c>
    </x:row>
    <x:row r="456" ht="36" customHeight="1">
      <x:c r="A456" s="2" t="str">
        <x:v>R16H0451</x:v>
      </x:c>
      <x:c r="B456" s="2" t="str">
        <x:v>KI12-TV02T2-01</x:v>
      </x:c>
      <x:c r="C456" s="2" t="str">
        <x:v>CSAP J23</x:v>
      </x:c>
      <x:c r="D456" s="2" t="n">
        <x:v>0</x:v>
      </x:c>
      <x:c r="E456" s="2" t="n">
        <x:v>50</x:v>
      </x:c>
      <x:c r="F456" s="2" t="n">
        <x:v>-9</x:v>
      </x:c>
      <x:c r="G456" s="2" t="n">
        <x:v>1</x:v>
      </x:c>
      <x:c r="H456" s="2" t="n">
        <x:v>0</x:v>
      </x:c>
      <x:c r="I456" s="2" t="n">
        <x:v>0</x:v>
      </x:c>
      <x:c r="J456" s="2" t="n">
        <x:v>8</x:v>
      </x:c>
      <x:c r="K456" s="2" t="n">
        <x:v>22</x:v>
      </x:c>
      <x:c r="L456" s="2" t="str">
        <x:v>R12 J01-J26 / 8x30, 12+22</x:v>
      </x:c>
    </x:row>
    <x:row r="457" ht="36" customHeight="1">
      <x:c r="A457" s="2" t="str">
        <x:v>R16H0452</x:v>
      </x:c>
      <x:c r="B457" s="2" t="str">
        <x:v>KI12-TV02T2-01</x:v>
      </x:c>
      <x:c r="C457" s="2" t="str">
        <x:v>CSAP J23</x:v>
      </x:c>
      <x:c r="D457" s="2" t="n">
        <x:v>0</x:v>
      </x:c>
      <x:c r="E457" s="2" t="n">
        <x:v>191</x:v>
      </x:c>
      <x:c r="F457" s="2" t="n">
        <x:v>-9</x:v>
      </x:c>
      <x:c r="G457" s="2" t="n">
        <x:v>1</x:v>
      </x:c>
      <x:c r="H457" s="2" t="n">
        <x:v>0</x:v>
      </x:c>
      <x:c r="I457" s="2" t="n">
        <x:v>0</x:v>
      </x:c>
      <x:c r="J457" s="2" t="n">
        <x:v>8</x:v>
      </x:c>
      <x:c r="K457" s="2" t="n">
        <x:v>22</x:v>
      </x:c>
      <x:c r="L457" s="2" t="str">
        <x:v>R12 J01-J26 / 8x30, 12+22</x:v>
      </x:c>
    </x:row>
    <x:row r="458" ht="36" customHeight="1">
      <x:c r="A458" s="2" t="str">
        <x:v>R16H0453</x:v>
      </x:c>
      <x:c r="B458" s="2" t="str">
        <x:v>KI12-TV02T2-01</x:v>
      </x:c>
      <x:c r="C458" s="2" t="str">
        <x:v>CSAP J23</x:v>
      </x:c>
      <x:c r="D458" s="2" t="n">
        <x:v>0</x:v>
      </x:c>
      <x:c r="E458" s="2" t="n">
        <x:v>332</x:v>
      </x:c>
      <x:c r="F458" s="2" t="n">
        <x:v>-9</x:v>
      </x:c>
      <x:c r="G458" s="2" t="n">
        <x:v>1</x:v>
      </x:c>
      <x:c r="H458" s="2" t="n">
        <x:v>0</x:v>
      </x:c>
      <x:c r="I458" s="2" t="n">
        <x:v>0</x:v>
      </x:c>
      <x:c r="J458" s="2" t="n">
        <x:v>8</x:v>
      </x:c>
      <x:c r="K458" s="2" t="n">
        <x:v>22</x:v>
      </x:c>
      <x:c r="L458" s="2" t="str">
        <x:v>R12 J01-J26 / 8x30, 12+22</x:v>
      </x:c>
    </x:row>
    <x:row r="459" ht="36" customHeight="1">
      <x:c r="A459" s="2" t="str">
        <x:v>R16H0454</x:v>
      </x:c>
      <x:c r="B459" s="2" t="str">
        <x:v>KI12-TV02T2-01</x:v>
      </x:c>
      <x:c r="C459" s="2" t="str">
        <x:v>CSAP J25</x:v>
      </x:c>
      <x:c r="D459" s="2" t="n">
        <x:v>414</x:v>
      </x:c>
      <x:c r="E459" s="2" t="n">
        <x:v>50</x:v>
      </x:c>
      <x:c r="F459" s="2" t="n">
        <x:v>-9</x:v>
      </x:c>
      <x:c r="G459" s="2" t="n">
        <x:v>-1</x:v>
      </x:c>
      <x:c r="H459" s="2" t="n">
        <x:v>0</x:v>
      </x:c>
      <x:c r="I459" s="2" t="n">
        <x:v>0</x:v>
      </x:c>
      <x:c r="J459" s="2" t="n">
        <x:v>8</x:v>
      </x:c>
      <x:c r="K459" s="2" t="n">
        <x:v>22</x:v>
      </x:c>
      <x:c r="L459" s="2" t="str">
        <x:v>R12 J01-J26 / 8x30, 12+22</x:v>
      </x:c>
    </x:row>
    <x:row r="460" ht="36" customHeight="1">
      <x:c r="A460" s="2" t="str">
        <x:v>R16H0455</x:v>
      </x:c>
      <x:c r="B460" s="2" t="str">
        <x:v>KI12-TV02T2-01</x:v>
      </x:c>
      <x:c r="C460" s="2" t="str">
        <x:v>CSAP J25</x:v>
      </x:c>
      <x:c r="D460" s="2" t="n">
        <x:v>414</x:v>
      </x:c>
      <x:c r="E460" s="2" t="n">
        <x:v>191</x:v>
      </x:c>
      <x:c r="F460" s="2" t="n">
        <x:v>-9</x:v>
      </x:c>
      <x:c r="G460" s="2" t="n">
        <x:v>-1</x:v>
      </x:c>
      <x:c r="H460" s="2" t="n">
        <x:v>0</x:v>
      </x:c>
      <x:c r="I460" s="2" t="n">
        <x:v>0</x:v>
      </x:c>
      <x:c r="J460" s="2" t="n">
        <x:v>8</x:v>
      </x:c>
      <x:c r="K460" s="2" t="n">
        <x:v>22</x:v>
      </x:c>
      <x:c r="L460" s="2" t="str">
        <x:v>R12 J01-J26 / 8x30, 12+22</x:v>
      </x:c>
    </x:row>
    <x:row r="461" ht="36" customHeight="1">
      <x:c r="A461" s="2" t="str">
        <x:v>R16H0456</x:v>
      </x:c>
      <x:c r="B461" s="2" t="str">
        <x:v>KI12-TV02T2-01</x:v>
      </x:c>
      <x:c r="C461" s="2" t="str">
        <x:v>CSAP J25</x:v>
      </x:c>
      <x:c r="D461" s="2" t="n">
        <x:v>414</x:v>
      </x:c>
      <x:c r="E461" s="2" t="n">
        <x:v>332</x:v>
      </x:c>
      <x:c r="F461" s="2" t="n">
        <x:v>-9</x:v>
      </x:c>
      <x:c r="G461" s="2" t="n">
        <x:v>-1</x:v>
      </x:c>
      <x:c r="H461" s="2" t="n">
        <x:v>0</x:v>
      </x:c>
      <x:c r="I461" s="2" t="n">
        <x:v>0</x:v>
      </x:c>
      <x:c r="J461" s="2" t="n">
        <x:v>8</x:v>
      </x:c>
      <x:c r="K461" s="2" t="n">
        <x:v>22</x:v>
      </x:c>
      <x:c r="L461" s="2" t="str">
        <x:v>R12 J01-J26 / 8x30, 12+22</x:v>
      </x:c>
    </x:row>
    <x:row r="462" ht="36" customHeight="1">
      <x:c r="A462" s="2" t="str">
        <x:v>R16H0457</x:v>
      </x:c>
      <x:c r="B462" s="2" t="str">
        <x:v>KI12-TV02H2-01</x:v>
      </x:c>
      <x:c r="C462" s="2" t="str">
        <x:v>HATLAP_LEC / R14-J078</x:v>
      </x:c>
      <x:c r="D462" s="2" t="n">
        <x:v>404</x:v>
      </x:c>
      <x:c r="E462" s="2" t="n">
        <x:v>56</x:v>
      </x:c>
      <x:c r="F462" s="2" t="n">
        <x:v>0</x:v>
      </x:c>
      <x:c r="G462" s="2" t="n">
        <x:v>0</x:v>
      </x:c>
      <x:c r="H462" s="2" t="n">
        <x:v>0</x:v>
      </x:c>
      <x:c r="I462" s="2" t="n">
        <x:v>-1</x:v>
      </x:c>
      <x:c r="J462" s="2" t="n">
        <x:v>3.5</x:v>
      </x:c>
      <x:c r="K462" s="2" t="n">
        <x:v>8</x:v>
      </x:c>
      <x:c r="L462" s="2" t="str">
        <x:v>R14 tervezői kiosztás; tényleges laphoz és csavarhoz próbafúrás</x:v>
      </x:c>
    </x:row>
    <x:row r="463" ht="36" customHeight="1">
      <x:c r="A463" s="2" t="str">
        <x:v>R16H0458</x:v>
      </x:c>
      <x:c r="B463" s="2" t="str">
        <x:v>KI12-TV02H2-01</x:v>
      </x:c>
      <x:c r="C463" s="2" t="str">
        <x:v>HATLAP_LEC / R14-J080</x:v>
      </x:c>
      <x:c r="D463" s="2" t="n">
        <x:v>404</x:v>
      </x:c>
      <x:c r="E463" s="2" t="n">
        <x:v>136</x:v>
      </x:c>
      <x:c r="F463" s="2" t="n">
        <x:v>0</x:v>
      </x:c>
      <x:c r="G463" s="2" t="n">
        <x:v>0</x:v>
      </x:c>
      <x:c r="H463" s="2" t="n">
        <x:v>0</x:v>
      </x:c>
      <x:c r="I463" s="2" t="n">
        <x:v>-1</x:v>
      </x:c>
      <x:c r="J463" s="2" t="n">
        <x:v>3.5</x:v>
      </x:c>
      <x:c r="K463" s="2" t="n">
        <x:v>8</x:v>
      </x:c>
      <x:c r="L463" s="2" t="str">
        <x:v>R14 tervezői kiosztás; tényleges laphoz és csavarhoz próbafúrás</x:v>
      </x:c>
    </x:row>
    <x:row r="464" ht="36" customHeight="1">
      <x:c r="A464" s="2" t="str">
        <x:v>R16H0459</x:v>
      </x:c>
      <x:c r="B464" s="2" t="str">
        <x:v>KI12-TV02H2-01</x:v>
      </x:c>
      <x:c r="C464" s="2" t="str">
        <x:v>HATLAP_LEC / R14-J082</x:v>
      </x:c>
      <x:c r="D464" s="2" t="n">
        <x:v>404</x:v>
      </x:c>
      <x:c r="E464" s="2" t="n">
        <x:v>216</x:v>
      </x:c>
      <x:c r="F464" s="2" t="n">
        <x:v>0</x:v>
      </x:c>
      <x:c r="G464" s="2" t="n">
        <x:v>0</x:v>
      </x:c>
      <x:c r="H464" s="2" t="n">
        <x:v>0</x:v>
      </x:c>
      <x:c r="I464" s="2" t="n">
        <x:v>-1</x:v>
      </x:c>
      <x:c r="J464" s="2" t="n">
        <x:v>3.5</x:v>
      </x:c>
      <x:c r="K464" s="2" t="n">
        <x:v>8</x:v>
      </x:c>
      <x:c r="L464" s="2" t="str">
        <x:v>R14 tervezői kiosztás; tényleges laphoz és csavarhoz próbafúrás</x:v>
      </x:c>
    </x:row>
    <x:row r="465" ht="36" customHeight="1">
      <x:c r="A465" s="2" t="str">
        <x:v>R16H0460</x:v>
      </x:c>
      <x:c r="B465" s="2" t="str">
        <x:v>KI12-TV02H2-01</x:v>
      </x:c>
      <x:c r="C465" s="2" t="str">
        <x:v>HATLAP_LEC / R14-J084</x:v>
      </x:c>
      <x:c r="D465" s="2" t="n">
        <x:v>8</x:v>
      </x:c>
      <x:c r="E465" s="2" t="n">
        <x:v>56</x:v>
      </x:c>
      <x:c r="F465" s="2" t="n">
        <x:v>0</x:v>
      </x:c>
      <x:c r="G465" s="2" t="n">
        <x:v>0</x:v>
      </x:c>
      <x:c r="H465" s="2" t="n">
        <x:v>0</x:v>
      </x:c>
      <x:c r="I465" s="2" t="n">
        <x:v>-1</x:v>
      </x:c>
      <x:c r="J465" s="2" t="n">
        <x:v>3.5</x:v>
      </x:c>
      <x:c r="K465" s="2" t="n">
        <x:v>8</x:v>
      </x:c>
      <x:c r="L465" s="2" t="str">
        <x:v>R14 tervezői kiosztás; tényleges laphoz és csavarhoz próbafúrás</x:v>
      </x:c>
    </x:row>
    <x:row r="466" ht="36" customHeight="1">
      <x:c r="A466" s="2" t="str">
        <x:v>R16H0461</x:v>
      </x:c>
      <x:c r="B466" s="2" t="str">
        <x:v>KI12-TV02H2-01</x:v>
      </x:c>
      <x:c r="C466" s="2" t="str">
        <x:v>HATLAP_LEC / R14-J086</x:v>
      </x:c>
      <x:c r="D466" s="2" t="n">
        <x:v>8</x:v>
      </x:c>
      <x:c r="E466" s="2" t="n">
        <x:v>136</x:v>
      </x:c>
      <x:c r="F466" s="2" t="n">
        <x:v>0</x:v>
      </x:c>
      <x:c r="G466" s="2" t="n">
        <x:v>0</x:v>
      </x:c>
      <x:c r="H466" s="2" t="n">
        <x:v>0</x:v>
      </x:c>
      <x:c r="I466" s="2" t="n">
        <x:v>-1</x:v>
      </x:c>
      <x:c r="J466" s="2" t="n">
        <x:v>3.5</x:v>
      </x:c>
      <x:c r="K466" s="2" t="n">
        <x:v>8</x:v>
      </x:c>
      <x:c r="L466" s="2" t="str">
        <x:v>R14 tervezői kiosztás; tényleges laphoz és csavarhoz próbafúrás</x:v>
      </x:c>
    </x:row>
    <x:row r="467" ht="36" customHeight="1">
      <x:c r="A467" s="2" t="str">
        <x:v>R16H0462</x:v>
      </x:c>
      <x:c r="B467" s="2" t="str">
        <x:v>KI12-TV02H2-01</x:v>
      </x:c>
      <x:c r="C467" s="2" t="str">
        <x:v>HATLAP_LEC / R14-J088</x:v>
      </x:c>
      <x:c r="D467" s="2" t="n">
        <x:v>8</x:v>
      </x:c>
      <x:c r="E467" s="2" t="n">
        <x:v>216</x:v>
      </x:c>
      <x:c r="F467" s="2" t="n">
        <x:v>0</x:v>
      </x:c>
      <x:c r="G467" s="2" t="n">
        <x:v>0</x:v>
      </x:c>
      <x:c r="H467" s="2" t="n">
        <x:v>0</x:v>
      </x:c>
      <x:c r="I467" s="2" t="n">
        <x:v>-1</x:v>
      </x:c>
      <x:c r="J467" s="2" t="n">
        <x:v>3.5</x:v>
      </x:c>
      <x:c r="K467" s="2" t="n">
        <x:v>8</x:v>
      </x:c>
      <x:c r="L467" s="2" t="str">
        <x:v>R14 tervezői kiosztás; tényleges laphoz és csavarhoz próbafúrás</x:v>
      </x:c>
    </x:row>
    <x:row r="468" ht="36" customHeight="1">
      <x:c r="A468" s="2" t="str">
        <x:v>R16H0463</x:v>
      </x:c>
      <x:c r="B468" s="2" t="str">
        <x:v>KI14-BAT-05</x:v>
      </x:c>
      <x:c r="C468" s="2" t="str">
        <x:v>LEC_OLDAL / R14-J077</x:v>
      </x:c>
      <x:c r="D468" s="2" t="n">
        <x:v>22</x:v>
      </x:c>
      <x:c r="E468" s="2" t="n">
        <x:v>9</x:v>
      </x:c>
      <x:c r="F468" s="2" t="n">
        <x:v>-18</x:v>
      </x:c>
      <x:c r="G468" s="2" t="n">
        <x:v>0</x:v>
      </x:c>
      <x:c r="H468" s="2" t="n">
        <x:v>0</x:v>
      </x:c>
      <x:c r="I468" s="2" t="n">
        <x:v>1</x:v>
      </x:c>
      <x:c r="J468" s="2" t="n">
        <x:v>4</x:v>
      </x:c>
      <x:c r="K468" s="2" t="n">
        <x:v>18</x:v>
      </x:c>
      <x:c r="L468" s="2" t="str">
        <x:v>R14 tervezői kiosztás; tényleges laphoz és csavarhoz próbafúrás</x:v>
      </x:c>
    </x:row>
    <x:row r="469" ht="36" customHeight="1">
      <x:c r="A469" s="2" t="str">
        <x:v>R16H0464</x:v>
      </x:c>
      <x:c r="B469" s="2" t="str">
        <x:v>KI14-BAT-05</x:v>
      </x:c>
      <x:c r="C469" s="2" t="str">
        <x:v>HATLAP_LEC / R14-J078</x:v>
      </x:c>
      <x:c r="D469" s="2" t="n">
        <x:v>37</x:v>
      </x:c>
      <x:c r="E469" s="2" t="n">
        <x:v>18</x:v>
      </x:c>
      <x:c r="F469" s="2" t="n">
        <x:v>-9</x:v>
      </x:c>
      <x:c r="G469" s="2" t="n">
        <x:v>0</x:v>
      </x:c>
      <x:c r="H469" s="2" t="n">
        <x:v>-1</x:v>
      </x:c>
      <x:c r="I469" s="2" t="n">
        <x:v>0</x:v>
      </x:c>
      <x:c r="J469" s="2" t="n">
        <x:v>2.5</x:v>
      </x:c>
      <x:c r="K469" s="2" t="n">
        <x:v>12</x:v>
      </x:c>
      <x:c r="L469" s="2" t="str">
        <x:v>R14 tervezői kiosztás; tényleges laphoz és csavarhoz próbafúrás</x:v>
      </x:c>
    </x:row>
    <x:row r="470" ht="36" customHeight="1">
      <x:c r="A470" s="2" t="str">
        <x:v>R16H0465</x:v>
      </x:c>
      <x:c r="B470" s="2" t="str">
        <x:v>KI14-BAT-05</x:v>
      </x:c>
      <x:c r="C470" s="2" t="str">
        <x:v>LEC_OLDAL / R14-J079</x:v>
      </x:c>
      <x:c r="D470" s="2" t="n">
        <x:v>102</x:v>
      </x:c>
      <x:c r="E470" s="2" t="n">
        <x:v>9</x:v>
      </x:c>
      <x:c r="F470" s="2" t="n">
        <x:v>-18</x:v>
      </x:c>
      <x:c r="G470" s="2" t="n">
        <x:v>0</x:v>
      </x:c>
      <x:c r="H470" s="2" t="n">
        <x:v>0</x:v>
      </x:c>
      <x:c r="I470" s="2" t="n">
        <x:v>1</x:v>
      </x:c>
      <x:c r="J470" s="2" t="n">
        <x:v>4</x:v>
      </x:c>
      <x:c r="K470" s="2" t="n">
        <x:v>18</x:v>
      </x:c>
      <x:c r="L470" s="2" t="str">
        <x:v>R14 tervezői kiosztás; tényleges laphoz és csavarhoz próbafúrás</x:v>
      </x:c>
    </x:row>
    <x:row r="471" ht="36" customHeight="1">
      <x:c r="A471" s="2" t="str">
        <x:v>R16H0466</x:v>
      </x:c>
      <x:c r="B471" s="2" t="str">
        <x:v>KI14-BAT-05</x:v>
      </x:c>
      <x:c r="C471" s="2" t="str">
        <x:v>HATLAP_LEC / R14-J080</x:v>
      </x:c>
      <x:c r="D471" s="2" t="n">
        <x:v>117</x:v>
      </x:c>
      <x:c r="E471" s="2" t="n">
        <x:v>18</x:v>
      </x:c>
      <x:c r="F471" s="2" t="n">
        <x:v>-9</x:v>
      </x:c>
      <x:c r="G471" s="2" t="n">
        <x:v>0</x:v>
      </x:c>
      <x:c r="H471" s="2" t="n">
        <x:v>-1</x:v>
      </x:c>
      <x:c r="I471" s="2" t="n">
        <x:v>0</x:v>
      </x:c>
      <x:c r="J471" s="2" t="n">
        <x:v>2.5</x:v>
      </x:c>
      <x:c r="K471" s="2" t="n">
        <x:v>12</x:v>
      </x:c>
      <x:c r="L471" s="2" t="str">
        <x:v>R14 tervezői kiosztás; tényleges laphoz és csavarhoz próbafúrás</x:v>
      </x:c>
    </x:row>
    <x:row r="472" ht="36" customHeight="1">
      <x:c r="A472" s="2" t="str">
        <x:v>R16H0467</x:v>
      </x:c>
      <x:c r="B472" s="2" t="str">
        <x:v>KI14-BAT-05</x:v>
      </x:c>
      <x:c r="C472" s="2" t="str">
        <x:v>LEC_OLDAL / R14-J081</x:v>
      </x:c>
      <x:c r="D472" s="2" t="n">
        <x:v>182</x:v>
      </x:c>
      <x:c r="E472" s="2" t="n">
        <x:v>9</x:v>
      </x:c>
      <x:c r="F472" s="2" t="n">
        <x:v>-18</x:v>
      </x:c>
      <x:c r="G472" s="2" t="n">
        <x:v>0</x:v>
      </x:c>
      <x:c r="H472" s="2" t="n">
        <x:v>0</x:v>
      </x:c>
      <x:c r="I472" s="2" t="n">
        <x:v>1</x:v>
      </x:c>
      <x:c r="J472" s="2" t="n">
        <x:v>4</x:v>
      </x:c>
      <x:c r="K472" s="2" t="n">
        <x:v>18</x:v>
      </x:c>
      <x:c r="L472" s="2" t="str">
        <x:v>R14 tervezői kiosztás; tényleges laphoz és csavarhoz próbafúrás</x:v>
      </x:c>
    </x:row>
    <x:row r="473" ht="36" customHeight="1">
      <x:c r="A473" s="2" t="str">
        <x:v>R16H0468</x:v>
      </x:c>
      <x:c r="B473" s="2" t="str">
        <x:v>KI14-BAT-05</x:v>
      </x:c>
      <x:c r="C473" s="2" t="str">
        <x:v>HATLAP_LEC / R14-J082</x:v>
      </x:c>
      <x:c r="D473" s="2" t="n">
        <x:v>197</x:v>
      </x:c>
      <x:c r="E473" s="2" t="n">
        <x:v>18</x:v>
      </x:c>
      <x:c r="F473" s="2" t="n">
        <x:v>-9</x:v>
      </x:c>
      <x:c r="G473" s="2" t="n">
        <x:v>0</x:v>
      </x:c>
      <x:c r="H473" s="2" t="n">
        <x:v>-1</x:v>
      </x:c>
      <x:c r="I473" s="2" t="n">
        <x:v>0</x:v>
      </x:c>
      <x:c r="J473" s="2" t="n">
        <x:v>2.5</x:v>
      </x:c>
      <x:c r="K473" s="2" t="n">
        <x:v>12</x:v>
      </x:c>
      <x:c r="L473" s="2" t="str">
        <x:v>R14 tervezői kiosztás; tényleges laphoz és csavarhoz próbafúrás</x:v>
      </x:c>
    </x:row>
    <x:row r="474" ht="36" customHeight="1">
      <x:c r="A474" s="2" t="str">
        <x:v>R16H0469</x:v>
      </x:c>
      <x:c r="B474" s="2" t="str">
        <x:v>KI14-BAT-06</x:v>
      </x:c>
      <x:c r="C474" s="2" t="str">
        <x:v>LEC_OLDAL / R14-J083</x:v>
      </x:c>
      <x:c r="D474" s="2" t="n">
        <x:v>22</x:v>
      </x:c>
      <x:c r="E474" s="2" t="n">
        <x:v>9</x:v>
      </x:c>
      <x:c r="F474" s="2" t="n">
        <x:v>0</x:v>
      </x:c>
      <x:c r="G474" s="2" t="n">
        <x:v>0</x:v>
      </x:c>
      <x:c r="H474" s="2" t="n">
        <x:v>0</x:v>
      </x:c>
      <x:c r="I474" s="2" t="n">
        <x:v>-1</x:v>
      </x:c>
      <x:c r="J474" s="2" t="n">
        <x:v>4</x:v>
      </x:c>
      <x:c r="K474" s="2" t="n">
        <x:v>18</x:v>
      </x:c>
      <x:c r="L474" s="2" t="str">
        <x:v>R14 tervezői kiosztás; tényleges laphoz és csavarhoz próbafúrás</x:v>
      </x:c>
    </x:row>
    <x:row r="475" ht="36" customHeight="1">
      <x:c r="A475" s="2" t="str">
        <x:v>R16H0470</x:v>
      </x:c>
      <x:c r="B475" s="2" t="str">
        <x:v>KI14-BAT-06</x:v>
      </x:c>
      <x:c r="C475" s="2" t="str">
        <x:v>HATLAP_LEC / R14-J084</x:v>
      </x:c>
      <x:c r="D475" s="2" t="n">
        <x:v>37</x:v>
      </x:c>
      <x:c r="E475" s="2" t="n">
        <x:v>18</x:v>
      </x:c>
      <x:c r="F475" s="2" t="n">
        <x:v>-9</x:v>
      </x:c>
      <x:c r="G475" s="2" t="n">
        <x:v>0</x:v>
      </x:c>
      <x:c r="H475" s="2" t="n">
        <x:v>-1</x:v>
      </x:c>
      <x:c r="I475" s="2" t="n">
        <x:v>0</x:v>
      </x:c>
      <x:c r="J475" s="2" t="n">
        <x:v>2.5</x:v>
      </x:c>
      <x:c r="K475" s="2" t="n">
        <x:v>12</x:v>
      </x:c>
      <x:c r="L475" s="2" t="str">
        <x:v>R14 tervezői kiosztás; tényleges laphoz és csavarhoz próbafúrás</x:v>
      </x:c>
    </x:row>
    <x:row r="476" ht="36" customHeight="1">
      <x:c r="A476" s="2" t="str">
        <x:v>R16H0471</x:v>
      </x:c>
      <x:c r="B476" s="2" t="str">
        <x:v>KI14-BAT-06</x:v>
      </x:c>
      <x:c r="C476" s="2" t="str">
        <x:v>LEC_OLDAL / R14-J085</x:v>
      </x:c>
      <x:c r="D476" s="2" t="n">
        <x:v>102</x:v>
      </x:c>
      <x:c r="E476" s="2" t="n">
        <x:v>9</x:v>
      </x:c>
      <x:c r="F476" s="2" t="n">
        <x:v>0</x:v>
      </x:c>
      <x:c r="G476" s="2" t="n">
        <x:v>0</x:v>
      </x:c>
      <x:c r="H476" s="2" t="n">
        <x:v>0</x:v>
      </x:c>
      <x:c r="I476" s="2" t="n">
        <x:v>-1</x:v>
      </x:c>
      <x:c r="J476" s="2" t="n">
        <x:v>4</x:v>
      </x:c>
      <x:c r="K476" s="2" t="n">
        <x:v>18</x:v>
      </x:c>
      <x:c r="L476" s="2" t="str">
        <x:v>R14 tervezői kiosztás; tényleges laphoz és csavarhoz próbafúrás</x:v>
      </x:c>
    </x:row>
    <x:row r="477" ht="36" customHeight="1">
      <x:c r="A477" s="2" t="str">
        <x:v>R16H0472</x:v>
      </x:c>
      <x:c r="B477" s="2" t="str">
        <x:v>KI14-BAT-06</x:v>
      </x:c>
      <x:c r="C477" s="2" t="str">
        <x:v>HATLAP_LEC / R14-J086</x:v>
      </x:c>
      <x:c r="D477" s="2" t="n">
        <x:v>117</x:v>
      </x:c>
      <x:c r="E477" s="2" t="n">
        <x:v>18</x:v>
      </x:c>
      <x:c r="F477" s="2" t="n">
        <x:v>-9</x:v>
      </x:c>
      <x:c r="G477" s="2" t="n">
        <x:v>0</x:v>
      </x:c>
      <x:c r="H477" s="2" t="n">
        <x:v>-1</x:v>
      </x:c>
      <x:c r="I477" s="2" t="n">
        <x:v>0</x:v>
      </x:c>
      <x:c r="J477" s="2" t="n">
        <x:v>2.5</x:v>
      </x:c>
      <x:c r="K477" s="2" t="n">
        <x:v>12</x:v>
      </x:c>
      <x:c r="L477" s="2" t="str">
        <x:v>R14 tervezői kiosztás; tényleges laphoz és csavarhoz próbafúrás</x:v>
      </x:c>
    </x:row>
    <x:row r="478" ht="36" customHeight="1">
      <x:c r="A478" s="2" t="str">
        <x:v>R16H0473</x:v>
      </x:c>
      <x:c r="B478" s="2" t="str">
        <x:v>KI14-BAT-06</x:v>
      </x:c>
      <x:c r="C478" s="2" t="str">
        <x:v>LEC_OLDAL / R14-J087</x:v>
      </x:c>
      <x:c r="D478" s="2" t="n">
        <x:v>182</x:v>
      </x:c>
      <x:c r="E478" s="2" t="n">
        <x:v>9</x:v>
      </x:c>
      <x:c r="F478" s="2" t="n">
        <x:v>0</x:v>
      </x:c>
      <x:c r="G478" s="2" t="n">
        <x:v>0</x:v>
      </x:c>
      <x:c r="H478" s="2" t="n">
        <x:v>0</x:v>
      </x:c>
      <x:c r="I478" s="2" t="n">
        <x:v>-1</x:v>
      </x:c>
      <x:c r="J478" s="2" t="n">
        <x:v>4</x:v>
      </x:c>
      <x:c r="K478" s="2" t="n">
        <x:v>18</x:v>
      </x:c>
      <x:c r="L478" s="2" t="str">
        <x:v>R14 tervezői kiosztás; tényleges laphoz és csavarhoz próbafúrás</x:v>
      </x:c>
    </x:row>
    <x:row r="479" ht="36" customHeight="1">
      <x:c r="A479" s="2" t="str">
        <x:v>R16H0474</x:v>
      </x:c>
      <x:c r="B479" s="2" t="str">
        <x:v>KI14-BAT-06</x:v>
      </x:c>
      <x:c r="C479" s="2" t="str">
        <x:v>HATLAP_LEC / R14-J088</x:v>
      </x:c>
      <x:c r="D479" s="2" t="n">
        <x:v>197</x:v>
      </x:c>
      <x:c r="E479" s="2" t="n">
        <x:v>18</x:v>
      </x:c>
      <x:c r="F479" s="2" t="n">
        <x:v>-9</x:v>
      </x:c>
      <x:c r="G479" s="2" t="n">
        <x:v>0</x:v>
      </x:c>
      <x:c r="H479" s="2" t="n">
        <x:v>-1</x:v>
      </x:c>
      <x:c r="I479" s="2" t="n">
        <x:v>0</x:v>
      </x:c>
      <x:c r="J479" s="2" t="n">
        <x:v>2.5</x:v>
      </x:c>
      <x:c r="K479" s="2" t="n">
        <x:v>12</x:v>
      </x:c>
      <x:c r="L479" s="2" t="str">
        <x:v>R14 tervezői kiosztás; tényleges laphoz és csavarhoz próbafúrás</x:v>
      </x:c>
    </x:row>
    <x:row r="480" ht="36" customHeight="1">
      <x:c r="A480" s="2" t="str">
        <x:v>R16H0475</x:v>
      </x:c>
      <x:c r="B480" s="2" t="str">
        <x:v>KI14-RAIL-02</x:v>
      </x:c>
      <x:c r="C480" s="2" t="str">
        <x:v>MEREVITO_CSAP / R14-J121</x:v>
      </x:c>
      <x:c r="D480" s="2" t="n">
        <x:v>414</x:v>
      </x:c>
      <x:c r="E480" s="2" t="n">
        <x:v>20</x:v>
      </x:c>
      <x:c r="F480" s="2" t="n">
        <x:v>-9</x:v>
      </x:c>
      <x:c r="G480" s="2" t="n">
        <x:v>-1</x:v>
      </x:c>
      <x:c r="H480" s="2" t="n">
        <x:v>0</x:v>
      </x:c>
      <x:c r="I480" s="2" t="n">
        <x:v>0</x:v>
      </x:c>
      <x:c r="J480" s="2" t="n">
        <x:v>8</x:v>
      </x:c>
      <x:c r="K480" s="2" t="n">
        <x:v>22</x:v>
      </x:c>
      <x:c r="L480" s="2" t="str">
        <x:v>R14 Ø8x30 bükk csap, 22+12 mélység; ragasztott próbakötés</x:v>
      </x:c>
    </x:row>
    <x:row r="481" ht="36" customHeight="1">
      <x:c r="A481" s="2" t="str">
        <x:v>R16H0476</x:v>
      </x:c>
      <x:c r="B481" s="2" t="str">
        <x:v>KI14-RAIL-02</x:v>
      </x:c>
      <x:c r="C481" s="2" t="str">
        <x:v>MEREVITO_CSAP / R14-J122</x:v>
      </x:c>
      <x:c r="D481" s="2" t="n">
        <x:v>414</x:v>
      </x:c>
      <x:c r="E481" s="2" t="n">
        <x:v>50</x:v>
      </x:c>
      <x:c r="F481" s="2" t="n">
        <x:v>-9</x:v>
      </x:c>
      <x:c r="G481" s="2" t="n">
        <x:v>-1</x:v>
      </x:c>
      <x:c r="H481" s="2" t="n">
        <x:v>0</x:v>
      </x:c>
      <x:c r="I481" s="2" t="n">
        <x:v>0</x:v>
      </x:c>
      <x:c r="J481" s="2" t="n">
        <x:v>8</x:v>
      </x:c>
      <x:c r="K481" s="2" t="n">
        <x:v>22</x:v>
      </x:c>
      <x:c r="L481" s="2" t="str">
        <x:v>R14 Ø8x30 bükk csap, 22+12 mélység; ragasztott próbakötés</x:v>
      </x:c>
    </x:row>
    <x:row r="482" ht="36" customHeight="1">
      <x:c r="A482" s="2" t="str">
        <x:v>R16H0477</x:v>
      </x:c>
      <x:c r="B482" s="2" t="str">
        <x:v>KI14-RAIL-02</x:v>
      </x:c>
      <x:c r="C482" s="2" t="str">
        <x:v>MEREVITO_CSAP / R14-J123</x:v>
      </x:c>
      <x:c r="D482" s="2" t="n">
        <x:v>414</x:v>
      </x:c>
      <x:c r="E482" s="2" t="n">
        <x:v>80</x:v>
      </x:c>
      <x:c r="F482" s="2" t="n">
        <x:v>-9</x:v>
      </x:c>
      <x:c r="G482" s="2" t="n">
        <x:v>-1</x:v>
      </x:c>
      <x:c r="H482" s="2" t="n">
        <x:v>0</x:v>
      </x:c>
      <x:c r="I482" s="2" t="n">
        <x:v>0</x:v>
      </x:c>
      <x:c r="J482" s="2" t="n">
        <x:v>8</x:v>
      </x:c>
      <x:c r="K482" s="2" t="n">
        <x:v>22</x:v>
      </x:c>
      <x:c r="L482" s="2" t="str">
        <x:v>R14 Ø8x30 bükk csap, 22+12 mélység; ragasztott próbakötés</x:v>
      </x:c>
    </x:row>
    <x:row r="483" ht="36" customHeight="1">
      <x:c r="A483" s="2" t="str">
        <x:v>R16H0478</x:v>
      </x:c>
      <x:c r="B483" s="2" t="str">
        <x:v>KI14-RAIL-02</x:v>
      </x:c>
      <x:c r="C483" s="2" t="str">
        <x:v>MEREVITO_CSAP / R14-J124</x:v>
      </x:c>
      <x:c r="D483" s="2" t="n">
        <x:v>0</x:v>
      </x:c>
      <x:c r="E483" s="2" t="n">
        <x:v>20</x:v>
      </x:c>
      <x:c r="F483" s="2" t="n">
        <x:v>-9</x:v>
      </x:c>
      <x:c r="G483" s="2" t="n">
        <x:v>1</x:v>
      </x:c>
      <x:c r="H483" s="2" t="n">
        <x:v>0</x:v>
      </x:c>
      <x:c r="I483" s="2" t="n">
        <x:v>0</x:v>
      </x:c>
      <x:c r="J483" s="2" t="n">
        <x:v>8</x:v>
      </x:c>
      <x:c r="K483" s="2" t="n">
        <x:v>22</x:v>
      </x:c>
      <x:c r="L483" s="2" t="str">
        <x:v>R14 Ø8x30 bükk csap, 22+12 mélység; ragasztott próbakötés</x:v>
      </x:c>
    </x:row>
    <x:row r="484" ht="36" customHeight="1">
      <x:c r="A484" s="2" t="str">
        <x:v>R16H0479</x:v>
      </x:c>
      <x:c r="B484" s="2" t="str">
        <x:v>KI14-RAIL-02</x:v>
      </x:c>
      <x:c r="C484" s="2" t="str">
        <x:v>MEREVITO_CSAP / R14-J125</x:v>
      </x:c>
      <x:c r="D484" s="2" t="n">
        <x:v>0</x:v>
      </x:c>
      <x:c r="E484" s="2" t="n">
        <x:v>50</x:v>
      </x:c>
      <x:c r="F484" s="2" t="n">
        <x:v>-9</x:v>
      </x:c>
      <x:c r="G484" s="2" t="n">
        <x:v>1</x:v>
      </x:c>
      <x:c r="H484" s="2" t="n">
        <x:v>0</x:v>
      </x:c>
      <x:c r="I484" s="2" t="n">
        <x:v>0</x:v>
      </x:c>
      <x:c r="J484" s="2" t="n">
        <x:v>8</x:v>
      </x:c>
      <x:c r="K484" s="2" t="n">
        <x:v>22</x:v>
      </x:c>
      <x:c r="L484" s="2" t="str">
        <x:v>R14 Ø8x30 bükk csap, 22+12 mélység; ragasztott próbakötés</x:v>
      </x:c>
    </x:row>
    <x:row r="485" ht="36" customHeight="1">
      <x:c r="A485" s="2" t="str">
        <x:v>R16H0480</x:v>
      </x:c>
      <x:c r="B485" s="2" t="str">
        <x:v>KI14-RAIL-02</x:v>
      </x:c>
      <x:c r="C485" s="2" t="str">
        <x:v>MEREVITO_CSAP / R14-J126</x:v>
      </x:c>
      <x:c r="D485" s="2" t="n">
        <x:v>0</x:v>
      </x:c>
      <x:c r="E485" s="2" t="n">
        <x:v>80</x:v>
      </x:c>
      <x:c r="F485" s="2" t="n">
        <x:v>-9</x:v>
      </x:c>
      <x:c r="G485" s="2" t="n">
        <x:v>1</x:v>
      </x:c>
      <x:c r="H485" s="2" t="n">
        <x:v>0</x:v>
      </x:c>
      <x:c r="I485" s="2" t="n">
        <x:v>0</x:v>
      </x:c>
      <x:c r="J485" s="2" t="n">
        <x:v>8</x:v>
      </x:c>
      <x:c r="K485" s="2" t="n">
        <x:v>22</x:v>
      </x:c>
      <x:c r="L485" s="2" t="str">
        <x:v>R14 Ø8x30 bükk csap, 22+12 mélység; ragasztott próbakötés</x:v>
      </x:c>
    </x:row>
    <x:row r="486" ht="36" customHeight="1">
      <x:c r="A486" s="2" t="str">
        <x:v>R16H0481</x:v>
      </x:c>
      <x:c r="B486" s="2" t="str">
        <x:v>KI12-TV02CAP-01</x:v>
      </x:c>
      <x:c r="C486" s="2" t="str">
        <x:v>CSAP J24</x:v>
      </x:c>
      <x:c r="D486" s="2" t="n">
        <x:v>729</x:v>
      </x:c>
      <x:c r="E486" s="2" t="n">
        <x:v>50</x:v>
      </x:c>
      <x:c r="F486" s="2" t="n">
        <x:v>-18</x:v>
      </x:c>
      <x:c r="G486" s="2" t="n">
        <x:v>0</x:v>
      </x:c>
      <x:c r="H486" s="2" t="n">
        <x:v>0</x:v>
      </x:c>
      <x:c r="I486" s="2" t="n">
        <x:v>1</x:v>
      </x:c>
      <x:c r="J486" s="2" t="n">
        <x:v>8</x:v>
      </x:c>
      <x:c r="K486" s="2" t="n">
        <x:v>12</x:v>
      </x:c>
      <x:c r="L486" s="2" t="str">
        <x:v>R12 J01-J26 / 8x30, 12+22</x:v>
      </x:c>
    </x:row>
    <x:row r="487" ht="36" customHeight="1">
      <x:c r="A487" s="2" t="str">
        <x:v>R16H0482</x:v>
      </x:c>
      <x:c r="B487" s="2" t="str">
        <x:v>KI12-TV02CAP-01</x:v>
      </x:c>
      <x:c r="C487" s="2" t="str">
        <x:v>CSAP J24</x:v>
      </x:c>
      <x:c r="D487" s="2" t="n">
        <x:v>729</x:v>
      </x:c>
      <x:c r="E487" s="2" t="n">
        <x:v>191</x:v>
      </x:c>
      <x:c r="F487" s="2" t="n">
        <x:v>-18</x:v>
      </x:c>
      <x:c r="G487" s="2" t="n">
        <x:v>0</x:v>
      </x:c>
      <x:c r="H487" s="2" t="n">
        <x:v>0</x:v>
      </x:c>
      <x:c r="I487" s="2" t="n">
        <x:v>1</x:v>
      </x:c>
      <x:c r="J487" s="2" t="n">
        <x:v>8</x:v>
      </x:c>
      <x:c r="K487" s="2" t="n">
        <x:v>12</x:v>
      </x:c>
      <x:c r="L487" s="2" t="str">
        <x:v>R12 J01-J26 / 8x30, 12+22</x:v>
      </x:c>
    </x:row>
    <x:row r="488" ht="36" customHeight="1">
      <x:c r="A488" s="2" t="str">
        <x:v>R16H0483</x:v>
      </x:c>
      <x:c r="B488" s="2" t="str">
        <x:v>KI12-TV02CAP-01</x:v>
      </x:c>
      <x:c r="C488" s="2" t="str">
        <x:v>CSAP J24</x:v>
      </x:c>
      <x:c r="D488" s="2" t="n">
        <x:v>729</x:v>
      </x:c>
      <x:c r="E488" s="2" t="n">
        <x:v>332</x:v>
      </x:c>
      <x:c r="F488" s="2" t="n">
        <x:v>-18</x:v>
      </x:c>
      <x:c r="G488" s="2" t="n">
        <x:v>0</x:v>
      </x:c>
      <x:c r="H488" s="2" t="n">
        <x:v>0</x:v>
      </x:c>
      <x:c r="I488" s="2" t="n">
        <x:v>1</x:v>
      </x:c>
      <x:c r="J488" s="2" t="n">
        <x:v>8</x:v>
      </x:c>
      <x:c r="K488" s="2" t="n">
        <x:v>12</x:v>
      </x:c>
      <x:c r="L488" s="2" t="str">
        <x:v>R12 J01-J26 / 8x30, 12+22</x:v>
      </x:c>
    </x:row>
    <x:row r="489" ht="36" customHeight="1">
      <x:c r="A489" s="2" t="str">
        <x:v>R16H0484</x:v>
      </x:c>
      <x:c r="B489" s="2" t="str">
        <x:v>KI12-TV02CAP-01</x:v>
      </x:c>
      <x:c r="C489" s="2" t="str">
        <x:v>CSAP J26</x:v>
      </x:c>
      <x:c r="D489" s="2" t="n">
        <x:v>1161</x:v>
      </x:c>
      <x:c r="E489" s="2" t="n">
        <x:v>50</x:v>
      </x:c>
      <x:c r="F489" s="2" t="n">
        <x:v>-18</x:v>
      </x:c>
      <x:c r="G489" s="2" t="n">
        <x:v>0</x:v>
      </x:c>
      <x:c r="H489" s="2" t="n">
        <x:v>0</x:v>
      </x:c>
      <x:c r="I489" s="2" t="n">
        <x:v>1</x:v>
      </x:c>
      <x:c r="J489" s="2" t="n">
        <x:v>8</x:v>
      </x:c>
      <x:c r="K489" s="2" t="n">
        <x:v>12</x:v>
      </x:c>
      <x:c r="L489" s="2" t="str">
        <x:v>R12 J01-J26 / 8x30, 12+22</x:v>
      </x:c>
    </x:row>
    <x:row r="490" ht="36" customHeight="1">
      <x:c r="A490" s="2" t="str">
        <x:v>R16H0485</x:v>
      </x:c>
      <x:c r="B490" s="2" t="str">
        <x:v>KI12-TV02CAP-01</x:v>
      </x:c>
      <x:c r="C490" s="2" t="str">
        <x:v>CSAP J26</x:v>
      </x:c>
      <x:c r="D490" s="2" t="n">
        <x:v>1161</x:v>
      </x:c>
      <x:c r="E490" s="2" t="n">
        <x:v>191</x:v>
      </x:c>
      <x:c r="F490" s="2" t="n">
        <x:v>-18</x:v>
      </x:c>
      <x:c r="G490" s="2" t="n">
        <x:v>0</x:v>
      </x:c>
      <x:c r="H490" s="2" t="n">
        <x:v>0</x:v>
      </x:c>
      <x:c r="I490" s="2" t="n">
        <x:v>1</x:v>
      </x:c>
      <x:c r="J490" s="2" t="n">
        <x:v>8</x:v>
      </x:c>
      <x:c r="K490" s="2" t="n">
        <x:v>12</x:v>
      </x:c>
      <x:c r="L490" s="2" t="str">
        <x:v>R12 J01-J26 / 8x30, 12+22</x:v>
      </x:c>
    </x:row>
    <x:row r="491" ht="36" customHeight="1">
      <x:c r="A491" s="2" t="str">
        <x:v>R16H0486</x:v>
      </x:c>
      <x:c r="B491" s="2" t="str">
        <x:v>KI12-TV02CAP-01</x:v>
      </x:c>
      <x:c r="C491" s="2" t="str">
        <x:v>CSAP J26</x:v>
      </x:c>
      <x:c r="D491" s="2" t="n">
        <x:v>1161</x:v>
      </x:c>
      <x:c r="E491" s="2" t="n">
        <x:v>332</x:v>
      </x:c>
      <x:c r="F491" s="2" t="n">
        <x:v>-18</x:v>
      </x:c>
      <x:c r="G491" s="2" t="n">
        <x:v>0</x:v>
      </x:c>
      <x:c r="H491" s="2" t="n">
        <x:v>0</x:v>
      </x:c>
      <x:c r="I491" s="2" t="n">
        <x:v>1</x:v>
      </x:c>
      <x:c r="J491" s="2" t="n">
        <x:v>8</x:v>
      </x:c>
      <x:c r="K491" s="2" t="n">
        <x:v>12</x:v>
      </x:c>
      <x:c r="L491" s="2" t="str">
        <x:v>R12 J01-J26 / 8x30, 12+22</x:v>
      </x:c>
    </x:row>
    <x:row r="492" ht="36" customHeight="1">
      <x:c r="A492" s="2" t="str">
        <x:v>R16H0487</x:v>
      </x:c>
      <x:c r="B492" s="2" t="str">
        <x:v>KI16-D2-L</x:v>
      </x:c>
      <x:c r="C492" s="2" t="str">
        <x:v>FIÓK_FENEK_ATMENO</x:v>
      </x:c>
      <x:c r="D492" s="2" t="n">
        <x:v>20.5</x:v>
      </x:c>
      <x:c r="E492" s="2" t="n">
        <x:v>50</x:v>
      </x:c>
      <x:c r="F492" s="2" t="n">
        <x:v>0</x:v>
      </x:c>
      <x:c r="G492" s="2" t="n">
        <x:v>0</x:v>
      </x:c>
      <x:c r="H492" s="2" t="n">
        <x:v>0</x:v>
      </x:c>
      <x:c r="I492" s="2" t="n">
        <x:v>-1</x:v>
      </x:c>
      <x:c r="J492" s="2" t="n">
        <x:v>4.5</x:v>
      </x:c>
      <x:c r="K492" s="2" t="n">
        <x:v>15</x:v>
      </x:c>
      <x:c r="L492" s="2" t="str">
        <x:v>R16 szerkezeti terv; anyaghoz illesztett próbafúrás kell</x:v>
      </x:c>
    </x:row>
    <x:row r="493" ht="36" customHeight="1">
      <x:c r="A493" s="2" t="str">
        <x:v>R16H0488</x:v>
      </x:c>
      <x:c r="B493" s="2" t="str">
        <x:v>KI16-D2-B</x:v>
      </x:c>
      <x:c r="C493" s="2" t="str">
        <x:v>FIÓK_FENEK_PILOT</x:v>
      </x:c>
      <x:c r="D493" s="2" t="n">
        <x:v>0</x:v>
      </x:c>
      <x:c r="E493" s="2" t="n">
        <x:v>50</x:v>
      </x:c>
      <x:c r="F493" s="2" t="n">
        <x:v>-7.5</x:v>
      </x:c>
      <x:c r="G493" s="2" t="n">
        <x:v>1</x:v>
      </x:c>
      <x:c r="H493" s="2" t="n">
        <x:v>0</x:v>
      </x:c>
      <x:c r="I493" s="2" t="n">
        <x:v>0</x:v>
      </x:c>
      <x:c r="J493" s="2" t="n">
        <x:v>2.5</x:v>
      </x:c>
      <x:c r="K493" s="2" t="n">
        <x:v>20</x:v>
      </x:c>
      <x:c r="L493" s="2" t="str">
        <x:v>R16 szerkezeti terv; anyaghoz illesztett próbafúrás kell</x:v>
      </x:c>
    </x:row>
    <x:row r="494" ht="36" customHeight="1">
      <x:c r="A494" s="2" t="str">
        <x:v>R16H0489</x:v>
      </x:c>
      <x:c r="B494" s="2" t="str">
        <x:v>KI16-D2-L</x:v>
      </x:c>
      <x:c r="C494" s="2" t="str">
        <x:v>FIÓK_FENEK_ATMENO</x:v>
      </x:c>
      <x:c r="D494" s="2" t="n">
        <x:v>20.5</x:v>
      </x:c>
      <x:c r="E494" s="2" t="n">
        <x:v>145</x:v>
      </x:c>
      <x:c r="F494" s="2" t="n">
        <x:v>0</x:v>
      </x:c>
      <x:c r="G494" s="2" t="n">
        <x:v>0</x:v>
      </x:c>
      <x:c r="H494" s="2" t="n">
        <x:v>0</x:v>
      </x:c>
      <x:c r="I494" s="2" t="n">
        <x:v>-1</x:v>
      </x:c>
      <x:c r="J494" s="2" t="n">
        <x:v>4.5</x:v>
      </x:c>
      <x:c r="K494" s="2" t="n">
        <x:v>15</x:v>
      </x:c>
      <x:c r="L494" s="2" t="str">
        <x:v>R16 szerkezeti terv; anyaghoz illesztett próbafúrás kell</x:v>
      </x:c>
    </x:row>
    <x:row r="495" ht="36" customHeight="1">
      <x:c r="A495" s="2" t="str">
        <x:v>R16H0490</x:v>
      </x:c>
      <x:c r="B495" s="2" t="str">
        <x:v>KI16-D2-B</x:v>
      </x:c>
      <x:c r="C495" s="2" t="str">
        <x:v>FIÓK_FENEK_PILOT</x:v>
      </x:c>
      <x:c r="D495" s="2" t="n">
        <x:v>0</x:v>
      </x:c>
      <x:c r="E495" s="2" t="n">
        <x:v>145</x:v>
      </x:c>
      <x:c r="F495" s="2" t="n">
        <x:v>-7.5</x:v>
      </x:c>
      <x:c r="G495" s="2" t="n">
        <x:v>1</x:v>
      </x:c>
      <x:c r="H495" s="2" t="n">
        <x:v>0</x:v>
      </x:c>
      <x:c r="I495" s="2" t="n">
        <x:v>0</x:v>
      </x:c>
      <x:c r="J495" s="2" t="n">
        <x:v>2.5</x:v>
      </x:c>
      <x:c r="K495" s="2" t="n">
        <x:v>20</x:v>
      </x:c>
      <x:c r="L495" s="2" t="str">
        <x:v>R16 szerkezeti terv; anyaghoz illesztett próbafúrás kell</x:v>
      </x:c>
    </x:row>
    <x:row r="496" ht="36" customHeight="1">
      <x:c r="A496" s="2" t="str">
        <x:v>R16H0491</x:v>
      </x:c>
      <x:c r="B496" s="2" t="str">
        <x:v>KI16-D2-L</x:v>
      </x:c>
      <x:c r="C496" s="2" t="str">
        <x:v>FIÓK_FENEK_ATMENO</x:v>
      </x:c>
      <x:c r="D496" s="2" t="n">
        <x:v>20.5</x:v>
      </x:c>
      <x:c r="E496" s="2" t="n">
        <x:v>240</x:v>
      </x:c>
      <x:c r="F496" s="2" t="n">
        <x:v>0</x:v>
      </x:c>
      <x:c r="G496" s="2" t="n">
        <x:v>0</x:v>
      </x:c>
      <x:c r="H496" s="2" t="n">
        <x:v>0</x:v>
      </x:c>
      <x:c r="I496" s="2" t="n">
        <x:v>-1</x:v>
      </x:c>
      <x:c r="J496" s="2" t="n">
        <x:v>4.5</x:v>
      </x:c>
      <x:c r="K496" s="2" t="n">
        <x:v>15</x:v>
      </x:c>
      <x:c r="L496" s="2" t="str">
        <x:v>R16 szerkezeti terv; anyaghoz illesztett próbafúrás kell</x:v>
      </x:c>
    </x:row>
    <x:row r="497" ht="36" customHeight="1">
      <x:c r="A497" s="2" t="str">
        <x:v>R16H0492</x:v>
      </x:c>
      <x:c r="B497" s="2" t="str">
        <x:v>KI16-D2-B</x:v>
      </x:c>
      <x:c r="C497" s="2" t="str">
        <x:v>FIÓK_FENEK_PILOT</x:v>
      </x:c>
      <x:c r="D497" s="2" t="n">
        <x:v>0</x:v>
      </x:c>
      <x:c r="E497" s="2" t="n">
        <x:v>240</x:v>
      </x:c>
      <x:c r="F497" s="2" t="n">
        <x:v>-7.5</x:v>
      </x:c>
      <x:c r="G497" s="2" t="n">
        <x:v>1</x:v>
      </x:c>
      <x:c r="H497" s="2" t="n">
        <x:v>0</x:v>
      </x:c>
      <x:c r="I497" s="2" t="n">
        <x:v>0</x:v>
      </x:c>
      <x:c r="J497" s="2" t="n">
        <x:v>2.5</x:v>
      </x:c>
      <x:c r="K497" s="2" t="n">
        <x:v>20</x:v>
      </x:c>
      <x:c r="L497" s="2" t="str">
        <x:v>R16 szerkezeti terv; anyaghoz illesztett próbafúrás kell</x:v>
      </x:c>
    </x:row>
    <x:row r="498" ht="36" customHeight="1">
      <x:c r="A498" s="2" t="str">
        <x:v>R16H0493</x:v>
      </x:c>
      <x:c r="B498" s="2" t="str">
        <x:v>KI16-D2-L</x:v>
      </x:c>
      <x:c r="C498" s="2" t="str">
        <x:v>FIÓK_ELO_HAT_ATMENO</x:v>
      </x:c>
      <x:c r="D498" s="2" t="n">
        <x:v>73</x:v>
      </x:c>
      <x:c r="E498" s="2" t="n">
        <x:v>7.5</x:v>
      </x:c>
      <x:c r="F498" s="2" t="n">
        <x:v>0</x:v>
      </x:c>
      <x:c r="G498" s="2" t="n">
        <x:v>0</x:v>
      </x:c>
      <x:c r="H498" s="2" t="n">
        <x:v>0</x:v>
      </x:c>
      <x:c r="I498" s="2" t="n">
        <x:v>-1</x:v>
      </x:c>
      <x:c r="J498" s="2" t="n">
        <x:v>4.5</x:v>
      </x:c>
      <x:c r="K498" s="2" t="n">
        <x:v>15</x:v>
      </x:c>
      <x:c r="L498" s="2" t="str">
        <x:v>R16 szerkezeti terv; anyaghoz illesztett próbafúrás kell</x:v>
      </x:c>
    </x:row>
    <x:row r="499" ht="36" customHeight="1">
      <x:c r="A499" s="2" t="str">
        <x:v>R16H0494</x:v>
      </x:c>
      <x:c r="B499" s="2" t="str">
        <x:v>KI16-D2-F</x:v>
      </x:c>
      <x:c r="C499" s="2" t="str">
        <x:v>FIÓK_ELO_HAT_PILOT</x:v>
      </x:c>
      <x:c r="D499" s="2" t="n">
        <x:v>372</x:v>
      </x:c>
      <x:c r="E499" s="2" t="n">
        <x:v>45</x:v>
      </x:c>
      <x:c r="F499" s="2" t="n">
        <x:v>-7.5</x:v>
      </x:c>
      <x:c r="G499" s="2" t="n">
        <x:v>-1</x:v>
      </x:c>
      <x:c r="H499" s="2" t="n">
        <x:v>0</x:v>
      </x:c>
      <x:c r="I499" s="2" t="n">
        <x:v>0</x:v>
      </x:c>
      <x:c r="J499" s="2" t="n">
        <x:v>2.5</x:v>
      </x:c>
      <x:c r="K499" s="2" t="n">
        <x:v>20</x:v>
      </x:c>
      <x:c r="L499" s="2" t="str">
        <x:v>R16 szerkezeti terv; anyaghoz illesztett próbafúrás kell</x:v>
      </x:c>
    </x:row>
    <x:row r="500" ht="36" customHeight="1">
      <x:c r="A500" s="2" t="str">
        <x:v>R16H0495</x:v>
      </x:c>
      <x:c r="B500" s="2" t="str">
        <x:v>KI16-D2-L</x:v>
      </x:c>
      <x:c r="C500" s="2" t="str">
        <x:v>FIÓK_ELO_HAT_ATMENO</x:v>
      </x:c>
      <x:c r="D500" s="2" t="n">
        <x:v>203</x:v>
      </x:c>
      <x:c r="E500" s="2" t="n">
        <x:v>7.5</x:v>
      </x:c>
      <x:c r="F500" s="2" t="n">
        <x:v>0</x:v>
      </x:c>
      <x:c r="G500" s="2" t="n">
        <x:v>0</x:v>
      </x:c>
      <x:c r="H500" s="2" t="n">
        <x:v>0</x:v>
      </x:c>
      <x:c r="I500" s="2" t="n">
        <x:v>-1</x:v>
      </x:c>
      <x:c r="J500" s="2" t="n">
        <x:v>4.5</x:v>
      </x:c>
      <x:c r="K500" s="2" t="n">
        <x:v>15</x:v>
      </x:c>
      <x:c r="L500" s="2" t="str">
        <x:v>R16 szerkezeti terv; anyaghoz illesztett próbafúrás kell</x:v>
      </x:c>
    </x:row>
    <x:row r="501" ht="36" customHeight="1">
      <x:c r="A501" s="2" t="str">
        <x:v>R16H0496</x:v>
      </x:c>
      <x:c r="B501" s="2" t="str">
        <x:v>KI16-D2-F</x:v>
      </x:c>
      <x:c r="C501" s="2" t="str">
        <x:v>FIÓK_ELO_HAT_PILOT</x:v>
      </x:c>
      <x:c r="D501" s="2" t="n">
        <x:v>372</x:v>
      </x:c>
      <x:c r="E501" s="2" t="n">
        <x:v>175</x:v>
      </x:c>
      <x:c r="F501" s="2" t="n">
        <x:v>-7.5</x:v>
      </x:c>
      <x:c r="G501" s="2" t="n">
        <x:v>-1</x:v>
      </x:c>
      <x:c r="H501" s="2" t="n">
        <x:v>0</x:v>
      </x:c>
      <x:c r="I501" s="2" t="n">
        <x:v>0</x:v>
      </x:c>
      <x:c r="J501" s="2" t="n">
        <x:v>2.5</x:v>
      </x:c>
      <x:c r="K501" s="2" t="n">
        <x:v>20</x:v>
      </x:c>
      <x:c r="L501" s="2" t="str">
        <x:v>R16 szerkezeti terv; anyaghoz illesztett próbafúrás kell</x:v>
      </x:c>
    </x:row>
    <x:row r="502" ht="36" customHeight="1">
      <x:c r="A502" s="2" t="str">
        <x:v>R16H0497</x:v>
      </x:c>
      <x:c r="B502" s="2" t="str">
        <x:v>KI16-D2-L</x:v>
      </x:c>
      <x:c r="C502" s="2" t="str">
        <x:v>FIÓK_ELO_HAT_ATMENO</x:v>
      </x:c>
      <x:c r="D502" s="2" t="n">
        <x:v>73</x:v>
      </x:c>
      <x:c r="E502" s="2" t="n">
        <x:v>282.5</x:v>
      </x:c>
      <x:c r="F502" s="2" t="n">
        <x:v>0</x:v>
      </x:c>
      <x:c r="G502" s="2" t="n">
        <x:v>0</x:v>
      </x:c>
      <x:c r="H502" s="2" t="n">
        <x:v>0</x:v>
      </x:c>
      <x:c r="I502" s="2" t="n">
        <x:v>-1</x:v>
      </x:c>
      <x:c r="J502" s="2" t="n">
        <x:v>4.5</x:v>
      </x:c>
      <x:c r="K502" s="2" t="n">
        <x:v>15</x:v>
      </x:c>
      <x:c r="L502" s="2" t="str">
        <x:v>R16 szerkezeti terv; anyaghoz illesztett próbafúrás kell</x:v>
      </x:c>
    </x:row>
    <x:row r="503" ht="36" customHeight="1">
      <x:c r="A503" s="2" t="str">
        <x:v>R16H0498</x:v>
      </x:c>
      <x:c r="B503" s="2" t="str">
        <x:v>KI16-D2-H</x:v>
      </x:c>
      <x:c r="C503" s="2" t="str">
        <x:v>FIÓK_ELO_HAT_PILOT</x:v>
      </x:c>
      <x:c r="D503" s="2" t="n">
        <x:v>372</x:v>
      </x:c>
      <x:c r="E503" s="2" t="n">
        <x:v>45</x:v>
      </x:c>
      <x:c r="F503" s="2" t="n">
        <x:v>-7.5</x:v>
      </x:c>
      <x:c r="G503" s="2" t="n">
        <x:v>-1</x:v>
      </x:c>
      <x:c r="H503" s="2" t="n">
        <x:v>0</x:v>
      </x:c>
      <x:c r="I503" s="2" t="n">
        <x:v>0</x:v>
      </x:c>
      <x:c r="J503" s="2" t="n">
        <x:v>2.5</x:v>
      </x:c>
      <x:c r="K503" s="2" t="n">
        <x:v>20</x:v>
      </x:c>
      <x:c r="L503" s="2" t="str">
        <x:v>R16 szerkezeti terv; anyaghoz illesztett próbafúrás kell</x:v>
      </x:c>
    </x:row>
    <x:row r="504" ht="36" customHeight="1">
      <x:c r="A504" s="2" t="str">
        <x:v>R16H0499</x:v>
      </x:c>
      <x:c r="B504" s="2" t="str">
        <x:v>KI16-D2-L</x:v>
      </x:c>
      <x:c r="C504" s="2" t="str">
        <x:v>FIÓK_ELO_HAT_ATMENO</x:v>
      </x:c>
      <x:c r="D504" s="2" t="n">
        <x:v>203</x:v>
      </x:c>
      <x:c r="E504" s="2" t="n">
        <x:v>282.5</x:v>
      </x:c>
      <x:c r="F504" s="2" t="n">
        <x:v>0</x:v>
      </x:c>
      <x:c r="G504" s="2" t="n">
        <x:v>0</x:v>
      </x:c>
      <x:c r="H504" s="2" t="n">
        <x:v>0</x:v>
      </x:c>
      <x:c r="I504" s="2" t="n">
        <x:v>-1</x:v>
      </x:c>
      <x:c r="J504" s="2" t="n">
        <x:v>4.5</x:v>
      </x:c>
      <x:c r="K504" s="2" t="n">
        <x:v>15</x:v>
      </x:c>
      <x:c r="L504" s="2" t="str">
        <x:v>R16 szerkezeti terv; anyaghoz illesztett próbafúrás kell</x:v>
      </x:c>
    </x:row>
    <x:row r="505" ht="36" customHeight="1">
      <x:c r="A505" s="2" t="str">
        <x:v>R16H0500</x:v>
      </x:c>
      <x:c r="B505" s="2" t="str">
        <x:v>KI16-D2-H</x:v>
      </x:c>
      <x:c r="C505" s="2" t="str">
        <x:v>FIÓK_ELO_HAT_PILOT</x:v>
      </x:c>
      <x:c r="D505" s="2" t="n">
        <x:v>372</x:v>
      </x:c>
      <x:c r="E505" s="2" t="n">
        <x:v>175</x:v>
      </x:c>
      <x:c r="F505" s="2" t="n">
        <x:v>-7.5</x:v>
      </x:c>
      <x:c r="G505" s="2" t="n">
        <x:v>-1</x:v>
      </x:c>
      <x:c r="H505" s="2" t="n">
        <x:v>0</x:v>
      </x:c>
      <x:c r="I505" s="2" t="n">
        <x:v>0</x:v>
      </x:c>
      <x:c r="J505" s="2" t="n">
        <x:v>2.5</x:v>
      </x:c>
      <x:c r="K505" s="2" t="n">
        <x:v>20</x:v>
      </x:c>
      <x:c r="L505" s="2" t="str">
        <x:v>R16 szerkezeti terv; anyaghoz illesztett próbafúrás kell</x:v>
      </x:c>
    </x:row>
    <x:row r="506" ht="36" customHeight="1">
      <x:c r="A506" s="2" t="str">
        <x:v>R16H0501</x:v>
      </x:c>
      <x:c r="B506" s="2" t="str">
        <x:v>KI16-D2-R</x:v>
      </x:c>
      <x:c r="C506" s="2" t="str">
        <x:v>FIÓK_FENEK_ATMENO</x:v>
      </x:c>
      <x:c r="D506" s="2" t="n">
        <x:v>20.5</x:v>
      </x:c>
      <x:c r="E506" s="2" t="n">
        <x:v>50</x:v>
      </x:c>
      <x:c r="F506" s="2" t="n">
        <x:v>-15</x:v>
      </x:c>
      <x:c r="G506" s="2" t="n">
        <x:v>0</x:v>
      </x:c>
      <x:c r="H506" s="2" t="n">
        <x:v>0</x:v>
      </x:c>
      <x:c r="I506" s="2" t="n">
        <x:v>1</x:v>
      </x:c>
      <x:c r="J506" s="2" t="n">
        <x:v>4.5</x:v>
      </x:c>
      <x:c r="K506" s="2" t="n">
        <x:v>15</x:v>
      </x:c>
      <x:c r="L506" s="2" t="str">
        <x:v>R16 szerkezeti terv; anyaghoz illesztett próbafúrás kell</x:v>
      </x:c>
    </x:row>
    <x:row r="507" ht="36" customHeight="1">
      <x:c r="A507" s="2" t="str">
        <x:v>R16H0502</x:v>
      </x:c>
      <x:c r="B507" s="2" t="str">
        <x:v>KI16-D2-B</x:v>
      </x:c>
      <x:c r="C507" s="2" t="str">
        <x:v>FIÓK_FENEK_PILOT</x:v>
      </x:c>
      <x:c r="D507" s="2" t="n">
        <x:v>372</x:v>
      </x:c>
      <x:c r="E507" s="2" t="n">
        <x:v>50</x:v>
      </x:c>
      <x:c r="F507" s="2" t="n">
        <x:v>-7.5</x:v>
      </x:c>
      <x:c r="G507" s="2" t="n">
        <x:v>-1</x:v>
      </x:c>
      <x:c r="H507" s="2" t="n">
        <x:v>0</x:v>
      </x:c>
      <x:c r="I507" s="2" t="n">
        <x:v>0</x:v>
      </x:c>
      <x:c r="J507" s="2" t="n">
        <x:v>2.5</x:v>
      </x:c>
      <x:c r="K507" s="2" t="n">
        <x:v>20</x:v>
      </x:c>
      <x:c r="L507" s="2" t="str">
        <x:v>R16 szerkezeti terv; anyaghoz illesztett próbafúrás kell</x:v>
      </x:c>
    </x:row>
    <x:row r="508" ht="36" customHeight="1">
      <x:c r="A508" s="2" t="str">
        <x:v>R16H0503</x:v>
      </x:c>
      <x:c r="B508" s="2" t="str">
        <x:v>KI16-D2-R</x:v>
      </x:c>
      <x:c r="C508" s="2" t="str">
        <x:v>FIÓK_FENEK_ATMENO</x:v>
      </x:c>
      <x:c r="D508" s="2" t="n">
        <x:v>20.5</x:v>
      </x:c>
      <x:c r="E508" s="2" t="n">
        <x:v>145</x:v>
      </x:c>
      <x:c r="F508" s="2" t="n">
        <x:v>-15</x:v>
      </x:c>
      <x:c r="G508" s="2" t="n">
        <x:v>0</x:v>
      </x:c>
      <x:c r="H508" s="2" t="n">
        <x:v>0</x:v>
      </x:c>
      <x:c r="I508" s="2" t="n">
        <x:v>1</x:v>
      </x:c>
      <x:c r="J508" s="2" t="n">
        <x:v>4.5</x:v>
      </x:c>
      <x:c r="K508" s="2" t="n">
        <x:v>15</x:v>
      </x:c>
      <x:c r="L508" s="2" t="str">
        <x:v>R16 szerkezeti terv; anyaghoz illesztett próbafúrás kell</x:v>
      </x:c>
    </x:row>
    <x:row r="509" ht="36" customHeight="1">
      <x:c r="A509" s="2" t="str">
        <x:v>R16H0504</x:v>
      </x:c>
      <x:c r="B509" s="2" t="str">
        <x:v>KI16-D2-B</x:v>
      </x:c>
      <x:c r="C509" s="2" t="str">
        <x:v>FIÓK_FENEK_PILOT</x:v>
      </x:c>
      <x:c r="D509" s="2" t="n">
        <x:v>372</x:v>
      </x:c>
      <x:c r="E509" s="2" t="n">
        <x:v>145</x:v>
      </x:c>
      <x:c r="F509" s="2" t="n">
        <x:v>-7.5</x:v>
      </x:c>
      <x:c r="G509" s="2" t="n">
        <x:v>-1</x:v>
      </x:c>
      <x:c r="H509" s="2" t="n">
        <x:v>0</x:v>
      </x:c>
      <x:c r="I509" s="2" t="n">
        <x:v>0</x:v>
      </x:c>
      <x:c r="J509" s="2" t="n">
        <x:v>2.5</x:v>
      </x:c>
      <x:c r="K509" s="2" t="n">
        <x:v>20</x:v>
      </x:c>
      <x:c r="L509" s="2" t="str">
        <x:v>R16 szerkezeti terv; anyaghoz illesztett próbafúrás kell</x:v>
      </x:c>
    </x:row>
    <x:row r="510" ht="36" customHeight="1">
      <x:c r="A510" s="2" t="str">
        <x:v>R16H0505</x:v>
      </x:c>
      <x:c r="B510" s="2" t="str">
        <x:v>KI16-D2-R</x:v>
      </x:c>
      <x:c r="C510" s="2" t="str">
        <x:v>FIÓK_FENEK_ATMENO</x:v>
      </x:c>
      <x:c r="D510" s="2" t="n">
        <x:v>20.5</x:v>
      </x:c>
      <x:c r="E510" s="2" t="n">
        <x:v>240</x:v>
      </x:c>
      <x:c r="F510" s="2" t="n">
        <x:v>-15</x:v>
      </x:c>
      <x:c r="G510" s="2" t="n">
        <x:v>0</x:v>
      </x:c>
      <x:c r="H510" s="2" t="n">
        <x:v>0</x:v>
      </x:c>
      <x:c r="I510" s="2" t="n">
        <x:v>1</x:v>
      </x:c>
      <x:c r="J510" s="2" t="n">
        <x:v>4.5</x:v>
      </x:c>
      <x:c r="K510" s="2" t="n">
        <x:v>15</x:v>
      </x:c>
      <x:c r="L510" s="2" t="str">
        <x:v>R16 szerkezeti terv; anyaghoz illesztett próbafúrás kell</x:v>
      </x:c>
    </x:row>
    <x:row r="511" ht="36" customHeight="1">
      <x:c r="A511" s="2" t="str">
        <x:v>R16H0506</x:v>
      </x:c>
      <x:c r="B511" s="2" t="str">
        <x:v>KI16-D2-B</x:v>
      </x:c>
      <x:c r="C511" s="2" t="str">
        <x:v>FIÓK_FENEK_PILOT</x:v>
      </x:c>
      <x:c r="D511" s="2" t="n">
        <x:v>372</x:v>
      </x:c>
      <x:c r="E511" s="2" t="n">
        <x:v>240</x:v>
      </x:c>
      <x:c r="F511" s="2" t="n">
        <x:v>-7.5</x:v>
      </x:c>
      <x:c r="G511" s="2" t="n">
        <x:v>-1</x:v>
      </x:c>
      <x:c r="H511" s="2" t="n">
        <x:v>0</x:v>
      </x:c>
      <x:c r="I511" s="2" t="n">
        <x:v>0</x:v>
      </x:c>
      <x:c r="J511" s="2" t="n">
        <x:v>2.5</x:v>
      </x:c>
      <x:c r="K511" s="2" t="n">
        <x:v>20</x:v>
      </x:c>
      <x:c r="L511" s="2" t="str">
        <x:v>R16 szerkezeti terv; anyaghoz illesztett próbafúrás kell</x:v>
      </x:c>
    </x:row>
    <x:row r="512" ht="36" customHeight="1">
      <x:c r="A512" s="2" t="str">
        <x:v>R16H0507</x:v>
      </x:c>
      <x:c r="B512" s="2" t="str">
        <x:v>KI16-D2-R</x:v>
      </x:c>
      <x:c r="C512" s="2" t="str">
        <x:v>FIÓK_ELO_HAT_ATMENO</x:v>
      </x:c>
      <x:c r="D512" s="2" t="n">
        <x:v>73</x:v>
      </x:c>
      <x:c r="E512" s="2" t="n">
        <x:v>7.5</x:v>
      </x:c>
      <x:c r="F512" s="2" t="n">
        <x:v>-15</x:v>
      </x:c>
      <x:c r="G512" s="2" t="n">
        <x:v>0</x:v>
      </x:c>
      <x:c r="H512" s="2" t="n">
        <x:v>0</x:v>
      </x:c>
      <x:c r="I512" s="2" t="n">
        <x:v>1</x:v>
      </x:c>
      <x:c r="J512" s="2" t="n">
        <x:v>4.5</x:v>
      </x:c>
      <x:c r="K512" s="2" t="n">
        <x:v>15</x:v>
      </x:c>
      <x:c r="L512" s="2" t="str">
        <x:v>R16 szerkezeti terv; anyaghoz illesztett próbafúrás kell</x:v>
      </x:c>
    </x:row>
    <x:row r="513" ht="36" customHeight="1">
      <x:c r="A513" s="2" t="str">
        <x:v>R16H0508</x:v>
      </x:c>
      <x:c r="B513" s="2" t="str">
        <x:v>KI16-D2-F</x:v>
      </x:c>
      <x:c r="C513" s="2" t="str">
        <x:v>FIÓK_ELO_HAT_PILOT</x:v>
      </x:c>
      <x:c r="D513" s="2" t="n">
        <x:v>0</x:v>
      </x:c>
      <x:c r="E513" s="2" t="n">
        <x:v>45</x:v>
      </x:c>
      <x:c r="F513" s="2" t="n">
        <x:v>-7.5</x:v>
      </x:c>
      <x:c r="G513" s="2" t="n">
        <x:v>1</x:v>
      </x:c>
      <x:c r="H513" s="2" t="n">
        <x:v>0</x:v>
      </x:c>
      <x:c r="I513" s="2" t="n">
        <x:v>0</x:v>
      </x:c>
      <x:c r="J513" s="2" t="n">
        <x:v>2.5</x:v>
      </x:c>
      <x:c r="K513" s="2" t="n">
        <x:v>20</x:v>
      </x:c>
      <x:c r="L513" s="2" t="str">
        <x:v>R16 szerkezeti terv; anyaghoz illesztett próbafúrás kell</x:v>
      </x:c>
    </x:row>
    <x:row r="514" ht="36" customHeight="1">
      <x:c r="A514" s="2" t="str">
        <x:v>R16H0509</x:v>
      </x:c>
      <x:c r="B514" s="2" t="str">
        <x:v>KI16-D2-R</x:v>
      </x:c>
      <x:c r="C514" s="2" t="str">
        <x:v>FIÓK_ELO_HAT_ATMENO</x:v>
      </x:c>
      <x:c r="D514" s="2" t="n">
        <x:v>203</x:v>
      </x:c>
      <x:c r="E514" s="2" t="n">
        <x:v>7.5</x:v>
      </x:c>
      <x:c r="F514" s="2" t="n">
        <x:v>-15</x:v>
      </x:c>
      <x:c r="G514" s="2" t="n">
        <x:v>0</x:v>
      </x:c>
      <x:c r="H514" s="2" t="n">
        <x:v>0</x:v>
      </x:c>
      <x:c r="I514" s="2" t="n">
        <x:v>1</x:v>
      </x:c>
      <x:c r="J514" s="2" t="n">
        <x:v>4.5</x:v>
      </x:c>
      <x:c r="K514" s="2" t="n">
        <x:v>15</x:v>
      </x:c>
      <x:c r="L514" s="2" t="str">
        <x:v>R16 szerkezeti terv; anyaghoz illesztett próbafúrás kell</x:v>
      </x:c>
    </x:row>
    <x:row r="515" ht="36" customHeight="1">
      <x:c r="A515" s="2" t="str">
        <x:v>R16H0510</x:v>
      </x:c>
      <x:c r="B515" s="2" t="str">
        <x:v>KI16-D2-F</x:v>
      </x:c>
      <x:c r="C515" s="2" t="str">
        <x:v>FIÓK_ELO_HAT_PILOT</x:v>
      </x:c>
      <x:c r="D515" s="2" t="n">
        <x:v>0</x:v>
      </x:c>
      <x:c r="E515" s="2" t="n">
        <x:v>175</x:v>
      </x:c>
      <x:c r="F515" s="2" t="n">
        <x:v>-7.5</x:v>
      </x:c>
      <x:c r="G515" s="2" t="n">
        <x:v>1</x:v>
      </x:c>
      <x:c r="H515" s="2" t="n">
        <x:v>0</x:v>
      </x:c>
      <x:c r="I515" s="2" t="n">
        <x:v>0</x:v>
      </x:c>
      <x:c r="J515" s="2" t="n">
        <x:v>2.5</x:v>
      </x:c>
      <x:c r="K515" s="2" t="n">
        <x:v>20</x:v>
      </x:c>
      <x:c r="L515" s="2" t="str">
        <x:v>R16 szerkezeti terv; anyaghoz illesztett próbafúrás kell</x:v>
      </x:c>
    </x:row>
    <x:row r="516" ht="36" customHeight="1">
      <x:c r="A516" s="2" t="str">
        <x:v>R16H0511</x:v>
      </x:c>
      <x:c r="B516" s="2" t="str">
        <x:v>KI16-D2-R</x:v>
      </x:c>
      <x:c r="C516" s="2" t="str">
        <x:v>FIÓK_ELO_HAT_ATMENO</x:v>
      </x:c>
      <x:c r="D516" s="2" t="n">
        <x:v>73</x:v>
      </x:c>
      <x:c r="E516" s="2" t="n">
        <x:v>282.5</x:v>
      </x:c>
      <x:c r="F516" s="2" t="n">
        <x:v>-15</x:v>
      </x:c>
      <x:c r="G516" s="2" t="n">
        <x:v>0</x:v>
      </x:c>
      <x:c r="H516" s="2" t="n">
        <x:v>0</x:v>
      </x:c>
      <x:c r="I516" s="2" t="n">
        <x:v>1</x:v>
      </x:c>
      <x:c r="J516" s="2" t="n">
        <x:v>4.5</x:v>
      </x:c>
      <x:c r="K516" s="2" t="n">
        <x:v>15</x:v>
      </x:c>
      <x:c r="L516" s="2" t="str">
        <x:v>R16 szerkezeti terv; anyaghoz illesztett próbafúrás kell</x:v>
      </x:c>
    </x:row>
    <x:row r="517" ht="36" customHeight="1">
      <x:c r="A517" s="2" t="str">
        <x:v>R16H0512</x:v>
      </x:c>
      <x:c r="B517" s="2" t="str">
        <x:v>KI16-D2-H</x:v>
      </x:c>
      <x:c r="C517" s="2" t="str">
        <x:v>FIÓK_ELO_HAT_PILOT</x:v>
      </x:c>
      <x:c r="D517" s="2" t="n">
        <x:v>0</x:v>
      </x:c>
      <x:c r="E517" s="2" t="n">
        <x:v>45</x:v>
      </x:c>
      <x:c r="F517" s="2" t="n">
        <x:v>-7.5</x:v>
      </x:c>
      <x:c r="G517" s="2" t="n">
        <x:v>1</x:v>
      </x:c>
      <x:c r="H517" s="2" t="n">
        <x:v>0</x:v>
      </x:c>
      <x:c r="I517" s="2" t="n">
        <x:v>0</x:v>
      </x:c>
      <x:c r="J517" s="2" t="n">
        <x:v>2.5</x:v>
      </x:c>
      <x:c r="K517" s="2" t="n">
        <x:v>20</x:v>
      </x:c>
      <x:c r="L517" s="2" t="str">
        <x:v>R16 szerkezeti terv; anyaghoz illesztett próbafúrás kell</x:v>
      </x:c>
    </x:row>
    <x:row r="518" ht="36" customHeight="1">
      <x:c r="A518" s="2" t="str">
        <x:v>R16H0513</x:v>
      </x:c>
      <x:c r="B518" s="2" t="str">
        <x:v>KI16-D2-R</x:v>
      </x:c>
      <x:c r="C518" s="2" t="str">
        <x:v>FIÓK_ELO_HAT_ATMENO</x:v>
      </x:c>
      <x:c r="D518" s="2" t="n">
        <x:v>203</x:v>
      </x:c>
      <x:c r="E518" s="2" t="n">
        <x:v>282.5</x:v>
      </x:c>
      <x:c r="F518" s="2" t="n">
        <x:v>-15</x:v>
      </x:c>
      <x:c r="G518" s="2" t="n">
        <x:v>0</x:v>
      </x:c>
      <x:c r="H518" s="2" t="n">
        <x:v>0</x:v>
      </x:c>
      <x:c r="I518" s="2" t="n">
        <x:v>1</x:v>
      </x:c>
      <x:c r="J518" s="2" t="n">
        <x:v>4.5</x:v>
      </x:c>
      <x:c r="K518" s="2" t="n">
        <x:v>15</x:v>
      </x:c>
      <x:c r="L518" s="2" t="str">
        <x:v>R16 szerkezeti terv; anyaghoz illesztett próbafúrás kell</x:v>
      </x:c>
    </x:row>
    <x:row r="519" ht="36" customHeight="1">
      <x:c r="A519" s="2" t="str">
        <x:v>R16H0514</x:v>
      </x:c>
      <x:c r="B519" s="2" t="str">
        <x:v>KI16-D2-H</x:v>
      </x:c>
      <x:c r="C519" s="2" t="str">
        <x:v>FIÓK_ELO_HAT_PILOT</x:v>
      </x:c>
      <x:c r="D519" s="2" t="n">
        <x:v>0</x:v>
      </x:c>
      <x:c r="E519" s="2" t="n">
        <x:v>175</x:v>
      </x:c>
      <x:c r="F519" s="2" t="n">
        <x:v>-7.5</x:v>
      </x:c>
      <x:c r="G519" s="2" t="n">
        <x:v>1</x:v>
      </x:c>
      <x:c r="H519" s="2" t="n">
        <x:v>0</x:v>
      </x:c>
      <x:c r="I519" s="2" t="n">
        <x:v>0</x:v>
      </x:c>
      <x:c r="J519" s="2" t="n">
        <x:v>2.5</x:v>
      </x:c>
      <x:c r="K519" s="2" t="n">
        <x:v>20</x:v>
      </x:c>
      <x:c r="L519" s="2" t="str">
        <x:v>R16 szerkezeti terv; anyaghoz illesztett próbafúrás kell</x:v>
      </x:c>
    </x:row>
    <x:row r="520" ht="36" customHeight="1">
      <x:c r="A520" s="2" t="str">
        <x:v>R16H0515</x:v>
      </x:c>
      <x:c r="B520" s="2" t="str">
        <x:v>KI16-D2-F</x:v>
      </x:c>
      <x:c r="C520" s="2" t="str">
        <x:v>FRONT_ROGZITES_ATMENO</x:v>
      </x:c>
      <x:c r="D520" s="2" t="n">
        <x:v>311</x:v>
      </x:c>
      <x:c r="E520" s="2" t="n">
        <x:v>45</x:v>
      </x:c>
      <x:c r="F520" s="2" t="n">
        <x:v>0</x:v>
      </x:c>
      <x:c r="G520" s="2" t="n">
        <x:v>0</x:v>
      </x:c>
      <x:c r="H520" s="2" t="n">
        <x:v>0</x:v>
      </x:c>
      <x:c r="I520" s="2" t="n">
        <x:v>-1</x:v>
      </x:c>
      <x:c r="J520" s="2" t="n">
        <x:v>5</x:v>
      </x:c>
      <x:c r="K520" s="2" t="n">
        <x:v>15</x:v>
      </x:c>
      <x:c r="L520" s="2" t="str">
        <x:v>R16 szerkezeti terv; anyaghoz illesztett próbafúrás kell</x:v>
      </x:c>
    </x:row>
    <x:row r="521" ht="36" customHeight="1">
      <x:c r="A521" s="2" t="str">
        <x:v>R16H0516</x:v>
      </x:c>
      <x:c r="B521" s="2" t="str">
        <x:v>KI12-TV02F2-01</x:v>
      </x:c>
      <x:c r="C521" s="2" t="str">
        <x:v>FRONT_ROGZITES_PILOT</x:v>
      </x:c>
      <x:c r="D521" s="2" t="n">
        <x:v>348.5</x:v>
      </x:c>
      <x:c r="E521" s="2" t="n">
        <x:v>118.5</x:v>
      </x:c>
      <x:c r="F521" s="2" t="n">
        <x:v>0</x:v>
      </x:c>
      <x:c r="G521" s="2" t="n">
        <x:v>0</x:v>
      </x:c>
      <x:c r="H521" s="2" t="n">
        <x:v>0</x:v>
      </x:c>
      <x:c r="I521" s="2" t="n">
        <x:v>-1</x:v>
      </x:c>
      <x:c r="J521" s="2" t="n">
        <x:v>2.5</x:v>
      </x:c>
      <x:c r="K521" s="2" t="n">
        <x:v>12</x:v>
      </x:c>
      <x:c r="L521" s="2" t="str">
        <x:v>R16 szerkezeti terv; anyaghoz illesztett próbafúrás kell</x:v>
      </x:c>
    </x:row>
    <x:row r="522" ht="36" customHeight="1">
      <x:c r="A522" s="2" t="str">
        <x:v>R16H0517</x:v>
      </x:c>
      <x:c r="B522" s="2" t="str">
        <x:v>KI16-D2-F</x:v>
      </x:c>
      <x:c r="C522" s="2" t="str">
        <x:v>FRONT_ROGZITES_ATMENO</x:v>
      </x:c>
      <x:c r="D522" s="2" t="n">
        <x:v>311</x:v>
      </x:c>
      <x:c r="E522" s="2" t="n">
        <x:v>175</x:v>
      </x:c>
      <x:c r="F522" s="2" t="n">
        <x:v>0</x:v>
      </x:c>
      <x:c r="G522" s="2" t="n">
        <x:v>0</x:v>
      </x:c>
      <x:c r="H522" s="2" t="n">
        <x:v>0</x:v>
      </x:c>
      <x:c r="I522" s="2" t="n">
        <x:v>-1</x:v>
      </x:c>
      <x:c r="J522" s="2" t="n">
        <x:v>5</x:v>
      </x:c>
      <x:c r="K522" s="2" t="n">
        <x:v>15</x:v>
      </x:c>
      <x:c r="L522" s="2" t="str">
        <x:v>R16 szerkezeti terv; anyaghoz illesztett próbafúrás kell</x:v>
      </x:c>
    </x:row>
    <x:row r="523" ht="36" customHeight="1">
      <x:c r="A523" s="2" t="str">
        <x:v>R16H0518</x:v>
      </x:c>
      <x:c r="B523" s="2" t="str">
        <x:v>KI12-TV02F2-01</x:v>
      </x:c>
      <x:c r="C523" s="2" t="str">
        <x:v>FRONT_ROGZITES_PILOT</x:v>
      </x:c>
      <x:c r="D523" s="2" t="n">
        <x:v>348.5</x:v>
      </x:c>
      <x:c r="E523" s="2" t="n">
        <x:v>248.5</x:v>
      </x:c>
      <x:c r="F523" s="2" t="n">
        <x:v>0</x:v>
      </x:c>
      <x:c r="G523" s="2" t="n">
        <x:v>0</x:v>
      </x:c>
      <x:c r="H523" s="2" t="n">
        <x:v>0</x:v>
      </x:c>
      <x:c r="I523" s="2" t="n">
        <x:v>-1</x:v>
      </x:c>
      <x:c r="J523" s="2" t="n">
        <x:v>2.5</x:v>
      </x:c>
      <x:c r="K523" s="2" t="n">
        <x:v>12</x:v>
      </x:c>
      <x:c r="L523" s="2" t="str">
        <x:v>R16 szerkezeti terv; anyaghoz illesztett próbafúrás kell</x:v>
      </x:c>
    </x:row>
    <x:row r="524" ht="36" customHeight="1">
      <x:c r="A524" s="2" t="str">
        <x:v>R16H0519</x:v>
      </x:c>
      <x:c r="B524" s="2" t="str">
        <x:v>KI16-D2-F</x:v>
      </x:c>
      <x:c r="C524" s="2" t="str">
        <x:v>FRONT_ROGZITES_ATMENO</x:v>
      </x:c>
      <x:c r="D524" s="2" t="n">
        <x:v>61</x:v>
      </x:c>
      <x:c r="E524" s="2" t="n">
        <x:v>45</x:v>
      </x:c>
      <x:c r="F524" s="2" t="n">
        <x:v>0</x:v>
      </x:c>
      <x:c r="G524" s="2" t="n">
        <x:v>0</x:v>
      </x:c>
      <x:c r="H524" s="2" t="n">
        <x:v>0</x:v>
      </x:c>
      <x:c r="I524" s="2" t="n">
        <x:v>-1</x:v>
      </x:c>
      <x:c r="J524" s="2" t="n">
        <x:v>5</x:v>
      </x:c>
      <x:c r="K524" s="2" t="n">
        <x:v>15</x:v>
      </x:c>
      <x:c r="L524" s="2" t="str">
        <x:v>R16 szerkezeti terv; anyaghoz illesztett próbafúrás kell</x:v>
      </x:c>
    </x:row>
    <x:row r="525" ht="36" customHeight="1">
      <x:c r="A525" s="2" t="str">
        <x:v>R16H0520</x:v>
      </x:c>
      <x:c r="B525" s="2" t="str">
        <x:v>KI12-TV02F2-01</x:v>
      </x:c>
      <x:c r="C525" s="2" t="str">
        <x:v>FRONT_ROGZITES_PILOT</x:v>
      </x:c>
      <x:c r="D525" s="2" t="n">
        <x:v>98.5</x:v>
      </x:c>
      <x:c r="E525" s="2" t="n">
        <x:v>118.5</x:v>
      </x:c>
      <x:c r="F525" s="2" t="n">
        <x:v>0</x:v>
      </x:c>
      <x:c r="G525" s="2" t="n">
        <x:v>0</x:v>
      </x:c>
      <x:c r="H525" s="2" t="n">
        <x:v>0</x:v>
      </x:c>
      <x:c r="I525" s="2" t="n">
        <x:v>-1</x:v>
      </x:c>
      <x:c r="J525" s="2" t="n">
        <x:v>2.5</x:v>
      </x:c>
      <x:c r="K525" s="2" t="n">
        <x:v>12</x:v>
      </x:c>
      <x:c r="L525" s="2" t="str">
        <x:v>R16 szerkezeti terv; anyaghoz illesztett próbafúrás kell</x:v>
      </x:c>
    </x:row>
    <x:row r="526" ht="36" customHeight="1">
      <x:c r="A526" s="2" t="str">
        <x:v>R16H0521</x:v>
      </x:c>
      <x:c r="B526" s="2" t="str">
        <x:v>KI16-D2-F</x:v>
      </x:c>
      <x:c r="C526" s="2" t="str">
        <x:v>FRONT_ROGZITES_ATMENO</x:v>
      </x:c>
      <x:c r="D526" s="2" t="n">
        <x:v>61</x:v>
      </x:c>
      <x:c r="E526" s="2" t="n">
        <x:v>175</x:v>
      </x:c>
      <x:c r="F526" s="2" t="n">
        <x:v>0</x:v>
      </x:c>
      <x:c r="G526" s="2" t="n">
        <x:v>0</x:v>
      </x:c>
      <x:c r="H526" s="2" t="n">
        <x:v>0</x:v>
      </x:c>
      <x:c r="I526" s="2" t="n">
        <x:v>-1</x:v>
      </x:c>
      <x:c r="J526" s="2" t="n">
        <x:v>5</x:v>
      </x:c>
      <x:c r="K526" s="2" t="n">
        <x:v>15</x:v>
      </x:c>
      <x:c r="L526" s="2" t="str">
        <x:v>R16 szerkezeti terv; anyaghoz illesztett próbafúrás kell</x:v>
      </x:c>
    </x:row>
    <x:row r="527" ht="36" customHeight="1">
      <x:c r="A527" s="2" t="str">
        <x:v>R16H0522</x:v>
      </x:c>
      <x:c r="B527" s="2" t="str">
        <x:v>KI12-TV02F2-01</x:v>
      </x:c>
      <x:c r="C527" s="2" t="str">
        <x:v>FRONT_ROGZITES_PILOT</x:v>
      </x:c>
      <x:c r="D527" s="2" t="n">
        <x:v>98.5</x:v>
      </x:c>
      <x:c r="E527" s="2" t="n">
        <x:v>248.5</x:v>
      </x:c>
      <x:c r="F527" s="2" t="n">
        <x:v>0</x:v>
      </x:c>
      <x:c r="G527" s="2" t="n">
        <x:v>0</x:v>
      </x:c>
      <x:c r="H527" s="2" t="n">
        <x:v>0</x:v>
      </x:c>
      <x:c r="I527" s="2" t="n">
        <x:v>-1</x:v>
      </x:c>
      <x:c r="J527" s="2" t="n">
        <x:v>2.5</x:v>
      </x:c>
      <x:c r="K527" s="2" t="n">
        <x:v>12</x:v>
      </x:c>
      <x:c r="L527" s="2" t="str">
        <x:v>R16 szerkezeti terv; anyaghoz illesztett próbafúrás kell</x:v>
      </x:c>
    </x:row>
    <x:row r="528" ht="36" customHeight="1">
      <x:c r="A528" s="2" t="str">
        <x:v>R16H0523</x:v>
      </x:c>
      <x:c r="B528" s="2" t="str">
        <x:v>KI12-TV02S-05</x:v>
      </x:c>
      <x:c r="C528" s="2" t="str">
        <x:v>CSAP J23</x:v>
      </x:c>
      <x:c r="D528" s="2" t="n">
        <x:v>9</x:v>
      </x:c>
      <x:c r="E528" s="2" t="n">
        <x:v>50</x:v>
      </x:c>
      <x:c r="F528" s="2" t="n">
        <x:v>-18</x:v>
      </x:c>
      <x:c r="G528" s="2" t="n">
        <x:v>0</x:v>
      </x:c>
      <x:c r="H528" s="2" t="n">
        <x:v>0</x:v>
      </x:c>
      <x:c r="I528" s="2" t="n">
        <x:v>1</x:v>
      </x:c>
      <x:c r="J528" s="2" t="n">
        <x:v>8</x:v>
      </x:c>
      <x:c r="K528" s="2" t="n">
        <x:v>12</x:v>
      </x:c>
      <x:c r="L528" s="2" t="str">
        <x:v>R12 J01-J26 / 8x30, 12+22</x:v>
      </x:c>
    </x:row>
    <x:row r="529" ht="36" customHeight="1">
      <x:c r="A529" s="2" t="str">
        <x:v>R16H0524</x:v>
      </x:c>
      <x:c r="B529" s="2" t="str">
        <x:v>KI12-TV02S-05</x:v>
      </x:c>
      <x:c r="C529" s="2" t="str">
        <x:v>CSAP J23</x:v>
      </x:c>
      <x:c r="D529" s="2" t="n">
        <x:v>9</x:v>
      </x:c>
      <x:c r="E529" s="2" t="n">
        <x:v>191</x:v>
      </x:c>
      <x:c r="F529" s="2" t="n">
        <x:v>-18</x:v>
      </x:c>
      <x:c r="G529" s="2" t="n">
        <x:v>0</x:v>
      </x:c>
      <x:c r="H529" s="2" t="n">
        <x:v>0</x:v>
      </x:c>
      <x:c r="I529" s="2" t="n">
        <x:v>1</x:v>
      </x:c>
      <x:c r="J529" s="2" t="n">
        <x:v>8</x:v>
      </x:c>
      <x:c r="K529" s="2" t="n">
        <x:v>12</x:v>
      </x:c>
      <x:c r="L529" s="2" t="str">
        <x:v>R12 J01-J26 / 8x30, 12+22</x:v>
      </x:c>
    </x:row>
    <x:row r="530" ht="36" customHeight="1">
      <x:c r="A530" s="2" t="str">
        <x:v>R16H0525</x:v>
      </x:c>
      <x:c r="B530" s="2" t="str">
        <x:v>KI12-TV02S-05</x:v>
      </x:c>
      <x:c r="C530" s="2" t="str">
        <x:v>CSAP J23</x:v>
      </x:c>
      <x:c r="D530" s="2" t="n">
        <x:v>9</x:v>
      </x:c>
      <x:c r="E530" s="2" t="n">
        <x:v>332</x:v>
      </x:c>
      <x:c r="F530" s="2" t="n">
        <x:v>-18</x:v>
      </x:c>
      <x:c r="G530" s="2" t="n">
        <x:v>0</x:v>
      </x:c>
      <x:c r="H530" s="2" t="n">
        <x:v>0</x:v>
      </x:c>
      <x:c r="I530" s="2" t="n">
        <x:v>1</x:v>
      </x:c>
      <x:c r="J530" s="2" t="n">
        <x:v>8</x:v>
      </x:c>
      <x:c r="K530" s="2" t="n">
        <x:v>12</x:v>
      </x:c>
      <x:c r="L530" s="2" t="str">
        <x:v>R12 J01-J26 / 8x30, 12+22</x:v>
      </x:c>
    </x:row>
    <x:row r="531" ht="36" customHeight="1">
      <x:c r="A531" s="2" t="str">
        <x:v>R16H0526</x:v>
      </x:c>
      <x:c r="B531" s="2" t="str">
        <x:v>KI12-TV02S-05</x:v>
      </x:c>
      <x:c r="C531" s="2" t="str">
        <x:v>CSAP J24</x:v>
      </x:c>
      <x:c r="D531" s="2" t="n">
        <x:v>382</x:v>
      </x:c>
      <x:c r="E531" s="2" t="n">
        <x:v>50</x:v>
      </x:c>
      <x:c r="F531" s="2" t="n">
        <x:v>-9</x:v>
      </x:c>
      <x:c r="G531" s="2" t="n">
        <x:v>-1</x:v>
      </x:c>
      <x:c r="H531" s="2" t="n">
        <x:v>0</x:v>
      </x:c>
      <x:c r="I531" s="2" t="n">
        <x:v>0</x:v>
      </x:c>
      <x:c r="J531" s="2" t="n">
        <x:v>8</x:v>
      </x:c>
      <x:c r="K531" s="2" t="n">
        <x:v>22</x:v>
      </x:c>
      <x:c r="L531" s="2" t="str">
        <x:v>R12 J01-J26 / 8x30, 12+22</x:v>
      </x:c>
    </x:row>
    <x:row r="532" ht="36" customHeight="1">
      <x:c r="A532" s="2" t="str">
        <x:v>R16H0527</x:v>
      </x:c>
      <x:c r="B532" s="2" t="str">
        <x:v>KI12-TV02S-05</x:v>
      </x:c>
      <x:c r="C532" s="2" t="str">
        <x:v>CSAP J24</x:v>
      </x:c>
      <x:c r="D532" s="2" t="n">
        <x:v>382</x:v>
      </x:c>
      <x:c r="E532" s="2" t="n">
        <x:v>191</x:v>
      </x:c>
      <x:c r="F532" s="2" t="n">
        <x:v>-9</x:v>
      </x:c>
      <x:c r="G532" s="2" t="n">
        <x:v>-1</x:v>
      </x:c>
      <x:c r="H532" s="2" t="n">
        <x:v>0</x:v>
      </x:c>
      <x:c r="I532" s="2" t="n">
        <x:v>0</x:v>
      </x:c>
      <x:c r="J532" s="2" t="n">
        <x:v>8</x:v>
      </x:c>
      <x:c r="K532" s="2" t="n">
        <x:v>22</x:v>
      </x:c>
      <x:c r="L532" s="2" t="str">
        <x:v>R12 J01-J26 / 8x30, 12+22</x:v>
      </x:c>
    </x:row>
    <x:row r="533" ht="36" customHeight="1">
      <x:c r="A533" s="2" t="str">
        <x:v>R16H0528</x:v>
      </x:c>
      <x:c r="B533" s="2" t="str">
        <x:v>KI12-TV02S-05</x:v>
      </x:c>
      <x:c r="C533" s="2" t="str">
        <x:v>CSAP J24</x:v>
      </x:c>
      <x:c r="D533" s="2" t="n">
        <x:v>382</x:v>
      </x:c>
      <x:c r="E533" s="2" t="n">
        <x:v>332</x:v>
      </x:c>
      <x:c r="F533" s="2" t="n">
        <x:v>-9</x:v>
      </x:c>
      <x:c r="G533" s="2" t="n">
        <x:v>-1</x:v>
      </x:c>
      <x:c r="H533" s="2" t="n">
        <x:v>0</x:v>
      </x:c>
      <x:c r="I533" s="2" t="n">
        <x:v>0</x:v>
      </x:c>
      <x:c r="J533" s="2" t="n">
        <x:v>8</x:v>
      </x:c>
      <x:c r="K533" s="2" t="n">
        <x:v>22</x:v>
      </x:c>
      <x:c r="L533" s="2" t="str">
        <x:v>R12 J01-J26 / 8x30, 12+22</x:v>
      </x:c>
    </x:row>
    <x:row r="534" ht="36" customHeight="1">
      <x:c r="A534" s="2" t="str">
        <x:v>R16H0529</x:v>
      </x:c>
      <x:c r="B534" s="2" t="str">
        <x:v>KI12-TV02S-05</x:v>
      </x:c>
      <x:c r="C534" s="2" t="str">
        <x:v>LEC_OLDAL / R14-J077</x:v>
      </x:c>
      <x:c r="D534" s="2" t="n">
        <x:v>60</x:v>
      </x:c>
      <x:c r="E534" s="2" t="n">
        <x:v>345</x:v>
      </x:c>
      <x:c r="F534" s="2" t="n">
        <x:v>-18</x:v>
      </x:c>
      <x:c r="G534" s="2" t="n">
        <x:v>0</x:v>
      </x:c>
      <x:c r="H534" s="2" t="n">
        <x:v>0</x:v>
      </x:c>
      <x:c r="I534" s="2" t="n">
        <x:v>1</x:v>
      </x:c>
      <x:c r="J534" s="2" t="n">
        <x:v>2.5</x:v>
      </x:c>
      <x:c r="K534" s="2" t="n">
        <x:v>12</x:v>
      </x:c>
      <x:c r="L534" s="2" t="str">
        <x:v>R14 tervezői kiosztás; tényleges laphoz és csavarhoz próbafúrás</x:v>
      </x:c>
    </x:row>
    <x:row r="535" ht="36" customHeight="1">
      <x:c r="A535" s="2" t="str">
        <x:v>R16H0530</x:v>
      </x:c>
      <x:c r="B535" s="2" t="str">
        <x:v>KI12-TV02S-05</x:v>
      </x:c>
      <x:c r="C535" s="2" t="str">
        <x:v>LEC_OLDAL / R14-J079</x:v>
      </x:c>
      <x:c r="D535" s="2" t="n">
        <x:v>140</x:v>
      </x:c>
      <x:c r="E535" s="2" t="n">
        <x:v>345</x:v>
      </x:c>
      <x:c r="F535" s="2" t="n">
        <x:v>-18</x:v>
      </x:c>
      <x:c r="G535" s="2" t="n">
        <x:v>0</x:v>
      </x:c>
      <x:c r="H535" s="2" t="n">
        <x:v>0</x:v>
      </x:c>
      <x:c r="I535" s="2" t="n">
        <x:v>1</x:v>
      </x:c>
      <x:c r="J535" s="2" t="n">
        <x:v>2.5</x:v>
      </x:c>
      <x:c r="K535" s="2" t="n">
        <x:v>12</x:v>
      </x:c>
      <x:c r="L535" s="2" t="str">
        <x:v>R14 tervezői kiosztás; tényleges laphoz és csavarhoz próbafúrás</x:v>
      </x:c>
    </x:row>
    <x:row r="536" ht="36" customHeight="1">
      <x:c r="A536" s="2" t="str">
        <x:v>R16H0531</x:v>
      </x:c>
      <x:c r="B536" s="2" t="str">
        <x:v>KI12-TV02S-05</x:v>
      </x:c>
      <x:c r="C536" s="2" t="str">
        <x:v>LEC_OLDAL / R14-J081</x:v>
      </x:c>
      <x:c r="D536" s="2" t="n">
        <x:v>220</x:v>
      </x:c>
      <x:c r="E536" s="2" t="n">
        <x:v>345</x:v>
      </x:c>
      <x:c r="F536" s="2" t="n">
        <x:v>-18</x:v>
      </x:c>
      <x:c r="G536" s="2" t="n">
        <x:v>0</x:v>
      </x:c>
      <x:c r="H536" s="2" t="n">
        <x:v>0</x:v>
      </x:c>
      <x:c r="I536" s="2" t="n">
        <x:v>1</x:v>
      </x:c>
      <x:c r="J536" s="2" t="n">
        <x:v>2.5</x:v>
      </x:c>
      <x:c r="K536" s="2" t="n">
        <x:v>12</x:v>
      </x:c>
      <x:c r="L536" s="2" t="str">
        <x:v>R14 tervezői kiosztás; tényleges laphoz és csavarhoz próbafúrás</x:v>
      </x:c>
    </x:row>
    <x:row r="537" ht="36" customHeight="1">
      <x:c r="A537" s="2" t="str">
        <x:v>R16H0532</x:v>
      </x:c>
      <x:c r="B537" s="2" t="str">
        <x:v>KI12-TV02S-05</x:v>
      </x:c>
      <x:c r="C537" s="2" t="str">
        <x:v>MEREVITO_CSAP / R14-J121</x:v>
      </x:c>
      <x:c r="D537" s="2" t="n">
        <x:v>170</x:v>
      </x:c>
      <x:c r="E537" s="2" t="n">
        <x:v>327</x:v>
      </x:c>
      <x:c r="F537" s="2" t="n">
        <x:v>-18</x:v>
      </x:c>
      <x:c r="G537" s="2" t="n">
        <x:v>0</x:v>
      </x:c>
      <x:c r="H537" s="2" t="n">
        <x:v>0</x:v>
      </x:c>
      <x:c r="I537" s="2" t="n">
        <x:v>1</x:v>
      </x:c>
      <x:c r="J537" s="2" t="n">
        <x:v>8</x:v>
      </x:c>
      <x:c r="K537" s="2" t="n">
        <x:v>12</x:v>
      </x:c>
      <x:c r="L537" s="2" t="str">
        <x:v>R14 Ø8x30 bükk csap, 22+12 mélység; középosztón 10 mm eltolt tengely</x:v>
      </x:c>
    </x:row>
    <x:row r="538" ht="36" customHeight="1">
      <x:c r="A538" s="2" t="str">
        <x:v>R16H0533</x:v>
      </x:c>
      <x:c r="B538" s="2" t="str">
        <x:v>KI12-TV02S-05</x:v>
      </x:c>
      <x:c r="C538" s="2" t="str">
        <x:v>MEREVITO_CSAP / R14-J122</x:v>
      </x:c>
      <x:c r="D538" s="2" t="n">
        <x:v>200</x:v>
      </x:c>
      <x:c r="E538" s="2" t="n">
        <x:v>327</x:v>
      </x:c>
      <x:c r="F538" s="2" t="n">
        <x:v>-18</x:v>
      </x:c>
      <x:c r="G538" s="2" t="n">
        <x:v>0</x:v>
      </x:c>
      <x:c r="H538" s="2" t="n">
        <x:v>0</x:v>
      </x:c>
      <x:c r="I538" s="2" t="n">
        <x:v>1</x:v>
      </x:c>
      <x:c r="J538" s="2" t="n">
        <x:v>8</x:v>
      </x:c>
      <x:c r="K538" s="2" t="n">
        <x:v>12</x:v>
      </x:c>
      <x:c r="L538" s="2" t="str">
        <x:v>R14 Ø8x30 bükk csap, 22+12 mélység; középosztón 10 mm eltolt tengely</x:v>
      </x:c>
    </x:row>
    <x:row r="539" ht="36" customHeight="1">
      <x:c r="A539" s="2" t="str">
        <x:v>R16H0534</x:v>
      </x:c>
      <x:c r="B539" s="2" t="str">
        <x:v>KI12-TV02S-05</x:v>
      </x:c>
      <x:c r="C539" s="2" t="str">
        <x:v>MEREVITO_CSAP / R14-J123</x:v>
      </x:c>
      <x:c r="D539" s="2" t="n">
        <x:v>230</x:v>
      </x:c>
      <x:c r="E539" s="2" t="n">
        <x:v>327</x:v>
      </x:c>
      <x:c r="F539" s="2" t="n">
        <x:v>-18</x:v>
      </x:c>
      <x:c r="G539" s="2" t="n">
        <x:v>0</x:v>
      </x:c>
      <x:c r="H539" s="2" t="n">
        <x:v>0</x:v>
      </x:c>
      <x:c r="I539" s="2" t="n">
        <x:v>1</x:v>
      </x:c>
      <x:c r="J539" s="2" t="n">
        <x:v>8</x:v>
      </x:c>
      <x:c r="K539" s="2" t="n">
        <x:v>12</x:v>
      </x:c>
      <x:c r="L539" s="2" t="str">
        <x:v>R14 Ø8x30 bükk csap, 22+12 mélység; középosztón 10 mm eltolt tengely</x:v>
      </x:c>
    </x:row>
    <x:row r="540" ht="36" customHeight="1">
      <x:c r="A540" s="2" t="str">
        <x:v>R16H0535</x:v>
      </x:c>
      <x:c r="B540" s="2" t="str">
        <x:v>KI12-TV02S-05</x:v>
      </x:c>
      <x:c r="C540" s="2" t="str">
        <x:v>CAMAR807_DUBEL</x:v>
      </x:c>
      <x:c r="D540" s="2" t="n">
        <x:v>352</x:v>
      </x:c>
      <x:c r="E540" s="2" t="n">
        <x:v>330</x:v>
      </x:c>
      <x:c r="F540" s="2" t="n">
        <x:v>-18</x:v>
      </x:c>
      <x:c r="G540" s="2" t="n">
        <x:v>0</x:v>
      </x:c>
      <x:c r="H540" s="2" t="n">
        <x:v>0</x:v>
      </x:c>
      <x:c r="I540" s="2" t="n">
        <x:v>1</x:v>
      </x:c>
      <x:c r="J540" s="2" t="n">
        <x:v>10</x:v>
      </x:c>
      <x:c r="K540" s="2" t="n">
        <x:v>12</x:v>
      </x:c>
      <x:c r="L540" s="2" t="str">
        <x:v>Camar807_IN.pdf F1: Ø10/12,32x64;30mm felső visszaállás; új vasalat/oldallap próba és alkalmazás jóváhagyandó</x:v>
      </x:c>
    </x:row>
    <x:row r="541" ht="36" customHeight="1">
      <x:c r="A541" s="2" t="str">
        <x:v>R16H0536</x:v>
      </x:c>
      <x:c r="B541" s="2" t="str">
        <x:v>KI12-TV02S-05</x:v>
      </x:c>
      <x:c r="C541" s="2" t="str">
        <x:v>CAMAR807_DUBEL</x:v>
      </x:c>
      <x:c r="D541" s="2" t="n">
        <x:v>288</x:v>
      </x:c>
      <x:c r="E541" s="2" t="n">
        <x:v>330</x:v>
      </x:c>
      <x:c r="F541" s="2" t="n">
        <x:v>-18</x:v>
      </x:c>
      <x:c r="G541" s="2" t="n">
        <x:v>0</x:v>
      </x:c>
      <x:c r="H541" s="2" t="n">
        <x:v>0</x:v>
      </x:c>
      <x:c r="I541" s="2" t="n">
        <x:v>1</x:v>
      </x:c>
      <x:c r="J541" s="2" t="n">
        <x:v>10</x:v>
      </x:c>
      <x:c r="K541" s="2" t="n">
        <x:v>12</x:v>
      </x:c>
      <x:c r="L541" s="2" t="str">
        <x:v>Camar807_IN.pdf F1: Ø10/12,32x64;30mm felső visszaállás; új vasalat/oldallap próba és alkalmazás jóváhagyandó</x:v>
      </x:c>
    </x:row>
    <x:row r="542" ht="36" customHeight="1">
      <x:c r="A542" s="2" t="str">
        <x:v>R16H0537</x:v>
      </x:c>
      <x:c r="B542" s="2" t="str">
        <x:v>KI12-TV02S-05</x:v>
      </x:c>
      <x:c r="C542" s="2" t="str">
        <x:v>CAMAR807_DUBEL</x:v>
      </x:c>
      <x:c r="D542" s="2" t="n">
        <x:v>352</x:v>
      </x:c>
      <x:c r="E542" s="2" t="n">
        <x:v>362</x:v>
      </x:c>
      <x:c r="F542" s="2" t="n">
        <x:v>-18</x:v>
      </x:c>
      <x:c r="G542" s="2" t="n">
        <x:v>0</x:v>
      </x:c>
      <x:c r="H542" s="2" t="n">
        <x:v>0</x:v>
      </x:c>
      <x:c r="I542" s="2" t="n">
        <x:v>1</x:v>
      </x:c>
      <x:c r="J542" s="2" t="n">
        <x:v>10</x:v>
      </x:c>
      <x:c r="K542" s="2" t="n">
        <x:v>12</x:v>
      </x:c>
      <x:c r="L542" s="2" t="str">
        <x:v>Camar807_IN.pdf F1: Ø10/12,32x64;30mm felső visszaállás; új vasalat/oldallap próba és alkalmazás jóváhagyandó</x:v>
      </x:c>
    </x:row>
    <x:row r="543" ht="36" customHeight="1">
      <x:c r="A543" s="2" t="str">
        <x:v>R16H0538</x:v>
      </x:c>
      <x:c r="B543" s="2" t="str">
        <x:v>KI12-TV02S-05</x:v>
      </x:c>
      <x:c r="C543" s="2" t="str">
        <x:v>CAMAR807_DUBEL</x:v>
      </x:c>
      <x:c r="D543" s="2" t="n">
        <x:v>288</x:v>
      </x:c>
      <x:c r="E543" s="2" t="n">
        <x:v>362</x:v>
      </x:c>
      <x:c r="F543" s="2" t="n">
        <x:v>-18</x:v>
      </x:c>
      <x:c r="G543" s="2" t="n">
        <x:v>0</x:v>
      </x:c>
      <x:c r="H543" s="2" t="n">
        <x:v>0</x:v>
      </x:c>
      <x:c r="I543" s="2" t="n">
        <x:v>1</x:v>
      </x:c>
      <x:c r="J543" s="2" t="n">
        <x:v>10</x:v>
      </x:c>
      <x:c r="K543" s="2" t="n">
        <x:v>12</x:v>
      </x:c>
      <x:c r="L543" s="2" t="str">
        <x:v>Camar807_IN.pdf F1: Ø10/12,32x64;30mm felső visszaállás; új vasalat/oldallap próba és alkalmazás jóváhagyandó</x:v>
      </x:c>
    </x:row>
    <x:row r="544" ht="36" customHeight="1">
      <x:c r="A544" s="2" t="str">
        <x:v>R16H0539</x:v>
      </x:c>
      <x:c r="B544" s="2" t="str">
        <x:v>KI12-TV02S-06</x:v>
      </x:c>
      <x:c r="C544" s="2" t="str">
        <x:v>CSAP J25</x:v>
      </x:c>
      <x:c r="D544" s="2" t="n">
        <x:v>9</x:v>
      </x:c>
      <x:c r="E544" s="2" t="n">
        <x:v>50</x:v>
      </x:c>
      <x:c r="F544" s="2" t="n">
        <x:v>0</x:v>
      </x:c>
      <x:c r="G544" s="2" t="n">
        <x:v>0</x:v>
      </x:c>
      <x:c r="H544" s="2" t="n">
        <x:v>0</x:v>
      </x:c>
      <x:c r="I544" s="2" t="n">
        <x:v>-1</x:v>
      </x:c>
      <x:c r="J544" s="2" t="n">
        <x:v>8</x:v>
      </x:c>
      <x:c r="K544" s="2" t="n">
        <x:v>12</x:v>
      </x:c>
      <x:c r="L544" s="2" t="str">
        <x:v>R12 J01-J26 / 8x30, 12+22</x:v>
      </x:c>
    </x:row>
    <x:row r="545" ht="36" customHeight="1">
      <x:c r="A545" s="2" t="str">
        <x:v>R16H0540</x:v>
      </x:c>
      <x:c r="B545" s="2" t="str">
        <x:v>KI12-TV02S-06</x:v>
      </x:c>
      <x:c r="C545" s="2" t="str">
        <x:v>CSAP J25</x:v>
      </x:c>
      <x:c r="D545" s="2" t="n">
        <x:v>9</x:v>
      </x:c>
      <x:c r="E545" s="2" t="n">
        <x:v>191</x:v>
      </x:c>
      <x:c r="F545" s="2" t="n">
        <x:v>0</x:v>
      </x:c>
      <x:c r="G545" s="2" t="n">
        <x:v>0</x:v>
      </x:c>
      <x:c r="H545" s="2" t="n">
        <x:v>0</x:v>
      </x:c>
      <x:c r="I545" s="2" t="n">
        <x:v>-1</x:v>
      </x:c>
      <x:c r="J545" s="2" t="n">
        <x:v>8</x:v>
      </x:c>
      <x:c r="K545" s="2" t="n">
        <x:v>12</x:v>
      </x:c>
      <x:c r="L545" s="2" t="str">
        <x:v>R12 J01-J26 / 8x30, 12+22</x:v>
      </x:c>
    </x:row>
    <x:row r="546" ht="36" customHeight="1">
      <x:c r="A546" s="2" t="str">
        <x:v>R16H0541</x:v>
      </x:c>
      <x:c r="B546" s="2" t="str">
        <x:v>KI12-TV02S-06</x:v>
      </x:c>
      <x:c r="C546" s="2" t="str">
        <x:v>CSAP J25</x:v>
      </x:c>
      <x:c r="D546" s="2" t="n">
        <x:v>9</x:v>
      </x:c>
      <x:c r="E546" s="2" t="n">
        <x:v>332</x:v>
      </x:c>
      <x:c r="F546" s="2" t="n">
        <x:v>0</x:v>
      </x:c>
      <x:c r="G546" s="2" t="n">
        <x:v>0</x:v>
      </x:c>
      <x:c r="H546" s="2" t="n">
        <x:v>0</x:v>
      </x:c>
      <x:c r="I546" s="2" t="n">
        <x:v>-1</x:v>
      </x:c>
      <x:c r="J546" s="2" t="n">
        <x:v>8</x:v>
      </x:c>
      <x:c r="K546" s="2" t="n">
        <x:v>12</x:v>
      </x:c>
      <x:c r="L546" s="2" t="str">
        <x:v>R12 J01-J26 / 8x30, 12+22</x:v>
      </x:c>
    </x:row>
    <x:row r="547" ht="36" customHeight="1">
      <x:c r="A547" s="2" t="str">
        <x:v>R16H0542</x:v>
      </x:c>
      <x:c r="B547" s="2" t="str">
        <x:v>KI12-TV02S-06</x:v>
      </x:c>
      <x:c r="C547" s="2" t="str">
        <x:v>CSAP J26</x:v>
      </x:c>
      <x:c r="D547" s="2" t="n">
        <x:v>382</x:v>
      </x:c>
      <x:c r="E547" s="2" t="n">
        <x:v>50</x:v>
      </x:c>
      <x:c r="F547" s="2" t="n">
        <x:v>-9</x:v>
      </x:c>
      <x:c r="G547" s="2" t="n">
        <x:v>-1</x:v>
      </x:c>
      <x:c r="H547" s="2" t="n">
        <x:v>0</x:v>
      </x:c>
      <x:c r="I547" s="2" t="n">
        <x:v>0</x:v>
      </x:c>
      <x:c r="J547" s="2" t="n">
        <x:v>8</x:v>
      </x:c>
      <x:c r="K547" s="2" t="n">
        <x:v>22</x:v>
      </x:c>
      <x:c r="L547" s="2" t="str">
        <x:v>R12 J01-J26 / 8x30, 12+22</x:v>
      </x:c>
    </x:row>
    <x:row r="548" ht="36" customHeight="1">
      <x:c r="A548" s="2" t="str">
        <x:v>R16H0543</x:v>
      </x:c>
      <x:c r="B548" s="2" t="str">
        <x:v>KI12-TV02S-06</x:v>
      </x:c>
      <x:c r="C548" s="2" t="str">
        <x:v>CSAP J26</x:v>
      </x:c>
      <x:c r="D548" s="2" t="n">
        <x:v>382</x:v>
      </x:c>
      <x:c r="E548" s="2" t="n">
        <x:v>191</x:v>
      </x:c>
      <x:c r="F548" s="2" t="n">
        <x:v>-9</x:v>
      </x:c>
      <x:c r="G548" s="2" t="n">
        <x:v>-1</x:v>
      </x:c>
      <x:c r="H548" s="2" t="n">
        <x:v>0</x:v>
      </x:c>
      <x:c r="I548" s="2" t="n">
        <x:v>0</x:v>
      </x:c>
      <x:c r="J548" s="2" t="n">
        <x:v>8</x:v>
      </x:c>
      <x:c r="K548" s="2" t="n">
        <x:v>22</x:v>
      </x:c>
      <x:c r="L548" s="2" t="str">
        <x:v>R12 J01-J26 / 8x30, 12+22</x:v>
      </x:c>
    </x:row>
    <x:row r="549" ht="36" customHeight="1">
      <x:c r="A549" s="2" t="str">
        <x:v>R16H0544</x:v>
      </x:c>
      <x:c r="B549" s="2" t="str">
        <x:v>KI12-TV02S-06</x:v>
      </x:c>
      <x:c r="C549" s="2" t="str">
        <x:v>CSAP J26</x:v>
      </x:c>
      <x:c r="D549" s="2" t="n">
        <x:v>382</x:v>
      </x:c>
      <x:c r="E549" s="2" t="n">
        <x:v>332</x:v>
      </x:c>
      <x:c r="F549" s="2" t="n">
        <x:v>-9</x:v>
      </x:c>
      <x:c r="G549" s="2" t="n">
        <x:v>-1</x:v>
      </x:c>
      <x:c r="H549" s="2" t="n">
        <x:v>0</x:v>
      </x:c>
      <x:c r="I549" s="2" t="n">
        <x:v>0</x:v>
      </x:c>
      <x:c r="J549" s="2" t="n">
        <x:v>8</x:v>
      </x:c>
      <x:c r="K549" s="2" t="n">
        <x:v>22</x:v>
      </x:c>
      <x:c r="L549" s="2" t="str">
        <x:v>R12 J01-J26 / 8x30, 12+22</x:v>
      </x:c>
    </x:row>
    <x:row r="550" ht="36" customHeight="1">
      <x:c r="A550" s="2" t="str">
        <x:v>R16H0545</x:v>
      </x:c>
      <x:c r="B550" s="2" t="str">
        <x:v>KI12-TV02S-06</x:v>
      </x:c>
      <x:c r="C550" s="2" t="str">
        <x:v>LEC_OLDAL / R14-J083</x:v>
      </x:c>
      <x:c r="D550" s="2" t="n">
        <x:v>60</x:v>
      </x:c>
      <x:c r="E550" s="2" t="n">
        <x:v>345</x:v>
      </x:c>
      <x:c r="F550" s="2" t="n">
        <x:v>0</x:v>
      </x:c>
      <x:c r="G550" s="2" t="n">
        <x:v>0</x:v>
      </x:c>
      <x:c r="H550" s="2" t="n">
        <x:v>0</x:v>
      </x:c>
      <x:c r="I550" s="2" t="n">
        <x:v>-1</x:v>
      </x:c>
      <x:c r="J550" s="2" t="n">
        <x:v>2.5</x:v>
      </x:c>
      <x:c r="K550" s="2" t="n">
        <x:v>12</x:v>
      </x:c>
      <x:c r="L550" s="2" t="str">
        <x:v>R14 tervezői kiosztás; tényleges laphoz és csavarhoz próbafúrás</x:v>
      </x:c>
    </x:row>
    <x:row r="551" ht="36" customHeight="1">
      <x:c r="A551" s="2" t="str">
        <x:v>R16H0546</x:v>
      </x:c>
      <x:c r="B551" s="2" t="str">
        <x:v>KI12-TV02S-06</x:v>
      </x:c>
      <x:c r="C551" s="2" t="str">
        <x:v>LEC_OLDAL / R14-J085</x:v>
      </x:c>
      <x:c r="D551" s="2" t="n">
        <x:v>140</x:v>
      </x:c>
      <x:c r="E551" s="2" t="n">
        <x:v>345</x:v>
      </x:c>
      <x:c r="F551" s="2" t="n">
        <x:v>0</x:v>
      </x:c>
      <x:c r="G551" s="2" t="n">
        <x:v>0</x:v>
      </x:c>
      <x:c r="H551" s="2" t="n">
        <x:v>0</x:v>
      </x:c>
      <x:c r="I551" s="2" t="n">
        <x:v>-1</x:v>
      </x:c>
      <x:c r="J551" s="2" t="n">
        <x:v>2.5</x:v>
      </x:c>
      <x:c r="K551" s="2" t="n">
        <x:v>12</x:v>
      </x:c>
      <x:c r="L551" s="2" t="str">
        <x:v>R14 tervezői kiosztás; tényleges laphoz és csavarhoz próbafúrás</x:v>
      </x:c>
    </x:row>
    <x:row r="552" ht="36" customHeight="1">
      <x:c r="A552" s="2" t="str">
        <x:v>R16H0547</x:v>
      </x:c>
      <x:c r="B552" s="2" t="str">
        <x:v>KI12-TV02S-06</x:v>
      </x:c>
      <x:c r="C552" s="2" t="str">
        <x:v>LEC_OLDAL / R14-J087</x:v>
      </x:c>
      <x:c r="D552" s="2" t="n">
        <x:v>220</x:v>
      </x:c>
      <x:c r="E552" s="2" t="n">
        <x:v>345</x:v>
      </x:c>
      <x:c r="F552" s="2" t="n">
        <x:v>0</x:v>
      </x:c>
      <x:c r="G552" s="2" t="n">
        <x:v>0</x:v>
      </x:c>
      <x:c r="H552" s="2" t="n">
        <x:v>0</x:v>
      </x:c>
      <x:c r="I552" s="2" t="n">
        <x:v>-1</x:v>
      </x:c>
      <x:c r="J552" s="2" t="n">
        <x:v>2.5</x:v>
      </x:c>
      <x:c r="K552" s="2" t="n">
        <x:v>12</x:v>
      </x:c>
      <x:c r="L552" s="2" t="str">
        <x:v>R14 tervezői kiosztás; tényleges laphoz és csavarhoz próbafúrás</x:v>
      </x:c>
    </x:row>
    <x:row r="553" ht="36" customHeight="1">
      <x:c r="A553" s="2" t="str">
        <x:v>R16H0548</x:v>
      </x:c>
      <x:c r="B553" s="2" t="str">
        <x:v>KI12-TV02S-06</x:v>
      </x:c>
      <x:c r="C553" s="2" t="str">
        <x:v>MEREVITO_CSAP / R14-J124</x:v>
      </x:c>
      <x:c r="D553" s="2" t="n">
        <x:v>170</x:v>
      </x:c>
      <x:c r="E553" s="2" t="n">
        <x:v>327</x:v>
      </x:c>
      <x:c r="F553" s="2" t="n">
        <x:v>0</x:v>
      </x:c>
      <x:c r="G553" s="2" t="n">
        <x:v>0</x:v>
      </x:c>
      <x:c r="H553" s="2" t="n">
        <x:v>0</x:v>
      </x:c>
      <x:c r="I553" s="2" t="n">
        <x:v>-1</x:v>
      </x:c>
      <x:c r="J553" s="2" t="n">
        <x:v>8</x:v>
      </x:c>
      <x:c r="K553" s="2" t="n">
        <x:v>12</x:v>
      </x:c>
      <x:c r="L553" s="2" t="str">
        <x:v>R14 Ø8x30 bükk csap, 22+12 mélység; középosztón 10 mm eltolt tengely</x:v>
      </x:c>
    </x:row>
    <x:row r="554" ht="36" customHeight="1">
      <x:c r="A554" s="2" t="str">
        <x:v>R16H0549</x:v>
      </x:c>
      <x:c r="B554" s="2" t="str">
        <x:v>KI12-TV02S-06</x:v>
      </x:c>
      <x:c r="C554" s="2" t="str">
        <x:v>MEREVITO_CSAP / R14-J125</x:v>
      </x:c>
      <x:c r="D554" s="2" t="n">
        <x:v>200</x:v>
      </x:c>
      <x:c r="E554" s="2" t="n">
        <x:v>327</x:v>
      </x:c>
      <x:c r="F554" s="2" t="n">
        <x:v>0</x:v>
      </x:c>
      <x:c r="G554" s="2" t="n">
        <x:v>0</x:v>
      </x:c>
      <x:c r="H554" s="2" t="n">
        <x:v>0</x:v>
      </x:c>
      <x:c r="I554" s="2" t="n">
        <x:v>-1</x:v>
      </x:c>
      <x:c r="J554" s="2" t="n">
        <x:v>8</x:v>
      </x:c>
      <x:c r="K554" s="2" t="n">
        <x:v>12</x:v>
      </x:c>
      <x:c r="L554" s="2" t="str">
        <x:v>R14 Ø8x30 bükk csap, 22+12 mélység; középosztón 10 mm eltolt tengely</x:v>
      </x:c>
    </x:row>
    <x:row r="555" ht="36" customHeight="1">
      <x:c r="A555" s="2" t="str">
        <x:v>R16H0550</x:v>
      </x:c>
      <x:c r="B555" s="2" t="str">
        <x:v>KI12-TV02S-06</x:v>
      </x:c>
      <x:c r="C555" s="2" t="str">
        <x:v>MEREVITO_CSAP / R14-J126</x:v>
      </x:c>
      <x:c r="D555" s="2" t="n">
        <x:v>230</x:v>
      </x:c>
      <x:c r="E555" s="2" t="n">
        <x:v>327</x:v>
      </x:c>
      <x:c r="F555" s="2" t="n">
        <x:v>0</x:v>
      </x:c>
      <x:c r="G555" s="2" t="n">
        <x:v>0</x:v>
      </x:c>
      <x:c r="H555" s="2" t="n">
        <x:v>0</x:v>
      </x:c>
      <x:c r="I555" s="2" t="n">
        <x:v>-1</x:v>
      </x:c>
      <x:c r="J555" s="2" t="n">
        <x:v>8</x:v>
      </x:c>
      <x:c r="K555" s="2" t="n">
        <x:v>12</x:v>
      </x:c>
      <x:c r="L555" s="2" t="str">
        <x:v>R14 Ø8x30 bükk csap, 22+12 mélység; középosztón 10 mm eltolt tengely</x:v>
      </x:c>
    </x:row>
    <x:row r="556" ht="36" customHeight="1">
      <x:c r="A556" s="2" t="str">
        <x:v>R16H0551</x:v>
      </x:c>
      <x:c r="B556" s="2" t="str">
        <x:v>KI12-TV02S-06</x:v>
      </x:c>
      <x:c r="C556" s="2" t="str">
        <x:v>CAMAR807_DUBEL</x:v>
      </x:c>
      <x:c r="D556" s="2" t="n">
        <x:v>352</x:v>
      </x:c>
      <x:c r="E556" s="2" t="n">
        <x:v>330</x:v>
      </x:c>
      <x:c r="F556" s="2" t="n">
        <x:v>0</x:v>
      </x:c>
      <x:c r="G556" s="2" t="n">
        <x:v>0</x:v>
      </x:c>
      <x:c r="H556" s="2" t="n">
        <x:v>0</x:v>
      </x:c>
      <x:c r="I556" s="2" t="n">
        <x:v>-1</x:v>
      </x:c>
      <x:c r="J556" s="2" t="n">
        <x:v>10</x:v>
      </x:c>
      <x:c r="K556" s="2" t="n">
        <x:v>12</x:v>
      </x:c>
      <x:c r="L556" s="2" t="str">
        <x:v>Camar807_IN.pdf F1: Ø10/12,32x64;30mm felső visszaállás; új vasalat/oldallap próba és alkalmazás jóváhagyandó</x:v>
      </x:c>
    </x:row>
    <x:row r="557" ht="36" customHeight="1">
      <x:c r="A557" s="2" t="str">
        <x:v>R16H0552</x:v>
      </x:c>
      <x:c r="B557" s="2" t="str">
        <x:v>KI12-TV02S-06</x:v>
      </x:c>
      <x:c r="C557" s="2" t="str">
        <x:v>CAMAR807_DUBEL</x:v>
      </x:c>
      <x:c r="D557" s="2" t="n">
        <x:v>288</x:v>
      </x:c>
      <x:c r="E557" s="2" t="n">
        <x:v>330</x:v>
      </x:c>
      <x:c r="F557" s="2" t="n">
        <x:v>0</x:v>
      </x:c>
      <x:c r="G557" s="2" t="n">
        <x:v>0</x:v>
      </x:c>
      <x:c r="H557" s="2" t="n">
        <x:v>0</x:v>
      </x:c>
      <x:c r="I557" s="2" t="n">
        <x:v>-1</x:v>
      </x:c>
      <x:c r="J557" s="2" t="n">
        <x:v>10</x:v>
      </x:c>
      <x:c r="K557" s="2" t="n">
        <x:v>12</x:v>
      </x:c>
      <x:c r="L557" s="2" t="str">
        <x:v>Camar807_IN.pdf F1: Ø10/12,32x64;30mm felső visszaállás; új vasalat/oldallap próba és alkalmazás jóváhagyandó</x:v>
      </x:c>
    </x:row>
    <x:row r="558" ht="36" customHeight="1">
      <x:c r="A558" s="2" t="str">
        <x:v>R16H0553</x:v>
      </x:c>
      <x:c r="B558" s="2" t="str">
        <x:v>KI12-TV02S-06</x:v>
      </x:c>
      <x:c r="C558" s="2" t="str">
        <x:v>CAMAR807_DUBEL</x:v>
      </x:c>
      <x:c r="D558" s="2" t="n">
        <x:v>352</x:v>
      </x:c>
      <x:c r="E558" s="2" t="n">
        <x:v>362</x:v>
      </x:c>
      <x:c r="F558" s="2" t="n">
        <x:v>0</x:v>
      </x:c>
      <x:c r="G558" s="2" t="n">
        <x:v>0</x:v>
      </x:c>
      <x:c r="H558" s="2" t="n">
        <x:v>0</x:v>
      </x:c>
      <x:c r="I558" s="2" t="n">
        <x:v>-1</x:v>
      </x:c>
      <x:c r="J558" s="2" t="n">
        <x:v>10</x:v>
      </x:c>
      <x:c r="K558" s="2" t="n">
        <x:v>12</x:v>
      </x:c>
      <x:c r="L558" s="2" t="str">
        <x:v>Camar807_IN.pdf F1: Ø10/12,32x64;30mm felső visszaállás; új vasalat/oldallap próba és alkalmazás jóváhagyandó</x:v>
      </x:c>
    </x:row>
    <x:row r="559" ht="36" customHeight="1">
      <x:c r="A559" s="2" t="str">
        <x:v>R16H0554</x:v>
      </x:c>
      <x:c r="B559" s="2" t="str">
        <x:v>KI12-TV02S-06</x:v>
      </x:c>
      <x:c r="C559" s="2" t="str">
        <x:v>CAMAR807_DUBEL</x:v>
      </x:c>
      <x:c r="D559" s="2" t="n">
        <x:v>288</x:v>
      </x:c>
      <x:c r="E559" s="2" t="n">
        <x:v>362</x:v>
      </x:c>
      <x:c r="F559" s="2" t="n">
        <x:v>0</x:v>
      </x:c>
      <x:c r="G559" s="2" t="n">
        <x:v>0</x:v>
      </x:c>
      <x:c r="H559" s="2" t="n">
        <x:v>0</x:v>
      </x:c>
      <x:c r="I559" s="2" t="n">
        <x:v>-1</x:v>
      </x:c>
      <x:c r="J559" s="2" t="n">
        <x:v>10</x:v>
      </x:c>
      <x:c r="K559" s="2" t="n">
        <x:v>12</x:v>
      </x:c>
      <x:c r="L559" s="2" t="str">
        <x:v>Camar807_IN.pdf F1: Ø10/12,32x64;30mm felső visszaállás; új vasalat/oldallap próba és alkalmazás jóváhagyandó</x:v>
      </x:c>
    </x:row>
    <x:row r="560" ht="36" customHeight="1">
      <x:c r="A560" s="2" t="str">
        <x:v>R16H0555</x:v>
      </x:c>
      <x:c r="B560" s="2" t="str">
        <x:v>KI12-TV02T2-02</x:v>
      </x:c>
      <x:c r="C560" s="2" t="str">
        <x:v>CSAP J23</x:v>
      </x:c>
      <x:c r="D560" s="2" t="n">
        <x:v>0</x:v>
      </x:c>
      <x:c r="E560" s="2" t="n">
        <x:v>50</x:v>
      </x:c>
      <x:c r="F560" s="2" t="n">
        <x:v>-9</x:v>
      </x:c>
      <x:c r="G560" s="2" t="n">
        <x:v>1</x:v>
      </x:c>
      <x:c r="H560" s="2" t="n">
        <x:v>0</x:v>
      </x:c>
      <x:c r="I560" s="2" t="n">
        <x:v>0</x:v>
      </x:c>
      <x:c r="J560" s="2" t="n">
        <x:v>8</x:v>
      </x:c>
      <x:c r="K560" s="2" t="n">
        <x:v>22</x:v>
      </x:c>
      <x:c r="L560" s="2" t="str">
        <x:v>R12 J01-J26 / 8x30, 12+22</x:v>
      </x:c>
    </x:row>
    <x:row r="561" ht="36" customHeight="1">
      <x:c r="A561" s="2" t="str">
        <x:v>R16H0556</x:v>
      </x:c>
      <x:c r="B561" s="2" t="str">
        <x:v>KI12-TV02T2-02</x:v>
      </x:c>
      <x:c r="C561" s="2" t="str">
        <x:v>CSAP J23</x:v>
      </x:c>
      <x:c r="D561" s="2" t="n">
        <x:v>0</x:v>
      </x:c>
      <x:c r="E561" s="2" t="n">
        <x:v>191</x:v>
      </x:c>
      <x:c r="F561" s="2" t="n">
        <x:v>-9</x:v>
      </x:c>
      <x:c r="G561" s="2" t="n">
        <x:v>1</x:v>
      </x:c>
      <x:c r="H561" s="2" t="n">
        <x:v>0</x:v>
      </x:c>
      <x:c r="I561" s="2" t="n">
        <x:v>0</x:v>
      </x:c>
      <x:c r="J561" s="2" t="n">
        <x:v>8</x:v>
      </x:c>
      <x:c r="K561" s="2" t="n">
        <x:v>22</x:v>
      </x:c>
      <x:c r="L561" s="2" t="str">
        <x:v>R12 J01-J26 / 8x30, 12+22</x:v>
      </x:c>
    </x:row>
    <x:row r="562" ht="36" customHeight="1">
      <x:c r="A562" s="2" t="str">
        <x:v>R16H0557</x:v>
      </x:c>
      <x:c r="B562" s="2" t="str">
        <x:v>KI12-TV02T2-02</x:v>
      </x:c>
      <x:c r="C562" s="2" t="str">
        <x:v>CSAP J23</x:v>
      </x:c>
      <x:c r="D562" s="2" t="n">
        <x:v>0</x:v>
      </x:c>
      <x:c r="E562" s="2" t="n">
        <x:v>332</x:v>
      </x:c>
      <x:c r="F562" s="2" t="n">
        <x:v>-9</x:v>
      </x:c>
      <x:c r="G562" s="2" t="n">
        <x:v>1</x:v>
      </x:c>
      <x:c r="H562" s="2" t="n">
        <x:v>0</x:v>
      </x:c>
      <x:c r="I562" s="2" t="n">
        <x:v>0</x:v>
      </x:c>
      <x:c r="J562" s="2" t="n">
        <x:v>8</x:v>
      </x:c>
      <x:c r="K562" s="2" t="n">
        <x:v>22</x:v>
      </x:c>
      <x:c r="L562" s="2" t="str">
        <x:v>R12 J01-J26 / 8x30, 12+22</x:v>
      </x:c>
    </x:row>
    <x:row r="563" ht="36" customHeight="1">
      <x:c r="A563" s="2" t="str">
        <x:v>R16H0558</x:v>
      </x:c>
      <x:c r="B563" s="2" t="str">
        <x:v>KI12-TV02T2-02</x:v>
      </x:c>
      <x:c r="C563" s="2" t="str">
        <x:v>CSAP J25</x:v>
      </x:c>
      <x:c r="D563" s="2" t="n">
        <x:v>414</x:v>
      </x:c>
      <x:c r="E563" s="2" t="n">
        <x:v>50</x:v>
      </x:c>
      <x:c r="F563" s="2" t="n">
        <x:v>-9</x:v>
      </x:c>
      <x:c r="G563" s="2" t="n">
        <x:v>-1</x:v>
      </x:c>
      <x:c r="H563" s="2" t="n">
        <x:v>0</x:v>
      </x:c>
      <x:c r="I563" s="2" t="n">
        <x:v>0</x:v>
      </x:c>
      <x:c r="J563" s="2" t="n">
        <x:v>8</x:v>
      </x:c>
      <x:c r="K563" s="2" t="n">
        <x:v>22</x:v>
      </x:c>
      <x:c r="L563" s="2" t="str">
        <x:v>R12 J01-J26 / 8x30, 12+22</x:v>
      </x:c>
    </x:row>
    <x:row r="564" ht="36" customHeight="1">
      <x:c r="A564" s="2" t="str">
        <x:v>R16H0559</x:v>
      </x:c>
      <x:c r="B564" s="2" t="str">
        <x:v>KI12-TV02T2-02</x:v>
      </x:c>
      <x:c r="C564" s="2" t="str">
        <x:v>CSAP J25</x:v>
      </x:c>
      <x:c r="D564" s="2" t="n">
        <x:v>414</x:v>
      </x:c>
      <x:c r="E564" s="2" t="n">
        <x:v>191</x:v>
      </x:c>
      <x:c r="F564" s="2" t="n">
        <x:v>-9</x:v>
      </x:c>
      <x:c r="G564" s="2" t="n">
        <x:v>-1</x:v>
      </x:c>
      <x:c r="H564" s="2" t="n">
        <x:v>0</x:v>
      </x:c>
      <x:c r="I564" s="2" t="n">
        <x:v>0</x:v>
      </x:c>
      <x:c r="J564" s="2" t="n">
        <x:v>8</x:v>
      </x:c>
      <x:c r="K564" s="2" t="n">
        <x:v>22</x:v>
      </x:c>
      <x:c r="L564" s="2" t="str">
        <x:v>R12 J01-J26 / 8x30, 12+22</x:v>
      </x:c>
    </x:row>
    <x:row r="565" ht="36" customHeight="1">
      <x:c r="A565" s="2" t="str">
        <x:v>R16H0560</x:v>
      </x:c>
      <x:c r="B565" s="2" t="str">
        <x:v>KI12-TV02T2-02</x:v>
      </x:c>
      <x:c r="C565" s="2" t="str">
        <x:v>CSAP J25</x:v>
      </x:c>
      <x:c r="D565" s="2" t="n">
        <x:v>414</x:v>
      </x:c>
      <x:c r="E565" s="2" t="n">
        <x:v>332</x:v>
      </x:c>
      <x:c r="F565" s="2" t="n">
        <x:v>-9</x:v>
      </x:c>
      <x:c r="G565" s="2" t="n">
        <x:v>-1</x:v>
      </x:c>
      <x:c r="H565" s="2" t="n">
        <x:v>0</x:v>
      </x:c>
      <x:c r="I565" s="2" t="n">
        <x:v>0</x:v>
      </x:c>
      <x:c r="J565" s="2" t="n">
        <x:v>8</x:v>
      </x:c>
      <x:c r="K565" s="2" t="n">
        <x:v>22</x:v>
      </x:c>
      <x:c r="L565" s="2" t="str">
        <x:v>R12 J01-J26 / 8x30, 12+22</x:v>
      </x:c>
    </x:row>
    <x:row r="566" ht="36" customHeight="1">
      <x:c r="A566" s="2" t="str">
        <x:v>R16H0561</x:v>
      </x:c>
      <x:c r="B566" s="2" t="str">
        <x:v>KI12-TV02H2-02</x:v>
      </x:c>
      <x:c r="C566" s="2" t="str">
        <x:v>HATLAP_LEC / R14-J078</x:v>
      </x:c>
      <x:c r="D566" s="2" t="n">
        <x:v>404</x:v>
      </x:c>
      <x:c r="E566" s="2" t="n">
        <x:v>56</x:v>
      </x:c>
      <x:c r="F566" s="2" t="n">
        <x:v>0</x:v>
      </x:c>
      <x:c r="G566" s="2" t="n">
        <x:v>0</x:v>
      </x:c>
      <x:c r="H566" s="2" t="n">
        <x:v>0</x:v>
      </x:c>
      <x:c r="I566" s="2" t="n">
        <x:v>-1</x:v>
      </x:c>
      <x:c r="J566" s="2" t="n">
        <x:v>3.5</x:v>
      </x:c>
      <x:c r="K566" s="2" t="n">
        <x:v>8</x:v>
      </x:c>
      <x:c r="L566" s="2" t="str">
        <x:v>R14 tervezői kiosztás; tényleges laphoz és csavarhoz próbafúrás</x:v>
      </x:c>
    </x:row>
    <x:row r="567" ht="36" customHeight="1">
      <x:c r="A567" s="2" t="str">
        <x:v>R16H0562</x:v>
      </x:c>
      <x:c r="B567" s="2" t="str">
        <x:v>KI12-TV02H2-02</x:v>
      </x:c>
      <x:c r="C567" s="2" t="str">
        <x:v>HATLAP_LEC / R14-J080</x:v>
      </x:c>
      <x:c r="D567" s="2" t="n">
        <x:v>404</x:v>
      </x:c>
      <x:c r="E567" s="2" t="n">
        <x:v>136</x:v>
      </x:c>
      <x:c r="F567" s="2" t="n">
        <x:v>0</x:v>
      </x:c>
      <x:c r="G567" s="2" t="n">
        <x:v>0</x:v>
      </x:c>
      <x:c r="H567" s="2" t="n">
        <x:v>0</x:v>
      </x:c>
      <x:c r="I567" s="2" t="n">
        <x:v>-1</x:v>
      </x:c>
      <x:c r="J567" s="2" t="n">
        <x:v>3.5</x:v>
      </x:c>
      <x:c r="K567" s="2" t="n">
        <x:v>8</x:v>
      </x:c>
      <x:c r="L567" s="2" t="str">
        <x:v>R14 tervezői kiosztás; tényleges laphoz és csavarhoz próbafúrás</x:v>
      </x:c>
    </x:row>
    <x:row r="568" ht="36" customHeight="1">
      <x:c r="A568" s="2" t="str">
        <x:v>R16H0563</x:v>
      </x:c>
      <x:c r="B568" s="2" t="str">
        <x:v>KI12-TV02H2-02</x:v>
      </x:c>
      <x:c r="C568" s="2" t="str">
        <x:v>HATLAP_LEC / R14-J082</x:v>
      </x:c>
      <x:c r="D568" s="2" t="n">
        <x:v>404</x:v>
      </x:c>
      <x:c r="E568" s="2" t="n">
        <x:v>216</x:v>
      </x:c>
      <x:c r="F568" s="2" t="n">
        <x:v>0</x:v>
      </x:c>
      <x:c r="G568" s="2" t="n">
        <x:v>0</x:v>
      </x:c>
      <x:c r="H568" s="2" t="n">
        <x:v>0</x:v>
      </x:c>
      <x:c r="I568" s="2" t="n">
        <x:v>-1</x:v>
      </x:c>
      <x:c r="J568" s="2" t="n">
        <x:v>3.5</x:v>
      </x:c>
      <x:c r="K568" s="2" t="n">
        <x:v>8</x:v>
      </x:c>
      <x:c r="L568" s="2" t="str">
        <x:v>R14 tervezői kiosztás; tényleges laphoz és csavarhoz próbafúrás</x:v>
      </x:c>
    </x:row>
    <x:row r="569" ht="36" customHeight="1">
      <x:c r="A569" s="2" t="str">
        <x:v>R16H0564</x:v>
      </x:c>
      <x:c r="B569" s="2" t="str">
        <x:v>KI12-TV02H2-02</x:v>
      </x:c>
      <x:c r="C569" s="2" t="str">
        <x:v>HATLAP_LEC / R14-J084</x:v>
      </x:c>
      <x:c r="D569" s="2" t="n">
        <x:v>8</x:v>
      </x:c>
      <x:c r="E569" s="2" t="n">
        <x:v>56</x:v>
      </x:c>
      <x:c r="F569" s="2" t="n">
        <x:v>0</x:v>
      </x:c>
      <x:c r="G569" s="2" t="n">
        <x:v>0</x:v>
      </x:c>
      <x:c r="H569" s="2" t="n">
        <x:v>0</x:v>
      </x:c>
      <x:c r="I569" s="2" t="n">
        <x:v>-1</x:v>
      </x:c>
      <x:c r="J569" s="2" t="n">
        <x:v>3.5</x:v>
      </x:c>
      <x:c r="K569" s="2" t="n">
        <x:v>8</x:v>
      </x:c>
      <x:c r="L569" s="2" t="str">
        <x:v>R14 tervezői kiosztás; tényleges laphoz és csavarhoz próbafúrás</x:v>
      </x:c>
    </x:row>
    <x:row r="570" ht="36" customHeight="1">
      <x:c r="A570" s="2" t="str">
        <x:v>R16H0565</x:v>
      </x:c>
      <x:c r="B570" s="2" t="str">
        <x:v>KI12-TV02H2-02</x:v>
      </x:c>
      <x:c r="C570" s="2" t="str">
        <x:v>HATLAP_LEC / R14-J086</x:v>
      </x:c>
      <x:c r="D570" s="2" t="n">
        <x:v>8</x:v>
      </x:c>
      <x:c r="E570" s="2" t="n">
        <x:v>136</x:v>
      </x:c>
      <x:c r="F570" s="2" t="n">
        <x:v>0</x:v>
      </x:c>
      <x:c r="G570" s="2" t="n">
        <x:v>0</x:v>
      </x:c>
      <x:c r="H570" s="2" t="n">
        <x:v>0</x:v>
      </x:c>
      <x:c r="I570" s="2" t="n">
        <x:v>-1</x:v>
      </x:c>
      <x:c r="J570" s="2" t="n">
        <x:v>3.5</x:v>
      </x:c>
      <x:c r="K570" s="2" t="n">
        <x:v>8</x:v>
      </x:c>
      <x:c r="L570" s="2" t="str">
        <x:v>R14 tervezői kiosztás; tényleges laphoz és csavarhoz próbafúrás</x:v>
      </x:c>
    </x:row>
    <x:row r="571" ht="36" customHeight="1">
      <x:c r="A571" s="2" t="str">
        <x:v>R16H0566</x:v>
      </x:c>
      <x:c r="B571" s="2" t="str">
        <x:v>KI12-TV02H2-02</x:v>
      </x:c>
      <x:c r="C571" s="2" t="str">
        <x:v>HATLAP_LEC / R14-J088</x:v>
      </x:c>
      <x:c r="D571" s="2" t="n">
        <x:v>8</x:v>
      </x:c>
      <x:c r="E571" s="2" t="n">
        <x:v>216</x:v>
      </x:c>
      <x:c r="F571" s="2" t="n">
        <x:v>0</x:v>
      </x:c>
      <x:c r="G571" s="2" t="n">
        <x:v>0</x:v>
      </x:c>
      <x:c r="H571" s="2" t="n">
        <x:v>0</x:v>
      </x:c>
      <x:c r="I571" s="2" t="n">
        <x:v>-1</x:v>
      </x:c>
      <x:c r="J571" s="2" t="n">
        <x:v>3.5</x:v>
      </x:c>
      <x:c r="K571" s="2" t="n">
        <x:v>8</x:v>
      </x:c>
      <x:c r="L571" s="2" t="str">
        <x:v>R14 tervezői kiosztás; tényleges laphoz és csavarhoz próbafúrás</x:v>
      </x:c>
    </x:row>
    <x:row r="572" ht="36" customHeight="1">
      <x:c r="A572" s="2" t="str">
        <x:v>R16H0567</x:v>
      </x:c>
      <x:c r="B572" s="2" t="str">
        <x:v>KI14-BAT-07</x:v>
      </x:c>
      <x:c r="C572" s="2" t="str">
        <x:v>LEC_OLDAL / R14-J077</x:v>
      </x:c>
      <x:c r="D572" s="2" t="n">
        <x:v>22</x:v>
      </x:c>
      <x:c r="E572" s="2" t="n">
        <x:v>9</x:v>
      </x:c>
      <x:c r="F572" s="2" t="n">
        <x:v>-18</x:v>
      </x:c>
      <x:c r="G572" s="2" t="n">
        <x:v>0</x:v>
      </x:c>
      <x:c r="H572" s="2" t="n">
        <x:v>0</x:v>
      </x:c>
      <x:c r="I572" s="2" t="n">
        <x:v>1</x:v>
      </x:c>
      <x:c r="J572" s="2" t="n">
        <x:v>4</x:v>
      </x:c>
      <x:c r="K572" s="2" t="n">
        <x:v>18</x:v>
      </x:c>
      <x:c r="L572" s="2" t="str">
        <x:v>R14 tervezői kiosztás; tényleges laphoz és csavarhoz próbafúrás</x:v>
      </x:c>
    </x:row>
    <x:row r="573" ht="36" customHeight="1">
      <x:c r="A573" s="2" t="str">
        <x:v>R16H0568</x:v>
      </x:c>
      <x:c r="B573" s="2" t="str">
        <x:v>KI14-BAT-07</x:v>
      </x:c>
      <x:c r="C573" s="2" t="str">
        <x:v>HATLAP_LEC / R14-J078</x:v>
      </x:c>
      <x:c r="D573" s="2" t="n">
        <x:v>37</x:v>
      </x:c>
      <x:c r="E573" s="2" t="n">
        <x:v>18</x:v>
      </x:c>
      <x:c r="F573" s="2" t="n">
        <x:v>-9</x:v>
      </x:c>
      <x:c r="G573" s="2" t="n">
        <x:v>0</x:v>
      </x:c>
      <x:c r="H573" s="2" t="n">
        <x:v>-1</x:v>
      </x:c>
      <x:c r="I573" s="2" t="n">
        <x:v>0</x:v>
      </x:c>
      <x:c r="J573" s="2" t="n">
        <x:v>2.5</x:v>
      </x:c>
      <x:c r="K573" s="2" t="n">
        <x:v>12</x:v>
      </x:c>
      <x:c r="L573" s="2" t="str">
        <x:v>R14 tervezői kiosztás; tényleges laphoz és csavarhoz próbafúrás</x:v>
      </x:c>
    </x:row>
    <x:row r="574" ht="36" customHeight="1">
      <x:c r="A574" s="2" t="str">
        <x:v>R16H0569</x:v>
      </x:c>
      <x:c r="B574" s="2" t="str">
        <x:v>KI14-BAT-07</x:v>
      </x:c>
      <x:c r="C574" s="2" t="str">
        <x:v>LEC_OLDAL / R14-J079</x:v>
      </x:c>
      <x:c r="D574" s="2" t="n">
        <x:v>102</x:v>
      </x:c>
      <x:c r="E574" s="2" t="n">
        <x:v>9</x:v>
      </x:c>
      <x:c r="F574" s="2" t="n">
        <x:v>-18</x:v>
      </x:c>
      <x:c r="G574" s="2" t="n">
        <x:v>0</x:v>
      </x:c>
      <x:c r="H574" s="2" t="n">
        <x:v>0</x:v>
      </x:c>
      <x:c r="I574" s="2" t="n">
        <x:v>1</x:v>
      </x:c>
      <x:c r="J574" s="2" t="n">
        <x:v>4</x:v>
      </x:c>
      <x:c r="K574" s="2" t="n">
        <x:v>18</x:v>
      </x:c>
      <x:c r="L574" s="2" t="str">
        <x:v>R14 tervezői kiosztás; tényleges laphoz és csavarhoz próbafúrás</x:v>
      </x:c>
    </x:row>
    <x:row r="575" ht="36" customHeight="1">
      <x:c r="A575" s="2" t="str">
        <x:v>R16H0570</x:v>
      </x:c>
      <x:c r="B575" s="2" t="str">
        <x:v>KI14-BAT-07</x:v>
      </x:c>
      <x:c r="C575" s="2" t="str">
        <x:v>HATLAP_LEC / R14-J080</x:v>
      </x:c>
      <x:c r="D575" s="2" t="n">
        <x:v>117</x:v>
      </x:c>
      <x:c r="E575" s="2" t="n">
        <x:v>18</x:v>
      </x:c>
      <x:c r="F575" s="2" t="n">
        <x:v>-9</x:v>
      </x:c>
      <x:c r="G575" s="2" t="n">
        <x:v>0</x:v>
      </x:c>
      <x:c r="H575" s="2" t="n">
        <x:v>-1</x:v>
      </x:c>
      <x:c r="I575" s="2" t="n">
        <x:v>0</x:v>
      </x:c>
      <x:c r="J575" s="2" t="n">
        <x:v>2.5</x:v>
      </x:c>
      <x:c r="K575" s="2" t="n">
        <x:v>12</x:v>
      </x:c>
      <x:c r="L575" s="2" t="str">
        <x:v>R14 tervezői kiosztás; tényleges laphoz és csavarhoz próbafúrás</x:v>
      </x:c>
    </x:row>
    <x:row r="576" ht="36" customHeight="1">
      <x:c r="A576" s="2" t="str">
        <x:v>R16H0571</x:v>
      </x:c>
      <x:c r="B576" s="2" t="str">
        <x:v>KI14-BAT-07</x:v>
      </x:c>
      <x:c r="C576" s="2" t="str">
        <x:v>LEC_OLDAL / R14-J081</x:v>
      </x:c>
      <x:c r="D576" s="2" t="n">
        <x:v>182</x:v>
      </x:c>
      <x:c r="E576" s="2" t="n">
        <x:v>9</x:v>
      </x:c>
      <x:c r="F576" s="2" t="n">
        <x:v>-18</x:v>
      </x:c>
      <x:c r="G576" s="2" t="n">
        <x:v>0</x:v>
      </x:c>
      <x:c r="H576" s="2" t="n">
        <x:v>0</x:v>
      </x:c>
      <x:c r="I576" s="2" t="n">
        <x:v>1</x:v>
      </x:c>
      <x:c r="J576" s="2" t="n">
        <x:v>4</x:v>
      </x:c>
      <x:c r="K576" s="2" t="n">
        <x:v>18</x:v>
      </x:c>
      <x:c r="L576" s="2" t="str">
        <x:v>R14 tervezői kiosztás; tényleges laphoz és csavarhoz próbafúrás</x:v>
      </x:c>
    </x:row>
    <x:row r="577" ht="36" customHeight="1">
      <x:c r="A577" s="2" t="str">
        <x:v>R16H0572</x:v>
      </x:c>
      <x:c r="B577" s="2" t="str">
        <x:v>KI14-BAT-07</x:v>
      </x:c>
      <x:c r="C577" s="2" t="str">
        <x:v>HATLAP_LEC / R14-J082</x:v>
      </x:c>
      <x:c r="D577" s="2" t="n">
        <x:v>197</x:v>
      </x:c>
      <x:c r="E577" s="2" t="n">
        <x:v>18</x:v>
      </x:c>
      <x:c r="F577" s="2" t="n">
        <x:v>-9</x:v>
      </x:c>
      <x:c r="G577" s="2" t="n">
        <x:v>0</x:v>
      </x:c>
      <x:c r="H577" s="2" t="n">
        <x:v>-1</x:v>
      </x:c>
      <x:c r="I577" s="2" t="n">
        <x:v>0</x:v>
      </x:c>
      <x:c r="J577" s="2" t="n">
        <x:v>2.5</x:v>
      </x:c>
      <x:c r="K577" s="2" t="n">
        <x:v>12</x:v>
      </x:c>
      <x:c r="L577" s="2" t="str">
        <x:v>R14 tervezői kiosztás; tényleges laphoz és csavarhoz próbafúrás</x:v>
      </x:c>
    </x:row>
    <x:row r="578" ht="36" customHeight="1">
      <x:c r="A578" s="2" t="str">
        <x:v>R16H0573</x:v>
      </x:c>
      <x:c r="B578" s="2" t="str">
        <x:v>KI14-BAT-08</x:v>
      </x:c>
      <x:c r="C578" s="2" t="str">
        <x:v>LEC_OLDAL / R14-J083</x:v>
      </x:c>
      <x:c r="D578" s="2" t="n">
        <x:v>22</x:v>
      </x:c>
      <x:c r="E578" s="2" t="n">
        <x:v>9</x:v>
      </x:c>
      <x:c r="F578" s="2" t="n">
        <x:v>0</x:v>
      </x:c>
      <x:c r="G578" s="2" t="n">
        <x:v>0</x:v>
      </x:c>
      <x:c r="H578" s="2" t="n">
        <x:v>0</x:v>
      </x:c>
      <x:c r="I578" s="2" t="n">
        <x:v>-1</x:v>
      </x:c>
      <x:c r="J578" s="2" t="n">
        <x:v>4</x:v>
      </x:c>
      <x:c r="K578" s="2" t="n">
        <x:v>18</x:v>
      </x:c>
      <x:c r="L578" s="2" t="str">
        <x:v>R14 tervezői kiosztás; tényleges laphoz és csavarhoz próbafúrás</x:v>
      </x:c>
    </x:row>
    <x:row r="579" ht="36" customHeight="1">
      <x:c r="A579" s="2" t="str">
        <x:v>R16H0574</x:v>
      </x:c>
      <x:c r="B579" s="2" t="str">
        <x:v>KI14-BAT-08</x:v>
      </x:c>
      <x:c r="C579" s="2" t="str">
        <x:v>HATLAP_LEC / R14-J084</x:v>
      </x:c>
      <x:c r="D579" s="2" t="n">
        <x:v>37</x:v>
      </x:c>
      <x:c r="E579" s="2" t="n">
        <x:v>18</x:v>
      </x:c>
      <x:c r="F579" s="2" t="n">
        <x:v>-9</x:v>
      </x:c>
      <x:c r="G579" s="2" t="n">
        <x:v>0</x:v>
      </x:c>
      <x:c r="H579" s="2" t="n">
        <x:v>-1</x:v>
      </x:c>
      <x:c r="I579" s="2" t="n">
        <x:v>0</x:v>
      </x:c>
      <x:c r="J579" s="2" t="n">
        <x:v>2.5</x:v>
      </x:c>
      <x:c r="K579" s="2" t="n">
        <x:v>12</x:v>
      </x:c>
      <x:c r="L579" s="2" t="str">
        <x:v>R14 tervezői kiosztás; tényleges laphoz és csavarhoz próbafúrás</x:v>
      </x:c>
    </x:row>
    <x:row r="580" ht="36" customHeight="1">
      <x:c r="A580" s="2" t="str">
        <x:v>R16H0575</x:v>
      </x:c>
      <x:c r="B580" s="2" t="str">
        <x:v>KI14-BAT-08</x:v>
      </x:c>
      <x:c r="C580" s="2" t="str">
        <x:v>LEC_OLDAL / R14-J085</x:v>
      </x:c>
      <x:c r="D580" s="2" t="n">
        <x:v>102</x:v>
      </x:c>
      <x:c r="E580" s="2" t="n">
        <x:v>9</x:v>
      </x:c>
      <x:c r="F580" s="2" t="n">
        <x:v>0</x:v>
      </x:c>
      <x:c r="G580" s="2" t="n">
        <x:v>0</x:v>
      </x:c>
      <x:c r="H580" s="2" t="n">
        <x:v>0</x:v>
      </x:c>
      <x:c r="I580" s="2" t="n">
        <x:v>-1</x:v>
      </x:c>
      <x:c r="J580" s="2" t="n">
        <x:v>4</x:v>
      </x:c>
      <x:c r="K580" s="2" t="n">
        <x:v>18</x:v>
      </x:c>
      <x:c r="L580" s="2" t="str">
        <x:v>R14 tervezői kiosztás; tényleges laphoz és csavarhoz próbafúrás</x:v>
      </x:c>
    </x:row>
    <x:row r="581" ht="36" customHeight="1">
      <x:c r="A581" s="2" t="str">
        <x:v>R16H0576</x:v>
      </x:c>
      <x:c r="B581" s="2" t="str">
        <x:v>KI14-BAT-08</x:v>
      </x:c>
      <x:c r="C581" s="2" t="str">
        <x:v>HATLAP_LEC / R14-J086</x:v>
      </x:c>
      <x:c r="D581" s="2" t="n">
        <x:v>117</x:v>
      </x:c>
      <x:c r="E581" s="2" t="n">
        <x:v>18</x:v>
      </x:c>
      <x:c r="F581" s="2" t="n">
        <x:v>-9</x:v>
      </x:c>
      <x:c r="G581" s="2" t="n">
        <x:v>0</x:v>
      </x:c>
      <x:c r="H581" s="2" t="n">
        <x:v>-1</x:v>
      </x:c>
      <x:c r="I581" s="2" t="n">
        <x:v>0</x:v>
      </x:c>
      <x:c r="J581" s="2" t="n">
        <x:v>2.5</x:v>
      </x:c>
      <x:c r="K581" s="2" t="n">
        <x:v>12</x:v>
      </x:c>
      <x:c r="L581" s="2" t="str">
        <x:v>R14 tervezői kiosztás; tényleges laphoz és csavarhoz próbafúrás</x:v>
      </x:c>
    </x:row>
    <x:row r="582" ht="36" customHeight="1">
      <x:c r="A582" s="2" t="str">
        <x:v>R16H0577</x:v>
      </x:c>
      <x:c r="B582" s="2" t="str">
        <x:v>KI14-BAT-08</x:v>
      </x:c>
      <x:c r="C582" s="2" t="str">
        <x:v>LEC_OLDAL / R14-J087</x:v>
      </x:c>
      <x:c r="D582" s="2" t="n">
        <x:v>182</x:v>
      </x:c>
      <x:c r="E582" s="2" t="n">
        <x:v>9</x:v>
      </x:c>
      <x:c r="F582" s="2" t="n">
        <x:v>0</x:v>
      </x:c>
      <x:c r="G582" s="2" t="n">
        <x:v>0</x:v>
      </x:c>
      <x:c r="H582" s="2" t="n">
        <x:v>0</x:v>
      </x:c>
      <x:c r="I582" s="2" t="n">
        <x:v>-1</x:v>
      </x:c>
      <x:c r="J582" s="2" t="n">
        <x:v>4</x:v>
      </x:c>
      <x:c r="K582" s="2" t="n">
        <x:v>18</x:v>
      </x:c>
      <x:c r="L582" s="2" t="str">
        <x:v>R14 tervezői kiosztás; tényleges laphoz és csavarhoz próbafúrás</x:v>
      </x:c>
    </x:row>
    <x:row r="583" ht="36" customHeight="1">
      <x:c r="A583" s="2" t="str">
        <x:v>R16H0578</x:v>
      </x:c>
      <x:c r="B583" s="2" t="str">
        <x:v>KI14-BAT-08</x:v>
      </x:c>
      <x:c r="C583" s="2" t="str">
        <x:v>HATLAP_LEC / R14-J088</x:v>
      </x:c>
      <x:c r="D583" s="2" t="n">
        <x:v>197</x:v>
      </x:c>
      <x:c r="E583" s="2" t="n">
        <x:v>18</x:v>
      </x:c>
      <x:c r="F583" s="2" t="n">
        <x:v>-9</x:v>
      </x:c>
      <x:c r="G583" s="2" t="n">
        <x:v>0</x:v>
      </x:c>
      <x:c r="H583" s="2" t="n">
        <x:v>-1</x:v>
      </x:c>
      <x:c r="I583" s="2" t="n">
        <x:v>0</x:v>
      </x:c>
      <x:c r="J583" s="2" t="n">
        <x:v>2.5</x:v>
      </x:c>
      <x:c r="K583" s="2" t="n">
        <x:v>12</x:v>
      </x:c>
      <x:c r="L583" s="2" t="str">
        <x:v>R14 tervezői kiosztás; tényleges laphoz és csavarhoz próbafúrás</x:v>
      </x:c>
    </x:row>
    <x:row r="584" ht="36" customHeight="1">
      <x:c r="A584" s="2" t="str">
        <x:v>R16H0579</x:v>
      </x:c>
      <x:c r="B584" s="2" t="str">
        <x:v>KI14-RAIL-03</x:v>
      </x:c>
      <x:c r="C584" s="2" t="str">
        <x:v>MEREVITO_CSAP / R14-J121</x:v>
      </x:c>
      <x:c r="D584" s="2" t="n">
        <x:v>414</x:v>
      </x:c>
      <x:c r="E584" s="2" t="n">
        <x:v>20</x:v>
      </x:c>
      <x:c r="F584" s="2" t="n">
        <x:v>-9</x:v>
      </x:c>
      <x:c r="G584" s="2" t="n">
        <x:v>-1</x:v>
      </x:c>
      <x:c r="H584" s="2" t="n">
        <x:v>0</x:v>
      </x:c>
      <x:c r="I584" s="2" t="n">
        <x:v>0</x:v>
      </x:c>
      <x:c r="J584" s="2" t="n">
        <x:v>8</x:v>
      </x:c>
      <x:c r="K584" s="2" t="n">
        <x:v>22</x:v>
      </x:c>
      <x:c r="L584" s="2" t="str">
        <x:v>R14 Ø8x30 bükk csap, 22+12 mélység; ragasztott próbakötés</x:v>
      </x:c>
    </x:row>
    <x:row r="585" ht="36" customHeight="1">
      <x:c r="A585" s="2" t="str">
        <x:v>R16H0580</x:v>
      </x:c>
      <x:c r="B585" s="2" t="str">
        <x:v>KI14-RAIL-03</x:v>
      </x:c>
      <x:c r="C585" s="2" t="str">
        <x:v>MEREVITO_CSAP / R14-J122</x:v>
      </x:c>
      <x:c r="D585" s="2" t="n">
        <x:v>414</x:v>
      </x:c>
      <x:c r="E585" s="2" t="n">
        <x:v>50</x:v>
      </x:c>
      <x:c r="F585" s="2" t="n">
        <x:v>-9</x:v>
      </x:c>
      <x:c r="G585" s="2" t="n">
        <x:v>-1</x:v>
      </x:c>
      <x:c r="H585" s="2" t="n">
        <x:v>0</x:v>
      </x:c>
      <x:c r="I585" s="2" t="n">
        <x:v>0</x:v>
      </x:c>
      <x:c r="J585" s="2" t="n">
        <x:v>8</x:v>
      </x:c>
      <x:c r="K585" s="2" t="n">
        <x:v>22</x:v>
      </x:c>
      <x:c r="L585" s="2" t="str">
        <x:v>R14 Ø8x30 bükk csap, 22+12 mélység; ragasztott próbakötés</x:v>
      </x:c>
    </x:row>
    <x:row r="586" ht="36" customHeight="1">
      <x:c r="A586" s="2" t="str">
        <x:v>R16H0581</x:v>
      </x:c>
      <x:c r="B586" s="2" t="str">
        <x:v>KI14-RAIL-03</x:v>
      </x:c>
      <x:c r="C586" s="2" t="str">
        <x:v>MEREVITO_CSAP / R14-J123</x:v>
      </x:c>
      <x:c r="D586" s="2" t="n">
        <x:v>414</x:v>
      </x:c>
      <x:c r="E586" s="2" t="n">
        <x:v>80</x:v>
      </x:c>
      <x:c r="F586" s="2" t="n">
        <x:v>-9</x:v>
      </x:c>
      <x:c r="G586" s="2" t="n">
        <x:v>-1</x:v>
      </x:c>
      <x:c r="H586" s="2" t="n">
        <x:v>0</x:v>
      </x:c>
      <x:c r="I586" s="2" t="n">
        <x:v>0</x:v>
      </x:c>
      <x:c r="J586" s="2" t="n">
        <x:v>8</x:v>
      </x:c>
      <x:c r="K586" s="2" t="n">
        <x:v>22</x:v>
      </x:c>
      <x:c r="L586" s="2" t="str">
        <x:v>R14 Ø8x30 bükk csap, 22+12 mélység; ragasztott próbakötés</x:v>
      </x:c>
    </x:row>
    <x:row r="587" ht="36" customHeight="1">
      <x:c r="A587" s="2" t="str">
        <x:v>R16H0582</x:v>
      </x:c>
      <x:c r="B587" s="2" t="str">
        <x:v>KI14-RAIL-03</x:v>
      </x:c>
      <x:c r="C587" s="2" t="str">
        <x:v>MEREVITO_CSAP / R14-J124</x:v>
      </x:c>
      <x:c r="D587" s="2" t="n">
        <x:v>0</x:v>
      </x:c>
      <x:c r="E587" s="2" t="n">
        <x:v>20</x:v>
      </x:c>
      <x:c r="F587" s="2" t="n">
        <x:v>-9</x:v>
      </x:c>
      <x:c r="G587" s="2" t="n">
        <x:v>1</x:v>
      </x:c>
      <x:c r="H587" s="2" t="n">
        <x:v>0</x:v>
      </x:c>
      <x:c r="I587" s="2" t="n">
        <x:v>0</x:v>
      </x:c>
      <x:c r="J587" s="2" t="n">
        <x:v>8</x:v>
      </x:c>
      <x:c r="K587" s="2" t="n">
        <x:v>22</x:v>
      </x:c>
      <x:c r="L587" s="2" t="str">
        <x:v>R14 Ø8x30 bükk csap, 22+12 mélység; ragasztott próbakötés</x:v>
      </x:c>
    </x:row>
    <x:row r="588" ht="36" customHeight="1">
      <x:c r="A588" s="2" t="str">
        <x:v>R16H0583</x:v>
      </x:c>
      <x:c r="B588" s="2" t="str">
        <x:v>KI14-RAIL-03</x:v>
      </x:c>
      <x:c r="C588" s="2" t="str">
        <x:v>MEREVITO_CSAP / R14-J125</x:v>
      </x:c>
      <x:c r="D588" s="2" t="n">
        <x:v>0</x:v>
      </x:c>
      <x:c r="E588" s="2" t="n">
        <x:v>50</x:v>
      </x:c>
      <x:c r="F588" s="2" t="n">
        <x:v>-9</x:v>
      </x:c>
      <x:c r="G588" s="2" t="n">
        <x:v>1</x:v>
      </x:c>
      <x:c r="H588" s="2" t="n">
        <x:v>0</x:v>
      </x:c>
      <x:c r="I588" s="2" t="n">
        <x:v>0</x:v>
      </x:c>
      <x:c r="J588" s="2" t="n">
        <x:v>8</x:v>
      </x:c>
      <x:c r="K588" s="2" t="n">
        <x:v>22</x:v>
      </x:c>
      <x:c r="L588" s="2" t="str">
        <x:v>R14 Ø8x30 bükk csap, 22+12 mélység; ragasztott próbakötés</x:v>
      </x:c>
    </x:row>
    <x:row r="589" ht="36" customHeight="1">
      <x:c r="A589" s="2" t="str">
        <x:v>R16H0584</x:v>
      </x:c>
      <x:c r="B589" s="2" t="str">
        <x:v>KI14-RAIL-03</x:v>
      </x:c>
      <x:c r="C589" s="2" t="str">
        <x:v>MEREVITO_CSAP / R14-J126</x:v>
      </x:c>
      <x:c r="D589" s="2" t="n">
        <x:v>0</x:v>
      </x:c>
      <x:c r="E589" s="2" t="n">
        <x:v>80</x:v>
      </x:c>
      <x:c r="F589" s="2" t="n">
        <x:v>-9</x:v>
      </x:c>
      <x:c r="G589" s="2" t="n">
        <x:v>1</x:v>
      </x:c>
      <x:c r="H589" s="2" t="n">
        <x:v>0</x:v>
      </x:c>
      <x:c r="I589" s="2" t="n">
        <x:v>0</x:v>
      </x:c>
      <x:c r="J589" s="2" t="n">
        <x:v>8</x:v>
      </x:c>
      <x:c r="K589" s="2" t="n">
        <x:v>22</x:v>
      </x:c>
      <x:c r="L589" s="2" t="str">
        <x:v>R14 Ø8x30 bükk csap, 22+12 mélység; ragasztott próbakötés</x:v>
      </x:c>
    </x:row>
    <x:row r="590" ht="36" customHeight="1">
      <x:c r="A590" s="2" t="str">
        <x:v>R16H0585</x:v>
      </x:c>
      <x:c r="B590" s="2" t="str">
        <x:v>KI12-TV02CAP-01</x:v>
      </x:c>
      <x:c r="C590" s="2" t="str">
        <x:v>CSAP J24</x:v>
      </x:c>
      <x:c r="D590" s="2" t="n">
        <x:v>1179</x:v>
      </x:c>
      <x:c r="E590" s="2" t="n">
        <x:v>50</x:v>
      </x:c>
      <x:c r="F590" s="2" t="n">
        <x:v>-18</x:v>
      </x:c>
      <x:c r="G590" s="2" t="n">
        <x:v>0</x:v>
      </x:c>
      <x:c r="H590" s="2" t="n">
        <x:v>0</x:v>
      </x:c>
      <x:c r="I590" s="2" t="n">
        <x:v>1</x:v>
      </x:c>
      <x:c r="J590" s="2" t="n">
        <x:v>8</x:v>
      </x:c>
      <x:c r="K590" s="2" t="n">
        <x:v>12</x:v>
      </x:c>
      <x:c r="L590" s="2" t="str">
        <x:v>R12 J01-J26 / 8x30, 12+22</x:v>
      </x:c>
    </x:row>
    <x:row r="591" ht="36" customHeight="1">
      <x:c r="A591" s="2" t="str">
        <x:v>R16H0586</x:v>
      </x:c>
      <x:c r="B591" s="2" t="str">
        <x:v>KI12-TV02CAP-01</x:v>
      </x:c>
      <x:c r="C591" s="2" t="str">
        <x:v>CSAP J24</x:v>
      </x:c>
      <x:c r="D591" s="2" t="n">
        <x:v>1179</x:v>
      </x:c>
      <x:c r="E591" s="2" t="n">
        <x:v>191</x:v>
      </x:c>
      <x:c r="F591" s="2" t="n">
        <x:v>-18</x:v>
      </x:c>
      <x:c r="G591" s="2" t="n">
        <x:v>0</x:v>
      </x:c>
      <x:c r="H591" s="2" t="n">
        <x:v>0</x:v>
      </x:c>
      <x:c r="I591" s="2" t="n">
        <x:v>1</x:v>
      </x:c>
      <x:c r="J591" s="2" t="n">
        <x:v>8</x:v>
      </x:c>
      <x:c r="K591" s="2" t="n">
        <x:v>12</x:v>
      </x:c>
      <x:c r="L591" s="2" t="str">
        <x:v>R12 J01-J26 / 8x30, 12+22</x:v>
      </x:c>
    </x:row>
    <x:row r="592" ht="36" customHeight="1">
      <x:c r="A592" s="2" t="str">
        <x:v>R16H0587</x:v>
      </x:c>
      <x:c r="B592" s="2" t="str">
        <x:v>KI12-TV02CAP-01</x:v>
      </x:c>
      <x:c r="C592" s="2" t="str">
        <x:v>CSAP J24</x:v>
      </x:c>
      <x:c r="D592" s="2" t="n">
        <x:v>1179</x:v>
      </x:c>
      <x:c r="E592" s="2" t="n">
        <x:v>332</x:v>
      </x:c>
      <x:c r="F592" s="2" t="n">
        <x:v>-18</x:v>
      </x:c>
      <x:c r="G592" s="2" t="n">
        <x:v>0</x:v>
      </x:c>
      <x:c r="H592" s="2" t="n">
        <x:v>0</x:v>
      </x:c>
      <x:c r="I592" s="2" t="n">
        <x:v>1</x:v>
      </x:c>
      <x:c r="J592" s="2" t="n">
        <x:v>8</x:v>
      </x:c>
      <x:c r="K592" s="2" t="n">
        <x:v>12</x:v>
      </x:c>
      <x:c r="L592" s="2" t="str">
        <x:v>R12 J01-J26 / 8x30, 12+22</x:v>
      </x:c>
    </x:row>
    <x:row r="593" ht="36" customHeight="1">
      <x:c r="A593" s="2" t="str">
        <x:v>R16H0588</x:v>
      </x:c>
      <x:c r="B593" s="2" t="str">
        <x:v>KI12-TV02CAP-01</x:v>
      </x:c>
      <x:c r="C593" s="2" t="str">
        <x:v>CSAP J26</x:v>
      </x:c>
      <x:c r="D593" s="2" t="n">
        <x:v>1611</x:v>
      </x:c>
      <x:c r="E593" s="2" t="n">
        <x:v>50</x:v>
      </x:c>
      <x:c r="F593" s="2" t="n">
        <x:v>-18</x:v>
      </x:c>
      <x:c r="G593" s="2" t="n">
        <x:v>0</x:v>
      </x:c>
      <x:c r="H593" s="2" t="n">
        <x:v>0</x:v>
      </x:c>
      <x:c r="I593" s="2" t="n">
        <x:v>1</x:v>
      </x:c>
      <x:c r="J593" s="2" t="n">
        <x:v>8</x:v>
      </x:c>
      <x:c r="K593" s="2" t="n">
        <x:v>12</x:v>
      </x:c>
      <x:c r="L593" s="2" t="str">
        <x:v>R12 J01-J26 / 8x30, 12+22</x:v>
      </x:c>
    </x:row>
    <x:row r="594" ht="36" customHeight="1">
      <x:c r="A594" s="2" t="str">
        <x:v>R16H0589</x:v>
      </x:c>
      <x:c r="B594" s="2" t="str">
        <x:v>KI12-TV02CAP-01</x:v>
      </x:c>
      <x:c r="C594" s="2" t="str">
        <x:v>CSAP J26</x:v>
      </x:c>
      <x:c r="D594" s="2" t="n">
        <x:v>1611</x:v>
      </x:c>
      <x:c r="E594" s="2" t="n">
        <x:v>191</x:v>
      </x:c>
      <x:c r="F594" s="2" t="n">
        <x:v>-18</x:v>
      </x:c>
      <x:c r="G594" s="2" t="n">
        <x:v>0</x:v>
      </x:c>
      <x:c r="H594" s="2" t="n">
        <x:v>0</x:v>
      </x:c>
      <x:c r="I594" s="2" t="n">
        <x:v>1</x:v>
      </x:c>
      <x:c r="J594" s="2" t="n">
        <x:v>8</x:v>
      </x:c>
      <x:c r="K594" s="2" t="n">
        <x:v>12</x:v>
      </x:c>
      <x:c r="L594" s="2" t="str">
        <x:v>R12 J01-J26 / 8x30, 12+22</x:v>
      </x:c>
    </x:row>
    <x:row r="595" ht="36" customHeight="1">
      <x:c r="A595" s="2" t="str">
        <x:v>R16H0590</x:v>
      </x:c>
      <x:c r="B595" s="2" t="str">
        <x:v>KI12-TV02CAP-01</x:v>
      </x:c>
      <x:c r="C595" s="2" t="str">
        <x:v>CSAP J26</x:v>
      </x:c>
      <x:c r="D595" s="2" t="n">
        <x:v>1611</x:v>
      </x:c>
      <x:c r="E595" s="2" t="n">
        <x:v>332</x:v>
      </x:c>
      <x:c r="F595" s="2" t="n">
        <x:v>-18</x:v>
      </x:c>
      <x:c r="G595" s="2" t="n">
        <x:v>0</x:v>
      </x:c>
      <x:c r="H595" s="2" t="n">
        <x:v>0</x:v>
      </x:c>
      <x:c r="I595" s="2" t="n">
        <x:v>1</x:v>
      </x:c>
      <x:c r="J595" s="2" t="n">
        <x:v>8</x:v>
      </x:c>
      <x:c r="K595" s="2" t="n">
        <x:v>12</x:v>
      </x:c>
      <x:c r="L595" s="2" t="str">
        <x:v>R12 J01-J26 / 8x30, 12+22</x:v>
      </x:c>
    </x:row>
    <x:row r="596" ht="36" customHeight="1">
      <x:c r="A596" s="2" t="str">
        <x:v>R16H0591</x:v>
      </x:c>
      <x:c r="B596" s="2" t="str">
        <x:v>KI16-D3-L</x:v>
      </x:c>
      <x:c r="C596" s="2" t="str">
        <x:v>FIÓK_FENEK_ATMENO</x:v>
      </x:c>
      <x:c r="D596" s="2" t="n">
        <x:v>20.5</x:v>
      </x:c>
      <x:c r="E596" s="2" t="n">
        <x:v>50</x:v>
      </x:c>
      <x:c r="F596" s="2" t="n">
        <x:v>0</x:v>
      </x:c>
      <x:c r="G596" s="2" t="n">
        <x:v>0</x:v>
      </x:c>
      <x:c r="H596" s="2" t="n">
        <x:v>0</x:v>
      </x:c>
      <x:c r="I596" s="2" t="n">
        <x:v>-1</x:v>
      </x:c>
      <x:c r="J596" s="2" t="n">
        <x:v>4.5</x:v>
      </x:c>
      <x:c r="K596" s="2" t="n">
        <x:v>15</x:v>
      </x:c>
      <x:c r="L596" s="2" t="str">
        <x:v>R16 szerkezeti terv; anyaghoz illesztett próbafúrás kell</x:v>
      </x:c>
    </x:row>
    <x:row r="597" ht="36" customHeight="1">
      <x:c r="A597" s="2" t="str">
        <x:v>R16H0592</x:v>
      </x:c>
      <x:c r="B597" s="2" t="str">
        <x:v>KI16-D3-B</x:v>
      </x:c>
      <x:c r="C597" s="2" t="str">
        <x:v>FIÓK_FENEK_PILOT</x:v>
      </x:c>
      <x:c r="D597" s="2" t="n">
        <x:v>0</x:v>
      </x:c>
      <x:c r="E597" s="2" t="n">
        <x:v>50</x:v>
      </x:c>
      <x:c r="F597" s="2" t="n">
        <x:v>-7.5</x:v>
      </x:c>
      <x:c r="G597" s="2" t="n">
        <x:v>1</x:v>
      </x:c>
      <x:c r="H597" s="2" t="n">
        <x:v>0</x:v>
      </x:c>
      <x:c r="I597" s="2" t="n">
        <x:v>0</x:v>
      </x:c>
      <x:c r="J597" s="2" t="n">
        <x:v>2.5</x:v>
      </x:c>
      <x:c r="K597" s="2" t="n">
        <x:v>20</x:v>
      </x:c>
      <x:c r="L597" s="2" t="str">
        <x:v>R16 szerkezeti terv; anyaghoz illesztett próbafúrás kell</x:v>
      </x:c>
    </x:row>
    <x:row r="598" ht="36" customHeight="1">
      <x:c r="A598" s="2" t="str">
        <x:v>R16H0593</x:v>
      </x:c>
      <x:c r="B598" s="2" t="str">
        <x:v>KI16-D3-L</x:v>
      </x:c>
      <x:c r="C598" s="2" t="str">
        <x:v>FIÓK_FENEK_ATMENO</x:v>
      </x:c>
      <x:c r="D598" s="2" t="n">
        <x:v>20.5</x:v>
      </x:c>
      <x:c r="E598" s="2" t="n">
        <x:v>145</x:v>
      </x:c>
      <x:c r="F598" s="2" t="n">
        <x:v>0</x:v>
      </x:c>
      <x:c r="G598" s="2" t="n">
        <x:v>0</x:v>
      </x:c>
      <x:c r="H598" s="2" t="n">
        <x:v>0</x:v>
      </x:c>
      <x:c r="I598" s="2" t="n">
        <x:v>-1</x:v>
      </x:c>
      <x:c r="J598" s="2" t="n">
        <x:v>4.5</x:v>
      </x:c>
      <x:c r="K598" s="2" t="n">
        <x:v>15</x:v>
      </x:c>
      <x:c r="L598" s="2" t="str">
        <x:v>R16 szerkezeti terv; anyaghoz illesztett próbafúrás kell</x:v>
      </x:c>
    </x:row>
    <x:row r="599" ht="36" customHeight="1">
      <x:c r="A599" s="2" t="str">
        <x:v>R16H0594</x:v>
      </x:c>
      <x:c r="B599" s="2" t="str">
        <x:v>KI16-D3-B</x:v>
      </x:c>
      <x:c r="C599" s="2" t="str">
        <x:v>FIÓK_FENEK_PILOT</x:v>
      </x:c>
      <x:c r="D599" s="2" t="n">
        <x:v>0</x:v>
      </x:c>
      <x:c r="E599" s="2" t="n">
        <x:v>145</x:v>
      </x:c>
      <x:c r="F599" s="2" t="n">
        <x:v>-7.5</x:v>
      </x:c>
      <x:c r="G599" s="2" t="n">
        <x:v>1</x:v>
      </x:c>
      <x:c r="H599" s="2" t="n">
        <x:v>0</x:v>
      </x:c>
      <x:c r="I599" s="2" t="n">
        <x:v>0</x:v>
      </x:c>
      <x:c r="J599" s="2" t="n">
        <x:v>2.5</x:v>
      </x:c>
      <x:c r="K599" s="2" t="n">
        <x:v>20</x:v>
      </x:c>
      <x:c r="L599" s="2" t="str">
        <x:v>R16 szerkezeti terv; anyaghoz illesztett próbafúrás kell</x:v>
      </x:c>
    </x:row>
    <x:row r="600" ht="36" customHeight="1">
      <x:c r="A600" s="2" t="str">
        <x:v>R16H0595</x:v>
      </x:c>
      <x:c r="B600" s="2" t="str">
        <x:v>KI16-D3-L</x:v>
      </x:c>
      <x:c r="C600" s="2" t="str">
        <x:v>FIÓK_FENEK_ATMENO</x:v>
      </x:c>
      <x:c r="D600" s="2" t="n">
        <x:v>20.5</x:v>
      </x:c>
      <x:c r="E600" s="2" t="n">
        <x:v>240</x:v>
      </x:c>
      <x:c r="F600" s="2" t="n">
        <x:v>0</x:v>
      </x:c>
      <x:c r="G600" s="2" t="n">
        <x:v>0</x:v>
      </x:c>
      <x:c r="H600" s="2" t="n">
        <x:v>0</x:v>
      </x:c>
      <x:c r="I600" s="2" t="n">
        <x:v>-1</x:v>
      </x:c>
      <x:c r="J600" s="2" t="n">
        <x:v>4.5</x:v>
      </x:c>
      <x:c r="K600" s="2" t="n">
        <x:v>15</x:v>
      </x:c>
      <x:c r="L600" s="2" t="str">
        <x:v>R16 szerkezeti terv; anyaghoz illesztett próbafúrás kell</x:v>
      </x:c>
    </x:row>
    <x:row r="601" ht="36" customHeight="1">
      <x:c r="A601" s="2" t="str">
        <x:v>R16H0596</x:v>
      </x:c>
      <x:c r="B601" s="2" t="str">
        <x:v>KI16-D3-B</x:v>
      </x:c>
      <x:c r="C601" s="2" t="str">
        <x:v>FIÓK_FENEK_PILOT</x:v>
      </x:c>
      <x:c r="D601" s="2" t="n">
        <x:v>0</x:v>
      </x:c>
      <x:c r="E601" s="2" t="n">
        <x:v>240</x:v>
      </x:c>
      <x:c r="F601" s="2" t="n">
        <x:v>-7.5</x:v>
      </x:c>
      <x:c r="G601" s="2" t="n">
        <x:v>1</x:v>
      </x:c>
      <x:c r="H601" s="2" t="n">
        <x:v>0</x:v>
      </x:c>
      <x:c r="I601" s="2" t="n">
        <x:v>0</x:v>
      </x:c>
      <x:c r="J601" s="2" t="n">
        <x:v>2.5</x:v>
      </x:c>
      <x:c r="K601" s="2" t="n">
        <x:v>20</x:v>
      </x:c>
      <x:c r="L601" s="2" t="str">
        <x:v>R16 szerkezeti terv; anyaghoz illesztett próbafúrás kell</x:v>
      </x:c>
    </x:row>
    <x:row r="602" ht="36" customHeight="1">
      <x:c r="A602" s="2" t="str">
        <x:v>R16H0597</x:v>
      </x:c>
      <x:c r="B602" s="2" t="str">
        <x:v>KI16-D3-L</x:v>
      </x:c>
      <x:c r="C602" s="2" t="str">
        <x:v>FIÓK_ELO_HAT_ATMENO</x:v>
      </x:c>
      <x:c r="D602" s="2" t="n">
        <x:v>73</x:v>
      </x:c>
      <x:c r="E602" s="2" t="n">
        <x:v>7.5</x:v>
      </x:c>
      <x:c r="F602" s="2" t="n">
        <x:v>0</x:v>
      </x:c>
      <x:c r="G602" s="2" t="n">
        <x:v>0</x:v>
      </x:c>
      <x:c r="H602" s="2" t="n">
        <x:v>0</x:v>
      </x:c>
      <x:c r="I602" s="2" t="n">
        <x:v>-1</x:v>
      </x:c>
      <x:c r="J602" s="2" t="n">
        <x:v>4.5</x:v>
      </x:c>
      <x:c r="K602" s="2" t="n">
        <x:v>15</x:v>
      </x:c>
      <x:c r="L602" s="2" t="str">
        <x:v>R16 szerkezeti terv; anyaghoz illesztett próbafúrás kell</x:v>
      </x:c>
    </x:row>
    <x:row r="603" ht="36" customHeight="1">
      <x:c r="A603" s="2" t="str">
        <x:v>R16H0598</x:v>
      </x:c>
      <x:c r="B603" s="2" t="str">
        <x:v>KI16-D3-F</x:v>
      </x:c>
      <x:c r="C603" s="2" t="str">
        <x:v>FIÓK_ELO_HAT_PILOT</x:v>
      </x:c>
      <x:c r="D603" s="2" t="n">
        <x:v>372</x:v>
      </x:c>
      <x:c r="E603" s="2" t="n">
        <x:v>45</x:v>
      </x:c>
      <x:c r="F603" s="2" t="n">
        <x:v>-7.5</x:v>
      </x:c>
      <x:c r="G603" s="2" t="n">
        <x:v>-1</x:v>
      </x:c>
      <x:c r="H603" s="2" t="n">
        <x:v>0</x:v>
      </x:c>
      <x:c r="I603" s="2" t="n">
        <x:v>0</x:v>
      </x:c>
      <x:c r="J603" s="2" t="n">
        <x:v>2.5</x:v>
      </x:c>
      <x:c r="K603" s="2" t="n">
        <x:v>20</x:v>
      </x:c>
      <x:c r="L603" s="2" t="str">
        <x:v>R16 szerkezeti terv; anyaghoz illesztett próbafúrás kell</x:v>
      </x:c>
    </x:row>
    <x:row r="604" ht="36" customHeight="1">
      <x:c r="A604" s="2" t="str">
        <x:v>R16H0599</x:v>
      </x:c>
      <x:c r="B604" s="2" t="str">
        <x:v>KI16-D3-L</x:v>
      </x:c>
      <x:c r="C604" s="2" t="str">
        <x:v>FIÓK_ELO_HAT_ATMENO</x:v>
      </x:c>
      <x:c r="D604" s="2" t="n">
        <x:v>203</x:v>
      </x:c>
      <x:c r="E604" s="2" t="n">
        <x:v>7.5</x:v>
      </x:c>
      <x:c r="F604" s="2" t="n">
        <x:v>0</x:v>
      </x:c>
      <x:c r="G604" s="2" t="n">
        <x:v>0</x:v>
      </x:c>
      <x:c r="H604" s="2" t="n">
        <x:v>0</x:v>
      </x:c>
      <x:c r="I604" s="2" t="n">
        <x:v>-1</x:v>
      </x:c>
      <x:c r="J604" s="2" t="n">
        <x:v>4.5</x:v>
      </x:c>
      <x:c r="K604" s="2" t="n">
        <x:v>15</x:v>
      </x:c>
      <x:c r="L604" s="2" t="str">
        <x:v>R16 szerkezeti terv; anyaghoz illesztett próbafúrás kell</x:v>
      </x:c>
    </x:row>
    <x:row r="605" ht="36" customHeight="1">
      <x:c r="A605" s="2" t="str">
        <x:v>R16H0600</x:v>
      </x:c>
      <x:c r="B605" s="2" t="str">
        <x:v>KI16-D3-F</x:v>
      </x:c>
      <x:c r="C605" s="2" t="str">
        <x:v>FIÓK_ELO_HAT_PILOT</x:v>
      </x:c>
      <x:c r="D605" s="2" t="n">
        <x:v>372</x:v>
      </x:c>
      <x:c r="E605" s="2" t="n">
        <x:v>175</x:v>
      </x:c>
      <x:c r="F605" s="2" t="n">
        <x:v>-7.5</x:v>
      </x:c>
      <x:c r="G605" s="2" t="n">
        <x:v>-1</x:v>
      </x:c>
      <x:c r="H605" s="2" t="n">
        <x:v>0</x:v>
      </x:c>
      <x:c r="I605" s="2" t="n">
        <x:v>0</x:v>
      </x:c>
      <x:c r="J605" s="2" t="n">
        <x:v>2.5</x:v>
      </x:c>
      <x:c r="K605" s="2" t="n">
        <x:v>20</x:v>
      </x:c>
      <x:c r="L605" s="2" t="str">
        <x:v>R16 szerkezeti terv; anyaghoz illesztett próbafúrás kell</x:v>
      </x:c>
    </x:row>
    <x:row r="606" ht="36" customHeight="1">
      <x:c r="A606" s="2" t="str">
        <x:v>R16H0601</x:v>
      </x:c>
      <x:c r="B606" s="2" t="str">
        <x:v>KI16-D3-L</x:v>
      </x:c>
      <x:c r="C606" s="2" t="str">
        <x:v>FIÓK_ELO_HAT_ATMENO</x:v>
      </x:c>
      <x:c r="D606" s="2" t="n">
        <x:v>73</x:v>
      </x:c>
      <x:c r="E606" s="2" t="n">
        <x:v>282.5</x:v>
      </x:c>
      <x:c r="F606" s="2" t="n">
        <x:v>0</x:v>
      </x:c>
      <x:c r="G606" s="2" t="n">
        <x:v>0</x:v>
      </x:c>
      <x:c r="H606" s="2" t="n">
        <x:v>0</x:v>
      </x:c>
      <x:c r="I606" s="2" t="n">
        <x:v>-1</x:v>
      </x:c>
      <x:c r="J606" s="2" t="n">
        <x:v>4.5</x:v>
      </x:c>
      <x:c r="K606" s="2" t="n">
        <x:v>15</x:v>
      </x:c>
      <x:c r="L606" s="2" t="str">
        <x:v>R16 szerkezeti terv; anyaghoz illesztett próbafúrás kell</x:v>
      </x:c>
    </x:row>
    <x:row r="607" ht="36" customHeight="1">
      <x:c r="A607" s="2" t="str">
        <x:v>R16H0602</x:v>
      </x:c>
      <x:c r="B607" s="2" t="str">
        <x:v>KI16-D3-H</x:v>
      </x:c>
      <x:c r="C607" s="2" t="str">
        <x:v>FIÓK_ELO_HAT_PILOT</x:v>
      </x:c>
      <x:c r="D607" s="2" t="n">
        <x:v>372</x:v>
      </x:c>
      <x:c r="E607" s="2" t="n">
        <x:v>45</x:v>
      </x:c>
      <x:c r="F607" s="2" t="n">
        <x:v>-7.5</x:v>
      </x:c>
      <x:c r="G607" s="2" t="n">
        <x:v>-1</x:v>
      </x:c>
      <x:c r="H607" s="2" t="n">
        <x:v>0</x:v>
      </x:c>
      <x:c r="I607" s="2" t="n">
        <x:v>0</x:v>
      </x:c>
      <x:c r="J607" s="2" t="n">
        <x:v>2.5</x:v>
      </x:c>
      <x:c r="K607" s="2" t="n">
        <x:v>20</x:v>
      </x:c>
      <x:c r="L607" s="2" t="str">
        <x:v>R16 szerkezeti terv; anyaghoz illesztett próbafúrás kell</x:v>
      </x:c>
    </x:row>
    <x:row r="608" ht="36" customHeight="1">
      <x:c r="A608" s="2" t="str">
        <x:v>R16H0603</x:v>
      </x:c>
      <x:c r="B608" s="2" t="str">
        <x:v>KI16-D3-L</x:v>
      </x:c>
      <x:c r="C608" s="2" t="str">
        <x:v>FIÓK_ELO_HAT_ATMENO</x:v>
      </x:c>
      <x:c r="D608" s="2" t="n">
        <x:v>203</x:v>
      </x:c>
      <x:c r="E608" s="2" t="n">
        <x:v>282.5</x:v>
      </x:c>
      <x:c r="F608" s="2" t="n">
        <x:v>0</x:v>
      </x:c>
      <x:c r="G608" s="2" t="n">
        <x:v>0</x:v>
      </x:c>
      <x:c r="H608" s="2" t="n">
        <x:v>0</x:v>
      </x:c>
      <x:c r="I608" s="2" t="n">
        <x:v>-1</x:v>
      </x:c>
      <x:c r="J608" s="2" t="n">
        <x:v>4.5</x:v>
      </x:c>
      <x:c r="K608" s="2" t="n">
        <x:v>15</x:v>
      </x:c>
      <x:c r="L608" s="2" t="str">
        <x:v>R16 szerkezeti terv; anyaghoz illesztett próbafúrás kell</x:v>
      </x:c>
    </x:row>
    <x:row r="609" ht="36" customHeight="1">
      <x:c r="A609" s="2" t="str">
        <x:v>R16H0604</x:v>
      </x:c>
      <x:c r="B609" s="2" t="str">
        <x:v>KI16-D3-H</x:v>
      </x:c>
      <x:c r="C609" s="2" t="str">
        <x:v>FIÓK_ELO_HAT_PILOT</x:v>
      </x:c>
      <x:c r="D609" s="2" t="n">
        <x:v>372</x:v>
      </x:c>
      <x:c r="E609" s="2" t="n">
        <x:v>175</x:v>
      </x:c>
      <x:c r="F609" s="2" t="n">
        <x:v>-7.5</x:v>
      </x:c>
      <x:c r="G609" s="2" t="n">
        <x:v>-1</x:v>
      </x:c>
      <x:c r="H609" s="2" t="n">
        <x:v>0</x:v>
      </x:c>
      <x:c r="I609" s="2" t="n">
        <x:v>0</x:v>
      </x:c>
      <x:c r="J609" s="2" t="n">
        <x:v>2.5</x:v>
      </x:c>
      <x:c r="K609" s="2" t="n">
        <x:v>20</x:v>
      </x:c>
      <x:c r="L609" s="2" t="str">
        <x:v>R16 szerkezeti terv; anyaghoz illesztett próbafúrás kell</x:v>
      </x:c>
    </x:row>
    <x:row r="610" ht="36" customHeight="1">
      <x:c r="A610" s="2" t="str">
        <x:v>R16H0605</x:v>
      </x:c>
      <x:c r="B610" s="2" t="str">
        <x:v>KI16-D3-R</x:v>
      </x:c>
      <x:c r="C610" s="2" t="str">
        <x:v>FIÓK_FENEK_ATMENO</x:v>
      </x:c>
      <x:c r="D610" s="2" t="n">
        <x:v>20.5</x:v>
      </x:c>
      <x:c r="E610" s="2" t="n">
        <x:v>50</x:v>
      </x:c>
      <x:c r="F610" s="2" t="n">
        <x:v>-15</x:v>
      </x:c>
      <x:c r="G610" s="2" t="n">
        <x:v>0</x:v>
      </x:c>
      <x:c r="H610" s="2" t="n">
        <x:v>0</x:v>
      </x:c>
      <x:c r="I610" s="2" t="n">
        <x:v>1</x:v>
      </x:c>
      <x:c r="J610" s="2" t="n">
        <x:v>4.5</x:v>
      </x:c>
      <x:c r="K610" s="2" t="n">
        <x:v>15</x:v>
      </x:c>
      <x:c r="L610" s="2" t="str">
        <x:v>R16 szerkezeti terv; anyaghoz illesztett próbafúrás kell</x:v>
      </x:c>
    </x:row>
    <x:row r="611" ht="36" customHeight="1">
      <x:c r="A611" s="2" t="str">
        <x:v>R16H0606</x:v>
      </x:c>
      <x:c r="B611" s="2" t="str">
        <x:v>KI16-D3-B</x:v>
      </x:c>
      <x:c r="C611" s="2" t="str">
        <x:v>FIÓK_FENEK_PILOT</x:v>
      </x:c>
      <x:c r="D611" s="2" t="n">
        <x:v>372</x:v>
      </x:c>
      <x:c r="E611" s="2" t="n">
        <x:v>50</x:v>
      </x:c>
      <x:c r="F611" s="2" t="n">
        <x:v>-7.5</x:v>
      </x:c>
      <x:c r="G611" s="2" t="n">
        <x:v>-1</x:v>
      </x:c>
      <x:c r="H611" s="2" t="n">
        <x:v>0</x:v>
      </x:c>
      <x:c r="I611" s="2" t="n">
        <x:v>0</x:v>
      </x:c>
      <x:c r="J611" s="2" t="n">
        <x:v>2.5</x:v>
      </x:c>
      <x:c r="K611" s="2" t="n">
        <x:v>20</x:v>
      </x:c>
      <x:c r="L611" s="2" t="str">
        <x:v>R16 szerkezeti terv; anyaghoz illesztett próbafúrás kell</x:v>
      </x:c>
    </x:row>
    <x:row r="612" ht="36" customHeight="1">
      <x:c r="A612" s="2" t="str">
        <x:v>R16H0607</x:v>
      </x:c>
      <x:c r="B612" s="2" t="str">
        <x:v>KI16-D3-R</x:v>
      </x:c>
      <x:c r="C612" s="2" t="str">
        <x:v>FIÓK_FENEK_ATMENO</x:v>
      </x:c>
      <x:c r="D612" s="2" t="n">
        <x:v>20.5</x:v>
      </x:c>
      <x:c r="E612" s="2" t="n">
        <x:v>145</x:v>
      </x:c>
      <x:c r="F612" s="2" t="n">
        <x:v>-15</x:v>
      </x:c>
      <x:c r="G612" s="2" t="n">
        <x:v>0</x:v>
      </x:c>
      <x:c r="H612" s="2" t="n">
        <x:v>0</x:v>
      </x:c>
      <x:c r="I612" s="2" t="n">
        <x:v>1</x:v>
      </x:c>
      <x:c r="J612" s="2" t="n">
        <x:v>4.5</x:v>
      </x:c>
      <x:c r="K612" s="2" t="n">
        <x:v>15</x:v>
      </x:c>
      <x:c r="L612" s="2" t="str">
        <x:v>R16 szerkezeti terv; anyaghoz illesztett próbafúrás kell</x:v>
      </x:c>
    </x:row>
    <x:row r="613" ht="36" customHeight="1">
      <x:c r="A613" s="2" t="str">
        <x:v>R16H0608</x:v>
      </x:c>
      <x:c r="B613" s="2" t="str">
        <x:v>KI16-D3-B</x:v>
      </x:c>
      <x:c r="C613" s="2" t="str">
        <x:v>FIÓK_FENEK_PILOT</x:v>
      </x:c>
      <x:c r="D613" s="2" t="n">
        <x:v>372</x:v>
      </x:c>
      <x:c r="E613" s="2" t="n">
        <x:v>145</x:v>
      </x:c>
      <x:c r="F613" s="2" t="n">
        <x:v>-7.5</x:v>
      </x:c>
      <x:c r="G613" s="2" t="n">
        <x:v>-1</x:v>
      </x:c>
      <x:c r="H613" s="2" t="n">
        <x:v>0</x:v>
      </x:c>
      <x:c r="I613" s="2" t="n">
        <x:v>0</x:v>
      </x:c>
      <x:c r="J613" s="2" t="n">
        <x:v>2.5</x:v>
      </x:c>
      <x:c r="K613" s="2" t="n">
        <x:v>20</x:v>
      </x:c>
      <x:c r="L613" s="2" t="str">
        <x:v>R16 szerkezeti terv; anyaghoz illesztett próbafúrás kell</x:v>
      </x:c>
    </x:row>
    <x:row r="614" ht="36" customHeight="1">
      <x:c r="A614" s="2" t="str">
        <x:v>R16H0609</x:v>
      </x:c>
      <x:c r="B614" s="2" t="str">
        <x:v>KI16-D3-R</x:v>
      </x:c>
      <x:c r="C614" s="2" t="str">
        <x:v>FIÓK_FENEK_ATMENO</x:v>
      </x:c>
      <x:c r="D614" s="2" t="n">
        <x:v>20.5</x:v>
      </x:c>
      <x:c r="E614" s="2" t="n">
        <x:v>240</x:v>
      </x:c>
      <x:c r="F614" s="2" t="n">
        <x:v>-15</x:v>
      </x:c>
      <x:c r="G614" s="2" t="n">
        <x:v>0</x:v>
      </x:c>
      <x:c r="H614" s="2" t="n">
        <x:v>0</x:v>
      </x:c>
      <x:c r="I614" s="2" t="n">
        <x:v>1</x:v>
      </x:c>
      <x:c r="J614" s="2" t="n">
        <x:v>4.5</x:v>
      </x:c>
      <x:c r="K614" s="2" t="n">
        <x:v>15</x:v>
      </x:c>
      <x:c r="L614" s="2" t="str">
        <x:v>R16 szerkezeti terv; anyaghoz illesztett próbafúrás kell</x:v>
      </x:c>
    </x:row>
    <x:row r="615" ht="36" customHeight="1">
      <x:c r="A615" s="2" t="str">
        <x:v>R16H0610</x:v>
      </x:c>
      <x:c r="B615" s="2" t="str">
        <x:v>KI16-D3-B</x:v>
      </x:c>
      <x:c r="C615" s="2" t="str">
        <x:v>FIÓK_FENEK_PILOT</x:v>
      </x:c>
      <x:c r="D615" s="2" t="n">
        <x:v>372</x:v>
      </x:c>
      <x:c r="E615" s="2" t="n">
        <x:v>240</x:v>
      </x:c>
      <x:c r="F615" s="2" t="n">
        <x:v>-7.5</x:v>
      </x:c>
      <x:c r="G615" s="2" t="n">
        <x:v>-1</x:v>
      </x:c>
      <x:c r="H615" s="2" t="n">
        <x:v>0</x:v>
      </x:c>
      <x:c r="I615" s="2" t="n">
        <x:v>0</x:v>
      </x:c>
      <x:c r="J615" s="2" t="n">
        <x:v>2.5</x:v>
      </x:c>
      <x:c r="K615" s="2" t="n">
        <x:v>20</x:v>
      </x:c>
      <x:c r="L615" s="2" t="str">
        <x:v>R16 szerkezeti terv; anyaghoz illesztett próbafúrás kell</x:v>
      </x:c>
    </x:row>
    <x:row r="616" ht="36" customHeight="1">
      <x:c r="A616" s="2" t="str">
        <x:v>R16H0611</x:v>
      </x:c>
      <x:c r="B616" s="2" t="str">
        <x:v>KI16-D3-R</x:v>
      </x:c>
      <x:c r="C616" s="2" t="str">
        <x:v>FIÓK_ELO_HAT_ATMENO</x:v>
      </x:c>
      <x:c r="D616" s="2" t="n">
        <x:v>73</x:v>
      </x:c>
      <x:c r="E616" s="2" t="n">
        <x:v>7.5</x:v>
      </x:c>
      <x:c r="F616" s="2" t="n">
        <x:v>-15</x:v>
      </x:c>
      <x:c r="G616" s="2" t="n">
        <x:v>0</x:v>
      </x:c>
      <x:c r="H616" s="2" t="n">
        <x:v>0</x:v>
      </x:c>
      <x:c r="I616" s="2" t="n">
        <x:v>1</x:v>
      </x:c>
      <x:c r="J616" s="2" t="n">
        <x:v>4.5</x:v>
      </x:c>
      <x:c r="K616" s="2" t="n">
        <x:v>15</x:v>
      </x:c>
      <x:c r="L616" s="2" t="str">
        <x:v>R16 szerkezeti terv; anyaghoz illesztett próbafúrás kell</x:v>
      </x:c>
    </x:row>
    <x:row r="617" ht="36" customHeight="1">
      <x:c r="A617" s="2" t="str">
        <x:v>R16H0612</x:v>
      </x:c>
      <x:c r="B617" s="2" t="str">
        <x:v>KI16-D3-F</x:v>
      </x:c>
      <x:c r="C617" s="2" t="str">
        <x:v>FIÓK_ELO_HAT_PILOT</x:v>
      </x:c>
      <x:c r="D617" s="2" t="n">
        <x:v>0</x:v>
      </x:c>
      <x:c r="E617" s="2" t="n">
        <x:v>45</x:v>
      </x:c>
      <x:c r="F617" s="2" t="n">
        <x:v>-7.5</x:v>
      </x:c>
      <x:c r="G617" s="2" t="n">
        <x:v>1</x:v>
      </x:c>
      <x:c r="H617" s="2" t="n">
        <x:v>0</x:v>
      </x:c>
      <x:c r="I617" s="2" t="n">
        <x:v>0</x:v>
      </x:c>
      <x:c r="J617" s="2" t="n">
        <x:v>2.5</x:v>
      </x:c>
      <x:c r="K617" s="2" t="n">
        <x:v>20</x:v>
      </x:c>
      <x:c r="L617" s="2" t="str">
        <x:v>R16 szerkezeti terv; anyaghoz illesztett próbafúrás kell</x:v>
      </x:c>
    </x:row>
    <x:row r="618" ht="36" customHeight="1">
      <x:c r="A618" s="2" t="str">
        <x:v>R16H0613</x:v>
      </x:c>
      <x:c r="B618" s="2" t="str">
        <x:v>KI16-D3-R</x:v>
      </x:c>
      <x:c r="C618" s="2" t="str">
        <x:v>FIÓK_ELO_HAT_ATMENO</x:v>
      </x:c>
      <x:c r="D618" s="2" t="n">
        <x:v>203</x:v>
      </x:c>
      <x:c r="E618" s="2" t="n">
        <x:v>7.5</x:v>
      </x:c>
      <x:c r="F618" s="2" t="n">
        <x:v>-15</x:v>
      </x:c>
      <x:c r="G618" s="2" t="n">
        <x:v>0</x:v>
      </x:c>
      <x:c r="H618" s="2" t="n">
        <x:v>0</x:v>
      </x:c>
      <x:c r="I618" s="2" t="n">
        <x:v>1</x:v>
      </x:c>
      <x:c r="J618" s="2" t="n">
        <x:v>4.5</x:v>
      </x:c>
      <x:c r="K618" s="2" t="n">
        <x:v>15</x:v>
      </x:c>
      <x:c r="L618" s="2" t="str">
        <x:v>R16 szerkezeti terv; anyaghoz illesztett próbafúrás kell</x:v>
      </x:c>
    </x:row>
    <x:row r="619" ht="36" customHeight="1">
      <x:c r="A619" s="2" t="str">
        <x:v>R16H0614</x:v>
      </x:c>
      <x:c r="B619" s="2" t="str">
        <x:v>KI16-D3-F</x:v>
      </x:c>
      <x:c r="C619" s="2" t="str">
        <x:v>FIÓK_ELO_HAT_PILOT</x:v>
      </x:c>
      <x:c r="D619" s="2" t="n">
        <x:v>0</x:v>
      </x:c>
      <x:c r="E619" s="2" t="n">
        <x:v>175</x:v>
      </x:c>
      <x:c r="F619" s="2" t="n">
        <x:v>-7.5</x:v>
      </x:c>
      <x:c r="G619" s="2" t="n">
        <x:v>1</x:v>
      </x:c>
      <x:c r="H619" s="2" t="n">
        <x:v>0</x:v>
      </x:c>
      <x:c r="I619" s="2" t="n">
        <x:v>0</x:v>
      </x:c>
      <x:c r="J619" s="2" t="n">
        <x:v>2.5</x:v>
      </x:c>
      <x:c r="K619" s="2" t="n">
        <x:v>20</x:v>
      </x:c>
      <x:c r="L619" s="2" t="str">
        <x:v>R16 szerkezeti terv; anyaghoz illesztett próbafúrás kell</x:v>
      </x:c>
    </x:row>
    <x:row r="620" ht="36" customHeight="1">
      <x:c r="A620" s="2" t="str">
        <x:v>R16H0615</x:v>
      </x:c>
      <x:c r="B620" s="2" t="str">
        <x:v>KI16-D3-R</x:v>
      </x:c>
      <x:c r="C620" s="2" t="str">
        <x:v>FIÓK_ELO_HAT_ATMENO</x:v>
      </x:c>
      <x:c r="D620" s="2" t="n">
        <x:v>73</x:v>
      </x:c>
      <x:c r="E620" s="2" t="n">
        <x:v>282.5</x:v>
      </x:c>
      <x:c r="F620" s="2" t="n">
        <x:v>-15</x:v>
      </x:c>
      <x:c r="G620" s="2" t="n">
        <x:v>0</x:v>
      </x:c>
      <x:c r="H620" s="2" t="n">
        <x:v>0</x:v>
      </x:c>
      <x:c r="I620" s="2" t="n">
        <x:v>1</x:v>
      </x:c>
      <x:c r="J620" s="2" t="n">
        <x:v>4.5</x:v>
      </x:c>
      <x:c r="K620" s="2" t="n">
        <x:v>15</x:v>
      </x:c>
      <x:c r="L620" s="2" t="str">
        <x:v>R16 szerkezeti terv; anyaghoz illesztett próbafúrás kell</x:v>
      </x:c>
    </x:row>
    <x:row r="621" ht="36" customHeight="1">
      <x:c r="A621" s="2" t="str">
        <x:v>R16H0616</x:v>
      </x:c>
      <x:c r="B621" s="2" t="str">
        <x:v>KI16-D3-H</x:v>
      </x:c>
      <x:c r="C621" s="2" t="str">
        <x:v>FIÓK_ELO_HAT_PILOT</x:v>
      </x:c>
      <x:c r="D621" s="2" t="n">
        <x:v>0</x:v>
      </x:c>
      <x:c r="E621" s="2" t="n">
        <x:v>45</x:v>
      </x:c>
      <x:c r="F621" s="2" t="n">
        <x:v>-7.5</x:v>
      </x:c>
      <x:c r="G621" s="2" t="n">
        <x:v>1</x:v>
      </x:c>
      <x:c r="H621" s="2" t="n">
        <x:v>0</x:v>
      </x:c>
      <x:c r="I621" s="2" t="n">
        <x:v>0</x:v>
      </x:c>
      <x:c r="J621" s="2" t="n">
        <x:v>2.5</x:v>
      </x:c>
      <x:c r="K621" s="2" t="n">
        <x:v>20</x:v>
      </x:c>
      <x:c r="L621" s="2" t="str">
        <x:v>R16 szerkezeti terv; anyaghoz illesztett próbafúrás kell</x:v>
      </x:c>
    </x:row>
    <x:row r="622" ht="36" customHeight="1">
      <x:c r="A622" s="2" t="str">
        <x:v>R16H0617</x:v>
      </x:c>
      <x:c r="B622" s="2" t="str">
        <x:v>KI16-D3-R</x:v>
      </x:c>
      <x:c r="C622" s="2" t="str">
        <x:v>FIÓK_ELO_HAT_ATMENO</x:v>
      </x:c>
      <x:c r="D622" s="2" t="n">
        <x:v>203</x:v>
      </x:c>
      <x:c r="E622" s="2" t="n">
        <x:v>282.5</x:v>
      </x:c>
      <x:c r="F622" s="2" t="n">
        <x:v>-15</x:v>
      </x:c>
      <x:c r="G622" s="2" t="n">
        <x:v>0</x:v>
      </x:c>
      <x:c r="H622" s="2" t="n">
        <x:v>0</x:v>
      </x:c>
      <x:c r="I622" s="2" t="n">
        <x:v>1</x:v>
      </x:c>
      <x:c r="J622" s="2" t="n">
        <x:v>4.5</x:v>
      </x:c>
      <x:c r="K622" s="2" t="n">
        <x:v>15</x:v>
      </x:c>
      <x:c r="L622" s="2" t="str">
        <x:v>R16 szerkezeti terv; anyaghoz illesztett próbafúrás kell</x:v>
      </x:c>
    </x:row>
    <x:row r="623" ht="36" customHeight="1">
      <x:c r="A623" s="2" t="str">
        <x:v>R16H0618</x:v>
      </x:c>
      <x:c r="B623" s="2" t="str">
        <x:v>KI16-D3-H</x:v>
      </x:c>
      <x:c r="C623" s="2" t="str">
        <x:v>FIÓK_ELO_HAT_PILOT</x:v>
      </x:c>
      <x:c r="D623" s="2" t="n">
        <x:v>0</x:v>
      </x:c>
      <x:c r="E623" s="2" t="n">
        <x:v>175</x:v>
      </x:c>
      <x:c r="F623" s="2" t="n">
        <x:v>-7.5</x:v>
      </x:c>
      <x:c r="G623" s="2" t="n">
        <x:v>1</x:v>
      </x:c>
      <x:c r="H623" s="2" t="n">
        <x:v>0</x:v>
      </x:c>
      <x:c r="I623" s="2" t="n">
        <x:v>0</x:v>
      </x:c>
      <x:c r="J623" s="2" t="n">
        <x:v>2.5</x:v>
      </x:c>
      <x:c r="K623" s="2" t="n">
        <x:v>20</x:v>
      </x:c>
      <x:c r="L623" s="2" t="str">
        <x:v>R16 szerkezeti terv; anyaghoz illesztett próbafúrás kell</x:v>
      </x:c>
    </x:row>
    <x:row r="624" ht="36" customHeight="1">
      <x:c r="A624" s="2" t="str">
        <x:v>R16H0619</x:v>
      </x:c>
      <x:c r="B624" s="2" t="str">
        <x:v>KI16-D3-F</x:v>
      </x:c>
      <x:c r="C624" s="2" t="str">
        <x:v>FRONT_ROGZITES_ATMENO</x:v>
      </x:c>
      <x:c r="D624" s="2" t="n">
        <x:v>311</x:v>
      </x:c>
      <x:c r="E624" s="2" t="n">
        <x:v>45</x:v>
      </x:c>
      <x:c r="F624" s="2" t="n">
        <x:v>0</x:v>
      </x:c>
      <x:c r="G624" s="2" t="n">
        <x:v>0</x:v>
      </x:c>
      <x:c r="H624" s="2" t="n">
        <x:v>0</x:v>
      </x:c>
      <x:c r="I624" s="2" t="n">
        <x:v>-1</x:v>
      </x:c>
      <x:c r="J624" s="2" t="n">
        <x:v>5</x:v>
      </x:c>
      <x:c r="K624" s="2" t="n">
        <x:v>15</x:v>
      </x:c>
      <x:c r="L624" s="2" t="str">
        <x:v>R16 szerkezeti terv; anyaghoz illesztett próbafúrás kell</x:v>
      </x:c>
    </x:row>
    <x:row r="625" ht="36" customHeight="1">
      <x:c r="A625" s="2" t="str">
        <x:v>R16H0620</x:v>
      </x:c>
      <x:c r="B625" s="2" t="str">
        <x:v>KI12-TV02F2-02</x:v>
      </x:c>
      <x:c r="C625" s="2" t="str">
        <x:v>FRONT_ROGZITES_PILOT</x:v>
      </x:c>
      <x:c r="D625" s="2" t="n">
        <x:v>348.5</x:v>
      </x:c>
      <x:c r="E625" s="2" t="n">
        <x:v>118.5</x:v>
      </x:c>
      <x:c r="F625" s="2" t="n">
        <x:v>0</x:v>
      </x:c>
      <x:c r="G625" s="2" t="n">
        <x:v>0</x:v>
      </x:c>
      <x:c r="H625" s="2" t="n">
        <x:v>0</x:v>
      </x:c>
      <x:c r="I625" s="2" t="n">
        <x:v>-1</x:v>
      </x:c>
      <x:c r="J625" s="2" t="n">
        <x:v>2.5</x:v>
      </x:c>
      <x:c r="K625" s="2" t="n">
        <x:v>12</x:v>
      </x:c>
      <x:c r="L625" s="2" t="str">
        <x:v>R16 szerkezeti terv; anyaghoz illesztett próbafúrás kell</x:v>
      </x:c>
    </x:row>
    <x:row r="626" ht="36" customHeight="1">
      <x:c r="A626" s="2" t="str">
        <x:v>R16H0621</x:v>
      </x:c>
      <x:c r="B626" s="2" t="str">
        <x:v>KI16-D3-F</x:v>
      </x:c>
      <x:c r="C626" s="2" t="str">
        <x:v>FRONT_ROGZITES_ATMENO</x:v>
      </x:c>
      <x:c r="D626" s="2" t="n">
        <x:v>311</x:v>
      </x:c>
      <x:c r="E626" s="2" t="n">
        <x:v>175</x:v>
      </x:c>
      <x:c r="F626" s="2" t="n">
        <x:v>0</x:v>
      </x:c>
      <x:c r="G626" s="2" t="n">
        <x:v>0</x:v>
      </x:c>
      <x:c r="H626" s="2" t="n">
        <x:v>0</x:v>
      </x:c>
      <x:c r="I626" s="2" t="n">
        <x:v>-1</x:v>
      </x:c>
      <x:c r="J626" s="2" t="n">
        <x:v>5</x:v>
      </x:c>
      <x:c r="K626" s="2" t="n">
        <x:v>15</x:v>
      </x:c>
      <x:c r="L626" s="2" t="str">
        <x:v>R16 szerkezeti terv; anyaghoz illesztett próbafúrás kell</x:v>
      </x:c>
    </x:row>
    <x:row r="627" ht="36" customHeight="1">
      <x:c r="A627" s="2" t="str">
        <x:v>R16H0622</x:v>
      </x:c>
      <x:c r="B627" s="2" t="str">
        <x:v>KI12-TV02F2-02</x:v>
      </x:c>
      <x:c r="C627" s="2" t="str">
        <x:v>FRONT_ROGZITES_PILOT</x:v>
      </x:c>
      <x:c r="D627" s="2" t="n">
        <x:v>348.5</x:v>
      </x:c>
      <x:c r="E627" s="2" t="n">
        <x:v>248.5</x:v>
      </x:c>
      <x:c r="F627" s="2" t="n">
        <x:v>0</x:v>
      </x:c>
      <x:c r="G627" s="2" t="n">
        <x:v>0</x:v>
      </x:c>
      <x:c r="H627" s="2" t="n">
        <x:v>0</x:v>
      </x:c>
      <x:c r="I627" s="2" t="n">
        <x:v>-1</x:v>
      </x:c>
      <x:c r="J627" s="2" t="n">
        <x:v>2.5</x:v>
      </x:c>
      <x:c r="K627" s="2" t="n">
        <x:v>12</x:v>
      </x:c>
      <x:c r="L627" s="2" t="str">
        <x:v>R16 szerkezeti terv; anyaghoz illesztett próbafúrás kell</x:v>
      </x:c>
    </x:row>
    <x:row r="628" ht="36" customHeight="1">
      <x:c r="A628" s="2" t="str">
        <x:v>R16H0623</x:v>
      </x:c>
      <x:c r="B628" s="2" t="str">
        <x:v>KI16-D3-F</x:v>
      </x:c>
      <x:c r="C628" s="2" t="str">
        <x:v>FRONT_ROGZITES_ATMENO</x:v>
      </x:c>
      <x:c r="D628" s="2" t="n">
        <x:v>61</x:v>
      </x:c>
      <x:c r="E628" s="2" t="n">
        <x:v>45</x:v>
      </x:c>
      <x:c r="F628" s="2" t="n">
        <x:v>0</x:v>
      </x:c>
      <x:c r="G628" s="2" t="n">
        <x:v>0</x:v>
      </x:c>
      <x:c r="H628" s="2" t="n">
        <x:v>0</x:v>
      </x:c>
      <x:c r="I628" s="2" t="n">
        <x:v>-1</x:v>
      </x:c>
      <x:c r="J628" s="2" t="n">
        <x:v>5</x:v>
      </x:c>
      <x:c r="K628" s="2" t="n">
        <x:v>15</x:v>
      </x:c>
      <x:c r="L628" s="2" t="str">
        <x:v>R16 szerkezeti terv; anyaghoz illesztett próbafúrás kell</x:v>
      </x:c>
    </x:row>
    <x:row r="629" ht="36" customHeight="1">
      <x:c r="A629" s="2" t="str">
        <x:v>R16H0624</x:v>
      </x:c>
      <x:c r="B629" s="2" t="str">
        <x:v>KI12-TV02F2-02</x:v>
      </x:c>
      <x:c r="C629" s="2" t="str">
        <x:v>FRONT_ROGZITES_PILOT</x:v>
      </x:c>
      <x:c r="D629" s="2" t="n">
        <x:v>98.5</x:v>
      </x:c>
      <x:c r="E629" s="2" t="n">
        <x:v>118.5</x:v>
      </x:c>
      <x:c r="F629" s="2" t="n">
        <x:v>0</x:v>
      </x:c>
      <x:c r="G629" s="2" t="n">
        <x:v>0</x:v>
      </x:c>
      <x:c r="H629" s="2" t="n">
        <x:v>0</x:v>
      </x:c>
      <x:c r="I629" s="2" t="n">
        <x:v>-1</x:v>
      </x:c>
      <x:c r="J629" s="2" t="n">
        <x:v>2.5</x:v>
      </x:c>
      <x:c r="K629" s="2" t="n">
        <x:v>12</x:v>
      </x:c>
      <x:c r="L629" s="2" t="str">
        <x:v>R16 szerkezeti terv; anyaghoz illesztett próbafúrás kell</x:v>
      </x:c>
    </x:row>
    <x:row r="630" ht="36" customHeight="1">
      <x:c r="A630" s="2" t="str">
        <x:v>R16H0625</x:v>
      </x:c>
      <x:c r="B630" s="2" t="str">
        <x:v>KI16-D3-F</x:v>
      </x:c>
      <x:c r="C630" s="2" t="str">
        <x:v>FRONT_ROGZITES_ATMENO</x:v>
      </x:c>
      <x:c r="D630" s="2" t="n">
        <x:v>61</x:v>
      </x:c>
      <x:c r="E630" s="2" t="n">
        <x:v>175</x:v>
      </x:c>
      <x:c r="F630" s="2" t="n">
        <x:v>0</x:v>
      </x:c>
      <x:c r="G630" s="2" t="n">
        <x:v>0</x:v>
      </x:c>
      <x:c r="H630" s="2" t="n">
        <x:v>0</x:v>
      </x:c>
      <x:c r="I630" s="2" t="n">
        <x:v>-1</x:v>
      </x:c>
      <x:c r="J630" s="2" t="n">
        <x:v>5</x:v>
      </x:c>
      <x:c r="K630" s="2" t="n">
        <x:v>15</x:v>
      </x:c>
      <x:c r="L630" s="2" t="str">
        <x:v>R16 szerkezeti terv; anyaghoz illesztett próbafúrás kell</x:v>
      </x:c>
    </x:row>
    <x:row r="631" ht="36" customHeight="1">
      <x:c r="A631" s="2" t="str">
        <x:v>R16H0626</x:v>
      </x:c>
      <x:c r="B631" s="2" t="str">
        <x:v>KI12-TV02F2-02</x:v>
      </x:c>
      <x:c r="C631" s="2" t="str">
        <x:v>FRONT_ROGZITES_PILOT</x:v>
      </x:c>
      <x:c r="D631" s="2" t="n">
        <x:v>98.5</x:v>
      </x:c>
      <x:c r="E631" s="2" t="n">
        <x:v>248.5</x:v>
      </x:c>
      <x:c r="F631" s="2" t="n">
        <x:v>0</x:v>
      </x:c>
      <x:c r="G631" s="2" t="n">
        <x:v>0</x:v>
      </x:c>
      <x:c r="H631" s="2" t="n">
        <x:v>0</x:v>
      </x:c>
      <x:c r="I631" s="2" t="n">
        <x:v>-1</x:v>
      </x:c>
      <x:c r="J631" s="2" t="n">
        <x:v>2.5</x:v>
      </x:c>
      <x:c r="K631" s="2" t="n">
        <x:v>12</x:v>
      </x:c>
      <x:c r="L631" s="2" t="str">
        <x:v>R16 szerkezeti terv; anyaghoz illesztett próbafúrás kell</x:v>
      </x:c>
    </x:row>
    <x:row r="632" ht="36" customHeight="1">
      <x:c r="A632" s="2" t="str">
        <x:v>R16H0627</x:v>
      </x:c>
      <x:c r="B632" s="2" t="str">
        <x:v>KI12-TV02S-07</x:v>
      </x:c>
      <x:c r="C632" s="2" t="str">
        <x:v>CSAP J23</x:v>
      </x:c>
      <x:c r="D632" s="2" t="n">
        <x:v>9</x:v>
      </x:c>
      <x:c r="E632" s="2" t="n">
        <x:v>50</x:v>
      </x:c>
      <x:c r="F632" s="2" t="n">
        <x:v>-18</x:v>
      </x:c>
      <x:c r="G632" s="2" t="n">
        <x:v>0</x:v>
      </x:c>
      <x:c r="H632" s="2" t="n">
        <x:v>0</x:v>
      </x:c>
      <x:c r="I632" s="2" t="n">
        <x:v>1</x:v>
      </x:c>
      <x:c r="J632" s="2" t="n">
        <x:v>8</x:v>
      </x:c>
      <x:c r="K632" s="2" t="n">
        <x:v>12</x:v>
      </x:c>
      <x:c r="L632" s="2" t="str">
        <x:v>R12 J01-J26 / 8x30, 12+22</x:v>
      </x:c>
    </x:row>
    <x:row r="633" ht="36" customHeight="1">
      <x:c r="A633" s="2" t="str">
        <x:v>R16H0628</x:v>
      </x:c>
      <x:c r="B633" s="2" t="str">
        <x:v>KI12-TV02S-07</x:v>
      </x:c>
      <x:c r="C633" s="2" t="str">
        <x:v>CSAP J23</x:v>
      </x:c>
      <x:c r="D633" s="2" t="n">
        <x:v>9</x:v>
      </x:c>
      <x:c r="E633" s="2" t="n">
        <x:v>191</x:v>
      </x:c>
      <x:c r="F633" s="2" t="n">
        <x:v>-18</x:v>
      </x:c>
      <x:c r="G633" s="2" t="n">
        <x:v>0</x:v>
      </x:c>
      <x:c r="H633" s="2" t="n">
        <x:v>0</x:v>
      </x:c>
      <x:c r="I633" s="2" t="n">
        <x:v>1</x:v>
      </x:c>
      <x:c r="J633" s="2" t="n">
        <x:v>8</x:v>
      </x:c>
      <x:c r="K633" s="2" t="n">
        <x:v>12</x:v>
      </x:c>
      <x:c r="L633" s="2" t="str">
        <x:v>R12 J01-J26 / 8x30, 12+22</x:v>
      </x:c>
    </x:row>
    <x:row r="634" ht="36" customHeight="1">
      <x:c r="A634" s="2" t="str">
        <x:v>R16H0629</x:v>
      </x:c>
      <x:c r="B634" s="2" t="str">
        <x:v>KI12-TV02S-07</x:v>
      </x:c>
      <x:c r="C634" s="2" t="str">
        <x:v>CSAP J23</x:v>
      </x:c>
      <x:c r="D634" s="2" t="n">
        <x:v>9</x:v>
      </x:c>
      <x:c r="E634" s="2" t="n">
        <x:v>332</x:v>
      </x:c>
      <x:c r="F634" s="2" t="n">
        <x:v>-18</x:v>
      </x:c>
      <x:c r="G634" s="2" t="n">
        <x:v>0</x:v>
      </x:c>
      <x:c r="H634" s="2" t="n">
        <x:v>0</x:v>
      </x:c>
      <x:c r="I634" s="2" t="n">
        <x:v>1</x:v>
      </x:c>
      <x:c r="J634" s="2" t="n">
        <x:v>8</x:v>
      </x:c>
      <x:c r="K634" s="2" t="n">
        <x:v>12</x:v>
      </x:c>
      <x:c r="L634" s="2" t="str">
        <x:v>R12 J01-J26 / 8x30, 12+22</x:v>
      </x:c>
    </x:row>
    <x:row r="635" ht="36" customHeight="1">
      <x:c r="A635" s="2" t="str">
        <x:v>R16H0630</x:v>
      </x:c>
      <x:c r="B635" s="2" t="str">
        <x:v>KI12-TV02S-07</x:v>
      </x:c>
      <x:c r="C635" s="2" t="str">
        <x:v>CSAP J24</x:v>
      </x:c>
      <x:c r="D635" s="2" t="n">
        <x:v>382</x:v>
      </x:c>
      <x:c r="E635" s="2" t="n">
        <x:v>50</x:v>
      </x:c>
      <x:c r="F635" s="2" t="n">
        <x:v>-9</x:v>
      </x:c>
      <x:c r="G635" s="2" t="n">
        <x:v>-1</x:v>
      </x:c>
      <x:c r="H635" s="2" t="n">
        <x:v>0</x:v>
      </x:c>
      <x:c r="I635" s="2" t="n">
        <x:v>0</x:v>
      </x:c>
      <x:c r="J635" s="2" t="n">
        <x:v>8</x:v>
      </x:c>
      <x:c r="K635" s="2" t="n">
        <x:v>22</x:v>
      </x:c>
      <x:c r="L635" s="2" t="str">
        <x:v>R12 J01-J26 / 8x30, 12+22</x:v>
      </x:c>
    </x:row>
    <x:row r="636" ht="36" customHeight="1">
      <x:c r="A636" s="2" t="str">
        <x:v>R16H0631</x:v>
      </x:c>
      <x:c r="B636" s="2" t="str">
        <x:v>KI12-TV02S-07</x:v>
      </x:c>
      <x:c r="C636" s="2" t="str">
        <x:v>CSAP J24</x:v>
      </x:c>
      <x:c r="D636" s="2" t="n">
        <x:v>382</x:v>
      </x:c>
      <x:c r="E636" s="2" t="n">
        <x:v>191</x:v>
      </x:c>
      <x:c r="F636" s="2" t="n">
        <x:v>-9</x:v>
      </x:c>
      <x:c r="G636" s="2" t="n">
        <x:v>-1</x:v>
      </x:c>
      <x:c r="H636" s="2" t="n">
        <x:v>0</x:v>
      </x:c>
      <x:c r="I636" s="2" t="n">
        <x:v>0</x:v>
      </x:c>
      <x:c r="J636" s="2" t="n">
        <x:v>8</x:v>
      </x:c>
      <x:c r="K636" s="2" t="n">
        <x:v>22</x:v>
      </x:c>
      <x:c r="L636" s="2" t="str">
        <x:v>R12 J01-J26 / 8x30, 12+22</x:v>
      </x:c>
    </x:row>
    <x:row r="637" ht="36" customHeight="1">
      <x:c r="A637" s="2" t="str">
        <x:v>R16H0632</x:v>
      </x:c>
      <x:c r="B637" s="2" t="str">
        <x:v>KI12-TV02S-07</x:v>
      </x:c>
      <x:c r="C637" s="2" t="str">
        <x:v>CSAP J24</x:v>
      </x:c>
      <x:c r="D637" s="2" t="n">
        <x:v>382</x:v>
      </x:c>
      <x:c r="E637" s="2" t="n">
        <x:v>332</x:v>
      </x:c>
      <x:c r="F637" s="2" t="n">
        <x:v>-9</x:v>
      </x:c>
      <x:c r="G637" s="2" t="n">
        <x:v>-1</x:v>
      </x:c>
      <x:c r="H637" s="2" t="n">
        <x:v>0</x:v>
      </x:c>
      <x:c r="I637" s="2" t="n">
        <x:v>0</x:v>
      </x:c>
      <x:c r="J637" s="2" t="n">
        <x:v>8</x:v>
      </x:c>
      <x:c r="K637" s="2" t="n">
        <x:v>22</x:v>
      </x:c>
      <x:c r="L637" s="2" t="str">
        <x:v>R12 J01-J26 / 8x30, 12+22</x:v>
      </x:c>
    </x:row>
    <x:row r="638" ht="36" customHeight="1">
      <x:c r="A638" s="2" t="str">
        <x:v>R16H0633</x:v>
      </x:c>
      <x:c r="B638" s="2" t="str">
        <x:v>KI12-TV02S-07</x:v>
      </x:c>
      <x:c r="C638" s="2" t="str">
        <x:v>LEC_OLDAL / R14-J077</x:v>
      </x:c>
      <x:c r="D638" s="2" t="n">
        <x:v>60</x:v>
      </x:c>
      <x:c r="E638" s="2" t="n">
        <x:v>345</x:v>
      </x:c>
      <x:c r="F638" s="2" t="n">
        <x:v>-18</x:v>
      </x:c>
      <x:c r="G638" s="2" t="n">
        <x:v>0</x:v>
      </x:c>
      <x:c r="H638" s="2" t="n">
        <x:v>0</x:v>
      </x:c>
      <x:c r="I638" s="2" t="n">
        <x:v>1</x:v>
      </x:c>
      <x:c r="J638" s="2" t="n">
        <x:v>2.5</x:v>
      </x:c>
      <x:c r="K638" s="2" t="n">
        <x:v>12</x:v>
      </x:c>
      <x:c r="L638" s="2" t="str">
        <x:v>R14 tervezői kiosztás; tényleges laphoz és csavarhoz próbafúrás</x:v>
      </x:c>
    </x:row>
    <x:row r="639" ht="36" customHeight="1">
      <x:c r="A639" s="2" t="str">
        <x:v>R16H0634</x:v>
      </x:c>
      <x:c r="B639" s="2" t="str">
        <x:v>KI12-TV02S-07</x:v>
      </x:c>
      <x:c r="C639" s="2" t="str">
        <x:v>LEC_OLDAL / R14-J079</x:v>
      </x:c>
      <x:c r="D639" s="2" t="n">
        <x:v>140</x:v>
      </x:c>
      <x:c r="E639" s="2" t="n">
        <x:v>345</x:v>
      </x:c>
      <x:c r="F639" s="2" t="n">
        <x:v>-18</x:v>
      </x:c>
      <x:c r="G639" s="2" t="n">
        <x:v>0</x:v>
      </x:c>
      <x:c r="H639" s="2" t="n">
        <x:v>0</x:v>
      </x:c>
      <x:c r="I639" s="2" t="n">
        <x:v>1</x:v>
      </x:c>
      <x:c r="J639" s="2" t="n">
        <x:v>2.5</x:v>
      </x:c>
      <x:c r="K639" s="2" t="n">
        <x:v>12</x:v>
      </x:c>
      <x:c r="L639" s="2" t="str">
        <x:v>R14 tervezői kiosztás; tényleges laphoz és csavarhoz próbafúrás</x:v>
      </x:c>
    </x:row>
    <x:row r="640" ht="36" customHeight="1">
      <x:c r="A640" s="2" t="str">
        <x:v>R16H0635</x:v>
      </x:c>
      <x:c r="B640" s="2" t="str">
        <x:v>KI12-TV02S-07</x:v>
      </x:c>
      <x:c r="C640" s="2" t="str">
        <x:v>LEC_OLDAL / R14-J081</x:v>
      </x:c>
      <x:c r="D640" s="2" t="n">
        <x:v>220</x:v>
      </x:c>
      <x:c r="E640" s="2" t="n">
        <x:v>345</x:v>
      </x:c>
      <x:c r="F640" s="2" t="n">
        <x:v>-18</x:v>
      </x:c>
      <x:c r="G640" s="2" t="n">
        <x:v>0</x:v>
      </x:c>
      <x:c r="H640" s="2" t="n">
        <x:v>0</x:v>
      </x:c>
      <x:c r="I640" s="2" t="n">
        <x:v>1</x:v>
      </x:c>
      <x:c r="J640" s="2" t="n">
        <x:v>2.5</x:v>
      </x:c>
      <x:c r="K640" s="2" t="n">
        <x:v>12</x:v>
      </x:c>
      <x:c r="L640" s="2" t="str">
        <x:v>R14 tervezői kiosztás; tényleges laphoz és csavarhoz próbafúrás</x:v>
      </x:c>
    </x:row>
    <x:row r="641" ht="36" customHeight="1">
      <x:c r="A641" s="2" t="str">
        <x:v>R16H0636</x:v>
      </x:c>
      <x:c r="B641" s="2" t="str">
        <x:v>KI12-TV02S-07</x:v>
      </x:c>
      <x:c r="C641" s="2" t="str">
        <x:v>MEREVITO_CSAP / R14-J121</x:v>
      </x:c>
      <x:c r="D641" s="2" t="n">
        <x:v>170</x:v>
      </x:c>
      <x:c r="E641" s="2" t="n">
        <x:v>327</x:v>
      </x:c>
      <x:c r="F641" s="2" t="n">
        <x:v>-18</x:v>
      </x:c>
      <x:c r="G641" s="2" t="n">
        <x:v>0</x:v>
      </x:c>
      <x:c r="H641" s="2" t="n">
        <x:v>0</x:v>
      </x:c>
      <x:c r="I641" s="2" t="n">
        <x:v>1</x:v>
      </x:c>
      <x:c r="J641" s="2" t="n">
        <x:v>8</x:v>
      </x:c>
      <x:c r="K641" s="2" t="n">
        <x:v>12</x:v>
      </x:c>
      <x:c r="L641" s="2" t="str">
        <x:v>R14 Ø8x30 bükk csap, 22+12 mélység; középosztón 10 mm eltolt tengely</x:v>
      </x:c>
    </x:row>
    <x:row r="642" ht="36" customHeight="1">
      <x:c r="A642" s="2" t="str">
        <x:v>R16H0637</x:v>
      </x:c>
      <x:c r="B642" s="2" t="str">
        <x:v>KI12-TV02S-07</x:v>
      </x:c>
      <x:c r="C642" s="2" t="str">
        <x:v>MEREVITO_CSAP / R14-J122</x:v>
      </x:c>
      <x:c r="D642" s="2" t="n">
        <x:v>200</x:v>
      </x:c>
      <x:c r="E642" s="2" t="n">
        <x:v>327</x:v>
      </x:c>
      <x:c r="F642" s="2" t="n">
        <x:v>-18</x:v>
      </x:c>
      <x:c r="G642" s="2" t="n">
        <x:v>0</x:v>
      </x:c>
      <x:c r="H642" s="2" t="n">
        <x:v>0</x:v>
      </x:c>
      <x:c r="I642" s="2" t="n">
        <x:v>1</x:v>
      </x:c>
      <x:c r="J642" s="2" t="n">
        <x:v>8</x:v>
      </x:c>
      <x:c r="K642" s="2" t="n">
        <x:v>12</x:v>
      </x:c>
      <x:c r="L642" s="2" t="str">
        <x:v>R14 Ø8x30 bükk csap, 22+12 mélység; középosztón 10 mm eltolt tengely</x:v>
      </x:c>
    </x:row>
    <x:row r="643" ht="36" customHeight="1">
      <x:c r="A643" s="2" t="str">
        <x:v>R16H0638</x:v>
      </x:c>
      <x:c r="B643" s="2" t="str">
        <x:v>KI12-TV02S-07</x:v>
      </x:c>
      <x:c r="C643" s="2" t="str">
        <x:v>MEREVITO_CSAP / R14-J123</x:v>
      </x:c>
      <x:c r="D643" s="2" t="n">
        <x:v>230</x:v>
      </x:c>
      <x:c r="E643" s="2" t="n">
        <x:v>327</x:v>
      </x:c>
      <x:c r="F643" s="2" t="n">
        <x:v>-18</x:v>
      </x:c>
      <x:c r="G643" s="2" t="n">
        <x:v>0</x:v>
      </x:c>
      <x:c r="H643" s="2" t="n">
        <x:v>0</x:v>
      </x:c>
      <x:c r="I643" s="2" t="n">
        <x:v>1</x:v>
      </x:c>
      <x:c r="J643" s="2" t="n">
        <x:v>8</x:v>
      </x:c>
      <x:c r="K643" s="2" t="n">
        <x:v>12</x:v>
      </x:c>
      <x:c r="L643" s="2" t="str">
        <x:v>R14 Ø8x30 bükk csap, 22+12 mélység; középosztón 10 mm eltolt tengely</x:v>
      </x:c>
    </x:row>
    <x:row r="644" ht="36" customHeight="1">
      <x:c r="A644" s="2" t="str">
        <x:v>R16H0639</x:v>
      </x:c>
      <x:c r="B644" s="2" t="str">
        <x:v>KI12-TV02S-07</x:v>
      </x:c>
      <x:c r="C644" s="2" t="str">
        <x:v>CAMAR807_DUBEL</x:v>
      </x:c>
      <x:c r="D644" s="2" t="n">
        <x:v>352</x:v>
      </x:c>
      <x:c r="E644" s="2" t="n">
        <x:v>330</x:v>
      </x:c>
      <x:c r="F644" s="2" t="n">
        <x:v>-18</x:v>
      </x:c>
      <x:c r="G644" s="2" t="n">
        <x:v>0</x:v>
      </x:c>
      <x:c r="H644" s="2" t="n">
        <x:v>0</x:v>
      </x:c>
      <x:c r="I644" s="2" t="n">
        <x:v>1</x:v>
      </x:c>
      <x:c r="J644" s="2" t="n">
        <x:v>10</x:v>
      </x:c>
      <x:c r="K644" s="2" t="n">
        <x:v>12</x:v>
      </x:c>
      <x:c r="L644" s="2" t="str">
        <x:v>Camar807_IN.pdf F1: Ø10/12,32x64;30mm felső visszaállás; új vasalat/oldallap próba és alkalmazás jóváhagyandó</x:v>
      </x:c>
    </x:row>
    <x:row r="645" ht="36" customHeight="1">
      <x:c r="A645" s="2" t="str">
        <x:v>R16H0640</x:v>
      </x:c>
      <x:c r="B645" s="2" t="str">
        <x:v>KI12-TV02S-07</x:v>
      </x:c>
      <x:c r="C645" s="2" t="str">
        <x:v>CAMAR807_DUBEL</x:v>
      </x:c>
      <x:c r="D645" s="2" t="n">
        <x:v>288</x:v>
      </x:c>
      <x:c r="E645" s="2" t="n">
        <x:v>330</x:v>
      </x:c>
      <x:c r="F645" s="2" t="n">
        <x:v>-18</x:v>
      </x:c>
      <x:c r="G645" s="2" t="n">
        <x:v>0</x:v>
      </x:c>
      <x:c r="H645" s="2" t="n">
        <x:v>0</x:v>
      </x:c>
      <x:c r="I645" s="2" t="n">
        <x:v>1</x:v>
      </x:c>
      <x:c r="J645" s="2" t="n">
        <x:v>10</x:v>
      </x:c>
      <x:c r="K645" s="2" t="n">
        <x:v>12</x:v>
      </x:c>
      <x:c r="L645" s="2" t="str">
        <x:v>Camar807_IN.pdf F1: Ø10/12,32x64;30mm felső visszaállás; új vasalat/oldallap próba és alkalmazás jóváhagyandó</x:v>
      </x:c>
    </x:row>
    <x:row r="646" ht="36" customHeight="1">
      <x:c r="A646" s="2" t="str">
        <x:v>R16H0641</x:v>
      </x:c>
      <x:c r="B646" s="2" t="str">
        <x:v>KI12-TV02S-07</x:v>
      </x:c>
      <x:c r="C646" s="2" t="str">
        <x:v>CAMAR807_DUBEL</x:v>
      </x:c>
      <x:c r="D646" s="2" t="n">
        <x:v>352</x:v>
      </x:c>
      <x:c r="E646" s="2" t="n">
        <x:v>362</x:v>
      </x:c>
      <x:c r="F646" s="2" t="n">
        <x:v>-18</x:v>
      </x:c>
      <x:c r="G646" s="2" t="n">
        <x:v>0</x:v>
      </x:c>
      <x:c r="H646" s="2" t="n">
        <x:v>0</x:v>
      </x:c>
      <x:c r="I646" s="2" t="n">
        <x:v>1</x:v>
      </x:c>
      <x:c r="J646" s="2" t="n">
        <x:v>10</x:v>
      </x:c>
      <x:c r="K646" s="2" t="n">
        <x:v>12</x:v>
      </x:c>
      <x:c r="L646" s="2" t="str">
        <x:v>Camar807_IN.pdf F1: Ø10/12,32x64;30mm felső visszaállás; új vasalat/oldallap próba és alkalmazás jóváhagyandó</x:v>
      </x:c>
    </x:row>
    <x:row r="647" ht="36" customHeight="1">
      <x:c r="A647" s="2" t="str">
        <x:v>R16H0642</x:v>
      </x:c>
      <x:c r="B647" s="2" t="str">
        <x:v>KI12-TV02S-07</x:v>
      </x:c>
      <x:c r="C647" s="2" t="str">
        <x:v>CAMAR807_DUBEL</x:v>
      </x:c>
      <x:c r="D647" s="2" t="n">
        <x:v>288</x:v>
      </x:c>
      <x:c r="E647" s="2" t="n">
        <x:v>362</x:v>
      </x:c>
      <x:c r="F647" s="2" t="n">
        <x:v>-18</x:v>
      </x:c>
      <x:c r="G647" s="2" t="n">
        <x:v>0</x:v>
      </x:c>
      <x:c r="H647" s="2" t="n">
        <x:v>0</x:v>
      </x:c>
      <x:c r="I647" s="2" t="n">
        <x:v>1</x:v>
      </x:c>
      <x:c r="J647" s="2" t="n">
        <x:v>10</x:v>
      </x:c>
      <x:c r="K647" s="2" t="n">
        <x:v>12</x:v>
      </x:c>
      <x:c r="L647" s="2" t="str">
        <x:v>Camar807_IN.pdf F1: Ø10/12,32x64;30mm felső visszaállás; új vasalat/oldallap próba és alkalmazás jóváhagyandó</x:v>
      </x:c>
    </x:row>
    <x:row r="648" ht="36" customHeight="1">
      <x:c r="A648" s="2" t="str">
        <x:v>R16H0643</x:v>
      </x:c>
      <x:c r="B648" s="2" t="str">
        <x:v>KI12-TV02S-08</x:v>
      </x:c>
      <x:c r="C648" s="2" t="str">
        <x:v>CSAP J25</x:v>
      </x:c>
      <x:c r="D648" s="2" t="n">
        <x:v>9</x:v>
      </x:c>
      <x:c r="E648" s="2" t="n">
        <x:v>50</x:v>
      </x:c>
      <x:c r="F648" s="2" t="n">
        <x:v>0</x:v>
      </x:c>
      <x:c r="G648" s="2" t="n">
        <x:v>0</x:v>
      </x:c>
      <x:c r="H648" s="2" t="n">
        <x:v>0</x:v>
      </x:c>
      <x:c r="I648" s="2" t="n">
        <x:v>-1</x:v>
      </x:c>
      <x:c r="J648" s="2" t="n">
        <x:v>8</x:v>
      </x:c>
      <x:c r="K648" s="2" t="n">
        <x:v>12</x:v>
      </x:c>
      <x:c r="L648" s="2" t="str">
        <x:v>R12 J01-J26 / 8x30, 12+22</x:v>
      </x:c>
    </x:row>
    <x:row r="649" ht="36" customHeight="1">
      <x:c r="A649" s="2" t="str">
        <x:v>R16H0644</x:v>
      </x:c>
      <x:c r="B649" s="2" t="str">
        <x:v>KI12-TV02S-08</x:v>
      </x:c>
      <x:c r="C649" s="2" t="str">
        <x:v>CSAP J25</x:v>
      </x:c>
      <x:c r="D649" s="2" t="n">
        <x:v>9</x:v>
      </x:c>
      <x:c r="E649" s="2" t="n">
        <x:v>191</x:v>
      </x:c>
      <x:c r="F649" s="2" t="n">
        <x:v>0</x:v>
      </x:c>
      <x:c r="G649" s="2" t="n">
        <x:v>0</x:v>
      </x:c>
      <x:c r="H649" s="2" t="n">
        <x:v>0</x:v>
      </x:c>
      <x:c r="I649" s="2" t="n">
        <x:v>-1</x:v>
      </x:c>
      <x:c r="J649" s="2" t="n">
        <x:v>8</x:v>
      </x:c>
      <x:c r="K649" s="2" t="n">
        <x:v>12</x:v>
      </x:c>
      <x:c r="L649" s="2" t="str">
        <x:v>R12 J01-J26 / 8x30, 12+22</x:v>
      </x:c>
    </x:row>
    <x:row r="650" ht="36" customHeight="1">
      <x:c r="A650" s="2" t="str">
        <x:v>R16H0645</x:v>
      </x:c>
      <x:c r="B650" s="2" t="str">
        <x:v>KI12-TV02S-08</x:v>
      </x:c>
      <x:c r="C650" s="2" t="str">
        <x:v>CSAP J25</x:v>
      </x:c>
      <x:c r="D650" s="2" t="n">
        <x:v>9</x:v>
      </x:c>
      <x:c r="E650" s="2" t="n">
        <x:v>332</x:v>
      </x:c>
      <x:c r="F650" s="2" t="n">
        <x:v>0</x:v>
      </x:c>
      <x:c r="G650" s="2" t="n">
        <x:v>0</x:v>
      </x:c>
      <x:c r="H650" s="2" t="n">
        <x:v>0</x:v>
      </x:c>
      <x:c r="I650" s="2" t="n">
        <x:v>-1</x:v>
      </x:c>
      <x:c r="J650" s="2" t="n">
        <x:v>8</x:v>
      </x:c>
      <x:c r="K650" s="2" t="n">
        <x:v>12</x:v>
      </x:c>
      <x:c r="L650" s="2" t="str">
        <x:v>R12 J01-J26 / 8x30, 12+22</x:v>
      </x:c>
    </x:row>
    <x:row r="651" ht="36" customHeight="1">
      <x:c r="A651" s="2" t="str">
        <x:v>R16H0646</x:v>
      </x:c>
      <x:c r="B651" s="2" t="str">
        <x:v>KI12-TV02S-08</x:v>
      </x:c>
      <x:c r="C651" s="2" t="str">
        <x:v>CSAP J26</x:v>
      </x:c>
      <x:c r="D651" s="2" t="n">
        <x:v>382</x:v>
      </x:c>
      <x:c r="E651" s="2" t="n">
        <x:v>50</x:v>
      </x:c>
      <x:c r="F651" s="2" t="n">
        <x:v>-9</x:v>
      </x:c>
      <x:c r="G651" s="2" t="n">
        <x:v>-1</x:v>
      </x:c>
      <x:c r="H651" s="2" t="n">
        <x:v>0</x:v>
      </x:c>
      <x:c r="I651" s="2" t="n">
        <x:v>0</x:v>
      </x:c>
      <x:c r="J651" s="2" t="n">
        <x:v>8</x:v>
      </x:c>
      <x:c r="K651" s="2" t="n">
        <x:v>22</x:v>
      </x:c>
      <x:c r="L651" s="2" t="str">
        <x:v>R12 J01-J26 / 8x30, 12+22</x:v>
      </x:c>
    </x:row>
    <x:row r="652" ht="36" customHeight="1">
      <x:c r="A652" s="2" t="str">
        <x:v>R16H0647</x:v>
      </x:c>
      <x:c r="B652" s="2" t="str">
        <x:v>KI12-TV02S-08</x:v>
      </x:c>
      <x:c r="C652" s="2" t="str">
        <x:v>CSAP J26</x:v>
      </x:c>
      <x:c r="D652" s="2" t="n">
        <x:v>382</x:v>
      </x:c>
      <x:c r="E652" s="2" t="n">
        <x:v>191</x:v>
      </x:c>
      <x:c r="F652" s="2" t="n">
        <x:v>-9</x:v>
      </x:c>
      <x:c r="G652" s="2" t="n">
        <x:v>-1</x:v>
      </x:c>
      <x:c r="H652" s="2" t="n">
        <x:v>0</x:v>
      </x:c>
      <x:c r="I652" s="2" t="n">
        <x:v>0</x:v>
      </x:c>
      <x:c r="J652" s="2" t="n">
        <x:v>8</x:v>
      </x:c>
      <x:c r="K652" s="2" t="n">
        <x:v>22</x:v>
      </x:c>
      <x:c r="L652" s="2" t="str">
        <x:v>R12 J01-J26 / 8x30, 12+22</x:v>
      </x:c>
    </x:row>
    <x:row r="653" ht="36" customHeight="1">
      <x:c r="A653" s="2" t="str">
        <x:v>R16H0648</x:v>
      </x:c>
      <x:c r="B653" s="2" t="str">
        <x:v>KI12-TV02S-08</x:v>
      </x:c>
      <x:c r="C653" s="2" t="str">
        <x:v>CSAP J26</x:v>
      </x:c>
      <x:c r="D653" s="2" t="n">
        <x:v>382</x:v>
      </x:c>
      <x:c r="E653" s="2" t="n">
        <x:v>332</x:v>
      </x:c>
      <x:c r="F653" s="2" t="n">
        <x:v>-9</x:v>
      </x:c>
      <x:c r="G653" s="2" t="n">
        <x:v>-1</x:v>
      </x:c>
      <x:c r="H653" s="2" t="n">
        <x:v>0</x:v>
      </x:c>
      <x:c r="I653" s="2" t="n">
        <x:v>0</x:v>
      </x:c>
      <x:c r="J653" s="2" t="n">
        <x:v>8</x:v>
      </x:c>
      <x:c r="K653" s="2" t="n">
        <x:v>22</x:v>
      </x:c>
      <x:c r="L653" s="2" t="str">
        <x:v>R12 J01-J26 / 8x30, 12+22</x:v>
      </x:c>
    </x:row>
    <x:row r="654" ht="36" customHeight="1">
      <x:c r="A654" s="2" t="str">
        <x:v>R16H0649</x:v>
      </x:c>
      <x:c r="B654" s="2" t="str">
        <x:v>KI12-TV02S-08</x:v>
      </x:c>
      <x:c r="C654" s="2" t="str">
        <x:v>LEC_OLDAL / R14-J083</x:v>
      </x:c>
      <x:c r="D654" s="2" t="n">
        <x:v>60</x:v>
      </x:c>
      <x:c r="E654" s="2" t="n">
        <x:v>345</x:v>
      </x:c>
      <x:c r="F654" s="2" t="n">
        <x:v>0</x:v>
      </x:c>
      <x:c r="G654" s="2" t="n">
        <x:v>0</x:v>
      </x:c>
      <x:c r="H654" s="2" t="n">
        <x:v>0</x:v>
      </x:c>
      <x:c r="I654" s="2" t="n">
        <x:v>-1</x:v>
      </x:c>
      <x:c r="J654" s="2" t="n">
        <x:v>2.5</x:v>
      </x:c>
      <x:c r="K654" s="2" t="n">
        <x:v>12</x:v>
      </x:c>
      <x:c r="L654" s="2" t="str">
        <x:v>R14 tervezői kiosztás; tényleges laphoz és csavarhoz próbafúrás</x:v>
      </x:c>
    </x:row>
    <x:row r="655" ht="36" customHeight="1">
      <x:c r="A655" s="2" t="str">
        <x:v>R16H0650</x:v>
      </x:c>
      <x:c r="B655" s="2" t="str">
        <x:v>KI12-TV02S-08</x:v>
      </x:c>
      <x:c r="C655" s="2" t="str">
        <x:v>LEC_OLDAL / R14-J085</x:v>
      </x:c>
      <x:c r="D655" s="2" t="n">
        <x:v>140</x:v>
      </x:c>
      <x:c r="E655" s="2" t="n">
        <x:v>345</x:v>
      </x:c>
      <x:c r="F655" s="2" t="n">
        <x:v>0</x:v>
      </x:c>
      <x:c r="G655" s="2" t="n">
        <x:v>0</x:v>
      </x:c>
      <x:c r="H655" s="2" t="n">
        <x:v>0</x:v>
      </x:c>
      <x:c r="I655" s="2" t="n">
        <x:v>-1</x:v>
      </x:c>
      <x:c r="J655" s="2" t="n">
        <x:v>2.5</x:v>
      </x:c>
      <x:c r="K655" s="2" t="n">
        <x:v>12</x:v>
      </x:c>
      <x:c r="L655" s="2" t="str">
        <x:v>R14 tervezői kiosztás; tényleges laphoz és csavarhoz próbafúrás</x:v>
      </x:c>
    </x:row>
    <x:row r="656" ht="36" customHeight="1">
      <x:c r="A656" s="2" t="str">
        <x:v>R16H0651</x:v>
      </x:c>
      <x:c r="B656" s="2" t="str">
        <x:v>KI12-TV02S-08</x:v>
      </x:c>
      <x:c r="C656" s="2" t="str">
        <x:v>LEC_OLDAL / R14-J087</x:v>
      </x:c>
      <x:c r="D656" s="2" t="n">
        <x:v>220</x:v>
      </x:c>
      <x:c r="E656" s="2" t="n">
        <x:v>345</x:v>
      </x:c>
      <x:c r="F656" s="2" t="n">
        <x:v>0</x:v>
      </x:c>
      <x:c r="G656" s="2" t="n">
        <x:v>0</x:v>
      </x:c>
      <x:c r="H656" s="2" t="n">
        <x:v>0</x:v>
      </x:c>
      <x:c r="I656" s="2" t="n">
        <x:v>-1</x:v>
      </x:c>
      <x:c r="J656" s="2" t="n">
        <x:v>2.5</x:v>
      </x:c>
      <x:c r="K656" s="2" t="n">
        <x:v>12</x:v>
      </x:c>
      <x:c r="L656" s="2" t="str">
        <x:v>R14 tervezői kiosztás; tényleges laphoz és csavarhoz próbafúrás</x:v>
      </x:c>
    </x:row>
    <x:row r="657" ht="36" customHeight="1">
      <x:c r="A657" s="2" t="str">
        <x:v>R16H0652</x:v>
      </x:c>
      <x:c r="B657" s="2" t="str">
        <x:v>KI12-TV02S-08</x:v>
      </x:c>
      <x:c r="C657" s="2" t="str">
        <x:v>MEREVITO_CSAP / R14-J124</x:v>
      </x:c>
      <x:c r="D657" s="2" t="n">
        <x:v>170</x:v>
      </x:c>
      <x:c r="E657" s="2" t="n">
        <x:v>327</x:v>
      </x:c>
      <x:c r="F657" s="2" t="n">
        <x:v>0</x:v>
      </x:c>
      <x:c r="G657" s="2" t="n">
        <x:v>0</x:v>
      </x:c>
      <x:c r="H657" s="2" t="n">
        <x:v>0</x:v>
      </x:c>
      <x:c r="I657" s="2" t="n">
        <x:v>-1</x:v>
      </x:c>
      <x:c r="J657" s="2" t="n">
        <x:v>8</x:v>
      </x:c>
      <x:c r="K657" s="2" t="n">
        <x:v>12</x:v>
      </x:c>
      <x:c r="L657" s="2" t="str">
        <x:v>R14 Ø8x30 bükk csap, 22+12 mélység; középosztón 10 mm eltolt tengely</x:v>
      </x:c>
    </x:row>
    <x:row r="658" ht="36" customHeight="1">
      <x:c r="A658" s="2" t="str">
        <x:v>R16H0653</x:v>
      </x:c>
      <x:c r="B658" s="2" t="str">
        <x:v>KI12-TV02S-08</x:v>
      </x:c>
      <x:c r="C658" s="2" t="str">
        <x:v>MEREVITO_CSAP / R14-J125</x:v>
      </x:c>
      <x:c r="D658" s="2" t="n">
        <x:v>200</x:v>
      </x:c>
      <x:c r="E658" s="2" t="n">
        <x:v>327</x:v>
      </x:c>
      <x:c r="F658" s="2" t="n">
        <x:v>0</x:v>
      </x:c>
      <x:c r="G658" s="2" t="n">
        <x:v>0</x:v>
      </x:c>
      <x:c r="H658" s="2" t="n">
        <x:v>0</x:v>
      </x:c>
      <x:c r="I658" s="2" t="n">
        <x:v>-1</x:v>
      </x:c>
      <x:c r="J658" s="2" t="n">
        <x:v>8</x:v>
      </x:c>
      <x:c r="K658" s="2" t="n">
        <x:v>12</x:v>
      </x:c>
      <x:c r="L658" s="2" t="str">
        <x:v>R14 Ø8x30 bükk csap, 22+12 mélység; középosztón 10 mm eltolt tengely</x:v>
      </x:c>
    </x:row>
    <x:row r="659" ht="36" customHeight="1">
      <x:c r="A659" s="2" t="str">
        <x:v>R16H0654</x:v>
      </x:c>
      <x:c r="B659" s="2" t="str">
        <x:v>KI12-TV02S-08</x:v>
      </x:c>
      <x:c r="C659" s="2" t="str">
        <x:v>MEREVITO_CSAP / R14-J126</x:v>
      </x:c>
      <x:c r="D659" s="2" t="n">
        <x:v>230</x:v>
      </x:c>
      <x:c r="E659" s="2" t="n">
        <x:v>327</x:v>
      </x:c>
      <x:c r="F659" s="2" t="n">
        <x:v>0</x:v>
      </x:c>
      <x:c r="G659" s="2" t="n">
        <x:v>0</x:v>
      </x:c>
      <x:c r="H659" s="2" t="n">
        <x:v>0</x:v>
      </x:c>
      <x:c r="I659" s="2" t="n">
        <x:v>-1</x:v>
      </x:c>
      <x:c r="J659" s="2" t="n">
        <x:v>8</x:v>
      </x:c>
      <x:c r="K659" s="2" t="n">
        <x:v>12</x:v>
      </x:c>
      <x:c r="L659" s="2" t="str">
        <x:v>R14 Ø8x30 bükk csap, 22+12 mélység; középosztón 10 mm eltolt tengely</x:v>
      </x:c>
    </x:row>
    <x:row r="660" ht="36" customHeight="1">
      <x:c r="A660" s="2" t="str">
        <x:v>R16H0655</x:v>
      </x:c>
      <x:c r="B660" s="2" t="str">
        <x:v>KI12-TV02S-08</x:v>
      </x:c>
      <x:c r="C660" s="2" t="str">
        <x:v>CAMAR807_DUBEL</x:v>
      </x:c>
      <x:c r="D660" s="2" t="n">
        <x:v>352</x:v>
      </x:c>
      <x:c r="E660" s="2" t="n">
        <x:v>330</x:v>
      </x:c>
      <x:c r="F660" s="2" t="n">
        <x:v>0</x:v>
      </x:c>
      <x:c r="G660" s="2" t="n">
        <x:v>0</x:v>
      </x:c>
      <x:c r="H660" s="2" t="n">
        <x:v>0</x:v>
      </x:c>
      <x:c r="I660" s="2" t="n">
        <x:v>-1</x:v>
      </x:c>
      <x:c r="J660" s="2" t="n">
        <x:v>10</x:v>
      </x:c>
      <x:c r="K660" s="2" t="n">
        <x:v>12</x:v>
      </x:c>
      <x:c r="L660" s="2" t="str">
        <x:v>Camar807_IN.pdf F1: Ø10/12,32x64;30mm felső visszaállás; új vasalat/oldallap próba és alkalmazás jóváhagyandó</x:v>
      </x:c>
    </x:row>
    <x:row r="661" ht="36" customHeight="1">
      <x:c r="A661" s="2" t="str">
        <x:v>R16H0656</x:v>
      </x:c>
      <x:c r="B661" s="2" t="str">
        <x:v>KI12-TV02S-08</x:v>
      </x:c>
      <x:c r="C661" s="2" t="str">
        <x:v>CAMAR807_DUBEL</x:v>
      </x:c>
      <x:c r="D661" s="2" t="n">
        <x:v>288</x:v>
      </x:c>
      <x:c r="E661" s="2" t="n">
        <x:v>330</x:v>
      </x:c>
      <x:c r="F661" s="2" t="n">
        <x:v>0</x:v>
      </x:c>
      <x:c r="G661" s="2" t="n">
        <x:v>0</x:v>
      </x:c>
      <x:c r="H661" s="2" t="n">
        <x:v>0</x:v>
      </x:c>
      <x:c r="I661" s="2" t="n">
        <x:v>-1</x:v>
      </x:c>
      <x:c r="J661" s="2" t="n">
        <x:v>10</x:v>
      </x:c>
      <x:c r="K661" s="2" t="n">
        <x:v>12</x:v>
      </x:c>
      <x:c r="L661" s="2" t="str">
        <x:v>Camar807_IN.pdf F1: Ø10/12,32x64;30mm felső visszaállás; új vasalat/oldallap próba és alkalmazás jóváhagyandó</x:v>
      </x:c>
    </x:row>
    <x:row r="662" ht="36" customHeight="1">
      <x:c r="A662" s="2" t="str">
        <x:v>R16H0657</x:v>
      </x:c>
      <x:c r="B662" s="2" t="str">
        <x:v>KI12-TV02S-08</x:v>
      </x:c>
      <x:c r="C662" s="2" t="str">
        <x:v>CAMAR807_DUBEL</x:v>
      </x:c>
      <x:c r="D662" s="2" t="n">
        <x:v>352</x:v>
      </x:c>
      <x:c r="E662" s="2" t="n">
        <x:v>362</x:v>
      </x:c>
      <x:c r="F662" s="2" t="n">
        <x:v>0</x:v>
      </x:c>
      <x:c r="G662" s="2" t="n">
        <x:v>0</x:v>
      </x:c>
      <x:c r="H662" s="2" t="n">
        <x:v>0</x:v>
      </x:c>
      <x:c r="I662" s="2" t="n">
        <x:v>-1</x:v>
      </x:c>
      <x:c r="J662" s="2" t="n">
        <x:v>10</x:v>
      </x:c>
      <x:c r="K662" s="2" t="n">
        <x:v>12</x:v>
      </x:c>
      <x:c r="L662" s="2" t="str">
        <x:v>Camar807_IN.pdf F1: Ø10/12,32x64;30mm felső visszaállás; új vasalat/oldallap próba és alkalmazás jóváhagyandó</x:v>
      </x:c>
    </x:row>
    <x:row r="663" ht="36" customHeight="1">
      <x:c r="A663" s="2" t="str">
        <x:v>R16H0658</x:v>
      </x:c>
      <x:c r="B663" s="2" t="str">
        <x:v>KI12-TV02S-08</x:v>
      </x:c>
      <x:c r="C663" s="2" t="str">
        <x:v>CAMAR807_DUBEL</x:v>
      </x:c>
      <x:c r="D663" s="2" t="n">
        <x:v>288</x:v>
      </x:c>
      <x:c r="E663" s="2" t="n">
        <x:v>362</x:v>
      </x:c>
      <x:c r="F663" s="2" t="n">
        <x:v>0</x:v>
      </x:c>
      <x:c r="G663" s="2" t="n">
        <x:v>0</x:v>
      </x:c>
      <x:c r="H663" s="2" t="n">
        <x:v>0</x:v>
      </x:c>
      <x:c r="I663" s="2" t="n">
        <x:v>-1</x:v>
      </x:c>
      <x:c r="J663" s="2" t="n">
        <x:v>10</x:v>
      </x:c>
      <x:c r="K663" s="2" t="n">
        <x:v>12</x:v>
      </x:c>
      <x:c r="L663" s="2" t="str">
        <x:v>Camar807_IN.pdf F1: Ø10/12,32x64;30mm felső visszaállás; új vasalat/oldallap próba és alkalmazás jóváhagyandó</x:v>
      </x:c>
    </x:row>
    <x:row r="664" ht="36" customHeight="1">
      <x:c r="A664" s="2" t="str">
        <x:v>R16H0659</x:v>
      </x:c>
      <x:c r="B664" s="2" t="str">
        <x:v>KI12-TV02T2-03</x:v>
      </x:c>
      <x:c r="C664" s="2" t="str">
        <x:v>CSAP J23</x:v>
      </x:c>
      <x:c r="D664" s="2" t="n">
        <x:v>0</x:v>
      </x:c>
      <x:c r="E664" s="2" t="n">
        <x:v>50</x:v>
      </x:c>
      <x:c r="F664" s="2" t="n">
        <x:v>-9</x:v>
      </x:c>
      <x:c r="G664" s="2" t="n">
        <x:v>1</x:v>
      </x:c>
      <x:c r="H664" s="2" t="n">
        <x:v>0</x:v>
      </x:c>
      <x:c r="I664" s="2" t="n">
        <x:v>0</x:v>
      </x:c>
      <x:c r="J664" s="2" t="n">
        <x:v>8</x:v>
      </x:c>
      <x:c r="K664" s="2" t="n">
        <x:v>22</x:v>
      </x:c>
      <x:c r="L664" s="2" t="str">
        <x:v>R12 J01-J26 / 8x30, 12+22</x:v>
      </x:c>
    </x:row>
    <x:row r="665" ht="36" customHeight="1">
      <x:c r="A665" s="2" t="str">
        <x:v>R16H0660</x:v>
      </x:c>
      <x:c r="B665" s="2" t="str">
        <x:v>KI12-TV02T2-03</x:v>
      </x:c>
      <x:c r="C665" s="2" t="str">
        <x:v>CSAP J23</x:v>
      </x:c>
      <x:c r="D665" s="2" t="n">
        <x:v>0</x:v>
      </x:c>
      <x:c r="E665" s="2" t="n">
        <x:v>191</x:v>
      </x:c>
      <x:c r="F665" s="2" t="n">
        <x:v>-9</x:v>
      </x:c>
      <x:c r="G665" s="2" t="n">
        <x:v>1</x:v>
      </x:c>
      <x:c r="H665" s="2" t="n">
        <x:v>0</x:v>
      </x:c>
      <x:c r="I665" s="2" t="n">
        <x:v>0</x:v>
      </x:c>
      <x:c r="J665" s="2" t="n">
        <x:v>8</x:v>
      </x:c>
      <x:c r="K665" s="2" t="n">
        <x:v>22</x:v>
      </x:c>
      <x:c r="L665" s="2" t="str">
        <x:v>R12 J01-J26 / 8x30, 12+22</x:v>
      </x:c>
    </x:row>
    <x:row r="666" ht="36" customHeight="1">
      <x:c r="A666" s="2" t="str">
        <x:v>R16H0661</x:v>
      </x:c>
      <x:c r="B666" s="2" t="str">
        <x:v>KI12-TV02T2-03</x:v>
      </x:c>
      <x:c r="C666" s="2" t="str">
        <x:v>CSAP J23</x:v>
      </x:c>
      <x:c r="D666" s="2" t="n">
        <x:v>0</x:v>
      </x:c>
      <x:c r="E666" s="2" t="n">
        <x:v>332</x:v>
      </x:c>
      <x:c r="F666" s="2" t="n">
        <x:v>-9</x:v>
      </x:c>
      <x:c r="G666" s="2" t="n">
        <x:v>1</x:v>
      </x:c>
      <x:c r="H666" s="2" t="n">
        <x:v>0</x:v>
      </x:c>
      <x:c r="I666" s="2" t="n">
        <x:v>0</x:v>
      </x:c>
      <x:c r="J666" s="2" t="n">
        <x:v>8</x:v>
      </x:c>
      <x:c r="K666" s="2" t="n">
        <x:v>22</x:v>
      </x:c>
      <x:c r="L666" s="2" t="str">
        <x:v>R12 J01-J26 / 8x30, 12+22</x:v>
      </x:c>
    </x:row>
    <x:row r="667" ht="36" customHeight="1">
      <x:c r="A667" s="2" t="str">
        <x:v>R16H0662</x:v>
      </x:c>
      <x:c r="B667" s="2" t="str">
        <x:v>KI12-TV02T2-03</x:v>
      </x:c>
      <x:c r="C667" s="2" t="str">
        <x:v>CSAP J25</x:v>
      </x:c>
      <x:c r="D667" s="2" t="n">
        <x:v>1044</x:v>
      </x:c>
      <x:c r="E667" s="2" t="n">
        <x:v>50</x:v>
      </x:c>
      <x:c r="F667" s="2" t="n">
        <x:v>-9</x:v>
      </x:c>
      <x:c r="G667" s="2" t="n">
        <x:v>-1</x:v>
      </x:c>
      <x:c r="H667" s="2" t="n">
        <x:v>0</x:v>
      </x:c>
      <x:c r="I667" s="2" t="n">
        <x:v>0</x:v>
      </x:c>
      <x:c r="J667" s="2" t="n">
        <x:v>8</x:v>
      </x:c>
      <x:c r="K667" s="2" t="n">
        <x:v>22</x:v>
      </x:c>
      <x:c r="L667" s="2" t="str">
        <x:v>R12 J01-J26 / 8x30, 12+22</x:v>
      </x:c>
    </x:row>
    <x:row r="668" ht="36" customHeight="1">
      <x:c r="A668" s="2" t="str">
        <x:v>R16H0663</x:v>
      </x:c>
      <x:c r="B668" s="2" t="str">
        <x:v>KI12-TV02T2-03</x:v>
      </x:c>
      <x:c r="C668" s="2" t="str">
        <x:v>CSAP J25</x:v>
      </x:c>
      <x:c r="D668" s="2" t="n">
        <x:v>1044</x:v>
      </x:c>
      <x:c r="E668" s="2" t="n">
        <x:v>191</x:v>
      </x:c>
      <x:c r="F668" s="2" t="n">
        <x:v>-9</x:v>
      </x:c>
      <x:c r="G668" s="2" t="n">
        <x:v>-1</x:v>
      </x:c>
      <x:c r="H668" s="2" t="n">
        <x:v>0</x:v>
      </x:c>
      <x:c r="I668" s="2" t="n">
        <x:v>0</x:v>
      </x:c>
      <x:c r="J668" s="2" t="n">
        <x:v>8</x:v>
      </x:c>
      <x:c r="K668" s="2" t="n">
        <x:v>22</x:v>
      </x:c>
      <x:c r="L668" s="2" t="str">
        <x:v>R12 J01-J26 / 8x30, 12+22</x:v>
      </x:c>
    </x:row>
    <x:row r="669" ht="36" customHeight="1">
      <x:c r="A669" s="2" t="str">
        <x:v>R16H0664</x:v>
      </x:c>
      <x:c r="B669" s="2" t="str">
        <x:v>KI12-TV02T2-03</x:v>
      </x:c>
      <x:c r="C669" s="2" t="str">
        <x:v>CSAP J25</x:v>
      </x:c>
      <x:c r="D669" s="2" t="n">
        <x:v>1044</x:v>
      </x:c>
      <x:c r="E669" s="2" t="n">
        <x:v>332</x:v>
      </x:c>
      <x:c r="F669" s="2" t="n">
        <x:v>-9</x:v>
      </x:c>
      <x:c r="G669" s="2" t="n">
        <x:v>-1</x:v>
      </x:c>
      <x:c r="H669" s="2" t="n">
        <x:v>0</x:v>
      </x:c>
      <x:c r="I669" s="2" t="n">
        <x:v>0</x:v>
      </x:c>
      <x:c r="J669" s="2" t="n">
        <x:v>8</x:v>
      </x:c>
      <x:c r="K669" s="2" t="n">
        <x:v>22</x:v>
      </x:c>
      <x:c r="L669" s="2" t="str">
        <x:v>R12 J01-J26 / 8x30, 12+22</x:v>
      </x:c>
    </x:row>
    <x:row r="670" ht="36" customHeight="1">
      <x:c r="A670" s="2" t="str">
        <x:v>R16H0665</x:v>
      </x:c>
      <x:c r="B670" s="2" t="str">
        <x:v>KI12-TV02H2-03</x:v>
      </x:c>
      <x:c r="C670" s="2" t="str">
        <x:v>HATLAP_LEC / R14-J078</x:v>
      </x:c>
      <x:c r="D670" s="2" t="n">
        <x:v>1034</x:v>
      </x:c>
      <x:c r="E670" s="2" t="n">
        <x:v>56</x:v>
      </x:c>
      <x:c r="F670" s="2" t="n">
        <x:v>0</x:v>
      </x:c>
      <x:c r="G670" s="2" t="n">
        <x:v>0</x:v>
      </x:c>
      <x:c r="H670" s="2" t="n">
        <x:v>0</x:v>
      </x:c>
      <x:c r="I670" s="2" t="n">
        <x:v>-1</x:v>
      </x:c>
      <x:c r="J670" s="2" t="n">
        <x:v>3.5</x:v>
      </x:c>
      <x:c r="K670" s="2" t="n">
        <x:v>8</x:v>
      </x:c>
      <x:c r="L670" s="2" t="str">
        <x:v>R14 tervezői kiosztás; tényleges laphoz és csavarhoz próbafúrás</x:v>
      </x:c>
    </x:row>
    <x:row r="671" ht="36" customHeight="1">
      <x:c r="A671" s="2" t="str">
        <x:v>R16H0666</x:v>
      </x:c>
      <x:c r="B671" s="2" t="str">
        <x:v>KI12-TV02H2-03</x:v>
      </x:c>
      <x:c r="C671" s="2" t="str">
        <x:v>HATLAP_LEC / R14-J080</x:v>
      </x:c>
      <x:c r="D671" s="2" t="n">
        <x:v>1034</x:v>
      </x:c>
      <x:c r="E671" s="2" t="n">
        <x:v>136</x:v>
      </x:c>
      <x:c r="F671" s="2" t="n">
        <x:v>0</x:v>
      </x:c>
      <x:c r="G671" s="2" t="n">
        <x:v>0</x:v>
      </x:c>
      <x:c r="H671" s="2" t="n">
        <x:v>0</x:v>
      </x:c>
      <x:c r="I671" s="2" t="n">
        <x:v>-1</x:v>
      </x:c>
      <x:c r="J671" s="2" t="n">
        <x:v>3.5</x:v>
      </x:c>
      <x:c r="K671" s="2" t="n">
        <x:v>8</x:v>
      </x:c>
      <x:c r="L671" s="2" t="str">
        <x:v>R14 tervezői kiosztás; tényleges laphoz és csavarhoz próbafúrás</x:v>
      </x:c>
    </x:row>
    <x:row r="672" ht="36" customHeight="1">
      <x:c r="A672" s="2" t="str">
        <x:v>R16H0667</x:v>
      </x:c>
      <x:c r="B672" s="2" t="str">
        <x:v>KI12-TV02H2-03</x:v>
      </x:c>
      <x:c r="C672" s="2" t="str">
        <x:v>HATLAP_LEC / R14-J082</x:v>
      </x:c>
      <x:c r="D672" s="2" t="n">
        <x:v>1034</x:v>
      </x:c>
      <x:c r="E672" s="2" t="n">
        <x:v>216</x:v>
      </x:c>
      <x:c r="F672" s="2" t="n">
        <x:v>0</x:v>
      </x:c>
      <x:c r="G672" s="2" t="n">
        <x:v>0</x:v>
      </x:c>
      <x:c r="H672" s="2" t="n">
        <x:v>0</x:v>
      </x:c>
      <x:c r="I672" s="2" t="n">
        <x:v>-1</x:v>
      </x:c>
      <x:c r="J672" s="2" t="n">
        <x:v>3.5</x:v>
      </x:c>
      <x:c r="K672" s="2" t="n">
        <x:v>8</x:v>
      </x:c>
      <x:c r="L672" s="2" t="str">
        <x:v>R14 tervezői kiosztás; tényleges laphoz és csavarhoz próbafúrás</x:v>
      </x:c>
    </x:row>
    <x:row r="673" ht="36" customHeight="1">
      <x:c r="A673" s="2" t="str">
        <x:v>R16H0668</x:v>
      </x:c>
      <x:c r="B673" s="2" t="str">
        <x:v>KI12-TV02H2-03</x:v>
      </x:c>
      <x:c r="C673" s="2" t="str">
        <x:v>HATLAP_LEC / R14-J084</x:v>
      </x:c>
      <x:c r="D673" s="2" t="n">
        <x:v>8</x:v>
      </x:c>
      <x:c r="E673" s="2" t="n">
        <x:v>56</x:v>
      </x:c>
      <x:c r="F673" s="2" t="n">
        <x:v>0</x:v>
      </x:c>
      <x:c r="G673" s="2" t="n">
        <x:v>0</x:v>
      </x:c>
      <x:c r="H673" s="2" t="n">
        <x:v>0</x:v>
      </x:c>
      <x:c r="I673" s="2" t="n">
        <x:v>-1</x:v>
      </x:c>
      <x:c r="J673" s="2" t="n">
        <x:v>3.5</x:v>
      </x:c>
      <x:c r="K673" s="2" t="n">
        <x:v>8</x:v>
      </x:c>
      <x:c r="L673" s="2" t="str">
        <x:v>R14 tervezői kiosztás; tényleges laphoz és csavarhoz próbafúrás</x:v>
      </x:c>
    </x:row>
    <x:row r="674" ht="36" customHeight="1">
      <x:c r="A674" s="2" t="str">
        <x:v>R16H0669</x:v>
      </x:c>
      <x:c r="B674" s="2" t="str">
        <x:v>KI12-TV02H2-03</x:v>
      </x:c>
      <x:c r="C674" s="2" t="str">
        <x:v>HATLAP_LEC / R14-J086</x:v>
      </x:c>
      <x:c r="D674" s="2" t="n">
        <x:v>8</x:v>
      </x:c>
      <x:c r="E674" s="2" t="n">
        <x:v>136</x:v>
      </x:c>
      <x:c r="F674" s="2" t="n">
        <x:v>0</x:v>
      </x:c>
      <x:c r="G674" s="2" t="n">
        <x:v>0</x:v>
      </x:c>
      <x:c r="H674" s="2" t="n">
        <x:v>0</x:v>
      </x:c>
      <x:c r="I674" s="2" t="n">
        <x:v>-1</x:v>
      </x:c>
      <x:c r="J674" s="2" t="n">
        <x:v>3.5</x:v>
      </x:c>
      <x:c r="K674" s="2" t="n">
        <x:v>8</x:v>
      </x:c>
      <x:c r="L674" s="2" t="str">
        <x:v>R14 tervezői kiosztás; tényleges laphoz és csavarhoz próbafúrás</x:v>
      </x:c>
    </x:row>
    <x:row r="675" ht="36" customHeight="1">
      <x:c r="A675" s="2" t="str">
        <x:v>R16H0670</x:v>
      </x:c>
      <x:c r="B675" s="2" t="str">
        <x:v>KI12-TV02H2-03</x:v>
      </x:c>
      <x:c r="C675" s="2" t="str">
        <x:v>HATLAP_LEC / R14-J088</x:v>
      </x:c>
      <x:c r="D675" s="2" t="n">
        <x:v>8</x:v>
      </x:c>
      <x:c r="E675" s="2" t="n">
        <x:v>216</x:v>
      </x:c>
      <x:c r="F675" s="2" t="n">
        <x:v>0</x:v>
      </x:c>
      <x:c r="G675" s="2" t="n">
        <x:v>0</x:v>
      </x:c>
      <x:c r="H675" s="2" t="n">
        <x:v>0</x:v>
      </x:c>
      <x:c r="I675" s="2" t="n">
        <x:v>-1</x:v>
      </x:c>
      <x:c r="J675" s="2" t="n">
        <x:v>3.5</x:v>
      </x:c>
      <x:c r="K675" s="2" t="n">
        <x:v>8</x:v>
      </x:c>
      <x:c r="L675" s="2" t="str">
        <x:v>R14 tervezői kiosztás; tényleges laphoz és csavarhoz próbafúrás</x:v>
      </x:c>
    </x:row>
    <x:row r="676" ht="36" customHeight="1">
      <x:c r="A676" s="2" t="str">
        <x:v>R16H0671</x:v>
      </x:c>
      <x:c r="B676" s="2" t="str">
        <x:v>KI14-BAT-09</x:v>
      </x:c>
      <x:c r="C676" s="2" t="str">
        <x:v>LEC_OLDAL / R14-J077</x:v>
      </x:c>
      <x:c r="D676" s="2" t="n">
        <x:v>22</x:v>
      </x:c>
      <x:c r="E676" s="2" t="n">
        <x:v>9</x:v>
      </x:c>
      <x:c r="F676" s="2" t="n">
        <x:v>-18</x:v>
      </x:c>
      <x:c r="G676" s="2" t="n">
        <x:v>0</x:v>
      </x:c>
      <x:c r="H676" s="2" t="n">
        <x:v>0</x:v>
      </x:c>
      <x:c r="I676" s="2" t="n">
        <x:v>1</x:v>
      </x:c>
      <x:c r="J676" s="2" t="n">
        <x:v>4</x:v>
      </x:c>
      <x:c r="K676" s="2" t="n">
        <x:v>18</x:v>
      </x:c>
      <x:c r="L676" s="2" t="str">
        <x:v>R14 tervezői kiosztás; tényleges laphoz és csavarhoz próbafúrás</x:v>
      </x:c>
    </x:row>
    <x:row r="677" ht="36" customHeight="1">
      <x:c r="A677" s="2" t="str">
        <x:v>R16H0672</x:v>
      </x:c>
      <x:c r="B677" s="2" t="str">
        <x:v>KI14-BAT-09</x:v>
      </x:c>
      <x:c r="C677" s="2" t="str">
        <x:v>HATLAP_LEC / R14-J078</x:v>
      </x:c>
      <x:c r="D677" s="2" t="n">
        <x:v>37</x:v>
      </x:c>
      <x:c r="E677" s="2" t="n">
        <x:v>18</x:v>
      </x:c>
      <x:c r="F677" s="2" t="n">
        <x:v>-9</x:v>
      </x:c>
      <x:c r="G677" s="2" t="n">
        <x:v>0</x:v>
      </x:c>
      <x:c r="H677" s="2" t="n">
        <x:v>-1</x:v>
      </x:c>
      <x:c r="I677" s="2" t="n">
        <x:v>0</x:v>
      </x:c>
      <x:c r="J677" s="2" t="n">
        <x:v>2.5</x:v>
      </x:c>
      <x:c r="K677" s="2" t="n">
        <x:v>12</x:v>
      </x:c>
      <x:c r="L677" s="2" t="str">
        <x:v>R14 tervezői kiosztás; tényleges laphoz és csavarhoz próbafúrás</x:v>
      </x:c>
    </x:row>
    <x:row r="678" ht="36" customHeight="1">
      <x:c r="A678" s="2" t="str">
        <x:v>R16H0673</x:v>
      </x:c>
      <x:c r="B678" s="2" t="str">
        <x:v>KI14-BAT-09</x:v>
      </x:c>
      <x:c r="C678" s="2" t="str">
        <x:v>LEC_OLDAL / R14-J079</x:v>
      </x:c>
      <x:c r="D678" s="2" t="n">
        <x:v>102</x:v>
      </x:c>
      <x:c r="E678" s="2" t="n">
        <x:v>9</x:v>
      </x:c>
      <x:c r="F678" s="2" t="n">
        <x:v>-18</x:v>
      </x:c>
      <x:c r="G678" s="2" t="n">
        <x:v>0</x:v>
      </x:c>
      <x:c r="H678" s="2" t="n">
        <x:v>0</x:v>
      </x:c>
      <x:c r="I678" s="2" t="n">
        <x:v>1</x:v>
      </x:c>
      <x:c r="J678" s="2" t="n">
        <x:v>4</x:v>
      </x:c>
      <x:c r="K678" s="2" t="n">
        <x:v>18</x:v>
      </x:c>
      <x:c r="L678" s="2" t="str">
        <x:v>R14 tervezői kiosztás; tényleges laphoz és csavarhoz próbafúrás</x:v>
      </x:c>
    </x:row>
    <x:row r="679" ht="36" customHeight="1">
      <x:c r="A679" s="2" t="str">
        <x:v>R16H0674</x:v>
      </x:c>
      <x:c r="B679" s="2" t="str">
        <x:v>KI14-BAT-09</x:v>
      </x:c>
      <x:c r="C679" s="2" t="str">
        <x:v>HATLAP_LEC / R14-J080</x:v>
      </x:c>
      <x:c r="D679" s="2" t="n">
        <x:v>117</x:v>
      </x:c>
      <x:c r="E679" s="2" t="n">
        <x:v>18</x:v>
      </x:c>
      <x:c r="F679" s="2" t="n">
        <x:v>-9</x:v>
      </x:c>
      <x:c r="G679" s="2" t="n">
        <x:v>0</x:v>
      </x:c>
      <x:c r="H679" s="2" t="n">
        <x:v>-1</x:v>
      </x:c>
      <x:c r="I679" s="2" t="n">
        <x:v>0</x:v>
      </x:c>
      <x:c r="J679" s="2" t="n">
        <x:v>2.5</x:v>
      </x:c>
      <x:c r="K679" s="2" t="n">
        <x:v>12</x:v>
      </x:c>
      <x:c r="L679" s="2" t="str">
        <x:v>R14 tervezői kiosztás; tényleges laphoz és csavarhoz próbafúrás</x:v>
      </x:c>
    </x:row>
    <x:row r="680" ht="36" customHeight="1">
      <x:c r="A680" s="2" t="str">
        <x:v>R16H0675</x:v>
      </x:c>
      <x:c r="B680" s="2" t="str">
        <x:v>KI14-BAT-09</x:v>
      </x:c>
      <x:c r="C680" s="2" t="str">
        <x:v>LEC_OLDAL / R14-J081</x:v>
      </x:c>
      <x:c r="D680" s="2" t="n">
        <x:v>182</x:v>
      </x:c>
      <x:c r="E680" s="2" t="n">
        <x:v>9</x:v>
      </x:c>
      <x:c r="F680" s="2" t="n">
        <x:v>-18</x:v>
      </x:c>
      <x:c r="G680" s="2" t="n">
        <x:v>0</x:v>
      </x:c>
      <x:c r="H680" s="2" t="n">
        <x:v>0</x:v>
      </x:c>
      <x:c r="I680" s="2" t="n">
        <x:v>1</x:v>
      </x:c>
      <x:c r="J680" s="2" t="n">
        <x:v>4</x:v>
      </x:c>
      <x:c r="K680" s="2" t="n">
        <x:v>18</x:v>
      </x:c>
      <x:c r="L680" s="2" t="str">
        <x:v>R14 tervezői kiosztás; tényleges laphoz és csavarhoz próbafúrás</x:v>
      </x:c>
    </x:row>
    <x:row r="681" ht="36" customHeight="1">
      <x:c r="A681" s="2" t="str">
        <x:v>R16H0676</x:v>
      </x:c>
      <x:c r="B681" s="2" t="str">
        <x:v>KI14-BAT-09</x:v>
      </x:c>
      <x:c r="C681" s="2" t="str">
        <x:v>HATLAP_LEC / R14-J082</x:v>
      </x:c>
      <x:c r="D681" s="2" t="n">
        <x:v>197</x:v>
      </x:c>
      <x:c r="E681" s="2" t="n">
        <x:v>18</x:v>
      </x:c>
      <x:c r="F681" s="2" t="n">
        <x:v>-9</x:v>
      </x:c>
      <x:c r="G681" s="2" t="n">
        <x:v>0</x:v>
      </x:c>
      <x:c r="H681" s="2" t="n">
        <x:v>-1</x:v>
      </x:c>
      <x:c r="I681" s="2" t="n">
        <x:v>0</x:v>
      </x:c>
      <x:c r="J681" s="2" t="n">
        <x:v>2.5</x:v>
      </x:c>
      <x:c r="K681" s="2" t="n">
        <x:v>12</x:v>
      </x:c>
      <x:c r="L681" s="2" t="str">
        <x:v>R14 tervezői kiosztás; tényleges laphoz és csavarhoz próbafúrás</x:v>
      </x:c>
    </x:row>
    <x:row r="682" ht="36" customHeight="1">
      <x:c r="A682" s="2" t="str">
        <x:v>R16H0677</x:v>
      </x:c>
      <x:c r="B682" s="2" t="str">
        <x:v>KI14-BAT-10</x:v>
      </x:c>
      <x:c r="C682" s="2" t="str">
        <x:v>LEC_OLDAL / R14-J083</x:v>
      </x:c>
      <x:c r="D682" s="2" t="n">
        <x:v>22</x:v>
      </x:c>
      <x:c r="E682" s="2" t="n">
        <x:v>9</x:v>
      </x:c>
      <x:c r="F682" s="2" t="n">
        <x:v>0</x:v>
      </x:c>
      <x:c r="G682" s="2" t="n">
        <x:v>0</x:v>
      </x:c>
      <x:c r="H682" s="2" t="n">
        <x:v>0</x:v>
      </x:c>
      <x:c r="I682" s="2" t="n">
        <x:v>-1</x:v>
      </x:c>
      <x:c r="J682" s="2" t="n">
        <x:v>4</x:v>
      </x:c>
      <x:c r="K682" s="2" t="n">
        <x:v>18</x:v>
      </x:c>
      <x:c r="L682" s="2" t="str">
        <x:v>R14 tervezői kiosztás; tényleges laphoz és csavarhoz próbafúrás</x:v>
      </x:c>
    </x:row>
    <x:row r="683" ht="36" customHeight="1">
      <x:c r="A683" s="2" t="str">
        <x:v>R16H0678</x:v>
      </x:c>
      <x:c r="B683" s="2" t="str">
        <x:v>KI14-BAT-10</x:v>
      </x:c>
      <x:c r="C683" s="2" t="str">
        <x:v>HATLAP_LEC / R14-J084</x:v>
      </x:c>
      <x:c r="D683" s="2" t="n">
        <x:v>37</x:v>
      </x:c>
      <x:c r="E683" s="2" t="n">
        <x:v>18</x:v>
      </x:c>
      <x:c r="F683" s="2" t="n">
        <x:v>-9</x:v>
      </x:c>
      <x:c r="G683" s="2" t="n">
        <x:v>0</x:v>
      </x:c>
      <x:c r="H683" s="2" t="n">
        <x:v>-1</x:v>
      </x:c>
      <x:c r="I683" s="2" t="n">
        <x:v>0</x:v>
      </x:c>
      <x:c r="J683" s="2" t="n">
        <x:v>2.5</x:v>
      </x:c>
      <x:c r="K683" s="2" t="n">
        <x:v>12</x:v>
      </x:c>
      <x:c r="L683" s="2" t="str">
        <x:v>R14 tervezői kiosztás; tényleges laphoz és csavarhoz próbafúrás</x:v>
      </x:c>
    </x:row>
    <x:row r="684" ht="36" customHeight="1">
      <x:c r="A684" s="2" t="str">
        <x:v>R16H0679</x:v>
      </x:c>
      <x:c r="B684" s="2" t="str">
        <x:v>KI14-BAT-10</x:v>
      </x:c>
      <x:c r="C684" s="2" t="str">
        <x:v>LEC_OLDAL / R14-J085</x:v>
      </x:c>
      <x:c r="D684" s="2" t="n">
        <x:v>102</x:v>
      </x:c>
      <x:c r="E684" s="2" t="n">
        <x:v>9</x:v>
      </x:c>
      <x:c r="F684" s="2" t="n">
        <x:v>0</x:v>
      </x:c>
      <x:c r="G684" s="2" t="n">
        <x:v>0</x:v>
      </x:c>
      <x:c r="H684" s="2" t="n">
        <x:v>0</x:v>
      </x:c>
      <x:c r="I684" s="2" t="n">
        <x:v>-1</x:v>
      </x:c>
      <x:c r="J684" s="2" t="n">
        <x:v>4</x:v>
      </x:c>
      <x:c r="K684" s="2" t="n">
        <x:v>18</x:v>
      </x:c>
      <x:c r="L684" s="2" t="str">
        <x:v>R14 tervezői kiosztás; tényleges laphoz és csavarhoz próbafúrás</x:v>
      </x:c>
    </x:row>
    <x:row r="685" ht="36" customHeight="1">
      <x:c r="A685" s="2" t="str">
        <x:v>R16H0680</x:v>
      </x:c>
      <x:c r="B685" s="2" t="str">
        <x:v>KI14-BAT-10</x:v>
      </x:c>
      <x:c r="C685" s="2" t="str">
        <x:v>HATLAP_LEC / R14-J086</x:v>
      </x:c>
      <x:c r="D685" s="2" t="n">
        <x:v>117</x:v>
      </x:c>
      <x:c r="E685" s="2" t="n">
        <x:v>18</x:v>
      </x:c>
      <x:c r="F685" s="2" t="n">
        <x:v>-9</x:v>
      </x:c>
      <x:c r="G685" s="2" t="n">
        <x:v>0</x:v>
      </x:c>
      <x:c r="H685" s="2" t="n">
        <x:v>-1</x:v>
      </x:c>
      <x:c r="I685" s="2" t="n">
        <x:v>0</x:v>
      </x:c>
      <x:c r="J685" s="2" t="n">
        <x:v>2.5</x:v>
      </x:c>
      <x:c r="K685" s="2" t="n">
        <x:v>12</x:v>
      </x:c>
      <x:c r="L685" s="2" t="str">
        <x:v>R14 tervezői kiosztás; tényleges laphoz és csavarhoz próbafúrás</x:v>
      </x:c>
    </x:row>
    <x:row r="686" ht="36" customHeight="1">
      <x:c r="A686" s="2" t="str">
        <x:v>R16H0681</x:v>
      </x:c>
      <x:c r="B686" s="2" t="str">
        <x:v>KI14-BAT-10</x:v>
      </x:c>
      <x:c r="C686" s="2" t="str">
        <x:v>LEC_OLDAL / R14-J087</x:v>
      </x:c>
      <x:c r="D686" s="2" t="n">
        <x:v>182</x:v>
      </x:c>
      <x:c r="E686" s="2" t="n">
        <x:v>9</x:v>
      </x:c>
      <x:c r="F686" s="2" t="n">
        <x:v>0</x:v>
      </x:c>
      <x:c r="G686" s="2" t="n">
        <x:v>0</x:v>
      </x:c>
      <x:c r="H686" s="2" t="n">
        <x:v>0</x:v>
      </x:c>
      <x:c r="I686" s="2" t="n">
        <x:v>-1</x:v>
      </x:c>
      <x:c r="J686" s="2" t="n">
        <x:v>4</x:v>
      </x:c>
      <x:c r="K686" s="2" t="n">
        <x:v>18</x:v>
      </x:c>
      <x:c r="L686" s="2" t="str">
        <x:v>R14 tervezői kiosztás; tényleges laphoz és csavarhoz próbafúrás</x:v>
      </x:c>
    </x:row>
    <x:row r="687" ht="36" customHeight="1">
      <x:c r="A687" s="2" t="str">
        <x:v>R16H0682</x:v>
      </x:c>
      <x:c r="B687" s="2" t="str">
        <x:v>KI14-BAT-10</x:v>
      </x:c>
      <x:c r="C687" s="2" t="str">
        <x:v>HATLAP_LEC / R14-J088</x:v>
      </x:c>
      <x:c r="D687" s="2" t="n">
        <x:v>197</x:v>
      </x:c>
      <x:c r="E687" s="2" t="n">
        <x:v>18</x:v>
      </x:c>
      <x:c r="F687" s="2" t="n">
        <x:v>-9</x:v>
      </x:c>
      <x:c r="G687" s="2" t="n">
        <x:v>0</x:v>
      </x:c>
      <x:c r="H687" s="2" t="n">
        <x:v>-1</x:v>
      </x:c>
      <x:c r="I687" s="2" t="n">
        <x:v>0</x:v>
      </x:c>
      <x:c r="J687" s="2" t="n">
        <x:v>2.5</x:v>
      </x:c>
      <x:c r="K687" s="2" t="n">
        <x:v>12</x:v>
      </x:c>
      <x:c r="L687" s="2" t="str">
        <x:v>R14 tervezői kiosztás; tényleges laphoz és csavarhoz próbafúrás</x:v>
      </x:c>
    </x:row>
    <x:row r="688" ht="36" customHeight="1">
      <x:c r="A688" s="2" t="str">
        <x:v>R16H0683</x:v>
      </x:c>
      <x:c r="B688" s="2" t="str">
        <x:v>KI14-RAIL-04</x:v>
      </x:c>
      <x:c r="C688" s="2" t="str">
        <x:v>MEREVITO_CSAP / R14-J121</x:v>
      </x:c>
      <x:c r="D688" s="2" t="n">
        <x:v>1044</x:v>
      </x:c>
      <x:c r="E688" s="2" t="n">
        <x:v>20</x:v>
      </x:c>
      <x:c r="F688" s="2" t="n">
        <x:v>-9</x:v>
      </x:c>
      <x:c r="G688" s="2" t="n">
        <x:v>-1</x:v>
      </x:c>
      <x:c r="H688" s="2" t="n">
        <x:v>0</x:v>
      </x:c>
      <x:c r="I688" s="2" t="n">
        <x:v>0</x:v>
      </x:c>
      <x:c r="J688" s="2" t="n">
        <x:v>8</x:v>
      </x:c>
      <x:c r="K688" s="2" t="n">
        <x:v>22</x:v>
      </x:c>
      <x:c r="L688" s="2" t="str">
        <x:v>R14 Ø8x30 bükk csap, 22+12 mélység; ragasztott próbakötés</x:v>
      </x:c>
    </x:row>
    <x:row r="689" ht="36" customHeight="1">
      <x:c r="A689" s="2" t="str">
        <x:v>R16H0684</x:v>
      </x:c>
      <x:c r="B689" s="2" t="str">
        <x:v>KI14-RAIL-04</x:v>
      </x:c>
      <x:c r="C689" s="2" t="str">
        <x:v>MEREVITO_CSAP / R14-J122</x:v>
      </x:c>
      <x:c r="D689" s="2" t="n">
        <x:v>1044</x:v>
      </x:c>
      <x:c r="E689" s="2" t="n">
        <x:v>50</x:v>
      </x:c>
      <x:c r="F689" s="2" t="n">
        <x:v>-9</x:v>
      </x:c>
      <x:c r="G689" s="2" t="n">
        <x:v>-1</x:v>
      </x:c>
      <x:c r="H689" s="2" t="n">
        <x:v>0</x:v>
      </x:c>
      <x:c r="I689" s="2" t="n">
        <x:v>0</x:v>
      </x:c>
      <x:c r="J689" s="2" t="n">
        <x:v>8</x:v>
      </x:c>
      <x:c r="K689" s="2" t="n">
        <x:v>22</x:v>
      </x:c>
      <x:c r="L689" s="2" t="str">
        <x:v>R14 Ø8x30 bükk csap, 22+12 mélység; ragasztott próbakötés</x:v>
      </x:c>
    </x:row>
    <x:row r="690" ht="36" customHeight="1">
      <x:c r="A690" s="2" t="str">
        <x:v>R16H0685</x:v>
      </x:c>
      <x:c r="B690" s="2" t="str">
        <x:v>KI14-RAIL-04</x:v>
      </x:c>
      <x:c r="C690" s="2" t="str">
        <x:v>MEREVITO_CSAP / R14-J123</x:v>
      </x:c>
      <x:c r="D690" s="2" t="n">
        <x:v>1044</x:v>
      </x:c>
      <x:c r="E690" s="2" t="n">
        <x:v>80</x:v>
      </x:c>
      <x:c r="F690" s="2" t="n">
        <x:v>-9</x:v>
      </x:c>
      <x:c r="G690" s="2" t="n">
        <x:v>-1</x:v>
      </x:c>
      <x:c r="H690" s="2" t="n">
        <x:v>0</x:v>
      </x:c>
      <x:c r="I690" s="2" t="n">
        <x:v>0</x:v>
      </x:c>
      <x:c r="J690" s="2" t="n">
        <x:v>8</x:v>
      </x:c>
      <x:c r="K690" s="2" t="n">
        <x:v>22</x:v>
      </x:c>
      <x:c r="L690" s="2" t="str">
        <x:v>R14 Ø8x30 bükk csap, 22+12 mélység; ragasztott próbakötés</x:v>
      </x:c>
    </x:row>
    <x:row r="691" ht="36" customHeight="1">
      <x:c r="A691" s="2" t="str">
        <x:v>R16H0686</x:v>
      </x:c>
      <x:c r="B691" s="2" t="str">
        <x:v>KI14-RAIL-04</x:v>
      </x:c>
      <x:c r="C691" s="2" t="str">
        <x:v>MEREVITO_CSAP / R14-J124</x:v>
      </x:c>
      <x:c r="D691" s="2" t="n">
        <x:v>0</x:v>
      </x:c>
      <x:c r="E691" s="2" t="n">
        <x:v>20</x:v>
      </x:c>
      <x:c r="F691" s="2" t="n">
        <x:v>-9</x:v>
      </x:c>
      <x:c r="G691" s="2" t="n">
        <x:v>1</x:v>
      </x:c>
      <x:c r="H691" s="2" t="n">
        <x:v>0</x:v>
      </x:c>
      <x:c r="I691" s="2" t="n">
        <x:v>0</x:v>
      </x:c>
      <x:c r="J691" s="2" t="n">
        <x:v>8</x:v>
      </x:c>
      <x:c r="K691" s="2" t="n">
        <x:v>22</x:v>
      </x:c>
      <x:c r="L691" s="2" t="str">
        <x:v>R14 Ø8x30 bükk csap, 22+12 mélység; ragasztott próbakötés</x:v>
      </x:c>
    </x:row>
    <x:row r="692" ht="36" customHeight="1">
      <x:c r="A692" s="2" t="str">
        <x:v>R16H0687</x:v>
      </x:c>
      <x:c r="B692" s="2" t="str">
        <x:v>KI14-RAIL-04</x:v>
      </x:c>
      <x:c r="C692" s="2" t="str">
        <x:v>MEREVITO_CSAP / R14-J125</x:v>
      </x:c>
      <x:c r="D692" s="2" t="n">
        <x:v>0</x:v>
      </x:c>
      <x:c r="E692" s="2" t="n">
        <x:v>50</x:v>
      </x:c>
      <x:c r="F692" s="2" t="n">
        <x:v>-9</x:v>
      </x:c>
      <x:c r="G692" s="2" t="n">
        <x:v>1</x:v>
      </x:c>
      <x:c r="H692" s="2" t="n">
        <x:v>0</x:v>
      </x:c>
      <x:c r="I692" s="2" t="n">
        <x:v>0</x:v>
      </x:c>
      <x:c r="J692" s="2" t="n">
        <x:v>8</x:v>
      </x:c>
      <x:c r="K692" s="2" t="n">
        <x:v>22</x:v>
      </x:c>
      <x:c r="L692" s="2" t="str">
        <x:v>R14 Ø8x30 bükk csap, 22+12 mélység; ragasztott próbakötés</x:v>
      </x:c>
    </x:row>
    <x:row r="693" ht="36" customHeight="1">
      <x:c r="A693" s="2" t="str">
        <x:v>R16H0688</x:v>
      </x:c>
      <x:c r="B693" s="2" t="str">
        <x:v>KI14-RAIL-04</x:v>
      </x:c>
      <x:c r="C693" s="2" t="str">
        <x:v>MEREVITO_CSAP / R14-J126</x:v>
      </x:c>
      <x:c r="D693" s="2" t="n">
        <x:v>0</x:v>
      </x:c>
      <x:c r="E693" s="2" t="n">
        <x:v>80</x:v>
      </x:c>
      <x:c r="F693" s="2" t="n">
        <x:v>-9</x:v>
      </x:c>
      <x:c r="G693" s="2" t="n">
        <x:v>1</x:v>
      </x:c>
      <x:c r="H693" s="2" t="n">
        <x:v>0</x:v>
      </x:c>
      <x:c r="I693" s="2" t="n">
        <x:v>0</x:v>
      </x:c>
      <x:c r="J693" s="2" t="n">
        <x:v>8</x:v>
      </x:c>
      <x:c r="K693" s="2" t="n">
        <x:v>22</x:v>
      </x:c>
      <x:c r="L693" s="2" t="str">
        <x:v>R14 Ø8x30 bükk csap, 22+12 mélység; ragasztott próbakötés</x:v>
      </x:c>
    </x:row>
    <x:row r="694" ht="36" customHeight="1">
      <x:c r="A694" s="2" t="str">
        <x:v>R16H0689</x:v>
      </x:c>
      <x:c r="B694" s="2" t="str">
        <x:v>KI12-TV02CAP-01</x:v>
      </x:c>
      <x:c r="C694" s="2" t="str">
        <x:v>CSAP J24</x:v>
      </x:c>
      <x:c r="D694" s="2" t="n">
        <x:v>1629</x:v>
      </x:c>
      <x:c r="E694" s="2" t="n">
        <x:v>50</x:v>
      </x:c>
      <x:c r="F694" s="2" t="n">
        <x:v>-18</x:v>
      </x:c>
      <x:c r="G694" s="2" t="n">
        <x:v>0</x:v>
      </x:c>
      <x:c r="H694" s="2" t="n">
        <x:v>0</x:v>
      </x:c>
      <x:c r="I694" s="2" t="n">
        <x:v>1</x:v>
      </x:c>
      <x:c r="J694" s="2" t="n">
        <x:v>8</x:v>
      </x:c>
      <x:c r="K694" s="2" t="n">
        <x:v>12</x:v>
      </x:c>
      <x:c r="L694" s="2" t="str">
        <x:v>R12 J01-J26 / 8x30, 12+22</x:v>
      </x:c>
    </x:row>
    <x:row r="695" ht="36" customHeight="1">
      <x:c r="A695" s="2" t="str">
        <x:v>R16H0690</x:v>
      </x:c>
      <x:c r="B695" s="2" t="str">
        <x:v>KI12-TV02CAP-01</x:v>
      </x:c>
      <x:c r="C695" s="2" t="str">
        <x:v>CSAP J24</x:v>
      </x:c>
      <x:c r="D695" s="2" t="n">
        <x:v>1629</x:v>
      </x:c>
      <x:c r="E695" s="2" t="n">
        <x:v>191</x:v>
      </x:c>
      <x:c r="F695" s="2" t="n">
        <x:v>-18</x:v>
      </x:c>
      <x:c r="G695" s="2" t="n">
        <x:v>0</x:v>
      </x:c>
      <x:c r="H695" s="2" t="n">
        <x:v>0</x:v>
      </x:c>
      <x:c r="I695" s="2" t="n">
        <x:v>1</x:v>
      </x:c>
      <x:c r="J695" s="2" t="n">
        <x:v>8</x:v>
      </x:c>
      <x:c r="K695" s="2" t="n">
        <x:v>12</x:v>
      </x:c>
      <x:c r="L695" s="2" t="str">
        <x:v>R12 J01-J26 / 8x30, 12+22</x:v>
      </x:c>
    </x:row>
    <x:row r="696" ht="36" customHeight="1">
      <x:c r="A696" s="2" t="str">
        <x:v>R16H0691</x:v>
      </x:c>
      <x:c r="B696" s="2" t="str">
        <x:v>KI12-TV02CAP-01</x:v>
      </x:c>
      <x:c r="C696" s="2" t="str">
        <x:v>CSAP J24</x:v>
      </x:c>
      <x:c r="D696" s="2" t="n">
        <x:v>1629</x:v>
      </x:c>
      <x:c r="E696" s="2" t="n">
        <x:v>332</x:v>
      </x:c>
      <x:c r="F696" s="2" t="n">
        <x:v>-18</x:v>
      </x:c>
      <x:c r="G696" s="2" t="n">
        <x:v>0</x:v>
      </x:c>
      <x:c r="H696" s="2" t="n">
        <x:v>0</x:v>
      </x:c>
      <x:c r="I696" s="2" t="n">
        <x:v>1</x:v>
      </x:c>
      <x:c r="J696" s="2" t="n">
        <x:v>8</x:v>
      </x:c>
      <x:c r="K696" s="2" t="n">
        <x:v>12</x:v>
      </x:c>
      <x:c r="L696" s="2" t="str">
        <x:v>R12 J01-J26 / 8x30, 12+22</x:v>
      </x:c>
    </x:row>
    <x:row r="697" ht="36" customHeight="1">
      <x:c r="A697" s="2" t="str">
        <x:v>R16H0692</x:v>
      </x:c>
      <x:c r="B697" s="2" t="str">
        <x:v>KI12-TV02CAP-01</x:v>
      </x:c>
      <x:c r="C697" s="2" t="str">
        <x:v>CSAP J26</x:v>
      </x:c>
      <x:c r="D697" s="2" t="n">
        <x:v>2691</x:v>
      </x:c>
      <x:c r="E697" s="2" t="n">
        <x:v>50</x:v>
      </x:c>
      <x:c r="F697" s="2" t="n">
        <x:v>-18</x:v>
      </x:c>
      <x:c r="G697" s="2" t="n">
        <x:v>0</x:v>
      </x:c>
      <x:c r="H697" s="2" t="n">
        <x:v>0</x:v>
      </x:c>
      <x:c r="I697" s="2" t="n">
        <x:v>1</x:v>
      </x:c>
      <x:c r="J697" s="2" t="n">
        <x:v>8</x:v>
      </x:c>
      <x:c r="K697" s="2" t="n">
        <x:v>12</x:v>
      </x:c>
      <x:c r="L697" s="2" t="str">
        <x:v>R12 J01-J26 / 8x30, 12+22</x:v>
      </x:c>
    </x:row>
    <x:row r="698" ht="36" customHeight="1">
      <x:c r="A698" s="2" t="str">
        <x:v>R16H0693</x:v>
      </x:c>
      <x:c r="B698" s="2" t="str">
        <x:v>KI12-TV02CAP-01</x:v>
      </x:c>
      <x:c r="C698" s="2" t="str">
        <x:v>CSAP J26</x:v>
      </x:c>
      <x:c r="D698" s="2" t="n">
        <x:v>2691</x:v>
      </x:c>
      <x:c r="E698" s="2" t="n">
        <x:v>191</x:v>
      </x:c>
      <x:c r="F698" s="2" t="n">
        <x:v>-18</x:v>
      </x:c>
      <x:c r="G698" s="2" t="n">
        <x:v>0</x:v>
      </x:c>
      <x:c r="H698" s="2" t="n">
        <x:v>0</x:v>
      </x:c>
      <x:c r="I698" s="2" t="n">
        <x:v>1</x:v>
      </x:c>
      <x:c r="J698" s="2" t="n">
        <x:v>8</x:v>
      </x:c>
      <x:c r="K698" s="2" t="n">
        <x:v>12</x:v>
      </x:c>
      <x:c r="L698" s="2" t="str">
        <x:v>R12 J01-J26 / 8x30, 12+22</x:v>
      </x:c>
    </x:row>
    <x:row r="699" ht="36" customHeight="1">
      <x:c r="A699" s="2" t="str">
        <x:v>R16H0694</x:v>
      </x:c>
      <x:c r="B699" s="2" t="str">
        <x:v>KI12-TV02CAP-01</x:v>
      </x:c>
      <x:c r="C699" s="2" t="str">
        <x:v>CSAP J26</x:v>
      </x:c>
      <x:c r="D699" s="2" t="n">
        <x:v>2691</x:v>
      </x:c>
      <x:c r="E699" s="2" t="n">
        <x:v>332</x:v>
      </x:c>
      <x:c r="F699" s="2" t="n">
        <x:v>-18</x:v>
      </x:c>
      <x:c r="G699" s="2" t="n">
        <x:v>0</x:v>
      </x:c>
      <x:c r="H699" s="2" t="n">
        <x:v>0</x:v>
      </x:c>
      <x:c r="I699" s="2" t="n">
        <x:v>1</x:v>
      </x:c>
      <x:c r="J699" s="2" t="n">
        <x:v>8</x:v>
      </x:c>
      <x:c r="K699" s="2" t="n">
        <x:v>12</x:v>
      </x:c>
      <x:c r="L699" s="2" t="str">
        <x:v>R12 J01-J26 / 8x30, 12+22</x:v>
      </x:c>
    </x:row>
    <x:row r="700" ht="36" customHeight="1">
      <x:c r="A700" s="2" t="str">
        <x:v>R16H0695</x:v>
      </x:c>
      <x:c r="B700" s="2" t="str">
        <x:v>KI16-D4-L</x:v>
      </x:c>
      <x:c r="C700" s="2" t="str">
        <x:v>FIÓK_FENEK_ATMENO</x:v>
      </x:c>
      <x:c r="D700" s="2" t="n">
        <x:v>20.5</x:v>
      </x:c>
      <x:c r="E700" s="2" t="n">
        <x:v>50</x:v>
      </x:c>
      <x:c r="F700" s="2" t="n">
        <x:v>0</x:v>
      </x:c>
      <x:c r="G700" s="2" t="n">
        <x:v>0</x:v>
      </x:c>
      <x:c r="H700" s="2" t="n">
        <x:v>0</x:v>
      </x:c>
      <x:c r="I700" s="2" t="n">
        <x:v>-1</x:v>
      </x:c>
      <x:c r="J700" s="2" t="n">
        <x:v>4.5</x:v>
      </x:c>
      <x:c r="K700" s="2" t="n">
        <x:v>15</x:v>
      </x:c>
      <x:c r="L700" s="2" t="str">
        <x:v>R16 szerkezeti terv; anyaghoz illesztett próbafúrás kell</x:v>
      </x:c>
    </x:row>
    <x:row r="701" ht="36" customHeight="1">
      <x:c r="A701" s="2" t="str">
        <x:v>R16H0696</x:v>
      </x:c>
      <x:c r="B701" s="2" t="str">
        <x:v>KI16-D4-B</x:v>
      </x:c>
      <x:c r="C701" s="2" t="str">
        <x:v>FIÓK_FENEK_PILOT</x:v>
      </x:c>
      <x:c r="D701" s="2" t="n">
        <x:v>0</x:v>
      </x:c>
      <x:c r="E701" s="2" t="n">
        <x:v>50</x:v>
      </x:c>
      <x:c r="F701" s="2" t="n">
        <x:v>-7.5</x:v>
      </x:c>
      <x:c r="G701" s="2" t="n">
        <x:v>1</x:v>
      </x:c>
      <x:c r="H701" s="2" t="n">
        <x:v>0</x:v>
      </x:c>
      <x:c r="I701" s="2" t="n">
        <x:v>0</x:v>
      </x:c>
      <x:c r="J701" s="2" t="n">
        <x:v>2.5</x:v>
      </x:c>
      <x:c r="K701" s="2" t="n">
        <x:v>20</x:v>
      </x:c>
      <x:c r="L701" s="2" t="str">
        <x:v>R16 szerkezeti terv; anyaghoz illesztett próbafúrás kell</x:v>
      </x:c>
    </x:row>
    <x:row r="702" ht="36" customHeight="1">
      <x:c r="A702" s="2" t="str">
        <x:v>R16H0697</x:v>
      </x:c>
      <x:c r="B702" s="2" t="str">
        <x:v>KI16-D4-L</x:v>
      </x:c>
      <x:c r="C702" s="2" t="str">
        <x:v>FIÓK_FENEK_ATMENO</x:v>
      </x:c>
      <x:c r="D702" s="2" t="n">
        <x:v>20.5</x:v>
      </x:c>
      <x:c r="E702" s="2" t="n">
        <x:v>145</x:v>
      </x:c>
      <x:c r="F702" s="2" t="n">
        <x:v>0</x:v>
      </x:c>
      <x:c r="G702" s="2" t="n">
        <x:v>0</x:v>
      </x:c>
      <x:c r="H702" s="2" t="n">
        <x:v>0</x:v>
      </x:c>
      <x:c r="I702" s="2" t="n">
        <x:v>-1</x:v>
      </x:c>
      <x:c r="J702" s="2" t="n">
        <x:v>4.5</x:v>
      </x:c>
      <x:c r="K702" s="2" t="n">
        <x:v>15</x:v>
      </x:c>
      <x:c r="L702" s="2" t="str">
        <x:v>R16 szerkezeti terv; anyaghoz illesztett próbafúrás kell</x:v>
      </x:c>
    </x:row>
    <x:row r="703" ht="36" customHeight="1">
      <x:c r="A703" s="2" t="str">
        <x:v>R16H0698</x:v>
      </x:c>
      <x:c r="B703" s="2" t="str">
        <x:v>KI16-D4-B</x:v>
      </x:c>
      <x:c r="C703" s="2" t="str">
        <x:v>FIÓK_FENEK_PILOT</x:v>
      </x:c>
      <x:c r="D703" s="2" t="n">
        <x:v>0</x:v>
      </x:c>
      <x:c r="E703" s="2" t="n">
        <x:v>145</x:v>
      </x:c>
      <x:c r="F703" s="2" t="n">
        <x:v>-7.5</x:v>
      </x:c>
      <x:c r="G703" s="2" t="n">
        <x:v>1</x:v>
      </x:c>
      <x:c r="H703" s="2" t="n">
        <x:v>0</x:v>
      </x:c>
      <x:c r="I703" s="2" t="n">
        <x:v>0</x:v>
      </x:c>
      <x:c r="J703" s="2" t="n">
        <x:v>2.5</x:v>
      </x:c>
      <x:c r="K703" s="2" t="n">
        <x:v>20</x:v>
      </x:c>
      <x:c r="L703" s="2" t="str">
        <x:v>R16 szerkezeti terv; anyaghoz illesztett próbafúrás kell</x:v>
      </x:c>
    </x:row>
    <x:row r="704" ht="36" customHeight="1">
      <x:c r="A704" s="2" t="str">
        <x:v>R16H0699</x:v>
      </x:c>
      <x:c r="B704" s="2" t="str">
        <x:v>KI16-D4-L</x:v>
      </x:c>
      <x:c r="C704" s="2" t="str">
        <x:v>FIÓK_FENEK_ATMENO</x:v>
      </x:c>
      <x:c r="D704" s="2" t="n">
        <x:v>20.5</x:v>
      </x:c>
      <x:c r="E704" s="2" t="n">
        <x:v>240</x:v>
      </x:c>
      <x:c r="F704" s="2" t="n">
        <x:v>0</x:v>
      </x:c>
      <x:c r="G704" s="2" t="n">
        <x:v>0</x:v>
      </x:c>
      <x:c r="H704" s="2" t="n">
        <x:v>0</x:v>
      </x:c>
      <x:c r="I704" s="2" t="n">
        <x:v>-1</x:v>
      </x:c>
      <x:c r="J704" s="2" t="n">
        <x:v>4.5</x:v>
      </x:c>
      <x:c r="K704" s="2" t="n">
        <x:v>15</x:v>
      </x:c>
      <x:c r="L704" s="2" t="str">
        <x:v>R16 szerkezeti terv; anyaghoz illesztett próbafúrás kell</x:v>
      </x:c>
    </x:row>
    <x:row r="705" ht="36" customHeight="1">
      <x:c r="A705" s="2" t="str">
        <x:v>R16H0700</x:v>
      </x:c>
      <x:c r="B705" s="2" t="str">
        <x:v>KI16-D4-B</x:v>
      </x:c>
      <x:c r="C705" s="2" t="str">
        <x:v>FIÓK_FENEK_PILOT</x:v>
      </x:c>
      <x:c r="D705" s="2" t="n">
        <x:v>0</x:v>
      </x:c>
      <x:c r="E705" s="2" t="n">
        <x:v>240</x:v>
      </x:c>
      <x:c r="F705" s="2" t="n">
        <x:v>-7.5</x:v>
      </x:c>
      <x:c r="G705" s="2" t="n">
        <x:v>1</x:v>
      </x:c>
      <x:c r="H705" s="2" t="n">
        <x:v>0</x:v>
      </x:c>
      <x:c r="I705" s="2" t="n">
        <x:v>0</x:v>
      </x:c>
      <x:c r="J705" s="2" t="n">
        <x:v>2.5</x:v>
      </x:c>
      <x:c r="K705" s="2" t="n">
        <x:v>20</x:v>
      </x:c>
      <x:c r="L705" s="2" t="str">
        <x:v>R16 szerkezeti terv; anyaghoz illesztett próbafúrás kell</x:v>
      </x:c>
    </x:row>
    <x:row r="706" ht="36" customHeight="1">
      <x:c r="A706" s="2" t="str">
        <x:v>R16H0701</x:v>
      </x:c>
      <x:c r="B706" s="2" t="str">
        <x:v>KI16-D4-L</x:v>
      </x:c>
      <x:c r="C706" s="2" t="str">
        <x:v>FIÓK_ELO_HAT_ATMENO</x:v>
      </x:c>
      <x:c r="D706" s="2" t="n">
        <x:v>73</x:v>
      </x:c>
      <x:c r="E706" s="2" t="n">
        <x:v>7.5</x:v>
      </x:c>
      <x:c r="F706" s="2" t="n">
        <x:v>0</x:v>
      </x:c>
      <x:c r="G706" s="2" t="n">
        <x:v>0</x:v>
      </x:c>
      <x:c r="H706" s="2" t="n">
        <x:v>0</x:v>
      </x:c>
      <x:c r="I706" s="2" t="n">
        <x:v>-1</x:v>
      </x:c>
      <x:c r="J706" s="2" t="n">
        <x:v>4.5</x:v>
      </x:c>
      <x:c r="K706" s="2" t="n">
        <x:v>15</x:v>
      </x:c>
      <x:c r="L706" s="2" t="str">
        <x:v>R16 szerkezeti terv; anyaghoz illesztett próbafúrás kell</x:v>
      </x:c>
    </x:row>
    <x:row r="707" ht="36" customHeight="1">
      <x:c r="A707" s="2" t="str">
        <x:v>R16H0702</x:v>
      </x:c>
      <x:c r="B707" s="2" t="str">
        <x:v>KI16-D4-F</x:v>
      </x:c>
      <x:c r="C707" s="2" t="str">
        <x:v>FIÓK_ELO_HAT_PILOT</x:v>
      </x:c>
      <x:c r="D707" s="2" t="n">
        <x:v>1002</x:v>
      </x:c>
      <x:c r="E707" s="2" t="n">
        <x:v>45</x:v>
      </x:c>
      <x:c r="F707" s="2" t="n">
        <x:v>-7.5</x:v>
      </x:c>
      <x:c r="G707" s="2" t="n">
        <x:v>-1</x:v>
      </x:c>
      <x:c r="H707" s="2" t="n">
        <x:v>0</x:v>
      </x:c>
      <x:c r="I707" s="2" t="n">
        <x:v>0</x:v>
      </x:c>
      <x:c r="J707" s="2" t="n">
        <x:v>2.5</x:v>
      </x:c>
      <x:c r="K707" s="2" t="n">
        <x:v>20</x:v>
      </x:c>
      <x:c r="L707" s="2" t="str">
        <x:v>R16 szerkezeti terv; anyaghoz illesztett próbafúrás kell</x:v>
      </x:c>
    </x:row>
    <x:row r="708" ht="36" customHeight="1">
      <x:c r="A708" s="2" t="str">
        <x:v>R16H0703</x:v>
      </x:c>
      <x:c r="B708" s="2" t="str">
        <x:v>KI16-D4-L</x:v>
      </x:c>
      <x:c r="C708" s="2" t="str">
        <x:v>FIÓK_ELO_HAT_ATMENO</x:v>
      </x:c>
      <x:c r="D708" s="2" t="n">
        <x:v>203</x:v>
      </x:c>
      <x:c r="E708" s="2" t="n">
        <x:v>7.5</x:v>
      </x:c>
      <x:c r="F708" s="2" t="n">
        <x:v>0</x:v>
      </x:c>
      <x:c r="G708" s="2" t="n">
        <x:v>0</x:v>
      </x:c>
      <x:c r="H708" s="2" t="n">
        <x:v>0</x:v>
      </x:c>
      <x:c r="I708" s="2" t="n">
        <x:v>-1</x:v>
      </x:c>
      <x:c r="J708" s="2" t="n">
        <x:v>4.5</x:v>
      </x:c>
      <x:c r="K708" s="2" t="n">
        <x:v>15</x:v>
      </x:c>
      <x:c r="L708" s="2" t="str">
        <x:v>R16 szerkezeti terv; anyaghoz illesztett próbafúrás kell</x:v>
      </x:c>
    </x:row>
    <x:row r="709" ht="36" customHeight="1">
      <x:c r="A709" s="2" t="str">
        <x:v>R16H0704</x:v>
      </x:c>
      <x:c r="B709" s="2" t="str">
        <x:v>KI16-D4-F</x:v>
      </x:c>
      <x:c r="C709" s="2" t="str">
        <x:v>FIÓK_ELO_HAT_PILOT</x:v>
      </x:c>
      <x:c r="D709" s="2" t="n">
        <x:v>1002</x:v>
      </x:c>
      <x:c r="E709" s="2" t="n">
        <x:v>175</x:v>
      </x:c>
      <x:c r="F709" s="2" t="n">
        <x:v>-7.5</x:v>
      </x:c>
      <x:c r="G709" s="2" t="n">
        <x:v>-1</x:v>
      </x:c>
      <x:c r="H709" s="2" t="n">
        <x:v>0</x:v>
      </x:c>
      <x:c r="I709" s="2" t="n">
        <x:v>0</x:v>
      </x:c>
      <x:c r="J709" s="2" t="n">
        <x:v>2.5</x:v>
      </x:c>
      <x:c r="K709" s="2" t="n">
        <x:v>20</x:v>
      </x:c>
      <x:c r="L709" s="2" t="str">
        <x:v>R16 szerkezeti terv; anyaghoz illesztett próbafúrás kell</x:v>
      </x:c>
    </x:row>
    <x:row r="710" ht="36" customHeight="1">
      <x:c r="A710" s="2" t="str">
        <x:v>R16H0705</x:v>
      </x:c>
      <x:c r="B710" s="2" t="str">
        <x:v>KI16-D4-L</x:v>
      </x:c>
      <x:c r="C710" s="2" t="str">
        <x:v>FIÓK_ELO_HAT_ATMENO</x:v>
      </x:c>
      <x:c r="D710" s="2" t="n">
        <x:v>73</x:v>
      </x:c>
      <x:c r="E710" s="2" t="n">
        <x:v>282.5</x:v>
      </x:c>
      <x:c r="F710" s="2" t="n">
        <x:v>0</x:v>
      </x:c>
      <x:c r="G710" s="2" t="n">
        <x:v>0</x:v>
      </x:c>
      <x:c r="H710" s="2" t="n">
        <x:v>0</x:v>
      </x:c>
      <x:c r="I710" s="2" t="n">
        <x:v>-1</x:v>
      </x:c>
      <x:c r="J710" s="2" t="n">
        <x:v>4.5</x:v>
      </x:c>
      <x:c r="K710" s="2" t="n">
        <x:v>15</x:v>
      </x:c>
      <x:c r="L710" s="2" t="str">
        <x:v>R16 szerkezeti terv; anyaghoz illesztett próbafúrás kell</x:v>
      </x:c>
    </x:row>
    <x:row r="711" ht="36" customHeight="1">
      <x:c r="A711" s="2" t="str">
        <x:v>R16H0706</x:v>
      </x:c>
      <x:c r="B711" s="2" t="str">
        <x:v>KI16-D4-H</x:v>
      </x:c>
      <x:c r="C711" s="2" t="str">
        <x:v>FIÓK_ELO_HAT_PILOT</x:v>
      </x:c>
      <x:c r="D711" s="2" t="n">
        <x:v>1002</x:v>
      </x:c>
      <x:c r="E711" s="2" t="n">
        <x:v>45</x:v>
      </x:c>
      <x:c r="F711" s="2" t="n">
        <x:v>-7.5</x:v>
      </x:c>
      <x:c r="G711" s="2" t="n">
        <x:v>-1</x:v>
      </x:c>
      <x:c r="H711" s="2" t="n">
        <x:v>0</x:v>
      </x:c>
      <x:c r="I711" s="2" t="n">
        <x:v>0</x:v>
      </x:c>
      <x:c r="J711" s="2" t="n">
        <x:v>2.5</x:v>
      </x:c>
      <x:c r="K711" s="2" t="n">
        <x:v>20</x:v>
      </x:c>
      <x:c r="L711" s="2" t="str">
        <x:v>R16 szerkezeti terv; anyaghoz illesztett próbafúrás kell</x:v>
      </x:c>
    </x:row>
    <x:row r="712" ht="36" customHeight="1">
      <x:c r="A712" s="2" t="str">
        <x:v>R16H0707</x:v>
      </x:c>
      <x:c r="B712" s="2" t="str">
        <x:v>KI16-D4-L</x:v>
      </x:c>
      <x:c r="C712" s="2" t="str">
        <x:v>FIÓK_ELO_HAT_ATMENO</x:v>
      </x:c>
      <x:c r="D712" s="2" t="n">
        <x:v>203</x:v>
      </x:c>
      <x:c r="E712" s="2" t="n">
        <x:v>282.5</x:v>
      </x:c>
      <x:c r="F712" s="2" t="n">
        <x:v>0</x:v>
      </x:c>
      <x:c r="G712" s="2" t="n">
        <x:v>0</x:v>
      </x:c>
      <x:c r="H712" s="2" t="n">
        <x:v>0</x:v>
      </x:c>
      <x:c r="I712" s="2" t="n">
        <x:v>-1</x:v>
      </x:c>
      <x:c r="J712" s="2" t="n">
        <x:v>4.5</x:v>
      </x:c>
      <x:c r="K712" s="2" t="n">
        <x:v>15</x:v>
      </x:c>
      <x:c r="L712" s="2" t="str">
        <x:v>R16 szerkezeti terv; anyaghoz illesztett próbafúrás kell</x:v>
      </x:c>
    </x:row>
    <x:row r="713" ht="36" customHeight="1">
      <x:c r="A713" s="2" t="str">
        <x:v>R16H0708</x:v>
      </x:c>
      <x:c r="B713" s="2" t="str">
        <x:v>KI16-D4-H</x:v>
      </x:c>
      <x:c r="C713" s="2" t="str">
        <x:v>FIÓK_ELO_HAT_PILOT</x:v>
      </x:c>
      <x:c r="D713" s="2" t="n">
        <x:v>1002</x:v>
      </x:c>
      <x:c r="E713" s="2" t="n">
        <x:v>175</x:v>
      </x:c>
      <x:c r="F713" s="2" t="n">
        <x:v>-7.5</x:v>
      </x:c>
      <x:c r="G713" s="2" t="n">
        <x:v>-1</x:v>
      </x:c>
      <x:c r="H713" s="2" t="n">
        <x:v>0</x:v>
      </x:c>
      <x:c r="I713" s="2" t="n">
        <x:v>0</x:v>
      </x:c>
      <x:c r="J713" s="2" t="n">
        <x:v>2.5</x:v>
      </x:c>
      <x:c r="K713" s="2" t="n">
        <x:v>20</x:v>
      </x:c>
      <x:c r="L713" s="2" t="str">
        <x:v>R16 szerkezeti terv; anyaghoz illesztett próbafúrás kell</x:v>
      </x:c>
    </x:row>
    <x:row r="714" ht="36" customHeight="1">
      <x:c r="A714" s="2" t="str">
        <x:v>R16H0709</x:v>
      </x:c>
      <x:c r="B714" s="2" t="str">
        <x:v>KI16-D4-R</x:v>
      </x:c>
      <x:c r="C714" s="2" t="str">
        <x:v>FIÓK_FENEK_ATMENO</x:v>
      </x:c>
      <x:c r="D714" s="2" t="n">
        <x:v>20.5</x:v>
      </x:c>
      <x:c r="E714" s="2" t="n">
        <x:v>50</x:v>
      </x:c>
      <x:c r="F714" s="2" t="n">
        <x:v>-15</x:v>
      </x:c>
      <x:c r="G714" s="2" t="n">
        <x:v>0</x:v>
      </x:c>
      <x:c r="H714" s="2" t="n">
        <x:v>0</x:v>
      </x:c>
      <x:c r="I714" s="2" t="n">
        <x:v>1</x:v>
      </x:c>
      <x:c r="J714" s="2" t="n">
        <x:v>4.5</x:v>
      </x:c>
      <x:c r="K714" s="2" t="n">
        <x:v>15</x:v>
      </x:c>
      <x:c r="L714" s="2" t="str">
        <x:v>R16 szerkezeti terv; anyaghoz illesztett próbafúrás kell</x:v>
      </x:c>
    </x:row>
    <x:row r="715" ht="36" customHeight="1">
      <x:c r="A715" s="2" t="str">
        <x:v>R16H0710</x:v>
      </x:c>
      <x:c r="B715" s="2" t="str">
        <x:v>KI16-D4-B</x:v>
      </x:c>
      <x:c r="C715" s="2" t="str">
        <x:v>FIÓK_FENEK_PILOT</x:v>
      </x:c>
      <x:c r="D715" s="2" t="n">
        <x:v>1002</x:v>
      </x:c>
      <x:c r="E715" s="2" t="n">
        <x:v>50</x:v>
      </x:c>
      <x:c r="F715" s="2" t="n">
        <x:v>-7.5</x:v>
      </x:c>
      <x:c r="G715" s="2" t="n">
        <x:v>-1</x:v>
      </x:c>
      <x:c r="H715" s="2" t="n">
        <x:v>0</x:v>
      </x:c>
      <x:c r="I715" s="2" t="n">
        <x:v>0</x:v>
      </x:c>
      <x:c r="J715" s="2" t="n">
        <x:v>2.5</x:v>
      </x:c>
      <x:c r="K715" s="2" t="n">
        <x:v>20</x:v>
      </x:c>
      <x:c r="L715" s="2" t="str">
        <x:v>R16 szerkezeti terv; anyaghoz illesztett próbafúrás kell</x:v>
      </x:c>
    </x:row>
    <x:row r="716" ht="36" customHeight="1">
      <x:c r="A716" s="2" t="str">
        <x:v>R16H0711</x:v>
      </x:c>
      <x:c r="B716" s="2" t="str">
        <x:v>KI16-D4-R</x:v>
      </x:c>
      <x:c r="C716" s="2" t="str">
        <x:v>FIÓK_FENEK_ATMENO</x:v>
      </x:c>
      <x:c r="D716" s="2" t="n">
        <x:v>20.5</x:v>
      </x:c>
      <x:c r="E716" s="2" t="n">
        <x:v>145</x:v>
      </x:c>
      <x:c r="F716" s="2" t="n">
        <x:v>-15</x:v>
      </x:c>
      <x:c r="G716" s="2" t="n">
        <x:v>0</x:v>
      </x:c>
      <x:c r="H716" s="2" t="n">
        <x:v>0</x:v>
      </x:c>
      <x:c r="I716" s="2" t="n">
        <x:v>1</x:v>
      </x:c>
      <x:c r="J716" s="2" t="n">
        <x:v>4.5</x:v>
      </x:c>
      <x:c r="K716" s="2" t="n">
        <x:v>15</x:v>
      </x:c>
      <x:c r="L716" s="2" t="str">
        <x:v>R16 szerkezeti terv; anyaghoz illesztett próbafúrás kell</x:v>
      </x:c>
    </x:row>
    <x:row r="717" ht="36" customHeight="1">
      <x:c r="A717" s="2" t="str">
        <x:v>R16H0712</x:v>
      </x:c>
      <x:c r="B717" s="2" t="str">
        <x:v>KI16-D4-B</x:v>
      </x:c>
      <x:c r="C717" s="2" t="str">
        <x:v>FIÓK_FENEK_PILOT</x:v>
      </x:c>
      <x:c r="D717" s="2" t="n">
        <x:v>1002</x:v>
      </x:c>
      <x:c r="E717" s="2" t="n">
        <x:v>145</x:v>
      </x:c>
      <x:c r="F717" s="2" t="n">
        <x:v>-7.5</x:v>
      </x:c>
      <x:c r="G717" s="2" t="n">
        <x:v>-1</x:v>
      </x:c>
      <x:c r="H717" s="2" t="n">
        <x:v>0</x:v>
      </x:c>
      <x:c r="I717" s="2" t="n">
        <x:v>0</x:v>
      </x:c>
      <x:c r="J717" s="2" t="n">
        <x:v>2.5</x:v>
      </x:c>
      <x:c r="K717" s="2" t="n">
        <x:v>20</x:v>
      </x:c>
      <x:c r="L717" s="2" t="str">
        <x:v>R16 szerkezeti terv; anyaghoz illesztett próbafúrás kell</x:v>
      </x:c>
    </x:row>
    <x:row r="718" ht="36" customHeight="1">
      <x:c r="A718" s="2" t="str">
        <x:v>R16H0713</x:v>
      </x:c>
      <x:c r="B718" s="2" t="str">
        <x:v>KI16-D4-R</x:v>
      </x:c>
      <x:c r="C718" s="2" t="str">
        <x:v>FIÓK_FENEK_ATMENO</x:v>
      </x:c>
      <x:c r="D718" s="2" t="n">
        <x:v>20.5</x:v>
      </x:c>
      <x:c r="E718" s="2" t="n">
        <x:v>240</x:v>
      </x:c>
      <x:c r="F718" s="2" t="n">
        <x:v>-15</x:v>
      </x:c>
      <x:c r="G718" s="2" t="n">
        <x:v>0</x:v>
      </x:c>
      <x:c r="H718" s="2" t="n">
        <x:v>0</x:v>
      </x:c>
      <x:c r="I718" s="2" t="n">
        <x:v>1</x:v>
      </x:c>
      <x:c r="J718" s="2" t="n">
        <x:v>4.5</x:v>
      </x:c>
      <x:c r="K718" s="2" t="n">
        <x:v>15</x:v>
      </x:c>
      <x:c r="L718" s="2" t="str">
        <x:v>R16 szerkezeti terv; anyaghoz illesztett próbafúrás kell</x:v>
      </x:c>
    </x:row>
    <x:row r="719" ht="36" customHeight="1">
      <x:c r="A719" s="2" t="str">
        <x:v>R16H0714</x:v>
      </x:c>
      <x:c r="B719" s="2" t="str">
        <x:v>KI16-D4-B</x:v>
      </x:c>
      <x:c r="C719" s="2" t="str">
        <x:v>FIÓK_FENEK_PILOT</x:v>
      </x:c>
      <x:c r="D719" s="2" t="n">
        <x:v>1002</x:v>
      </x:c>
      <x:c r="E719" s="2" t="n">
        <x:v>240</x:v>
      </x:c>
      <x:c r="F719" s="2" t="n">
        <x:v>-7.5</x:v>
      </x:c>
      <x:c r="G719" s="2" t="n">
        <x:v>-1</x:v>
      </x:c>
      <x:c r="H719" s="2" t="n">
        <x:v>0</x:v>
      </x:c>
      <x:c r="I719" s="2" t="n">
        <x:v>0</x:v>
      </x:c>
      <x:c r="J719" s="2" t="n">
        <x:v>2.5</x:v>
      </x:c>
      <x:c r="K719" s="2" t="n">
        <x:v>20</x:v>
      </x:c>
      <x:c r="L719" s="2" t="str">
        <x:v>R16 szerkezeti terv; anyaghoz illesztett próbafúrás kell</x:v>
      </x:c>
    </x:row>
    <x:row r="720" ht="36" customHeight="1">
      <x:c r="A720" s="2" t="str">
        <x:v>R16H0715</x:v>
      </x:c>
      <x:c r="B720" s="2" t="str">
        <x:v>KI16-D4-R</x:v>
      </x:c>
      <x:c r="C720" s="2" t="str">
        <x:v>FIÓK_ELO_HAT_ATMENO</x:v>
      </x:c>
      <x:c r="D720" s="2" t="n">
        <x:v>73</x:v>
      </x:c>
      <x:c r="E720" s="2" t="n">
        <x:v>7.5</x:v>
      </x:c>
      <x:c r="F720" s="2" t="n">
        <x:v>-15</x:v>
      </x:c>
      <x:c r="G720" s="2" t="n">
        <x:v>0</x:v>
      </x:c>
      <x:c r="H720" s="2" t="n">
        <x:v>0</x:v>
      </x:c>
      <x:c r="I720" s="2" t="n">
        <x:v>1</x:v>
      </x:c>
      <x:c r="J720" s="2" t="n">
        <x:v>4.5</x:v>
      </x:c>
      <x:c r="K720" s="2" t="n">
        <x:v>15</x:v>
      </x:c>
      <x:c r="L720" s="2" t="str">
        <x:v>R16 szerkezeti terv; anyaghoz illesztett próbafúrás kell</x:v>
      </x:c>
    </x:row>
    <x:row r="721" ht="36" customHeight="1">
      <x:c r="A721" s="2" t="str">
        <x:v>R16H0716</x:v>
      </x:c>
      <x:c r="B721" s="2" t="str">
        <x:v>KI16-D4-F</x:v>
      </x:c>
      <x:c r="C721" s="2" t="str">
        <x:v>FIÓK_ELO_HAT_PILOT</x:v>
      </x:c>
      <x:c r="D721" s="2" t="n">
        <x:v>0</x:v>
      </x:c>
      <x:c r="E721" s="2" t="n">
        <x:v>45</x:v>
      </x:c>
      <x:c r="F721" s="2" t="n">
        <x:v>-7.5</x:v>
      </x:c>
      <x:c r="G721" s="2" t="n">
        <x:v>1</x:v>
      </x:c>
      <x:c r="H721" s="2" t="n">
        <x:v>0</x:v>
      </x:c>
      <x:c r="I721" s="2" t="n">
        <x:v>0</x:v>
      </x:c>
      <x:c r="J721" s="2" t="n">
        <x:v>2.5</x:v>
      </x:c>
      <x:c r="K721" s="2" t="n">
        <x:v>20</x:v>
      </x:c>
      <x:c r="L721" s="2" t="str">
        <x:v>R16 szerkezeti terv; anyaghoz illesztett próbafúrás kell</x:v>
      </x:c>
    </x:row>
    <x:row r="722" ht="36" customHeight="1">
      <x:c r="A722" s="2" t="str">
        <x:v>R16H0717</x:v>
      </x:c>
      <x:c r="B722" s="2" t="str">
        <x:v>KI16-D4-R</x:v>
      </x:c>
      <x:c r="C722" s="2" t="str">
        <x:v>FIÓK_ELO_HAT_ATMENO</x:v>
      </x:c>
      <x:c r="D722" s="2" t="n">
        <x:v>203</x:v>
      </x:c>
      <x:c r="E722" s="2" t="n">
        <x:v>7.5</x:v>
      </x:c>
      <x:c r="F722" s="2" t="n">
        <x:v>-15</x:v>
      </x:c>
      <x:c r="G722" s="2" t="n">
        <x:v>0</x:v>
      </x:c>
      <x:c r="H722" s="2" t="n">
        <x:v>0</x:v>
      </x:c>
      <x:c r="I722" s="2" t="n">
        <x:v>1</x:v>
      </x:c>
      <x:c r="J722" s="2" t="n">
        <x:v>4.5</x:v>
      </x:c>
      <x:c r="K722" s="2" t="n">
        <x:v>15</x:v>
      </x:c>
      <x:c r="L722" s="2" t="str">
        <x:v>R16 szerkezeti terv; anyaghoz illesztett próbafúrás kell</x:v>
      </x:c>
    </x:row>
    <x:row r="723" ht="36" customHeight="1">
      <x:c r="A723" s="2" t="str">
        <x:v>R16H0718</x:v>
      </x:c>
      <x:c r="B723" s="2" t="str">
        <x:v>KI16-D4-F</x:v>
      </x:c>
      <x:c r="C723" s="2" t="str">
        <x:v>FIÓK_ELO_HAT_PILOT</x:v>
      </x:c>
      <x:c r="D723" s="2" t="n">
        <x:v>0</x:v>
      </x:c>
      <x:c r="E723" s="2" t="n">
        <x:v>175</x:v>
      </x:c>
      <x:c r="F723" s="2" t="n">
        <x:v>-7.5</x:v>
      </x:c>
      <x:c r="G723" s="2" t="n">
        <x:v>1</x:v>
      </x:c>
      <x:c r="H723" s="2" t="n">
        <x:v>0</x:v>
      </x:c>
      <x:c r="I723" s="2" t="n">
        <x:v>0</x:v>
      </x:c>
      <x:c r="J723" s="2" t="n">
        <x:v>2.5</x:v>
      </x:c>
      <x:c r="K723" s="2" t="n">
        <x:v>20</x:v>
      </x:c>
      <x:c r="L723" s="2" t="str">
        <x:v>R16 szerkezeti terv; anyaghoz illesztett próbafúrás kell</x:v>
      </x:c>
    </x:row>
    <x:row r="724" ht="36" customHeight="1">
      <x:c r="A724" s="2" t="str">
        <x:v>R16H0719</x:v>
      </x:c>
      <x:c r="B724" s="2" t="str">
        <x:v>KI16-D4-R</x:v>
      </x:c>
      <x:c r="C724" s="2" t="str">
        <x:v>FIÓK_ELO_HAT_ATMENO</x:v>
      </x:c>
      <x:c r="D724" s="2" t="n">
        <x:v>73</x:v>
      </x:c>
      <x:c r="E724" s="2" t="n">
        <x:v>282.5</x:v>
      </x:c>
      <x:c r="F724" s="2" t="n">
        <x:v>-15</x:v>
      </x:c>
      <x:c r="G724" s="2" t="n">
        <x:v>0</x:v>
      </x:c>
      <x:c r="H724" s="2" t="n">
        <x:v>0</x:v>
      </x:c>
      <x:c r="I724" s="2" t="n">
        <x:v>1</x:v>
      </x:c>
      <x:c r="J724" s="2" t="n">
        <x:v>4.5</x:v>
      </x:c>
      <x:c r="K724" s="2" t="n">
        <x:v>15</x:v>
      </x:c>
      <x:c r="L724" s="2" t="str">
        <x:v>R16 szerkezeti terv; anyaghoz illesztett próbafúrás kell</x:v>
      </x:c>
    </x:row>
    <x:row r="725" ht="36" customHeight="1">
      <x:c r="A725" s="2" t="str">
        <x:v>R16H0720</x:v>
      </x:c>
      <x:c r="B725" s="2" t="str">
        <x:v>KI16-D4-H</x:v>
      </x:c>
      <x:c r="C725" s="2" t="str">
        <x:v>FIÓK_ELO_HAT_PILOT</x:v>
      </x:c>
      <x:c r="D725" s="2" t="n">
        <x:v>0</x:v>
      </x:c>
      <x:c r="E725" s="2" t="n">
        <x:v>45</x:v>
      </x:c>
      <x:c r="F725" s="2" t="n">
        <x:v>-7.5</x:v>
      </x:c>
      <x:c r="G725" s="2" t="n">
        <x:v>1</x:v>
      </x:c>
      <x:c r="H725" s="2" t="n">
        <x:v>0</x:v>
      </x:c>
      <x:c r="I725" s="2" t="n">
        <x:v>0</x:v>
      </x:c>
      <x:c r="J725" s="2" t="n">
        <x:v>2.5</x:v>
      </x:c>
      <x:c r="K725" s="2" t="n">
        <x:v>20</x:v>
      </x:c>
      <x:c r="L725" s="2" t="str">
        <x:v>R16 szerkezeti terv; anyaghoz illesztett próbafúrás kell</x:v>
      </x:c>
    </x:row>
    <x:row r="726" ht="36" customHeight="1">
      <x:c r="A726" s="2" t="str">
        <x:v>R16H0721</x:v>
      </x:c>
      <x:c r="B726" s="2" t="str">
        <x:v>KI16-D4-R</x:v>
      </x:c>
      <x:c r="C726" s="2" t="str">
        <x:v>FIÓK_ELO_HAT_ATMENO</x:v>
      </x:c>
      <x:c r="D726" s="2" t="n">
        <x:v>203</x:v>
      </x:c>
      <x:c r="E726" s="2" t="n">
        <x:v>282.5</x:v>
      </x:c>
      <x:c r="F726" s="2" t="n">
        <x:v>-15</x:v>
      </x:c>
      <x:c r="G726" s="2" t="n">
        <x:v>0</x:v>
      </x:c>
      <x:c r="H726" s="2" t="n">
        <x:v>0</x:v>
      </x:c>
      <x:c r="I726" s="2" t="n">
        <x:v>1</x:v>
      </x:c>
      <x:c r="J726" s="2" t="n">
        <x:v>4.5</x:v>
      </x:c>
      <x:c r="K726" s="2" t="n">
        <x:v>15</x:v>
      </x:c>
      <x:c r="L726" s="2" t="str">
        <x:v>R16 szerkezeti terv; anyaghoz illesztett próbafúrás kell</x:v>
      </x:c>
    </x:row>
    <x:row r="727" ht="36" customHeight="1">
      <x:c r="A727" s="2" t="str">
        <x:v>R16H0722</x:v>
      </x:c>
      <x:c r="B727" s="2" t="str">
        <x:v>KI16-D4-H</x:v>
      </x:c>
      <x:c r="C727" s="2" t="str">
        <x:v>FIÓK_ELO_HAT_PILOT</x:v>
      </x:c>
      <x:c r="D727" s="2" t="n">
        <x:v>0</x:v>
      </x:c>
      <x:c r="E727" s="2" t="n">
        <x:v>175</x:v>
      </x:c>
      <x:c r="F727" s="2" t="n">
        <x:v>-7.5</x:v>
      </x:c>
      <x:c r="G727" s="2" t="n">
        <x:v>1</x:v>
      </x:c>
      <x:c r="H727" s="2" t="n">
        <x:v>0</x:v>
      </x:c>
      <x:c r="I727" s="2" t="n">
        <x:v>0</x:v>
      </x:c>
      <x:c r="J727" s="2" t="n">
        <x:v>2.5</x:v>
      </x:c>
      <x:c r="K727" s="2" t="n">
        <x:v>20</x:v>
      </x:c>
      <x:c r="L727" s="2" t="str">
        <x:v>R16 szerkezeti terv; anyaghoz illesztett próbafúrás kell</x:v>
      </x:c>
    </x:row>
    <x:row r="728" ht="36" customHeight="1">
      <x:c r="A728" s="2" t="str">
        <x:v>R16H0723</x:v>
      </x:c>
      <x:c r="B728" s="2" t="str">
        <x:v>KI16-D4-F</x:v>
      </x:c>
      <x:c r="C728" s="2" t="str">
        <x:v>FRONT_ROGZITES_ATMENO</x:v>
      </x:c>
      <x:c r="D728" s="2" t="n">
        <x:v>941</x:v>
      </x:c>
      <x:c r="E728" s="2" t="n">
        <x:v>45</x:v>
      </x:c>
      <x:c r="F728" s="2" t="n">
        <x:v>0</x:v>
      </x:c>
      <x:c r="G728" s="2" t="n">
        <x:v>0</x:v>
      </x:c>
      <x:c r="H728" s="2" t="n">
        <x:v>0</x:v>
      </x:c>
      <x:c r="I728" s="2" t="n">
        <x:v>-1</x:v>
      </x:c>
      <x:c r="J728" s="2" t="n">
        <x:v>5</x:v>
      </x:c>
      <x:c r="K728" s="2" t="n">
        <x:v>15</x:v>
      </x:c>
      <x:c r="L728" s="2" t="str">
        <x:v>R16 szerkezeti terv; anyaghoz illesztett próbafúrás kell</x:v>
      </x:c>
    </x:row>
    <x:row r="729" ht="36" customHeight="1">
      <x:c r="A729" s="2" t="str">
        <x:v>R16H0724</x:v>
      </x:c>
      <x:c r="B729" s="2" t="str">
        <x:v>KI12-TV02F2-03</x:v>
      </x:c>
      <x:c r="C729" s="2" t="str">
        <x:v>FRONT_ROGZITES_PILOT</x:v>
      </x:c>
      <x:c r="D729" s="2" t="n">
        <x:v>978.5</x:v>
      </x:c>
      <x:c r="E729" s="2" t="n">
        <x:v>118.5</x:v>
      </x:c>
      <x:c r="F729" s="2" t="n">
        <x:v>0</x:v>
      </x:c>
      <x:c r="G729" s="2" t="n">
        <x:v>0</x:v>
      </x:c>
      <x:c r="H729" s="2" t="n">
        <x:v>0</x:v>
      </x:c>
      <x:c r="I729" s="2" t="n">
        <x:v>-1</x:v>
      </x:c>
      <x:c r="J729" s="2" t="n">
        <x:v>2.5</x:v>
      </x:c>
      <x:c r="K729" s="2" t="n">
        <x:v>12</x:v>
      </x:c>
      <x:c r="L729" s="2" t="str">
        <x:v>R16 szerkezeti terv; anyaghoz illesztett próbafúrás kell</x:v>
      </x:c>
    </x:row>
    <x:row r="730" ht="36" customHeight="1">
      <x:c r="A730" s="2" t="str">
        <x:v>R16H0725</x:v>
      </x:c>
      <x:c r="B730" s="2" t="str">
        <x:v>KI16-D4-F</x:v>
      </x:c>
      <x:c r="C730" s="2" t="str">
        <x:v>FRONT_ROGZITES_ATMENO</x:v>
      </x:c>
      <x:c r="D730" s="2" t="n">
        <x:v>941</x:v>
      </x:c>
      <x:c r="E730" s="2" t="n">
        <x:v>175</x:v>
      </x:c>
      <x:c r="F730" s="2" t="n">
        <x:v>0</x:v>
      </x:c>
      <x:c r="G730" s="2" t="n">
        <x:v>0</x:v>
      </x:c>
      <x:c r="H730" s="2" t="n">
        <x:v>0</x:v>
      </x:c>
      <x:c r="I730" s="2" t="n">
        <x:v>-1</x:v>
      </x:c>
      <x:c r="J730" s="2" t="n">
        <x:v>5</x:v>
      </x:c>
      <x:c r="K730" s="2" t="n">
        <x:v>15</x:v>
      </x:c>
      <x:c r="L730" s="2" t="str">
        <x:v>R16 szerkezeti terv; anyaghoz illesztett próbafúrás kell</x:v>
      </x:c>
    </x:row>
    <x:row r="731" ht="36" customHeight="1">
      <x:c r="A731" s="2" t="str">
        <x:v>R16H0726</x:v>
      </x:c>
      <x:c r="B731" s="2" t="str">
        <x:v>KI12-TV02F2-03</x:v>
      </x:c>
      <x:c r="C731" s="2" t="str">
        <x:v>FRONT_ROGZITES_PILOT</x:v>
      </x:c>
      <x:c r="D731" s="2" t="n">
        <x:v>978.5</x:v>
      </x:c>
      <x:c r="E731" s="2" t="n">
        <x:v>248.5</x:v>
      </x:c>
      <x:c r="F731" s="2" t="n">
        <x:v>0</x:v>
      </x:c>
      <x:c r="G731" s="2" t="n">
        <x:v>0</x:v>
      </x:c>
      <x:c r="H731" s="2" t="n">
        <x:v>0</x:v>
      </x:c>
      <x:c r="I731" s="2" t="n">
        <x:v>-1</x:v>
      </x:c>
      <x:c r="J731" s="2" t="n">
        <x:v>2.5</x:v>
      </x:c>
      <x:c r="K731" s="2" t="n">
        <x:v>12</x:v>
      </x:c>
      <x:c r="L731" s="2" t="str">
        <x:v>R16 szerkezeti terv; anyaghoz illesztett próbafúrás kell</x:v>
      </x:c>
    </x:row>
    <x:row r="732" ht="36" customHeight="1">
      <x:c r="A732" s="2" t="str">
        <x:v>R16H0727</x:v>
      </x:c>
      <x:c r="B732" s="2" t="str">
        <x:v>KI16-D4-F</x:v>
      </x:c>
      <x:c r="C732" s="2" t="str">
        <x:v>FRONT_ROGZITES_ATMENO</x:v>
      </x:c>
      <x:c r="D732" s="2" t="n">
        <x:v>61</x:v>
      </x:c>
      <x:c r="E732" s="2" t="n">
        <x:v>45</x:v>
      </x:c>
      <x:c r="F732" s="2" t="n">
        <x:v>0</x:v>
      </x:c>
      <x:c r="G732" s="2" t="n">
        <x:v>0</x:v>
      </x:c>
      <x:c r="H732" s="2" t="n">
        <x:v>0</x:v>
      </x:c>
      <x:c r="I732" s="2" t="n">
        <x:v>-1</x:v>
      </x:c>
      <x:c r="J732" s="2" t="n">
        <x:v>5</x:v>
      </x:c>
      <x:c r="K732" s="2" t="n">
        <x:v>15</x:v>
      </x:c>
      <x:c r="L732" s="2" t="str">
        <x:v>R16 szerkezeti terv; anyaghoz illesztett próbafúrás kell</x:v>
      </x:c>
    </x:row>
    <x:row r="733" ht="36" customHeight="1">
      <x:c r="A733" s="2" t="str">
        <x:v>R16H0728</x:v>
      </x:c>
      <x:c r="B733" s="2" t="str">
        <x:v>KI12-TV02F2-03</x:v>
      </x:c>
      <x:c r="C733" s="2" t="str">
        <x:v>FRONT_ROGZITES_PILOT</x:v>
      </x:c>
      <x:c r="D733" s="2" t="n">
        <x:v>98.5</x:v>
      </x:c>
      <x:c r="E733" s="2" t="n">
        <x:v>118.5</x:v>
      </x:c>
      <x:c r="F733" s="2" t="n">
        <x:v>0</x:v>
      </x:c>
      <x:c r="G733" s="2" t="n">
        <x:v>0</x:v>
      </x:c>
      <x:c r="H733" s="2" t="n">
        <x:v>0</x:v>
      </x:c>
      <x:c r="I733" s="2" t="n">
        <x:v>-1</x:v>
      </x:c>
      <x:c r="J733" s="2" t="n">
        <x:v>2.5</x:v>
      </x:c>
      <x:c r="K733" s="2" t="n">
        <x:v>12</x:v>
      </x:c>
      <x:c r="L733" s="2" t="str">
        <x:v>R16 szerkezeti terv; anyaghoz illesztett próbafúrás kell</x:v>
      </x:c>
    </x:row>
    <x:row r="734" ht="36" customHeight="1">
      <x:c r="A734" s="2" t="str">
        <x:v>R16H0729</x:v>
      </x:c>
      <x:c r="B734" s="2" t="str">
        <x:v>KI16-D4-F</x:v>
      </x:c>
      <x:c r="C734" s="2" t="str">
        <x:v>FRONT_ROGZITES_ATMENO</x:v>
      </x:c>
      <x:c r="D734" s="2" t="n">
        <x:v>61</x:v>
      </x:c>
      <x:c r="E734" s="2" t="n">
        <x:v>175</x:v>
      </x:c>
      <x:c r="F734" s="2" t="n">
        <x:v>0</x:v>
      </x:c>
      <x:c r="G734" s="2" t="n">
        <x:v>0</x:v>
      </x:c>
      <x:c r="H734" s="2" t="n">
        <x:v>0</x:v>
      </x:c>
      <x:c r="I734" s="2" t="n">
        <x:v>-1</x:v>
      </x:c>
      <x:c r="J734" s="2" t="n">
        <x:v>5</x:v>
      </x:c>
      <x:c r="K734" s="2" t="n">
        <x:v>15</x:v>
      </x:c>
      <x:c r="L734" s="2" t="str">
        <x:v>R16 szerkezeti terv; anyaghoz illesztett próbafúrás kell</x:v>
      </x:c>
    </x:row>
    <x:row r="735" ht="36" customHeight="1">
      <x:c r="A735" s="2" t="str">
        <x:v>R16H0730</x:v>
      </x:c>
      <x:c r="B735" s="2" t="str">
        <x:v>KI12-TV02F2-03</x:v>
      </x:c>
      <x:c r="C735" s="2" t="str">
        <x:v>FRONT_ROGZITES_PILOT</x:v>
      </x:c>
      <x:c r="D735" s="2" t="n">
        <x:v>98.5</x:v>
      </x:c>
      <x:c r="E735" s="2" t="n">
        <x:v>248.5</x:v>
      </x:c>
      <x:c r="F735" s="2" t="n">
        <x:v>0</x:v>
      </x:c>
      <x:c r="G735" s="2" t="n">
        <x:v>0</x:v>
      </x:c>
      <x:c r="H735" s="2" t="n">
        <x:v>0</x:v>
      </x:c>
      <x:c r="I735" s="2" t="n">
        <x:v>-1</x:v>
      </x:c>
      <x:c r="J735" s="2" t="n">
        <x:v>2.5</x:v>
      </x:c>
      <x:c r="K735" s="2" t="n">
        <x:v>12</x:v>
      </x:c>
      <x:c r="L735" s="2" t="str">
        <x:v>R16 szerkezeti terv; anyaghoz illesztett próbafúrás kell</x:v>
      </x:c>
    </x:row>
    <x:row r="736" ht="36" customHeight="1">
      <x:c r="A736" s="2" t="str">
        <x:v>R16H0731</x:v>
      </x:c>
      <x:c r="B736" s="2" t="str">
        <x:v>KI12-TV02S-09</x:v>
      </x:c>
      <x:c r="C736" s="2" t="str">
        <x:v>CSAP J23</x:v>
      </x:c>
      <x:c r="D736" s="2" t="n">
        <x:v>9</x:v>
      </x:c>
      <x:c r="E736" s="2" t="n">
        <x:v>50</x:v>
      </x:c>
      <x:c r="F736" s="2" t="n">
        <x:v>-18</x:v>
      </x:c>
      <x:c r="G736" s="2" t="n">
        <x:v>0</x:v>
      </x:c>
      <x:c r="H736" s="2" t="n">
        <x:v>0</x:v>
      </x:c>
      <x:c r="I736" s="2" t="n">
        <x:v>1</x:v>
      </x:c>
      <x:c r="J736" s="2" t="n">
        <x:v>8</x:v>
      </x:c>
      <x:c r="K736" s="2" t="n">
        <x:v>12</x:v>
      </x:c>
      <x:c r="L736" s="2" t="str">
        <x:v>R12 J01-J26 / 8x30, 12+22</x:v>
      </x:c>
    </x:row>
    <x:row r="737" ht="36" customHeight="1">
      <x:c r="A737" s="2" t="str">
        <x:v>R16H0732</x:v>
      </x:c>
      <x:c r="B737" s="2" t="str">
        <x:v>KI12-TV02S-09</x:v>
      </x:c>
      <x:c r="C737" s="2" t="str">
        <x:v>CSAP J23</x:v>
      </x:c>
      <x:c r="D737" s="2" t="n">
        <x:v>9</x:v>
      </x:c>
      <x:c r="E737" s="2" t="n">
        <x:v>191</x:v>
      </x:c>
      <x:c r="F737" s="2" t="n">
        <x:v>-18</x:v>
      </x:c>
      <x:c r="G737" s="2" t="n">
        <x:v>0</x:v>
      </x:c>
      <x:c r="H737" s="2" t="n">
        <x:v>0</x:v>
      </x:c>
      <x:c r="I737" s="2" t="n">
        <x:v>1</x:v>
      </x:c>
      <x:c r="J737" s="2" t="n">
        <x:v>8</x:v>
      </x:c>
      <x:c r="K737" s="2" t="n">
        <x:v>12</x:v>
      </x:c>
      <x:c r="L737" s="2" t="str">
        <x:v>R12 J01-J26 / 8x30, 12+22</x:v>
      </x:c>
    </x:row>
    <x:row r="738" ht="36" customHeight="1">
      <x:c r="A738" s="2" t="str">
        <x:v>R16H0733</x:v>
      </x:c>
      <x:c r="B738" s="2" t="str">
        <x:v>KI12-TV02S-09</x:v>
      </x:c>
      <x:c r="C738" s="2" t="str">
        <x:v>CSAP J23</x:v>
      </x:c>
      <x:c r="D738" s="2" t="n">
        <x:v>9</x:v>
      </x:c>
      <x:c r="E738" s="2" t="n">
        <x:v>332</x:v>
      </x:c>
      <x:c r="F738" s="2" t="n">
        <x:v>-18</x:v>
      </x:c>
      <x:c r="G738" s="2" t="n">
        <x:v>0</x:v>
      </x:c>
      <x:c r="H738" s="2" t="n">
        <x:v>0</x:v>
      </x:c>
      <x:c r="I738" s="2" t="n">
        <x:v>1</x:v>
      </x:c>
      <x:c r="J738" s="2" t="n">
        <x:v>8</x:v>
      </x:c>
      <x:c r="K738" s="2" t="n">
        <x:v>12</x:v>
      </x:c>
      <x:c r="L738" s="2" t="str">
        <x:v>R12 J01-J26 / 8x30, 12+22</x:v>
      </x:c>
    </x:row>
    <x:row r="739" ht="36" customHeight="1">
      <x:c r="A739" s="2" t="str">
        <x:v>R16H0734</x:v>
      </x:c>
      <x:c r="B739" s="2" t="str">
        <x:v>KI12-TV02S-09</x:v>
      </x:c>
      <x:c r="C739" s="2" t="str">
        <x:v>CSAP J24</x:v>
      </x:c>
      <x:c r="D739" s="2" t="n">
        <x:v>382</x:v>
      </x:c>
      <x:c r="E739" s="2" t="n">
        <x:v>50</x:v>
      </x:c>
      <x:c r="F739" s="2" t="n">
        <x:v>-9</x:v>
      </x:c>
      <x:c r="G739" s="2" t="n">
        <x:v>-1</x:v>
      </x:c>
      <x:c r="H739" s="2" t="n">
        <x:v>0</x:v>
      </x:c>
      <x:c r="I739" s="2" t="n">
        <x:v>0</x:v>
      </x:c>
      <x:c r="J739" s="2" t="n">
        <x:v>8</x:v>
      </x:c>
      <x:c r="K739" s="2" t="n">
        <x:v>22</x:v>
      </x:c>
      <x:c r="L739" s="2" t="str">
        <x:v>R12 J01-J26 / 8x30, 12+22</x:v>
      </x:c>
    </x:row>
    <x:row r="740" ht="36" customHeight="1">
      <x:c r="A740" s="2" t="str">
        <x:v>R16H0735</x:v>
      </x:c>
      <x:c r="B740" s="2" t="str">
        <x:v>KI12-TV02S-09</x:v>
      </x:c>
      <x:c r="C740" s="2" t="str">
        <x:v>CSAP J24</x:v>
      </x:c>
      <x:c r="D740" s="2" t="n">
        <x:v>382</x:v>
      </x:c>
      <x:c r="E740" s="2" t="n">
        <x:v>191</x:v>
      </x:c>
      <x:c r="F740" s="2" t="n">
        <x:v>-9</x:v>
      </x:c>
      <x:c r="G740" s="2" t="n">
        <x:v>-1</x:v>
      </x:c>
      <x:c r="H740" s="2" t="n">
        <x:v>0</x:v>
      </x:c>
      <x:c r="I740" s="2" t="n">
        <x:v>0</x:v>
      </x:c>
      <x:c r="J740" s="2" t="n">
        <x:v>8</x:v>
      </x:c>
      <x:c r="K740" s="2" t="n">
        <x:v>22</x:v>
      </x:c>
      <x:c r="L740" s="2" t="str">
        <x:v>R12 J01-J26 / 8x30, 12+22</x:v>
      </x:c>
    </x:row>
    <x:row r="741" ht="36" customHeight="1">
      <x:c r="A741" s="2" t="str">
        <x:v>R16H0736</x:v>
      </x:c>
      <x:c r="B741" s="2" t="str">
        <x:v>KI12-TV02S-09</x:v>
      </x:c>
      <x:c r="C741" s="2" t="str">
        <x:v>CSAP J24</x:v>
      </x:c>
      <x:c r="D741" s="2" t="n">
        <x:v>382</x:v>
      </x:c>
      <x:c r="E741" s="2" t="n">
        <x:v>332</x:v>
      </x:c>
      <x:c r="F741" s="2" t="n">
        <x:v>-9</x:v>
      </x:c>
      <x:c r="G741" s="2" t="n">
        <x:v>-1</x:v>
      </x:c>
      <x:c r="H741" s="2" t="n">
        <x:v>0</x:v>
      </x:c>
      <x:c r="I741" s="2" t="n">
        <x:v>0</x:v>
      </x:c>
      <x:c r="J741" s="2" t="n">
        <x:v>8</x:v>
      </x:c>
      <x:c r="K741" s="2" t="n">
        <x:v>22</x:v>
      </x:c>
      <x:c r="L741" s="2" t="str">
        <x:v>R12 J01-J26 / 8x30, 12+22</x:v>
      </x:c>
    </x:row>
    <x:row r="742" ht="36" customHeight="1">
      <x:c r="A742" s="2" t="str">
        <x:v>R16H0737</x:v>
      </x:c>
      <x:c r="B742" s="2" t="str">
        <x:v>KI12-TV02S-09</x:v>
      </x:c>
      <x:c r="C742" s="2" t="str">
        <x:v>LEC_OLDAL / R14-J077</x:v>
      </x:c>
      <x:c r="D742" s="2" t="n">
        <x:v>60</x:v>
      </x:c>
      <x:c r="E742" s="2" t="n">
        <x:v>345</x:v>
      </x:c>
      <x:c r="F742" s="2" t="n">
        <x:v>-18</x:v>
      </x:c>
      <x:c r="G742" s="2" t="n">
        <x:v>0</x:v>
      </x:c>
      <x:c r="H742" s="2" t="n">
        <x:v>0</x:v>
      </x:c>
      <x:c r="I742" s="2" t="n">
        <x:v>1</x:v>
      </x:c>
      <x:c r="J742" s="2" t="n">
        <x:v>2.5</x:v>
      </x:c>
      <x:c r="K742" s="2" t="n">
        <x:v>12</x:v>
      </x:c>
      <x:c r="L742" s="2" t="str">
        <x:v>R14 tervezői kiosztás; tényleges laphoz és csavarhoz próbafúrás</x:v>
      </x:c>
    </x:row>
    <x:row r="743" ht="36" customHeight="1">
      <x:c r="A743" s="2" t="str">
        <x:v>R16H0738</x:v>
      </x:c>
      <x:c r="B743" s="2" t="str">
        <x:v>KI12-TV02S-09</x:v>
      </x:c>
      <x:c r="C743" s="2" t="str">
        <x:v>LEC_OLDAL / R14-J079</x:v>
      </x:c>
      <x:c r="D743" s="2" t="n">
        <x:v>140</x:v>
      </x:c>
      <x:c r="E743" s="2" t="n">
        <x:v>345</x:v>
      </x:c>
      <x:c r="F743" s="2" t="n">
        <x:v>-18</x:v>
      </x:c>
      <x:c r="G743" s="2" t="n">
        <x:v>0</x:v>
      </x:c>
      <x:c r="H743" s="2" t="n">
        <x:v>0</x:v>
      </x:c>
      <x:c r="I743" s="2" t="n">
        <x:v>1</x:v>
      </x:c>
      <x:c r="J743" s="2" t="n">
        <x:v>2.5</x:v>
      </x:c>
      <x:c r="K743" s="2" t="n">
        <x:v>12</x:v>
      </x:c>
      <x:c r="L743" s="2" t="str">
        <x:v>R14 tervezői kiosztás; tényleges laphoz és csavarhoz próbafúrás</x:v>
      </x:c>
    </x:row>
    <x:row r="744" ht="36" customHeight="1">
      <x:c r="A744" s="2" t="str">
        <x:v>R16H0739</x:v>
      </x:c>
      <x:c r="B744" s="2" t="str">
        <x:v>KI12-TV02S-09</x:v>
      </x:c>
      <x:c r="C744" s="2" t="str">
        <x:v>LEC_OLDAL / R14-J081</x:v>
      </x:c>
      <x:c r="D744" s="2" t="n">
        <x:v>220</x:v>
      </x:c>
      <x:c r="E744" s="2" t="n">
        <x:v>345</x:v>
      </x:c>
      <x:c r="F744" s="2" t="n">
        <x:v>-18</x:v>
      </x:c>
      <x:c r="G744" s="2" t="n">
        <x:v>0</x:v>
      </x:c>
      <x:c r="H744" s="2" t="n">
        <x:v>0</x:v>
      </x:c>
      <x:c r="I744" s="2" t="n">
        <x:v>1</x:v>
      </x:c>
      <x:c r="J744" s="2" t="n">
        <x:v>2.5</x:v>
      </x:c>
      <x:c r="K744" s="2" t="n">
        <x:v>12</x:v>
      </x:c>
      <x:c r="L744" s="2" t="str">
        <x:v>R14 tervezői kiosztás; tényleges laphoz és csavarhoz próbafúrás</x:v>
      </x:c>
    </x:row>
    <x:row r="745" ht="36" customHeight="1">
      <x:c r="A745" s="2" t="str">
        <x:v>R16H0740</x:v>
      </x:c>
      <x:c r="B745" s="2" t="str">
        <x:v>KI12-TV02S-09</x:v>
      </x:c>
      <x:c r="C745" s="2" t="str">
        <x:v>MEREVITO_CSAP / R14-J121</x:v>
      </x:c>
      <x:c r="D745" s="2" t="n">
        <x:v>170</x:v>
      </x:c>
      <x:c r="E745" s="2" t="n">
        <x:v>327</x:v>
      </x:c>
      <x:c r="F745" s="2" t="n">
        <x:v>-18</x:v>
      </x:c>
      <x:c r="G745" s="2" t="n">
        <x:v>0</x:v>
      </x:c>
      <x:c r="H745" s="2" t="n">
        <x:v>0</x:v>
      </x:c>
      <x:c r="I745" s="2" t="n">
        <x:v>1</x:v>
      </x:c>
      <x:c r="J745" s="2" t="n">
        <x:v>8</x:v>
      </x:c>
      <x:c r="K745" s="2" t="n">
        <x:v>12</x:v>
      </x:c>
      <x:c r="L745" s="2" t="str">
        <x:v>R14 Ø8x30 bükk csap, 22+12 mélység; középosztón 10 mm eltolt tengely</x:v>
      </x:c>
    </x:row>
    <x:row r="746" ht="36" customHeight="1">
      <x:c r="A746" s="2" t="str">
        <x:v>R16H0741</x:v>
      </x:c>
      <x:c r="B746" s="2" t="str">
        <x:v>KI12-TV02S-09</x:v>
      </x:c>
      <x:c r="C746" s="2" t="str">
        <x:v>MEREVITO_CSAP / R14-J122</x:v>
      </x:c>
      <x:c r="D746" s="2" t="n">
        <x:v>200</x:v>
      </x:c>
      <x:c r="E746" s="2" t="n">
        <x:v>327</x:v>
      </x:c>
      <x:c r="F746" s="2" t="n">
        <x:v>-18</x:v>
      </x:c>
      <x:c r="G746" s="2" t="n">
        <x:v>0</x:v>
      </x:c>
      <x:c r="H746" s="2" t="n">
        <x:v>0</x:v>
      </x:c>
      <x:c r="I746" s="2" t="n">
        <x:v>1</x:v>
      </x:c>
      <x:c r="J746" s="2" t="n">
        <x:v>8</x:v>
      </x:c>
      <x:c r="K746" s="2" t="n">
        <x:v>12</x:v>
      </x:c>
      <x:c r="L746" s="2" t="str">
        <x:v>R14 Ø8x30 bükk csap, 22+12 mélység; középosztón 10 mm eltolt tengely</x:v>
      </x:c>
    </x:row>
    <x:row r="747" ht="36" customHeight="1">
      <x:c r="A747" s="2" t="str">
        <x:v>R16H0742</x:v>
      </x:c>
      <x:c r="B747" s="2" t="str">
        <x:v>KI12-TV02S-09</x:v>
      </x:c>
      <x:c r="C747" s="2" t="str">
        <x:v>MEREVITO_CSAP / R14-J123</x:v>
      </x:c>
      <x:c r="D747" s="2" t="n">
        <x:v>230</x:v>
      </x:c>
      <x:c r="E747" s="2" t="n">
        <x:v>327</x:v>
      </x:c>
      <x:c r="F747" s="2" t="n">
        <x:v>-18</x:v>
      </x:c>
      <x:c r="G747" s="2" t="n">
        <x:v>0</x:v>
      </x:c>
      <x:c r="H747" s="2" t="n">
        <x:v>0</x:v>
      </x:c>
      <x:c r="I747" s="2" t="n">
        <x:v>1</x:v>
      </x:c>
      <x:c r="J747" s="2" t="n">
        <x:v>8</x:v>
      </x:c>
      <x:c r="K747" s="2" t="n">
        <x:v>12</x:v>
      </x:c>
      <x:c r="L747" s="2" t="str">
        <x:v>R14 Ø8x30 bükk csap, 22+12 mélység; középosztón 10 mm eltolt tengely</x:v>
      </x:c>
    </x:row>
    <x:row r="748" ht="36" customHeight="1">
      <x:c r="A748" s="2" t="str">
        <x:v>R16H0743</x:v>
      </x:c>
      <x:c r="B748" s="2" t="str">
        <x:v>KI12-TV02S-09</x:v>
      </x:c>
      <x:c r="C748" s="2" t="str">
        <x:v>CAMAR807_DUBEL</x:v>
      </x:c>
      <x:c r="D748" s="2" t="n">
        <x:v>352</x:v>
      </x:c>
      <x:c r="E748" s="2" t="n">
        <x:v>330</x:v>
      </x:c>
      <x:c r="F748" s="2" t="n">
        <x:v>-18</x:v>
      </x:c>
      <x:c r="G748" s="2" t="n">
        <x:v>0</x:v>
      </x:c>
      <x:c r="H748" s="2" t="n">
        <x:v>0</x:v>
      </x:c>
      <x:c r="I748" s="2" t="n">
        <x:v>1</x:v>
      </x:c>
      <x:c r="J748" s="2" t="n">
        <x:v>10</x:v>
      </x:c>
      <x:c r="K748" s="2" t="n">
        <x:v>12</x:v>
      </x:c>
      <x:c r="L748" s="2" t="str">
        <x:v>Camar807_IN.pdf F1: Ø10/12,32x64;30mm felső visszaállás; új vasalat/oldallap próba és alkalmazás jóváhagyandó</x:v>
      </x:c>
    </x:row>
    <x:row r="749" ht="36" customHeight="1">
      <x:c r="A749" s="2" t="str">
        <x:v>R16H0744</x:v>
      </x:c>
      <x:c r="B749" s="2" t="str">
        <x:v>KI12-TV02S-09</x:v>
      </x:c>
      <x:c r="C749" s="2" t="str">
        <x:v>CAMAR807_DUBEL</x:v>
      </x:c>
      <x:c r="D749" s="2" t="n">
        <x:v>288</x:v>
      </x:c>
      <x:c r="E749" s="2" t="n">
        <x:v>330</x:v>
      </x:c>
      <x:c r="F749" s="2" t="n">
        <x:v>-18</x:v>
      </x:c>
      <x:c r="G749" s="2" t="n">
        <x:v>0</x:v>
      </x:c>
      <x:c r="H749" s="2" t="n">
        <x:v>0</x:v>
      </x:c>
      <x:c r="I749" s="2" t="n">
        <x:v>1</x:v>
      </x:c>
      <x:c r="J749" s="2" t="n">
        <x:v>10</x:v>
      </x:c>
      <x:c r="K749" s="2" t="n">
        <x:v>12</x:v>
      </x:c>
      <x:c r="L749" s="2" t="str">
        <x:v>Camar807_IN.pdf F1: Ø10/12,32x64;30mm felső visszaállás; új vasalat/oldallap próba és alkalmazás jóváhagyandó</x:v>
      </x:c>
    </x:row>
    <x:row r="750" ht="36" customHeight="1">
      <x:c r="A750" s="2" t="str">
        <x:v>R16H0745</x:v>
      </x:c>
      <x:c r="B750" s="2" t="str">
        <x:v>KI12-TV02S-09</x:v>
      </x:c>
      <x:c r="C750" s="2" t="str">
        <x:v>CAMAR807_DUBEL</x:v>
      </x:c>
      <x:c r="D750" s="2" t="n">
        <x:v>352</x:v>
      </x:c>
      <x:c r="E750" s="2" t="n">
        <x:v>362</x:v>
      </x:c>
      <x:c r="F750" s="2" t="n">
        <x:v>-18</x:v>
      </x:c>
      <x:c r="G750" s="2" t="n">
        <x:v>0</x:v>
      </x:c>
      <x:c r="H750" s="2" t="n">
        <x:v>0</x:v>
      </x:c>
      <x:c r="I750" s="2" t="n">
        <x:v>1</x:v>
      </x:c>
      <x:c r="J750" s="2" t="n">
        <x:v>10</x:v>
      </x:c>
      <x:c r="K750" s="2" t="n">
        <x:v>12</x:v>
      </x:c>
      <x:c r="L750" s="2" t="str">
        <x:v>Camar807_IN.pdf F1: Ø10/12,32x64;30mm felső visszaállás; új vasalat/oldallap próba és alkalmazás jóváhagyandó</x:v>
      </x:c>
    </x:row>
    <x:row r="751" ht="36" customHeight="1">
      <x:c r="A751" s="2" t="str">
        <x:v>R16H0746</x:v>
      </x:c>
      <x:c r="B751" s="2" t="str">
        <x:v>KI12-TV02S-09</x:v>
      </x:c>
      <x:c r="C751" s="2" t="str">
        <x:v>CAMAR807_DUBEL</x:v>
      </x:c>
      <x:c r="D751" s="2" t="n">
        <x:v>288</x:v>
      </x:c>
      <x:c r="E751" s="2" t="n">
        <x:v>362</x:v>
      </x:c>
      <x:c r="F751" s="2" t="n">
        <x:v>-18</x:v>
      </x:c>
      <x:c r="G751" s="2" t="n">
        <x:v>0</x:v>
      </x:c>
      <x:c r="H751" s="2" t="n">
        <x:v>0</x:v>
      </x:c>
      <x:c r="I751" s="2" t="n">
        <x:v>1</x:v>
      </x:c>
      <x:c r="J751" s="2" t="n">
        <x:v>10</x:v>
      </x:c>
      <x:c r="K751" s="2" t="n">
        <x:v>12</x:v>
      </x:c>
      <x:c r="L751" s="2" t="str">
        <x:v>Camar807_IN.pdf F1: Ø10/12,32x64;30mm felső visszaállás; új vasalat/oldallap próba és alkalmazás jóváhagyandó</x:v>
      </x:c>
    </x:row>
    <x:row r="752" ht="36" customHeight="1">
      <x:c r="A752" s="2" t="str">
        <x:v>R16H0747</x:v>
      </x:c>
      <x:c r="B752" s="2" t="str">
        <x:v>KI12-TV02S-10</x:v>
      </x:c>
      <x:c r="C752" s="2" t="str">
        <x:v>CSAP J25</x:v>
      </x:c>
      <x:c r="D752" s="2" t="n">
        <x:v>9</x:v>
      </x:c>
      <x:c r="E752" s="2" t="n">
        <x:v>50</x:v>
      </x:c>
      <x:c r="F752" s="2" t="n">
        <x:v>0</x:v>
      </x:c>
      <x:c r="G752" s="2" t="n">
        <x:v>0</x:v>
      </x:c>
      <x:c r="H752" s="2" t="n">
        <x:v>0</x:v>
      </x:c>
      <x:c r="I752" s="2" t="n">
        <x:v>-1</x:v>
      </x:c>
      <x:c r="J752" s="2" t="n">
        <x:v>8</x:v>
      </x:c>
      <x:c r="K752" s="2" t="n">
        <x:v>12</x:v>
      </x:c>
      <x:c r="L752" s="2" t="str">
        <x:v>R12 J01-J26 / 8x30, 12+22</x:v>
      </x:c>
    </x:row>
    <x:row r="753" ht="36" customHeight="1">
      <x:c r="A753" s="2" t="str">
        <x:v>R16H0748</x:v>
      </x:c>
      <x:c r="B753" s="2" t="str">
        <x:v>KI12-TV02S-10</x:v>
      </x:c>
      <x:c r="C753" s="2" t="str">
        <x:v>CSAP J25</x:v>
      </x:c>
      <x:c r="D753" s="2" t="n">
        <x:v>9</x:v>
      </x:c>
      <x:c r="E753" s="2" t="n">
        <x:v>191</x:v>
      </x:c>
      <x:c r="F753" s="2" t="n">
        <x:v>0</x:v>
      </x:c>
      <x:c r="G753" s="2" t="n">
        <x:v>0</x:v>
      </x:c>
      <x:c r="H753" s="2" t="n">
        <x:v>0</x:v>
      </x:c>
      <x:c r="I753" s="2" t="n">
        <x:v>-1</x:v>
      </x:c>
      <x:c r="J753" s="2" t="n">
        <x:v>8</x:v>
      </x:c>
      <x:c r="K753" s="2" t="n">
        <x:v>12</x:v>
      </x:c>
      <x:c r="L753" s="2" t="str">
        <x:v>R12 J01-J26 / 8x30, 12+22</x:v>
      </x:c>
    </x:row>
    <x:row r="754" ht="36" customHeight="1">
      <x:c r="A754" s="2" t="str">
        <x:v>R16H0749</x:v>
      </x:c>
      <x:c r="B754" s="2" t="str">
        <x:v>KI12-TV02S-10</x:v>
      </x:c>
      <x:c r="C754" s="2" t="str">
        <x:v>CSAP J25</x:v>
      </x:c>
      <x:c r="D754" s="2" t="n">
        <x:v>9</x:v>
      </x:c>
      <x:c r="E754" s="2" t="n">
        <x:v>332</x:v>
      </x:c>
      <x:c r="F754" s="2" t="n">
        <x:v>0</x:v>
      </x:c>
      <x:c r="G754" s="2" t="n">
        <x:v>0</x:v>
      </x:c>
      <x:c r="H754" s="2" t="n">
        <x:v>0</x:v>
      </x:c>
      <x:c r="I754" s="2" t="n">
        <x:v>-1</x:v>
      </x:c>
      <x:c r="J754" s="2" t="n">
        <x:v>8</x:v>
      </x:c>
      <x:c r="K754" s="2" t="n">
        <x:v>12</x:v>
      </x:c>
      <x:c r="L754" s="2" t="str">
        <x:v>R12 J01-J26 / 8x30, 12+22</x:v>
      </x:c>
    </x:row>
    <x:row r="755" ht="36" customHeight="1">
      <x:c r="A755" s="2" t="str">
        <x:v>R16H0750</x:v>
      </x:c>
      <x:c r="B755" s="2" t="str">
        <x:v>KI12-TV02S-10</x:v>
      </x:c>
      <x:c r="C755" s="2" t="str">
        <x:v>CSAP J26</x:v>
      </x:c>
      <x:c r="D755" s="2" t="n">
        <x:v>382</x:v>
      </x:c>
      <x:c r="E755" s="2" t="n">
        <x:v>50</x:v>
      </x:c>
      <x:c r="F755" s="2" t="n">
        <x:v>-9</x:v>
      </x:c>
      <x:c r="G755" s="2" t="n">
        <x:v>-1</x:v>
      </x:c>
      <x:c r="H755" s="2" t="n">
        <x:v>0</x:v>
      </x:c>
      <x:c r="I755" s="2" t="n">
        <x:v>0</x:v>
      </x:c>
      <x:c r="J755" s="2" t="n">
        <x:v>8</x:v>
      </x:c>
      <x:c r="K755" s="2" t="n">
        <x:v>22</x:v>
      </x:c>
      <x:c r="L755" s="2" t="str">
        <x:v>R12 J01-J26 / 8x30, 12+22</x:v>
      </x:c>
    </x:row>
    <x:row r="756" ht="36" customHeight="1">
      <x:c r="A756" s="2" t="str">
        <x:v>R16H0751</x:v>
      </x:c>
      <x:c r="B756" s="2" t="str">
        <x:v>KI12-TV02S-10</x:v>
      </x:c>
      <x:c r="C756" s="2" t="str">
        <x:v>CSAP J26</x:v>
      </x:c>
      <x:c r="D756" s="2" t="n">
        <x:v>382</x:v>
      </x:c>
      <x:c r="E756" s="2" t="n">
        <x:v>191</x:v>
      </x:c>
      <x:c r="F756" s="2" t="n">
        <x:v>-9</x:v>
      </x:c>
      <x:c r="G756" s="2" t="n">
        <x:v>-1</x:v>
      </x:c>
      <x:c r="H756" s="2" t="n">
        <x:v>0</x:v>
      </x:c>
      <x:c r="I756" s="2" t="n">
        <x:v>0</x:v>
      </x:c>
      <x:c r="J756" s="2" t="n">
        <x:v>8</x:v>
      </x:c>
      <x:c r="K756" s="2" t="n">
        <x:v>22</x:v>
      </x:c>
      <x:c r="L756" s="2" t="str">
        <x:v>R12 J01-J26 / 8x30, 12+22</x:v>
      </x:c>
    </x:row>
    <x:row r="757" ht="36" customHeight="1">
      <x:c r="A757" s="2" t="str">
        <x:v>R16H0752</x:v>
      </x:c>
      <x:c r="B757" s="2" t="str">
        <x:v>KI12-TV02S-10</x:v>
      </x:c>
      <x:c r="C757" s="2" t="str">
        <x:v>CSAP J26</x:v>
      </x:c>
      <x:c r="D757" s="2" t="n">
        <x:v>382</x:v>
      </x:c>
      <x:c r="E757" s="2" t="n">
        <x:v>332</x:v>
      </x:c>
      <x:c r="F757" s="2" t="n">
        <x:v>-9</x:v>
      </x:c>
      <x:c r="G757" s="2" t="n">
        <x:v>-1</x:v>
      </x:c>
      <x:c r="H757" s="2" t="n">
        <x:v>0</x:v>
      </x:c>
      <x:c r="I757" s="2" t="n">
        <x:v>0</x:v>
      </x:c>
      <x:c r="J757" s="2" t="n">
        <x:v>8</x:v>
      </x:c>
      <x:c r="K757" s="2" t="n">
        <x:v>22</x:v>
      </x:c>
      <x:c r="L757" s="2" t="str">
        <x:v>R12 J01-J26 / 8x30, 12+22</x:v>
      </x:c>
    </x:row>
    <x:row r="758" ht="36" customHeight="1">
      <x:c r="A758" s="2" t="str">
        <x:v>R16H0753</x:v>
      </x:c>
      <x:c r="B758" s="2" t="str">
        <x:v>KI12-TV02S-10</x:v>
      </x:c>
      <x:c r="C758" s="2" t="str">
        <x:v>LEC_OLDAL / R14-J083</x:v>
      </x:c>
      <x:c r="D758" s="2" t="n">
        <x:v>60</x:v>
      </x:c>
      <x:c r="E758" s="2" t="n">
        <x:v>345</x:v>
      </x:c>
      <x:c r="F758" s="2" t="n">
        <x:v>0</x:v>
      </x:c>
      <x:c r="G758" s="2" t="n">
        <x:v>0</x:v>
      </x:c>
      <x:c r="H758" s="2" t="n">
        <x:v>0</x:v>
      </x:c>
      <x:c r="I758" s="2" t="n">
        <x:v>-1</x:v>
      </x:c>
      <x:c r="J758" s="2" t="n">
        <x:v>2.5</x:v>
      </x:c>
      <x:c r="K758" s="2" t="n">
        <x:v>12</x:v>
      </x:c>
      <x:c r="L758" s="2" t="str">
        <x:v>R14 tervezői kiosztás; tényleges laphoz és csavarhoz próbafúrás</x:v>
      </x:c>
    </x:row>
    <x:row r="759" ht="36" customHeight="1">
      <x:c r="A759" s="2" t="str">
        <x:v>R16H0754</x:v>
      </x:c>
      <x:c r="B759" s="2" t="str">
        <x:v>KI12-TV02S-10</x:v>
      </x:c>
      <x:c r="C759" s="2" t="str">
        <x:v>LEC_OLDAL / R14-J085</x:v>
      </x:c>
      <x:c r="D759" s="2" t="n">
        <x:v>140</x:v>
      </x:c>
      <x:c r="E759" s="2" t="n">
        <x:v>345</x:v>
      </x:c>
      <x:c r="F759" s="2" t="n">
        <x:v>0</x:v>
      </x:c>
      <x:c r="G759" s="2" t="n">
        <x:v>0</x:v>
      </x:c>
      <x:c r="H759" s="2" t="n">
        <x:v>0</x:v>
      </x:c>
      <x:c r="I759" s="2" t="n">
        <x:v>-1</x:v>
      </x:c>
      <x:c r="J759" s="2" t="n">
        <x:v>2.5</x:v>
      </x:c>
      <x:c r="K759" s="2" t="n">
        <x:v>12</x:v>
      </x:c>
      <x:c r="L759" s="2" t="str">
        <x:v>R14 tervezői kiosztás; tényleges laphoz és csavarhoz próbafúrás</x:v>
      </x:c>
    </x:row>
    <x:row r="760" ht="36" customHeight="1">
      <x:c r="A760" s="2" t="str">
        <x:v>R16H0755</x:v>
      </x:c>
      <x:c r="B760" s="2" t="str">
        <x:v>KI12-TV02S-10</x:v>
      </x:c>
      <x:c r="C760" s="2" t="str">
        <x:v>LEC_OLDAL / R14-J087</x:v>
      </x:c>
      <x:c r="D760" s="2" t="n">
        <x:v>220</x:v>
      </x:c>
      <x:c r="E760" s="2" t="n">
        <x:v>345</x:v>
      </x:c>
      <x:c r="F760" s="2" t="n">
        <x:v>0</x:v>
      </x:c>
      <x:c r="G760" s="2" t="n">
        <x:v>0</x:v>
      </x:c>
      <x:c r="H760" s="2" t="n">
        <x:v>0</x:v>
      </x:c>
      <x:c r="I760" s="2" t="n">
        <x:v>-1</x:v>
      </x:c>
      <x:c r="J760" s="2" t="n">
        <x:v>2.5</x:v>
      </x:c>
      <x:c r="K760" s="2" t="n">
        <x:v>12</x:v>
      </x:c>
      <x:c r="L760" s="2" t="str">
        <x:v>R14 tervezői kiosztás; tényleges laphoz és csavarhoz próbafúrás</x:v>
      </x:c>
    </x:row>
    <x:row r="761" ht="36" customHeight="1">
      <x:c r="A761" s="2" t="str">
        <x:v>R16H0756</x:v>
      </x:c>
      <x:c r="B761" s="2" t="str">
        <x:v>KI12-TV02S-10</x:v>
      </x:c>
      <x:c r="C761" s="2" t="str">
        <x:v>MEREVITO_CSAP / R14-J124</x:v>
      </x:c>
      <x:c r="D761" s="2" t="n">
        <x:v>170</x:v>
      </x:c>
      <x:c r="E761" s="2" t="n">
        <x:v>327</x:v>
      </x:c>
      <x:c r="F761" s="2" t="n">
        <x:v>0</x:v>
      </x:c>
      <x:c r="G761" s="2" t="n">
        <x:v>0</x:v>
      </x:c>
      <x:c r="H761" s="2" t="n">
        <x:v>0</x:v>
      </x:c>
      <x:c r="I761" s="2" t="n">
        <x:v>-1</x:v>
      </x:c>
      <x:c r="J761" s="2" t="n">
        <x:v>8</x:v>
      </x:c>
      <x:c r="K761" s="2" t="n">
        <x:v>12</x:v>
      </x:c>
      <x:c r="L761" s="2" t="str">
        <x:v>R14 Ø8x30 bükk csap, 22+12 mélység; középosztón 10 mm eltolt tengely</x:v>
      </x:c>
    </x:row>
    <x:row r="762" ht="36" customHeight="1">
      <x:c r="A762" s="2" t="str">
        <x:v>R16H0757</x:v>
      </x:c>
      <x:c r="B762" s="2" t="str">
        <x:v>KI12-TV02S-10</x:v>
      </x:c>
      <x:c r="C762" s="2" t="str">
        <x:v>MEREVITO_CSAP / R14-J125</x:v>
      </x:c>
      <x:c r="D762" s="2" t="n">
        <x:v>200</x:v>
      </x:c>
      <x:c r="E762" s="2" t="n">
        <x:v>327</x:v>
      </x:c>
      <x:c r="F762" s="2" t="n">
        <x:v>0</x:v>
      </x:c>
      <x:c r="G762" s="2" t="n">
        <x:v>0</x:v>
      </x:c>
      <x:c r="H762" s="2" t="n">
        <x:v>0</x:v>
      </x:c>
      <x:c r="I762" s="2" t="n">
        <x:v>-1</x:v>
      </x:c>
      <x:c r="J762" s="2" t="n">
        <x:v>8</x:v>
      </x:c>
      <x:c r="K762" s="2" t="n">
        <x:v>12</x:v>
      </x:c>
      <x:c r="L762" s="2" t="str">
        <x:v>R14 Ø8x30 bükk csap, 22+12 mélység; középosztón 10 mm eltolt tengely</x:v>
      </x:c>
    </x:row>
    <x:row r="763" ht="36" customHeight="1">
      <x:c r="A763" s="2" t="str">
        <x:v>R16H0758</x:v>
      </x:c>
      <x:c r="B763" s="2" t="str">
        <x:v>KI12-TV02S-10</x:v>
      </x:c>
      <x:c r="C763" s="2" t="str">
        <x:v>MEREVITO_CSAP / R14-J126</x:v>
      </x:c>
      <x:c r="D763" s="2" t="n">
        <x:v>230</x:v>
      </x:c>
      <x:c r="E763" s="2" t="n">
        <x:v>327</x:v>
      </x:c>
      <x:c r="F763" s="2" t="n">
        <x:v>0</x:v>
      </x:c>
      <x:c r="G763" s="2" t="n">
        <x:v>0</x:v>
      </x:c>
      <x:c r="H763" s="2" t="n">
        <x:v>0</x:v>
      </x:c>
      <x:c r="I763" s="2" t="n">
        <x:v>-1</x:v>
      </x:c>
      <x:c r="J763" s="2" t="n">
        <x:v>8</x:v>
      </x:c>
      <x:c r="K763" s="2" t="n">
        <x:v>12</x:v>
      </x:c>
      <x:c r="L763" s="2" t="str">
        <x:v>R14 Ø8x30 bükk csap, 22+12 mélység; középosztón 10 mm eltolt tengely</x:v>
      </x:c>
    </x:row>
    <x:row r="764" ht="36" customHeight="1">
      <x:c r="A764" s="2" t="str">
        <x:v>R16H0759</x:v>
      </x:c>
      <x:c r="B764" s="2" t="str">
        <x:v>KI12-TV02S-10</x:v>
      </x:c>
      <x:c r="C764" s="2" t="str">
        <x:v>CAMAR807_DUBEL</x:v>
      </x:c>
      <x:c r="D764" s="2" t="n">
        <x:v>352</x:v>
      </x:c>
      <x:c r="E764" s="2" t="n">
        <x:v>330</x:v>
      </x:c>
      <x:c r="F764" s="2" t="n">
        <x:v>0</x:v>
      </x:c>
      <x:c r="G764" s="2" t="n">
        <x:v>0</x:v>
      </x:c>
      <x:c r="H764" s="2" t="n">
        <x:v>0</x:v>
      </x:c>
      <x:c r="I764" s="2" t="n">
        <x:v>-1</x:v>
      </x:c>
      <x:c r="J764" s="2" t="n">
        <x:v>10</x:v>
      </x:c>
      <x:c r="K764" s="2" t="n">
        <x:v>12</x:v>
      </x:c>
      <x:c r="L764" s="2" t="str">
        <x:v>Camar807_IN.pdf F1: Ø10/12,32x64;30mm felső visszaállás; új vasalat/oldallap próba és alkalmazás jóváhagyandó</x:v>
      </x:c>
    </x:row>
    <x:row r="765" ht="36" customHeight="1">
      <x:c r="A765" s="2" t="str">
        <x:v>R16H0760</x:v>
      </x:c>
      <x:c r="B765" s="2" t="str">
        <x:v>KI12-TV02S-10</x:v>
      </x:c>
      <x:c r="C765" s="2" t="str">
        <x:v>CAMAR807_DUBEL</x:v>
      </x:c>
      <x:c r="D765" s="2" t="n">
        <x:v>288</x:v>
      </x:c>
      <x:c r="E765" s="2" t="n">
        <x:v>330</x:v>
      </x:c>
      <x:c r="F765" s="2" t="n">
        <x:v>0</x:v>
      </x:c>
      <x:c r="G765" s="2" t="n">
        <x:v>0</x:v>
      </x:c>
      <x:c r="H765" s="2" t="n">
        <x:v>0</x:v>
      </x:c>
      <x:c r="I765" s="2" t="n">
        <x:v>-1</x:v>
      </x:c>
      <x:c r="J765" s="2" t="n">
        <x:v>10</x:v>
      </x:c>
      <x:c r="K765" s="2" t="n">
        <x:v>12</x:v>
      </x:c>
      <x:c r="L765" s="2" t="str">
        <x:v>Camar807_IN.pdf F1: Ø10/12,32x64;30mm felső visszaállás; új vasalat/oldallap próba és alkalmazás jóváhagyandó</x:v>
      </x:c>
    </x:row>
    <x:row r="766" ht="36" customHeight="1">
      <x:c r="A766" s="2" t="str">
        <x:v>R16H0761</x:v>
      </x:c>
      <x:c r="B766" s="2" t="str">
        <x:v>KI12-TV02S-10</x:v>
      </x:c>
      <x:c r="C766" s="2" t="str">
        <x:v>CAMAR807_DUBEL</x:v>
      </x:c>
      <x:c r="D766" s="2" t="n">
        <x:v>352</x:v>
      </x:c>
      <x:c r="E766" s="2" t="n">
        <x:v>362</x:v>
      </x:c>
      <x:c r="F766" s="2" t="n">
        <x:v>0</x:v>
      </x:c>
      <x:c r="G766" s="2" t="n">
        <x:v>0</x:v>
      </x:c>
      <x:c r="H766" s="2" t="n">
        <x:v>0</x:v>
      </x:c>
      <x:c r="I766" s="2" t="n">
        <x:v>-1</x:v>
      </x:c>
      <x:c r="J766" s="2" t="n">
        <x:v>10</x:v>
      </x:c>
      <x:c r="K766" s="2" t="n">
        <x:v>12</x:v>
      </x:c>
      <x:c r="L766" s="2" t="str">
        <x:v>Camar807_IN.pdf F1: Ø10/12,32x64;30mm felső visszaállás; új vasalat/oldallap próba és alkalmazás jóváhagyandó</x:v>
      </x:c>
    </x:row>
    <x:row r="767" ht="36" customHeight="1">
      <x:c r="A767" s="2" t="str">
        <x:v>R16H0762</x:v>
      </x:c>
      <x:c r="B767" s="2" t="str">
        <x:v>KI12-TV02S-10</x:v>
      </x:c>
      <x:c r="C767" s="2" t="str">
        <x:v>CAMAR807_DUBEL</x:v>
      </x:c>
      <x:c r="D767" s="2" t="n">
        <x:v>288</x:v>
      </x:c>
      <x:c r="E767" s="2" t="n">
        <x:v>362</x:v>
      </x:c>
      <x:c r="F767" s="2" t="n">
        <x:v>0</x:v>
      </x:c>
      <x:c r="G767" s="2" t="n">
        <x:v>0</x:v>
      </x:c>
      <x:c r="H767" s="2" t="n">
        <x:v>0</x:v>
      </x:c>
      <x:c r="I767" s="2" t="n">
        <x:v>-1</x:v>
      </x:c>
      <x:c r="J767" s="2" t="n">
        <x:v>10</x:v>
      </x:c>
      <x:c r="K767" s="2" t="n">
        <x:v>12</x:v>
      </x:c>
      <x:c r="L767" s="2" t="str">
        <x:v>Camar807_IN.pdf F1: Ø10/12,32x64;30mm felső visszaállás; új vasalat/oldallap próba és alkalmazás jóváhagyandó</x:v>
      </x:c>
    </x:row>
    <x:row r="768" ht="36" customHeight="1">
      <x:c r="A768" s="2" t="str">
        <x:v>R16H0763</x:v>
      </x:c>
      <x:c r="B768" s="2" t="str">
        <x:v>KI12-TV02T2-04</x:v>
      </x:c>
      <x:c r="C768" s="2" t="str">
        <x:v>CSAP J23</x:v>
      </x:c>
      <x:c r="D768" s="2" t="n">
        <x:v>0</x:v>
      </x:c>
      <x:c r="E768" s="2" t="n">
        <x:v>50</x:v>
      </x:c>
      <x:c r="F768" s="2" t="n">
        <x:v>-9</x:v>
      </x:c>
      <x:c r="G768" s="2" t="n">
        <x:v>1</x:v>
      </x:c>
      <x:c r="H768" s="2" t="n">
        <x:v>0</x:v>
      </x:c>
      <x:c r="I768" s="2" t="n">
        <x:v>0</x:v>
      </x:c>
      <x:c r="J768" s="2" t="n">
        <x:v>8</x:v>
      </x:c>
      <x:c r="K768" s="2" t="n">
        <x:v>22</x:v>
      </x:c>
      <x:c r="L768" s="2" t="str">
        <x:v>R12 J01-J26 / 8x30, 12+22</x:v>
      </x:c>
    </x:row>
    <x:row r="769" ht="36" customHeight="1">
      <x:c r="A769" s="2" t="str">
        <x:v>R16H0764</x:v>
      </x:c>
      <x:c r="B769" s="2" t="str">
        <x:v>KI12-TV02T2-04</x:v>
      </x:c>
      <x:c r="C769" s="2" t="str">
        <x:v>CSAP J23</x:v>
      </x:c>
      <x:c r="D769" s="2" t="n">
        <x:v>0</x:v>
      </x:c>
      <x:c r="E769" s="2" t="n">
        <x:v>191</x:v>
      </x:c>
      <x:c r="F769" s="2" t="n">
        <x:v>-9</x:v>
      </x:c>
      <x:c r="G769" s="2" t="n">
        <x:v>1</x:v>
      </x:c>
      <x:c r="H769" s="2" t="n">
        <x:v>0</x:v>
      </x:c>
      <x:c r="I769" s="2" t="n">
        <x:v>0</x:v>
      </x:c>
      <x:c r="J769" s="2" t="n">
        <x:v>8</x:v>
      </x:c>
      <x:c r="K769" s="2" t="n">
        <x:v>22</x:v>
      </x:c>
      <x:c r="L769" s="2" t="str">
        <x:v>R12 J01-J26 / 8x30, 12+22</x:v>
      </x:c>
    </x:row>
    <x:row r="770" ht="36" customHeight="1">
      <x:c r="A770" s="2" t="str">
        <x:v>R16H0765</x:v>
      </x:c>
      <x:c r="B770" s="2" t="str">
        <x:v>KI12-TV02T2-04</x:v>
      </x:c>
      <x:c r="C770" s="2" t="str">
        <x:v>CSAP J23</x:v>
      </x:c>
      <x:c r="D770" s="2" t="n">
        <x:v>0</x:v>
      </x:c>
      <x:c r="E770" s="2" t="n">
        <x:v>332</x:v>
      </x:c>
      <x:c r="F770" s="2" t="n">
        <x:v>-9</x:v>
      </x:c>
      <x:c r="G770" s="2" t="n">
        <x:v>1</x:v>
      </x:c>
      <x:c r="H770" s="2" t="n">
        <x:v>0</x:v>
      </x:c>
      <x:c r="I770" s="2" t="n">
        <x:v>0</x:v>
      </x:c>
      <x:c r="J770" s="2" t="n">
        <x:v>8</x:v>
      </x:c>
      <x:c r="K770" s="2" t="n">
        <x:v>22</x:v>
      </x:c>
      <x:c r="L770" s="2" t="str">
        <x:v>R12 J01-J26 / 8x30, 12+22</x:v>
      </x:c>
    </x:row>
    <x:row r="771" ht="36" customHeight="1">
      <x:c r="A771" s="2" t="str">
        <x:v>R16H0766</x:v>
      </x:c>
      <x:c r="B771" s="2" t="str">
        <x:v>KI12-TV02T2-04</x:v>
      </x:c>
      <x:c r="C771" s="2" t="str">
        <x:v>CSAP J25</x:v>
      </x:c>
      <x:c r="D771" s="2" t="n">
        <x:v>414</x:v>
      </x:c>
      <x:c r="E771" s="2" t="n">
        <x:v>50</x:v>
      </x:c>
      <x:c r="F771" s="2" t="n">
        <x:v>-9</x:v>
      </x:c>
      <x:c r="G771" s="2" t="n">
        <x:v>-1</x:v>
      </x:c>
      <x:c r="H771" s="2" t="n">
        <x:v>0</x:v>
      </x:c>
      <x:c r="I771" s="2" t="n">
        <x:v>0</x:v>
      </x:c>
      <x:c r="J771" s="2" t="n">
        <x:v>8</x:v>
      </x:c>
      <x:c r="K771" s="2" t="n">
        <x:v>22</x:v>
      </x:c>
      <x:c r="L771" s="2" t="str">
        <x:v>R12 J01-J26 / 8x30, 12+22</x:v>
      </x:c>
    </x:row>
    <x:row r="772" ht="36" customHeight="1">
      <x:c r="A772" s="2" t="str">
        <x:v>R16H0767</x:v>
      </x:c>
      <x:c r="B772" s="2" t="str">
        <x:v>KI12-TV02T2-04</x:v>
      </x:c>
      <x:c r="C772" s="2" t="str">
        <x:v>CSAP J25</x:v>
      </x:c>
      <x:c r="D772" s="2" t="n">
        <x:v>414</x:v>
      </x:c>
      <x:c r="E772" s="2" t="n">
        <x:v>191</x:v>
      </x:c>
      <x:c r="F772" s="2" t="n">
        <x:v>-9</x:v>
      </x:c>
      <x:c r="G772" s="2" t="n">
        <x:v>-1</x:v>
      </x:c>
      <x:c r="H772" s="2" t="n">
        <x:v>0</x:v>
      </x:c>
      <x:c r="I772" s="2" t="n">
        <x:v>0</x:v>
      </x:c>
      <x:c r="J772" s="2" t="n">
        <x:v>8</x:v>
      </x:c>
      <x:c r="K772" s="2" t="n">
        <x:v>22</x:v>
      </x:c>
      <x:c r="L772" s="2" t="str">
        <x:v>R12 J01-J26 / 8x30, 12+22</x:v>
      </x:c>
    </x:row>
    <x:row r="773" ht="36" customHeight="1">
      <x:c r="A773" s="2" t="str">
        <x:v>R16H0768</x:v>
      </x:c>
      <x:c r="B773" s="2" t="str">
        <x:v>KI12-TV02T2-04</x:v>
      </x:c>
      <x:c r="C773" s="2" t="str">
        <x:v>CSAP J25</x:v>
      </x:c>
      <x:c r="D773" s="2" t="n">
        <x:v>414</x:v>
      </x:c>
      <x:c r="E773" s="2" t="n">
        <x:v>332</x:v>
      </x:c>
      <x:c r="F773" s="2" t="n">
        <x:v>-9</x:v>
      </x:c>
      <x:c r="G773" s="2" t="n">
        <x:v>-1</x:v>
      </x:c>
      <x:c r="H773" s="2" t="n">
        <x:v>0</x:v>
      </x:c>
      <x:c r="I773" s="2" t="n">
        <x:v>0</x:v>
      </x:c>
      <x:c r="J773" s="2" t="n">
        <x:v>8</x:v>
      </x:c>
      <x:c r="K773" s="2" t="n">
        <x:v>22</x:v>
      </x:c>
      <x:c r="L773" s="2" t="str">
        <x:v>R12 J01-J26 / 8x30, 12+22</x:v>
      </x:c>
    </x:row>
    <x:row r="774" ht="36" customHeight="1">
      <x:c r="A774" s="2" t="str">
        <x:v>R16H0769</x:v>
      </x:c>
      <x:c r="B774" s="2" t="str">
        <x:v>KI12-TV02H2-04</x:v>
      </x:c>
      <x:c r="C774" s="2" t="str">
        <x:v>HATLAP_LEC / R14-J078</x:v>
      </x:c>
      <x:c r="D774" s="2" t="n">
        <x:v>404</x:v>
      </x:c>
      <x:c r="E774" s="2" t="n">
        <x:v>56</x:v>
      </x:c>
      <x:c r="F774" s="2" t="n">
        <x:v>0</x:v>
      </x:c>
      <x:c r="G774" s="2" t="n">
        <x:v>0</x:v>
      </x:c>
      <x:c r="H774" s="2" t="n">
        <x:v>0</x:v>
      </x:c>
      <x:c r="I774" s="2" t="n">
        <x:v>-1</x:v>
      </x:c>
      <x:c r="J774" s="2" t="n">
        <x:v>3.5</x:v>
      </x:c>
      <x:c r="K774" s="2" t="n">
        <x:v>8</x:v>
      </x:c>
      <x:c r="L774" s="2" t="str">
        <x:v>R14 tervezői kiosztás; tényleges laphoz és csavarhoz próbafúrás</x:v>
      </x:c>
    </x:row>
    <x:row r="775" ht="36" customHeight="1">
      <x:c r="A775" s="2" t="str">
        <x:v>R16H0770</x:v>
      </x:c>
      <x:c r="B775" s="2" t="str">
        <x:v>KI12-TV02H2-04</x:v>
      </x:c>
      <x:c r="C775" s="2" t="str">
        <x:v>HATLAP_LEC / R14-J080</x:v>
      </x:c>
      <x:c r="D775" s="2" t="n">
        <x:v>404</x:v>
      </x:c>
      <x:c r="E775" s="2" t="n">
        <x:v>136</x:v>
      </x:c>
      <x:c r="F775" s="2" t="n">
        <x:v>0</x:v>
      </x:c>
      <x:c r="G775" s="2" t="n">
        <x:v>0</x:v>
      </x:c>
      <x:c r="H775" s="2" t="n">
        <x:v>0</x:v>
      </x:c>
      <x:c r="I775" s="2" t="n">
        <x:v>-1</x:v>
      </x:c>
      <x:c r="J775" s="2" t="n">
        <x:v>3.5</x:v>
      </x:c>
      <x:c r="K775" s="2" t="n">
        <x:v>8</x:v>
      </x:c>
      <x:c r="L775" s="2" t="str">
        <x:v>R14 tervezői kiosztás; tényleges laphoz és csavarhoz próbafúrás</x:v>
      </x:c>
    </x:row>
    <x:row r="776" ht="36" customHeight="1">
      <x:c r="A776" s="2" t="str">
        <x:v>R16H0771</x:v>
      </x:c>
      <x:c r="B776" s="2" t="str">
        <x:v>KI12-TV02H2-04</x:v>
      </x:c>
      <x:c r="C776" s="2" t="str">
        <x:v>HATLAP_LEC / R14-J082</x:v>
      </x:c>
      <x:c r="D776" s="2" t="n">
        <x:v>404</x:v>
      </x:c>
      <x:c r="E776" s="2" t="n">
        <x:v>216</x:v>
      </x:c>
      <x:c r="F776" s="2" t="n">
        <x:v>0</x:v>
      </x:c>
      <x:c r="G776" s="2" t="n">
        <x:v>0</x:v>
      </x:c>
      <x:c r="H776" s="2" t="n">
        <x:v>0</x:v>
      </x:c>
      <x:c r="I776" s="2" t="n">
        <x:v>-1</x:v>
      </x:c>
      <x:c r="J776" s="2" t="n">
        <x:v>3.5</x:v>
      </x:c>
      <x:c r="K776" s="2" t="n">
        <x:v>8</x:v>
      </x:c>
      <x:c r="L776" s="2" t="str">
        <x:v>R14 tervezői kiosztás; tényleges laphoz és csavarhoz próbafúrás</x:v>
      </x:c>
    </x:row>
    <x:row r="777" ht="36" customHeight="1">
      <x:c r="A777" s="2" t="str">
        <x:v>R16H0772</x:v>
      </x:c>
      <x:c r="B777" s="2" t="str">
        <x:v>KI12-TV02H2-04</x:v>
      </x:c>
      <x:c r="C777" s="2" t="str">
        <x:v>HATLAP_LEC / R14-J084</x:v>
      </x:c>
      <x:c r="D777" s="2" t="n">
        <x:v>8</x:v>
      </x:c>
      <x:c r="E777" s="2" t="n">
        <x:v>56</x:v>
      </x:c>
      <x:c r="F777" s="2" t="n">
        <x:v>0</x:v>
      </x:c>
      <x:c r="G777" s="2" t="n">
        <x:v>0</x:v>
      </x:c>
      <x:c r="H777" s="2" t="n">
        <x:v>0</x:v>
      </x:c>
      <x:c r="I777" s="2" t="n">
        <x:v>-1</x:v>
      </x:c>
      <x:c r="J777" s="2" t="n">
        <x:v>3.5</x:v>
      </x:c>
      <x:c r="K777" s="2" t="n">
        <x:v>8</x:v>
      </x:c>
      <x:c r="L777" s="2" t="str">
        <x:v>R14 tervezői kiosztás; tényleges laphoz és csavarhoz próbafúrás</x:v>
      </x:c>
    </x:row>
    <x:row r="778" ht="36" customHeight="1">
      <x:c r="A778" s="2" t="str">
        <x:v>R16H0773</x:v>
      </x:c>
      <x:c r="B778" s="2" t="str">
        <x:v>KI12-TV02H2-04</x:v>
      </x:c>
      <x:c r="C778" s="2" t="str">
        <x:v>HATLAP_LEC / R14-J086</x:v>
      </x:c>
      <x:c r="D778" s="2" t="n">
        <x:v>8</x:v>
      </x:c>
      <x:c r="E778" s="2" t="n">
        <x:v>136</x:v>
      </x:c>
      <x:c r="F778" s="2" t="n">
        <x:v>0</x:v>
      </x:c>
      <x:c r="G778" s="2" t="n">
        <x:v>0</x:v>
      </x:c>
      <x:c r="H778" s="2" t="n">
        <x:v>0</x:v>
      </x:c>
      <x:c r="I778" s="2" t="n">
        <x:v>-1</x:v>
      </x:c>
      <x:c r="J778" s="2" t="n">
        <x:v>3.5</x:v>
      </x:c>
      <x:c r="K778" s="2" t="n">
        <x:v>8</x:v>
      </x:c>
      <x:c r="L778" s="2" t="str">
        <x:v>R14 tervezői kiosztás; tényleges laphoz és csavarhoz próbafúrás</x:v>
      </x:c>
    </x:row>
    <x:row r="779" ht="36" customHeight="1">
      <x:c r="A779" s="2" t="str">
        <x:v>R16H0774</x:v>
      </x:c>
      <x:c r="B779" s="2" t="str">
        <x:v>KI12-TV02H2-04</x:v>
      </x:c>
      <x:c r="C779" s="2" t="str">
        <x:v>HATLAP_LEC / R14-J088</x:v>
      </x:c>
      <x:c r="D779" s="2" t="n">
        <x:v>8</x:v>
      </x:c>
      <x:c r="E779" s="2" t="n">
        <x:v>216</x:v>
      </x:c>
      <x:c r="F779" s="2" t="n">
        <x:v>0</x:v>
      </x:c>
      <x:c r="G779" s="2" t="n">
        <x:v>0</x:v>
      </x:c>
      <x:c r="H779" s="2" t="n">
        <x:v>0</x:v>
      </x:c>
      <x:c r="I779" s="2" t="n">
        <x:v>-1</x:v>
      </x:c>
      <x:c r="J779" s="2" t="n">
        <x:v>3.5</x:v>
      </x:c>
      <x:c r="K779" s="2" t="n">
        <x:v>8</x:v>
      </x:c>
      <x:c r="L779" s="2" t="str">
        <x:v>R14 tervezői kiosztás; tényleges laphoz és csavarhoz próbafúrás</x:v>
      </x:c>
    </x:row>
    <x:row r="780" ht="36" customHeight="1">
      <x:c r="A780" s="2" t="str">
        <x:v>R16H0775</x:v>
      </x:c>
      <x:c r="B780" s="2" t="str">
        <x:v>KI14-BAT-11</x:v>
      </x:c>
      <x:c r="C780" s="2" t="str">
        <x:v>LEC_OLDAL / R14-J077</x:v>
      </x:c>
      <x:c r="D780" s="2" t="n">
        <x:v>22</x:v>
      </x:c>
      <x:c r="E780" s="2" t="n">
        <x:v>9</x:v>
      </x:c>
      <x:c r="F780" s="2" t="n">
        <x:v>-18</x:v>
      </x:c>
      <x:c r="G780" s="2" t="n">
        <x:v>0</x:v>
      </x:c>
      <x:c r="H780" s="2" t="n">
        <x:v>0</x:v>
      </x:c>
      <x:c r="I780" s="2" t="n">
        <x:v>1</x:v>
      </x:c>
      <x:c r="J780" s="2" t="n">
        <x:v>4</x:v>
      </x:c>
      <x:c r="K780" s="2" t="n">
        <x:v>18</x:v>
      </x:c>
      <x:c r="L780" s="2" t="str">
        <x:v>R14 tervezői kiosztás; tényleges laphoz és csavarhoz próbafúrás</x:v>
      </x:c>
    </x:row>
    <x:row r="781" ht="36" customHeight="1">
      <x:c r="A781" s="2" t="str">
        <x:v>R16H0776</x:v>
      </x:c>
      <x:c r="B781" s="2" t="str">
        <x:v>KI14-BAT-11</x:v>
      </x:c>
      <x:c r="C781" s="2" t="str">
        <x:v>HATLAP_LEC / R14-J078</x:v>
      </x:c>
      <x:c r="D781" s="2" t="n">
        <x:v>37</x:v>
      </x:c>
      <x:c r="E781" s="2" t="n">
        <x:v>18</x:v>
      </x:c>
      <x:c r="F781" s="2" t="n">
        <x:v>-9</x:v>
      </x:c>
      <x:c r="G781" s="2" t="n">
        <x:v>0</x:v>
      </x:c>
      <x:c r="H781" s="2" t="n">
        <x:v>-1</x:v>
      </x:c>
      <x:c r="I781" s="2" t="n">
        <x:v>0</x:v>
      </x:c>
      <x:c r="J781" s="2" t="n">
        <x:v>2.5</x:v>
      </x:c>
      <x:c r="K781" s="2" t="n">
        <x:v>12</x:v>
      </x:c>
      <x:c r="L781" s="2" t="str">
        <x:v>R14 tervezői kiosztás; tényleges laphoz és csavarhoz próbafúrás</x:v>
      </x:c>
    </x:row>
    <x:row r="782" ht="36" customHeight="1">
      <x:c r="A782" s="2" t="str">
        <x:v>R16H0777</x:v>
      </x:c>
      <x:c r="B782" s="2" t="str">
        <x:v>KI14-BAT-11</x:v>
      </x:c>
      <x:c r="C782" s="2" t="str">
        <x:v>LEC_OLDAL / R14-J079</x:v>
      </x:c>
      <x:c r="D782" s="2" t="n">
        <x:v>102</x:v>
      </x:c>
      <x:c r="E782" s="2" t="n">
        <x:v>9</x:v>
      </x:c>
      <x:c r="F782" s="2" t="n">
        <x:v>-18</x:v>
      </x:c>
      <x:c r="G782" s="2" t="n">
        <x:v>0</x:v>
      </x:c>
      <x:c r="H782" s="2" t="n">
        <x:v>0</x:v>
      </x:c>
      <x:c r="I782" s="2" t="n">
        <x:v>1</x:v>
      </x:c>
      <x:c r="J782" s="2" t="n">
        <x:v>4</x:v>
      </x:c>
      <x:c r="K782" s="2" t="n">
        <x:v>18</x:v>
      </x:c>
      <x:c r="L782" s="2" t="str">
        <x:v>R14 tervezői kiosztás; tényleges laphoz és csavarhoz próbafúrás</x:v>
      </x:c>
    </x:row>
    <x:row r="783" ht="36" customHeight="1">
      <x:c r="A783" s="2" t="str">
        <x:v>R16H0778</x:v>
      </x:c>
      <x:c r="B783" s="2" t="str">
        <x:v>KI14-BAT-11</x:v>
      </x:c>
      <x:c r="C783" s="2" t="str">
        <x:v>HATLAP_LEC / R14-J080</x:v>
      </x:c>
      <x:c r="D783" s="2" t="n">
        <x:v>117</x:v>
      </x:c>
      <x:c r="E783" s="2" t="n">
        <x:v>18</x:v>
      </x:c>
      <x:c r="F783" s="2" t="n">
        <x:v>-9</x:v>
      </x:c>
      <x:c r="G783" s="2" t="n">
        <x:v>0</x:v>
      </x:c>
      <x:c r="H783" s="2" t="n">
        <x:v>-1</x:v>
      </x:c>
      <x:c r="I783" s="2" t="n">
        <x:v>0</x:v>
      </x:c>
      <x:c r="J783" s="2" t="n">
        <x:v>2.5</x:v>
      </x:c>
      <x:c r="K783" s="2" t="n">
        <x:v>12</x:v>
      </x:c>
      <x:c r="L783" s="2" t="str">
        <x:v>R14 tervezői kiosztás; tényleges laphoz és csavarhoz próbafúrás</x:v>
      </x:c>
    </x:row>
    <x:row r="784" ht="36" customHeight="1">
      <x:c r="A784" s="2" t="str">
        <x:v>R16H0779</x:v>
      </x:c>
      <x:c r="B784" s="2" t="str">
        <x:v>KI14-BAT-11</x:v>
      </x:c>
      <x:c r="C784" s="2" t="str">
        <x:v>LEC_OLDAL / R14-J081</x:v>
      </x:c>
      <x:c r="D784" s="2" t="n">
        <x:v>182</x:v>
      </x:c>
      <x:c r="E784" s="2" t="n">
        <x:v>9</x:v>
      </x:c>
      <x:c r="F784" s="2" t="n">
        <x:v>-18</x:v>
      </x:c>
      <x:c r="G784" s="2" t="n">
        <x:v>0</x:v>
      </x:c>
      <x:c r="H784" s="2" t="n">
        <x:v>0</x:v>
      </x:c>
      <x:c r="I784" s="2" t="n">
        <x:v>1</x:v>
      </x:c>
      <x:c r="J784" s="2" t="n">
        <x:v>4</x:v>
      </x:c>
      <x:c r="K784" s="2" t="n">
        <x:v>18</x:v>
      </x:c>
      <x:c r="L784" s="2" t="str">
        <x:v>R14 tervezői kiosztás; tényleges laphoz és csavarhoz próbafúrás</x:v>
      </x:c>
    </x:row>
    <x:row r="785" ht="36" customHeight="1">
      <x:c r="A785" s="2" t="str">
        <x:v>R16H0780</x:v>
      </x:c>
      <x:c r="B785" s="2" t="str">
        <x:v>KI14-BAT-11</x:v>
      </x:c>
      <x:c r="C785" s="2" t="str">
        <x:v>HATLAP_LEC / R14-J082</x:v>
      </x:c>
      <x:c r="D785" s="2" t="n">
        <x:v>197</x:v>
      </x:c>
      <x:c r="E785" s="2" t="n">
        <x:v>18</x:v>
      </x:c>
      <x:c r="F785" s="2" t="n">
        <x:v>-9</x:v>
      </x:c>
      <x:c r="G785" s="2" t="n">
        <x:v>0</x:v>
      </x:c>
      <x:c r="H785" s="2" t="n">
        <x:v>-1</x:v>
      </x:c>
      <x:c r="I785" s="2" t="n">
        <x:v>0</x:v>
      </x:c>
      <x:c r="J785" s="2" t="n">
        <x:v>2.5</x:v>
      </x:c>
      <x:c r="K785" s="2" t="n">
        <x:v>12</x:v>
      </x:c>
      <x:c r="L785" s="2" t="str">
        <x:v>R14 tervezői kiosztás; tényleges laphoz és csavarhoz próbafúrás</x:v>
      </x:c>
    </x:row>
    <x:row r="786" ht="36" customHeight="1">
      <x:c r="A786" s="2" t="str">
        <x:v>R16H0781</x:v>
      </x:c>
      <x:c r="B786" s="2" t="str">
        <x:v>KI14-BAT-12</x:v>
      </x:c>
      <x:c r="C786" s="2" t="str">
        <x:v>LEC_OLDAL / R14-J083</x:v>
      </x:c>
      <x:c r="D786" s="2" t="n">
        <x:v>22</x:v>
      </x:c>
      <x:c r="E786" s="2" t="n">
        <x:v>9</x:v>
      </x:c>
      <x:c r="F786" s="2" t="n">
        <x:v>0</x:v>
      </x:c>
      <x:c r="G786" s="2" t="n">
        <x:v>0</x:v>
      </x:c>
      <x:c r="H786" s="2" t="n">
        <x:v>0</x:v>
      </x:c>
      <x:c r="I786" s="2" t="n">
        <x:v>-1</x:v>
      </x:c>
      <x:c r="J786" s="2" t="n">
        <x:v>4</x:v>
      </x:c>
      <x:c r="K786" s="2" t="n">
        <x:v>18</x:v>
      </x:c>
      <x:c r="L786" s="2" t="str">
        <x:v>R14 tervezői kiosztás; tényleges laphoz és csavarhoz próbafúrás</x:v>
      </x:c>
    </x:row>
    <x:row r="787" ht="36" customHeight="1">
      <x:c r="A787" s="2" t="str">
        <x:v>R16H0782</x:v>
      </x:c>
      <x:c r="B787" s="2" t="str">
        <x:v>KI14-BAT-12</x:v>
      </x:c>
      <x:c r="C787" s="2" t="str">
        <x:v>HATLAP_LEC / R14-J084</x:v>
      </x:c>
      <x:c r="D787" s="2" t="n">
        <x:v>37</x:v>
      </x:c>
      <x:c r="E787" s="2" t="n">
        <x:v>18</x:v>
      </x:c>
      <x:c r="F787" s="2" t="n">
        <x:v>-9</x:v>
      </x:c>
      <x:c r="G787" s="2" t="n">
        <x:v>0</x:v>
      </x:c>
      <x:c r="H787" s="2" t="n">
        <x:v>-1</x:v>
      </x:c>
      <x:c r="I787" s="2" t="n">
        <x:v>0</x:v>
      </x:c>
      <x:c r="J787" s="2" t="n">
        <x:v>2.5</x:v>
      </x:c>
      <x:c r="K787" s="2" t="n">
        <x:v>12</x:v>
      </x:c>
      <x:c r="L787" s="2" t="str">
        <x:v>R14 tervezői kiosztás; tényleges laphoz és csavarhoz próbafúrás</x:v>
      </x:c>
    </x:row>
    <x:row r="788" ht="36" customHeight="1">
      <x:c r="A788" s="2" t="str">
        <x:v>R16H0783</x:v>
      </x:c>
      <x:c r="B788" s="2" t="str">
        <x:v>KI14-BAT-12</x:v>
      </x:c>
      <x:c r="C788" s="2" t="str">
        <x:v>LEC_OLDAL / R14-J085</x:v>
      </x:c>
      <x:c r="D788" s="2" t="n">
        <x:v>102</x:v>
      </x:c>
      <x:c r="E788" s="2" t="n">
        <x:v>9</x:v>
      </x:c>
      <x:c r="F788" s="2" t="n">
        <x:v>0</x:v>
      </x:c>
      <x:c r="G788" s="2" t="n">
        <x:v>0</x:v>
      </x:c>
      <x:c r="H788" s="2" t="n">
        <x:v>0</x:v>
      </x:c>
      <x:c r="I788" s="2" t="n">
        <x:v>-1</x:v>
      </x:c>
      <x:c r="J788" s="2" t="n">
        <x:v>4</x:v>
      </x:c>
      <x:c r="K788" s="2" t="n">
        <x:v>18</x:v>
      </x:c>
      <x:c r="L788" s="2" t="str">
        <x:v>R14 tervezői kiosztás; tényleges laphoz és csavarhoz próbafúrás</x:v>
      </x:c>
    </x:row>
    <x:row r="789" ht="36" customHeight="1">
      <x:c r="A789" s="2" t="str">
        <x:v>R16H0784</x:v>
      </x:c>
      <x:c r="B789" s="2" t="str">
        <x:v>KI14-BAT-12</x:v>
      </x:c>
      <x:c r="C789" s="2" t="str">
        <x:v>HATLAP_LEC / R14-J086</x:v>
      </x:c>
      <x:c r="D789" s="2" t="n">
        <x:v>117</x:v>
      </x:c>
      <x:c r="E789" s="2" t="n">
        <x:v>18</x:v>
      </x:c>
      <x:c r="F789" s="2" t="n">
        <x:v>-9</x:v>
      </x:c>
      <x:c r="G789" s="2" t="n">
        <x:v>0</x:v>
      </x:c>
      <x:c r="H789" s="2" t="n">
        <x:v>-1</x:v>
      </x:c>
      <x:c r="I789" s="2" t="n">
        <x:v>0</x:v>
      </x:c>
      <x:c r="J789" s="2" t="n">
        <x:v>2.5</x:v>
      </x:c>
      <x:c r="K789" s="2" t="n">
        <x:v>12</x:v>
      </x:c>
      <x:c r="L789" s="2" t="str">
        <x:v>R14 tervezői kiosztás; tényleges laphoz és csavarhoz próbafúrás</x:v>
      </x:c>
    </x:row>
    <x:row r="790" ht="36" customHeight="1">
      <x:c r="A790" s="2" t="str">
        <x:v>R16H0785</x:v>
      </x:c>
      <x:c r="B790" s="2" t="str">
        <x:v>KI14-BAT-12</x:v>
      </x:c>
      <x:c r="C790" s="2" t="str">
        <x:v>LEC_OLDAL / R14-J087</x:v>
      </x:c>
      <x:c r="D790" s="2" t="n">
        <x:v>182</x:v>
      </x:c>
      <x:c r="E790" s="2" t="n">
        <x:v>9</x:v>
      </x:c>
      <x:c r="F790" s="2" t="n">
        <x:v>0</x:v>
      </x:c>
      <x:c r="G790" s="2" t="n">
        <x:v>0</x:v>
      </x:c>
      <x:c r="H790" s="2" t="n">
        <x:v>0</x:v>
      </x:c>
      <x:c r="I790" s="2" t="n">
        <x:v>-1</x:v>
      </x:c>
      <x:c r="J790" s="2" t="n">
        <x:v>4</x:v>
      </x:c>
      <x:c r="K790" s="2" t="n">
        <x:v>18</x:v>
      </x:c>
      <x:c r="L790" s="2" t="str">
        <x:v>R14 tervezői kiosztás; tényleges laphoz és csavarhoz próbafúrás</x:v>
      </x:c>
    </x:row>
    <x:row r="791" ht="36" customHeight="1">
      <x:c r="A791" s="2" t="str">
        <x:v>R16H0786</x:v>
      </x:c>
      <x:c r="B791" s="2" t="str">
        <x:v>KI14-BAT-12</x:v>
      </x:c>
      <x:c r="C791" s="2" t="str">
        <x:v>HATLAP_LEC / R14-J088</x:v>
      </x:c>
      <x:c r="D791" s="2" t="n">
        <x:v>197</x:v>
      </x:c>
      <x:c r="E791" s="2" t="n">
        <x:v>18</x:v>
      </x:c>
      <x:c r="F791" s="2" t="n">
        <x:v>-9</x:v>
      </x:c>
      <x:c r="G791" s="2" t="n">
        <x:v>0</x:v>
      </x:c>
      <x:c r="H791" s="2" t="n">
        <x:v>-1</x:v>
      </x:c>
      <x:c r="I791" s="2" t="n">
        <x:v>0</x:v>
      </x:c>
      <x:c r="J791" s="2" t="n">
        <x:v>2.5</x:v>
      </x:c>
      <x:c r="K791" s="2" t="n">
        <x:v>12</x:v>
      </x:c>
      <x:c r="L791" s="2" t="str">
        <x:v>R14 tervezői kiosztás; tényleges laphoz és csavarhoz próbafúrás</x:v>
      </x:c>
    </x:row>
    <x:row r="792" ht="36" customHeight="1">
      <x:c r="A792" s="2" t="str">
        <x:v>R16H0787</x:v>
      </x:c>
      <x:c r="B792" s="2" t="str">
        <x:v>KI14-RAIL-05</x:v>
      </x:c>
      <x:c r="C792" s="2" t="str">
        <x:v>MEREVITO_CSAP / R14-J121</x:v>
      </x:c>
      <x:c r="D792" s="2" t="n">
        <x:v>414</x:v>
      </x:c>
      <x:c r="E792" s="2" t="n">
        <x:v>20</x:v>
      </x:c>
      <x:c r="F792" s="2" t="n">
        <x:v>-9</x:v>
      </x:c>
      <x:c r="G792" s="2" t="n">
        <x:v>-1</x:v>
      </x:c>
      <x:c r="H792" s="2" t="n">
        <x:v>0</x:v>
      </x:c>
      <x:c r="I792" s="2" t="n">
        <x:v>0</x:v>
      </x:c>
      <x:c r="J792" s="2" t="n">
        <x:v>8</x:v>
      </x:c>
      <x:c r="K792" s="2" t="n">
        <x:v>22</x:v>
      </x:c>
      <x:c r="L792" s="2" t="str">
        <x:v>R14 Ø8x30 bükk csap, 22+12 mélység; ragasztott próbakötés</x:v>
      </x:c>
    </x:row>
    <x:row r="793" ht="36" customHeight="1">
      <x:c r="A793" s="2" t="str">
        <x:v>R16H0788</x:v>
      </x:c>
      <x:c r="B793" s="2" t="str">
        <x:v>KI14-RAIL-05</x:v>
      </x:c>
      <x:c r="C793" s="2" t="str">
        <x:v>MEREVITO_CSAP / R14-J122</x:v>
      </x:c>
      <x:c r="D793" s="2" t="n">
        <x:v>414</x:v>
      </x:c>
      <x:c r="E793" s="2" t="n">
        <x:v>50</x:v>
      </x:c>
      <x:c r="F793" s="2" t="n">
        <x:v>-9</x:v>
      </x:c>
      <x:c r="G793" s="2" t="n">
        <x:v>-1</x:v>
      </x:c>
      <x:c r="H793" s="2" t="n">
        <x:v>0</x:v>
      </x:c>
      <x:c r="I793" s="2" t="n">
        <x:v>0</x:v>
      </x:c>
      <x:c r="J793" s="2" t="n">
        <x:v>8</x:v>
      </x:c>
      <x:c r="K793" s="2" t="n">
        <x:v>22</x:v>
      </x:c>
      <x:c r="L793" s="2" t="str">
        <x:v>R14 Ø8x30 bükk csap, 22+12 mélység; ragasztott próbakötés</x:v>
      </x:c>
    </x:row>
    <x:row r="794" ht="36" customHeight="1">
      <x:c r="A794" s="2" t="str">
        <x:v>R16H0789</x:v>
      </x:c>
      <x:c r="B794" s="2" t="str">
        <x:v>KI14-RAIL-05</x:v>
      </x:c>
      <x:c r="C794" s="2" t="str">
        <x:v>MEREVITO_CSAP / R14-J123</x:v>
      </x:c>
      <x:c r="D794" s="2" t="n">
        <x:v>414</x:v>
      </x:c>
      <x:c r="E794" s="2" t="n">
        <x:v>80</x:v>
      </x:c>
      <x:c r="F794" s="2" t="n">
        <x:v>-9</x:v>
      </x:c>
      <x:c r="G794" s="2" t="n">
        <x:v>-1</x:v>
      </x:c>
      <x:c r="H794" s="2" t="n">
        <x:v>0</x:v>
      </x:c>
      <x:c r="I794" s="2" t="n">
        <x:v>0</x:v>
      </x:c>
      <x:c r="J794" s="2" t="n">
        <x:v>8</x:v>
      </x:c>
      <x:c r="K794" s="2" t="n">
        <x:v>22</x:v>
      </x:c>
      <x:c r="L794" s="2" t="str">
        <x:v>R14 Ø8x30 bükk csap, 22+12 mélység; ragasztott próbakötés</x:v>
      </x:c>
    </x:row>
    <x:row r="795" ht="36" customHeight="1">
      <x:c r="A795" s="2" t="str">
        <x:v>R16H0790</x:v>
      </x:c>
      <x:c r="B795" s="2" t="str">
        <x:v>KI14-RAIL-05</x:v>
      </x:c>
      <x:c r="C795" s="2" t="str">
        <x:v>MEREVITO_CSAP / R14-J124</x:v>
      </x:c>
      <x:c r="D795" s="2" t="n">
        <x:v>0</x:v>
      </x:c>
      <x:c r="E795" s="2" t="n">
        <x:v>20</x:v>
      </x:c>
      <x:c r="F795" s="2" t="n">
        <x:v>-9</x:v>
      </x:c>
      <x:c r="G795" s="2" t="n">
        <x:v>1</x:v>
      </x:c>
      <x:c r="H795" s="2" t="n">
        <x:v>0</x:v>
      </x:c>
      <x:c r="I795" s="2" t="n">
        <x:v>0</x:v>
      </x:c>
      <x:c r="J795" s="2" t="n">
        <x:v>8</x:v>
      </x:c>
      <x:c r="K795" s="2" t="n">
        <x:v>22</x:v>
      </x:c>
      <x:c r="L795" s="2" t="str">
        <x:v>R14 Ø8x30 bükk csap, 22+12 mélység; ragasztott próbakötés</x:v>
      </x:c>
    </x:row>
    <x:row r="796" ht="36" customHeight="1">
      <x:c r="A796" s="2" t="str">
        <x:v>R16H0791</x:v>
      </x:c>
      <x:c r="B796" s="2" t="str">
        <x:v>KI14-RAIL-05</x:v>
      </x:c>
      <x:c r="C796" s="2" t="str">
        <x:v>MEREVITO_CSAP / R14-J125</x:v>
      </x:c>
      <x:c r="D796" s="2" t="n">
        <x:v>0</x:v>
      </x:c>
      <x:c r="E796" s="2" t="n">
        <x:v>50</x:v>
      </x:c>
      <x:c r="F796" s="2" t="n">
        <x:v>-9</x:v>
      </x:c>
      <x:c r="G796" s="2" t="n">
        <x:v>1</x:v>
      </x:c>
      <x:c r="H796" s="2" t="n">
        <x:v>0</x:v>
      </x:c>
      <x:c r="I796" s="2" t="n">
        <x:v>0</x:v>
      </x:c>
      <x:c r="J796" s="2" t="n">
        <x:v>8</x:v>
      </x:c>
      <x:c r="K796" s="2" t="n">
        <x:v>22</x:v>
      </x:c>
      <x:c r="L796" s="2" t="str">
        <x:v>R14 Ø8x30 bükk csap, 22+12 mélység; ragasztott próbakötés</x:v>
      </x:c>
    </x:row>
    <x:row r="797" ht="36" customHeight="1">
      <x:c r="A797" s="2" t="str">
        <x:v>R16H0792</x:v>
      </x:c>
      <x:c r="B797" s="2" t="str">
        <x:v>KI14-RAIL-05</x:v>
      </x:c>
      <x:c r="C797" s="2" t="str">
        <x:v>MEREVITO_CSAP / R14-J126</x:v>
      </x:c>
      <x:c r="D797" s="2" t="n">
        <x:v>0</x:v>
      </x:c>
      <x:c r="E797" s="2" t="n">
        <x:v>80</x:v>
      </x:c>
      <x:c r="F797" s="2" t="n">
        <x:v>-9</x:v>
      </x:c>
      <x:c r="G797" s="2" t="n">
        <x:v>1</x:v>
      </x:c>
      <x:c r="H797" s="2" t="n">
        <x:v>0</x:v>
      </x:c>
      <x:c r="I797" s="2" t="n">
        <x:v>0</x:v>
      </x:c>
      <x:c r="J797" s="2" t="n">
        <x:v>8</x:v>
      </x:c>
      <x:c r="K797" s="2" t="n">
        <x:v>22</x:v>
      </x:c>
      <x:c r="L797" s="2" t="str">
        <x:v>R14 Ø8x30 bükk csap, 22+12 mélység; ragasztott próbakötés</x:v>
      </x:c>
    </x:row>
    <x:row r="798" ht="36" customHeight="1">
      <x:c r="A798" s="2" t="str">
        <x:v>R16H0793</x:v>
      </x:c>
      <x:c r="B798" s="2" t="str">
        <x:v>KI12-TV02CAP-01</x:v>
      </x:c>
      <x:c r="C798" s="2" t="str">
        <x:v>CSAP J24</x:v>
      </x:c>
      <x:c r="D798" s="2" t="n">
        <x:v>2709</x:v>
      </x:c>
      <x:c r="E798" s="2" t="n">
        <x:v>50</x:v>
      </x:c>
      <x:c r="F798" s="2" t="n">
        <x:v>-18</x:v>
      </x:c>
      <x:c r="G798" s="2" t="n">
        <x:v>0</x:v>
      </x:c>
      <x:c r="H798" s="2" t="n">
        <x:v>0</x:v>
      </x:c>
      <x:c r="I798" s="2" t="n">
        <x:v>1</x:v>
      </x:c>
      <x:c r="J798" s="2" t="n">
        <x:v>8</x:v>
      </x:c>
      <x:c r="K798" s="2" t="n">
        <x:v>12</x:v>
      </x:c>
      <x:c r="L798" s="2" t="str">
        <x:v>R12 J01-J26 / 8x30, 12+22</x:v>
      </x:c>
    </x:row>
    <x:row r="799" ht="36" customHeight="1">
      <x:c r="A799" s="2" t="str">
        <x:v>R16H0794</x:v>
      </x:c>
      <x:c r="B799" s="2" t="str">
        <x:v>KI12-TV02CAP-01</x:v>
      </x:c>
      <x:c r="C799" s="2" t="str">
        <x:v>CSAP J24</x:v>
      </x:c>
      <x:c r="D799" s="2" t="n">
        <x:v>2709</x:v>
      </x:c>
      <x:c r="E799" s="2" t="n">
        <x:v>191</x:v>
      </x:c>
      <x:c r="F799" s="2" t="n">
        <x:v>-18</x:v>
      </x:c>
      <x:c r="G799" s="2" t="n">
        <x:v>0</x:v>
      </x:c>
      <x:c r="H799" s="2" t="n">
        <x:v>0</x:v>
      </x:c>
      <x:c r="I799" s="2" t="n">
        <x:v>1</x:v>
      </x:c>
      <x:c r="J799" s="2" t="n">
        <x:v>8</x:v>
      </x:c>
      <x:c r="K799" s="2" t="n">
        <x:v>12</x:v>
      </x:c>
      <x:c r="L799" s="2" t="str">
        <x:v>R12 J01-J26 / 8x30, 12+22</x:v>
      </x:c>
    </x:row>
    <x:row r="800" ht="36" customHeight="1">
      <x:c r="A800" s="2" t="str">
        <x:v>R16H0795</x:v>
      </x:c>
      <x:c r="B800" s="2" t="str">
        <x:v>KI12-TV02CAP-01</x:v>
      </x:c>
      <x:c r="C800" s="2" t="str">
        <x:v>CSAP J24</x:v>
      </x:c>
      <x:c r="D800" s="2" t="n">
        <x:v>2709</x:v>
      </x:c>
      <x:c r="E800" s="2" t="n">
        <x:v>332</x:v>
      </x:c>
      <x:c r="F800" s="2" t="n">
        <x:v>-18</x:v>
      </x:c>
      <x:c r="G800" s="2" t="n">
        <x:v>0</x:v>
      </x:c>
      <x:c r="H800" s="2" t="n">
        <x:v>0</x:v>
      </x:c>
      <x:c r="I800" s="2" t="n">
        <x:v>1</x:v>
      </x:c>
      <x:c r="J800" s="2" t="n">
        <x:v>8</x:v>
      </x:c>
      <x:c r="K800" s="2" t="n">
        <x:v>12</x:v>
      </x:c>
      <x:c r="L800" s="2" t="str">
        <x:v>R12 J01-J26 / 8x30, 12+22</x:v>
      </x:c>
    </x:row>
    <x:row r="801" ht="36" customHeight="1">
      <x:c r="A801" s="2" t="str">
        <x:v>R16H0796</x:v>
      </x:c>
      <x:c r="B801" s="2" t="str">
        <x:v>KI12-TV02CAP-01</x:v>
      </x:c>
      <x:c r="C801" s="2" t="str">
        <x:v>CSAP J26</x:v>
      </x:c>
      <x:c r="D801" s="2" t="n">
        <x:v>3141</x:v>
      </x:c>
      <x:c r="E801" s="2" t="n">
        <x:v>50</x:v>
      </x:c>
      <x:c r="F801" s="2" t="n">
        <x:v>-18</x:v>
      </x:c>
      <x:c r="G801" s="2" t="n">
        <x:v>0</x:v>
      </x:c>
      <x:c r="H801" s="2" t="n">
        <x:v>0</x:v>
      </x:c>
      <x:c r="I801" s="2" t="n">
        <x:v>1</x:v>
      </x:c>
      <x:c r="J801" s="2" t="n">
        <x:v>8</x:v>
      </x:c>
      <x:c r="K801" s="2" t="n">
        <x:v>12</x:v>
      </x:c>
      <x:c r="L801" s="2" t="str">
        <x:v>R12 J01-J26 / 8x30, 12+22</x:v>
      </x:c>
    </x:row>
    <x:row r="802" ht="36" customHeight="1">
      <x:c r="A802" s="2" t="str">
        <x:v>R16H0797</x:v>
      </x:c>
      <x:c r="B802" s="2" t="str">
        <x:v>KI12-TV02CAP-01</x:v>
      </x:c>
      <x:c r="C802" s="2" t="str">
        <x:v>CSAP J26</x:v>
      </x:c>
      <x:c r="D802" s="2" t="n">
        <x:v>3141</x:v>
      </x:c>
      <x:c r="E802" s="2" t="n">
        <x:v>191</x:v>
      </x:c>
      <x:c r="F802" s="2" t="n">
        <x:v>-18</x:v>
      </x:c>
      <x:c r="G802" s="2" t="n">
        <x:v>0</x:v>
      </x:c>
      <x:c r="H802" s="2" t="n">
        <x:v>0</x:v>
      </x:c>
      <x:c r="I802" s="2" t="n">
        <x:v>1</x:v>
      </x:c>
      <x:c r="J802" s="2" t="n">
        <x:v>8</x:v>
      </x:c>
      <x:c r="K802" s="2" t="n">
        <x:v>12</x:v>
      </x:c>
      <x:c r="L802" s="2" t="str">
        <x:v>R12 J01-J26 / 8x30, 12+22</x:v>
      </x:c>
    </x:row>
    <x:row r="803" ht="36" customHeight="1">
      <x:c r="A803" s="2" t="str">
        <x:v>R16H0798</x:v>
      </x:c>
      <x:c r="B803" s="2" t="str">
        <x:v>KI12-TV02CAP-01</x:v>
      </x:c>
      <x:c r="C803" s="2" t="str">
        <x:v>CSAP J26</x:v>
      </x:c>
      <x:c r="D803" s="2" t="n">
        <x:v>3141</x:v>
      </x:c>
      <x:c r="E803" s="2" t="n">
        <x:v>332</x:v>
      </x:c>
      <x:c r="F803" s="2" t="n">
        <x:v>-18</x:v>
      </x:c>
      <x:c r="G803" s="2" t="n">
        <x:v>0</x:v>
      </x:c>
      <x:c r="H803" s="2" t="n">
        <x:v>0</x:v>
      </x:c>
      <x:c r="I803" s="2" t="n">
        <x:v>1</x:v>
      </x:c>
      <x:c r="J803" s="2" t="n">
        <x:v>8</x:v>
      </x:c>
      <x:c r="K803" s="2" t="n">
        <x:v>12</x:v>
      </x:c>
      <x:c r="L803" s="2" t="str">
        <x:v>R12 J01-J26 / 8x30, 12+22</x:v>
      </x:c>
    </x:row>
    <x:row r="804" ht="36" customHeight="1">
      <x:c r="A804" s="2" t="str">
        <x:v>R16H0799</x:v>
      </x:c>
      <x:c r="B804" s="2" t="str">
        <x:v>KI16-D5-L</x:v>
      </x:c>
      <x:c r="C804" s="2" t="str">
        <x:v>FIÓK_FENEK_ATMENO</x:v>
      </x:c>
      <x:c r="D804" s="2" t="n">
        <x:v>20.5</x:v>
      </x:c>
      <x:c r="E804" s="2" t="n">
        <x:v>50</x:v>
      </x:c>
      <x:c r="F804" s="2" t="n">
        <x:v>0</x:v>
      </x:c>
      <x:c r="G804" s="2" t="n">
        <x:v>0</x:v>
      </x:c>
      <x:c r="H804" s="2" t="n">
        <x:v>0</x:v>
      </x:c>
      <x:c r="I804" s="2" t="n">
        <x:v>-1</x:v>
      </x:c>
      <x:c r="J804" s="2" t="n">
        <x:v>4.5</x:v>
      </x:c>
      <x:c r="K804" s="2" t="n">
        <x:v>15</x:v>
      </x:c>
      <x:c r="L804" s="2" t="str">
        <x:v>R16 szerkezeti terv; anyaghoz illesztett próbafúrás kell</x:v>
      </x:c>
    </x:row>
    <x:row r="805" ht="36" customHeight="1">
      <x:c r="A805" s="2" t="str">
        <x:v>R16H0800</x:v>
      </x:c>
      <x:c r="B805" s="2" t="str">
        <x:v>KI16-D5-B</x:v>
      </x:c>
      <x:c r="C805" s="2" t="str">
        <x:v>FIÓK_FENEK_PILOT</x:v>
      </x:c>
      <x:c r="D805" s="2" t="n">
        <x:v>0</x:v>
      </x:c>
      <x:c r="E805" s="2" t="n">
        <x:v>50</x:v>
      </x:c>
      <x:c r="F805" s="2" t="n">
        <x:v>-7.5</x:v>
      </x:c>
      <x:c r="G805" s="2" t="n">
        <x:v>1</x:v>
      </x:c>
      <x:c r="H805" s="2" t="n">
        <x:v>0</x:v>
      </x:c>
      <x:c r="I805" s="2" t="n">
        <x:v>0</x:v>
      </x:c>
      <x:c r="J805" s="2" t="n">
        <x:v>2.5</x:v>
      </x:c>
      <x:c r="K805" s="2" t="n">
        <x:v>20</x:v>
      </x:c>
      <x:c r="L805" s="2" t="str">
        <x:v>R16 szerkezeti terv; anyaghoz illesztett próbafúrás kell</x:v>
      </x:c>
    </x:row>
    <x:row r="806" ht="36" customHeight="1">
      <x:c r="A806" s="2" t="str">
        <x:v>R16H0801</x:v>
      </x:c>
      <x:c r="B806" s="2" t="str">
        <x:v>KI16-D5-L</x:v>
      </x:c>
      <x:c r="C806" s="2" t="str">
        <x:v>FIÓK_FENEK_ATMENO</x:v>
      </x:c>
      <x:c r="D806" s="2" t="n">
        <x:v>20.5</x:v>
      </x:c>
      <x:c r="E806" s="2" t="n">
        <x:v>145</x:v>
      </x:c>
      <x:c r="F806" s="2" t="n">
        <x:v>0</x:v>
      </x:c>
      <x:c r="G806" s="2" t="n">
        <x:v>0</x:v>
      </x:c>
      <x:c r="H806" s="2" t="n">
        <x:v>0</x:v>
      </x:c>
      <x:c r="I806" s="2" t="n">
        <x:v>-1</x:v>
      </x:c>
      <x:c r="J806" s="2" t="n">
        <x:v>4.5</x:v>
      </x:c>
      <x:c r="K806" s="2" t="n">
        <x:v>15</x:v>
      </x:c>
      <x:c r="L806" s="2" t="str">
        <x:v>R16 szerkezeti terv; anyaghoz illesztett próbafúrás kell</x:v>
      </x:c>
    </x:row>
    <x:row r="807" ht="36" customHeight="1">
      <x:c r="A807" s="2" t="str">
        <x:v>R16H0802</x:v>
      </x:c>
      <x:c r="B807" s="2" t="str">
        <x:v>KI16-D5-B</x:v>
      </x:c>
      <x:c r="C807" s="2" t="str">
        <x:v>FIÓK_FENEK_PILOT</x:v>
      </x:c>
      <x:c r="D807" s="2" t="n">
        <x:v>0</x:v>
      </x:c>
      <x:c r="E807" s="2" t="n">
        <x:v>145</x:v>
      </x:c>
      <x:c r="F807" s="2" t="n">
        <x:v>-7.5</x:v>
      </x:c>
      <x:c r="G807" s="2" t="n">
        <x:v>1</x:v>
      </x:c>
      <x:c r="H807" s="2" t="n">
        <x:v>0</x:v>
      </x:c>
      <x:c r="I807" s="2" t="n">
        <x:v>0</x:v>
      </x:c>
      <x:c r="J807" s="2" t="n">
        <x:v>2.5</x:v>
      </x:c>
      <x:c r="K807" s="2" t="n">
        <x:v>20</x:v>
      </x:c>
      <x:c r="L807" s="2" t="str">
        <x:v>R16 szerkezeti terv; anyaghoz illesztett próbafúrás kell</x:v>
      </x:c>
    </x:row>
    <x:row r="808" ht="36" customHeight="1">
      <x:c r="A808" s="2" t="str">
        <x:v>R16H0803</x:v>
      </x:c>
      <x:c r="B808" s="2" t="str">
        <x:v>KI16-D5-L</x:v>
      </x:c>
      <x:c r="C808" s="2" t="str">
        <x:v>FIÓK_FENEK_ATMENO</x:v>
      </x:c>
      <x:c r="D808" s="2" t="n">
        <x:v>20.5</x:v>
      </x:c>
      <x:c r="E808" s="2" t="n">
        <x:v>240</x:v>
      </x:c>
      <x:c r="F808" s="2" t="n">
        <x:v>0</x:v>
      </x:c>
      <x:c r="G808" s="2" t="n">
        <x:v>0</x:v>
      </x:c>
      <x:c r="H808" s="2" t="n">
        <x:v>0</x:v>
      </x:c>
      <x:c r="I808" s="2" t="n">
        <x:v>-1</x:v>
      </x:c>
      <x:c r="J808" s="2" t="n">
        <x:v>4.5</x:v>
      </x:c>
      <x:c r="K808" s="2" t="n">
        <x:v>15</x:v>
      </x:c>
      <x:c r="L808" s="2" t="str">
        <x:v>R16 szerkezeti terv; anyaghoz illesztett próbafúrás kell</x:v>
      </x:c>
    </x:row>
    <x:row r="809" ht="36" customHeight="1">
      <x:c r="A809" s="2" t="str">
        <x:v>R16H0804</x:v>
      </x:c>
      <x:c r="B809" s="2" t="str">
        <x:v>KI16-D5-B</x:v>
      </x:c>
      <x:c r="C809" s="2" t="str">
        <x:v>FIÓK_FENEK_PILOT</x:v>
      </x:c>
      <x:c r="D809" s="2" t="n">
        <x:v>0</x:v>
      </x:c>
      <x:c r="E809" s="2" t="n">
        <x:v>240</x:v>
      </x:c>
      <x:c r="F809" s="2" t="n">
        <x:v>-7.5</x:v>
      </x:c>
      <x:c r="G809" s="2" t="n">
        <x:v>1</x:v>
      </x:c>
      <x:c r="H809" s="2" t="n">
        <x:v>0</x:v>
      </x:c>
      <x:c r="I809" s="2" t="n">
        <x:v>0</x:v>
      </x:c>
      <x:c r="J809" s="2" t="n">
        <x:v>2.5</x:v>
      </x:c>
      <x:c r="K809" s="2" t="n">
        <x:v>20</x:v>
      </x:c>
      <x:c r="L809" s="2" t="str">
        <x:v>R16 szerkezeti terv; anyaghoz illesztett próbafúrás kell</x:v>
      </x:c>
    </x:row>
    <x:row r="810" ht="36" customHeight="1">
      <x:c r="A810" s="2" t="str">
        <x:v>R16H0805</x:v>
      </x:c>
      <x:c r="B810" s="2" t="str">
        <x:v>KI16-D5-L</x:v>
      </x:c>
      <x:c r="C810" s="2" t="str">
        <x:v>FIÓK_ELO_HAT_ATMENO</x:v>
      </x:c>
      <x:c r="D810" s="2" t="n">
        <x:v>73</x:v>
      </x:c>
      <x:c r="E810" s="2" t="n">
        <x:v>7.5</x:v>
      </x:c>
      <x:c r="F810" s="2" t="n">
        <x:v>0</x:v>
      </x:c>
      <x:c r="G810" s="2" t="n">
        <x:v>0</x:v>
      </x:c>
      <x:c r="H810" s="2" t="n">
        <x:v>0</x:v>
      </x:c>
      <x:c r="I810" s="2" t="n">
        <x:v>-1</x:v>
      </x:c>
      <x:c r="J810" s="2" t="n">
        <x:v>4.5</x:v>
      </x:c>
      <x:c r="K810" s="2" t="n">
        <x:v>15</x:v>
      </x:c>
      <x:c r="L810" s="2" t="str">
        <x:v>R16 szerkezeti terv; anyaghoz illesztett próbafúrás kell</x:v>
      </x:c>
    </x:row>
    <x:row r="811" ht="36" customHeight="1">
      <x:c r="A811" s="2" t="str">
        <x:v>R16H0806</x:v>
      </x:c>
      <x:c r="B811" s="2" t="str">
        <x:v>KI16-D5-F</x:v>
      </x:c>
      <x:c r="C811" s="2" t="str">
        <x:v>FIÓK_ELO_HAT_PILOT</x:v>
      </x:c>
      <x:c r="D811" s="2" t="n">
        <x:v>372</x:v>
      </x:c>
      <x:c r="E811" s="2" t="n">
        <x:v>45</x:v>
      </x:c>
      <x:c r="F811" s="2" t="n">
        <x:v>-7.5</x:v>
      </x:c>
      <x:c r="G811" s="2" t="n">
        <x:v>-1</x:v>
      </x:c>
      <x:c r="H811" s="2" t="n">
        <x:v>0</x:v>
      </x:c>
      <x:c r="I811" s="2" t="n">
        <x:v>0</x:v>
      </x:c>
      <x:c r="J811" s="2" t="n">
        <x:v>2.5</x:v>
      </x:c>
      <x:c r="K811" s="2" t="n">
        <x:v>20</x:v>
      </x:c>
      <x:c r="L811" s="2" t="str">
        <x:v>R16 szerkezeti terv; anyaghoz illesztett próbafúrás kell</x:v>
      </x:c>
    </x:row>
    <x:row r="812" ht="36" customHeight="1">
      <x:c r="A812" s="2" t="str">
        <x:v>R16H0807</x:v>
      </x:c>
      <x:c r="B812" s="2" t="str">
        <x:v>KI16-D5-L</x:v>
      </x:c>
      <x:c r="C812" s="2" t="str">
        <x:v>FIÓK_ELO_HAT_ATMENO</x:v>
      </x:c>
      <x:c r="D812" s="2" t="n">
        <x:v>203</x:v>
      </x:c>
      <x:c r="E812" s="2" t="n">
        <x:v>7.5</x:v>
      </x:c>
      <x:c r="F812" s="2" t="n">
        <x:v>0</x:v>
      </x:c>
      <x:c r="G812" s="2" t="n">
        <x:v>0</x:v>
      </x:c>
      <x:c r="H812" s="2" t="n">
        <x:v>0</x:v>
      </x:c>
      <x:c r="I812" s="2" t="n">
        <x:v>-1</x:v>
      </x:c>
      <x:c r="J812" s="2" t="n">
        <x:v>4.5</x:v>
      </x:c>
      <x:c r="K812" s="2" t="n">
        <x:v>15</x:v>
      </x:c>
      <x:c r="L812" s="2" t="str">
        <x:v>R16 szerkezeti terv; anyaghoz illesztett próbafúrás kell</x:v>
      </x:c>
    </x:row>
    <x:row r="813" ht="36" customHeight="1">
      <x:c r="A813" s="2" t="str">
        <x:v>R16H0808</x:v>
      </x:c>
      <x:c r="B813" s="2" t="str">
        <x:v>KI16-D5-F</x:v>
      </x:c>
      <x:c r="C813" s="2" t="str">
        <x:v>FIÓK_ELO_HAT_PILOT</x:v>
      </x:c>
      <x:c r="D813" s="2" t="n">
        <x:v>372</x:v>
      </x:c>
      <x:c r="E813" s="2" t="n">
        <x:v>175</x:v>
      </x:c>
      <x:c r="F813" s="2" t="n">
        <x:v>-7.5</x:v>
      </x:c>
      <x:c r="G813" s="2" t="n">
        <x:v>-1</x:v>
      </x:c>
      <x:c r="H813" s="2" t="n">
        <x:v>0</x:v>
      </x:c>
      <x:c r="I813" s="2" t="n">
        <x:v>0</x:v>
      </x:c>
      <x:c r="J813" s="2" t="n">
        <x:v>2.5</x:v>
      </x:c>
      <x:c r="K813" s="2" t="n">
        <x:v>20</x:v>
      </x:c>
      <x:c r="L813" s="2" t="str">
        <x:v>R16 szerkezeti terv; anyaghoz illesztett próbafúrás kell</x:v>
      </x:c>
    </x:row>
    <x:row r="814" ht="36" customHeight="1">
      <x:c r="A814" s="2" t="str">
        <x:v>R16H0809</x:v>
      </x:c>
      <x:c r="B814" s="2" t="str">
        <x:v>KI16-D5-L</x:v>
      </x:c>
      <x:c r="C814" s="2" t="str">
        <x:v>FIÓK_ELO_HAT_ATMENO</x:v>
      </x:c>
      <x:c r="D814" s="2" t="n">
        <x:v>73</x:v>
      </x:c>
      <x:c r="E814" s="2" t="n">
        <x:v>282.5</x:v>
      </x:c>
      <x:c r="F814" s="2" t="n">
        <x:v>0</x:v>
      </x:c>
      <x:c r="G814" s="2" t="n">
        <x:v>0</x:v>
      </x:c>
      <x:c r="H814" s="2" t="n">
        <x:v>0</x:v>
      </x:c>
      <x:c r="I814" s="2" t="n">
        <x:v>-1</x:v>
      </x:c>
      <x:c r="J814" s="2" t="n">
        <x:v>4.5</x:v>
      </x:c>
      <x:c r="K814" s="2" t="n">
        <x:v>15</x:v>
      </x:c>
      <x:c r="L814" s="2" t="str">
        <x:v>R16 szerkezeti terv; anyaghoz illesztett próbafúrás kell</x:v>
      </x:c>
    </x:row>
    <x:row r="815" ht="36" customHeight="1">
      <x:c r="A815" s="2" t="str">
        <x:v>R16H0810</x:v>
      </x:c>
      <x:c r="B815" s="2" t="str">
        <x:v>KI16-D5-H</x:v>
      </x:c>
      <x:c r="C815" s="2" t="str">
        <x:v>FIÓK_ELO_HAT_PILOT</x:v>
      </x:c>
      <x:c r="D815" s="2" t="n">
        <x:v>372</x:v>
      </x:c>
      <x:c r="E815" s="2" t="n">
        <x:v>45</x:v>
      </x:c>
      <x:c r="F815" s="2" t="n">
        <x:v>-7.5</x:v>
      </x:c>
      <x:c r="G815" s="2" t="n">
        <x:v>-1</x:v>
      </x:c>
      <x:c r="H815" s="2" t="n">
        <x:v>0</x:v>
      </x:c>
      <x:c r="I815" s="2" t="n">
        <x:v>0</x:v>
      </x:c>
      <x:c r="J815" s="2" t="n">
        <x:v>2.5</x:v>
      </x:c>
      <x:c r="K815" s="2" t="n">
        <x:v>20</x:v>
      </x:c>
      <x:c r="L815" s="2" t="str">
        <x:v>R16 szerkezeti terv; anyaghoz illesztett próbafúrás kell</x:v>
      </x:c>
    </x:row>
    <x:row r="816" ht="36" customHeight="1">
      <x:c r="A816" s="2" t="str">
        <x:v>R16H0811</x:v>
      </x:c>
      <x:c r="B816" s="2" t="str">
        <x:v>KI16-D5-L</x:v>
      </x:c>
      <x:c r="C816" s="2" t="str">
        <x:v>FIÓK_ELO_HAT_ATMENO</x:v>
      </x:c>
      <x:c r="D816" s="2" t="n">
        <x:v>203</x:v>
      </x:c>
      <x:c r="E816" s="2" t="n">
        <x:v>282.5</x:v>
      </x:c>
      <x:c r="F816" s="2" t="n">
        <x:v>0</x:v>
      </x:c>
      <x:c r="G816" s="2" t="n">
        <x:v>0</x:v>
      </x:c>
      <x:c r="H816" s="2" t="n">
        <x:v>0</x:v>
      </x:c>
      <x:c r="I816" s="2" t="n">
        <x:v>-1</x:v>
      </x:c>
      <x:c r="J816" s="2" t="n">
        <x:v>4.5</x:v>
      </x:c>
      <x:c r="K816" s="2" t="n">
        <x:v>15</x:v>
      </x:c>
      <x:c r="L816" s="2" t="str">
        <x:v>R16 szerkezeti terv; anyaghoz illesztett próbafúrás kell</x:v>
      </x:c>
    </x:row>
    <x:row r="817" ht="36" customHeight="1">
      <x:c r="A817" s="2" t="str">
        <x:v>R16H0812</x:v>
      </x:c>
      <x:c r="B817" s="2" t="str">
        <x:v>KI16-D5-H</x:v>
      </x:c>
      <x:c r="C817" s="2" t="str">
        <x:v>FIÓK_ELO_HAT_PILOT</x:v>
      </x:c>
      <x:c r="D817" s="2" t="n">
        <x:v>372</x:v>
      </x:c>
      <x:c r="E817" s="2" t="n">
        <x:v>175</x:v>
      </x:c>
      <x:c r="F817" s="2" t="n">
        <x:v>-7.5</x:v>
      </x:c>
      <x:c r="G817" s="2" t="n">
        <x:v>-1</x:v>
      </x:c>
      <x:c r="H817" s="2" t="n">
        <x:v>0</x:v>
      </x:c>
      <x:c r="I817" s="2" t="n">
        <x:v>0</x:v>
      </x:c>
      <x:c r="J817" s="2" t="n">
        <x:v>2.5</x:v>
      </x:c>
      <x:c r="K817" s="2" t="n">
        <x:v>20</x:v>
      </x:c>
      <x:c r="L817" s="2" t="str">
        <x:v>R16 szerkezeti terv; anyaghoz illesztett próbafúrás kell</x:v>
      </x:c>
    </x:row>
    <x:row r="818" ht="36" customHeight="1">
      <x:c r="A818" s="2" t="str">
        <x:v>R16H0813</x:v>
      </x:c>
      <x:c r="B818" s="2" t="str">
        <x:v>KI16-D5-R</x:v>
      </x:c>
      <x:c r="C818" s="2" t="str">
        <x:v>FIÓK_FENEK_ATMENO</x:v>
      </x:c>
      <x:c r="D818" s="2" t="n">
        <x:v>20.5</x:v>
      </x:c>
      <x:c r="E818" s="2" t="n">
        <x:v>50</x:v>
      </x:c>
      <x:c r="F818" s="2" t="n">
        <x:v>-15</x:v>
      </x:c>
      <x:c r="G818" s="2" t="n">
        <x:v>0</x:v>
      </x:c>
      <x:c r="H818" s="2" t="n">
        <x:v>0</x:v>
      </x:c>
      <x:c r="I818" s="2" t="n">
        <x:v>1</x:v>
      </x:c>
      <x:c r="J818" s="2" t="n">
        <x:v>4.5</x:v>
      </x:c>
      <x:c r="K818" s="2" t="n">
        <x:v>15</x:v>
      </x:c>
      <x:c r="L818" s="2" t="str">
        <x:v>R16 szerkezeti terv; anyaghoz illesztett próbafúrás kell</x:v>
      </x:c>
    </x:row>
    <x:row r="819" ht="36" customHeight="1">
      <x:c r="A819" s="2" t="str">
        <x:v>R16H0814</x:v>
      </x:c>
      <x:c r="B819" s="2" t="str">
        <x:v>KI16-D5-B</x:v>
      </x:c>
      <x:c r="C819" s="2" t="str">
        <x:v>FIÓK_FENEK_PILOT</x:v>
      </x:c>
      <x:c r="D819" s="2" t="n">
        <x:v>372</x:v>
      </x:c>
      <x:c r="E819" s="2" t="n">
        <x:v>50</x:v>
      </x:c>
      <x:c r="F819" s="2" t="n">
        <x:v>-7.5</x:v>
      </x:c>
      <x:c r="G819" s="2" t="n">
        <x:v>-1</x:v>
      </x:c>
      <x:c r="H819" s="2" t="n">
        <x:v>0</x:v>
      </x:c>
      <x:c r="I819" s="2" t="n">
        <x:v>0</x:v>
      </x:c>
      <x:c r="J819" s="2" t="n">
        <x:v>2.5</x:v>
      </x:c>
      <x:c r="K819" s="2" t="n">
        <x:v>20</x:v>
      </x:c>
      <x:c r="L819" s="2" t="str">
        <x:v>R16 szerkezeti terv; anyaghoz illesztett próbafúrás kell</x:v>
      </x:c>
    </x:row>
    <x:row r="820" ht="36" customHeight="1">
      <x:c r="A820" s="2" t="str">
        <x:v>R16H0815</x:v>
      </x:c>
      <x:c r="B820" s="2" t="str">
        <x:v>KI16-D5-R</x:v>
      </x:c>
      <x:c r="C820" s="2" t="str">
        <x:v>FIÓK_FENEK_ATMENO</x:v>
      </x:c>
      <x:c r="D820" s="2" t="n">
        <x:v>20.5</x:v>
      </x:c>
      <x:c r="E820" s="2" t="n">
        <x:v>145</x:v>
      </x:c>
      <x:c r="F820" s="2" t="n">
        <x:v>-15</x:v>
      </x:c>
      <x:c r="G820" s="2" t="n">
        <x:v>0</x:v>
      </x:c>
      <x:c r="H820" s="2" t="n">
        <x:v>0</x:v>
      </x:c>
      <x:c r="I820" s="2" t="n">
        <x:v>1</x:v>
      </x:c>
      <x:c r="J820" s="2" t="n">
        <x:v>4.5</x:v>
      </x:c>
      <x:c r="K820" s="2" t="n">
        <x:v>15</x:v>
      </x:c>
      <x:c r="L820" s="2" t="str">
        <x:v>R16 szerkezeti terv; anyaghoz illesztett próbafúrás kell</x:v>
      </x:c>
    </x:row>
    <x:row r="821" ht="36" customHeight="1">
      <x:c r="A821" s="2" t="str">
        <x:v>R16H0816</x:v>
      </x:c>
      <x:c r="B821" s="2" t="str">
        <x:v>KI16-D5-B</x:v>
      </x:c>
      <x:c r="C821" s="2" t="str">
        <x:v>FIÓK_FENEK_PILOT</x:v>
      </x:c>
      <x:c r="D821" s="2" t="n">
        <x:v>372</x:v>
      </x:c>
      <x:c r="E821" s="2" t="n">
        <x:v>145</x:v>
      </x:c>
      <x:c r="F821" s="2" t="n">
        <x:v>-7.5</x:v>
      </x:c>
      <x:c r="G821" s="2" t="n">
        <x:v>-1</x:v>
      </x:c>
      <x:c r="H821" s="2" t="n">
        <x:v>0</x:v>
      </x:c>
      <x:c r="I821" s="2" t="n">
        <x:v>0</x:v>
      </x:c>
      <x:c r="J821" s="2" t="n">
        <x:v>2.5</x:v>
      </x:c>
      <x:c r="K821" s="2" t="n">
        <x:v>20</x:v>
      </x:c>
      <x:c r="L821" s="2" t="str">
        <x:v>R16 szerkezeti terv; anyaghoz illesztett próbafúrás kell</x:v>
      </x:c>
    </x:row>
    <x:row r="822" ht="36" customHeight="1">
      <x:c r="A822" s="2" t="str">
        <x:v>R16H0817</x:v>
      </x:c>
      <x:c r="B822" s="2" t="str">
        <x:v>KI16-D5-R</x:v>
      </x:c>
      <x:c r="C822" s="2" t="str">
        <x:v>FIÓK_FENEK_ATMENO</x:v>
      </x:c>
      <x:c r="D822" s="2" t="n">
        <x:v>20.5</x:v>
      </x:c>
      <x:c r="E822" s="2" t="n">
        <x:v>240</x:v>
      </x:c>
      <x:c r="F822" s="2" t="n">
        <x:v>-15</x:v>
      </x:c>
      <x:c r="G822" s="2" t="n">
        <x:v>0</x:v>
      </x:c>
      <x:c r="H822" s="2" t="n">
        <x:v>0</x:v>
      </x:c>
      <x:c r="I822" s="2" t="n">
        <x:v>1</x:v>
      </x:c>
      <x:c r="J822" s="2" t="n">
        <x:v>4.5</x:v>
      </x:c>
      <x:c r="K822" s="2" t="n">
        <x:v>15</x:v>
      </x:c>
      <x:c r="L822" s="2" t="str">
        <x:v>R16 szerkezeti terv; anyaghoz illesztett próbafúrás kell</x:v>
      </x:c>
    </x:row>
    <x:row r="823" ht="36" customHeight="1">
      <x:c r="A823" s="2" t="str">
        <x:v>R16H0818</x:v>
      </x:c>
      <x:c r="B823" s="2" t="str">
        <x:v>KI16-D5-B</x:v>
      </x:c>
      <x:c r="C823" s="2" t="str">
        <x:v>FIÓK_FENEK_PILOT</x:v>
      </x:c>
      <x:c r="D823" s="2" t="n">
        <x:v>372</x:v>
      </x:c>
      <x:c r="E823" s="2" t="n">
        <x:v>240</x:v>
      </x:c>
      <x:c r="F823" s="2" t="n">
        <x:v>-7.5</x:v>
      </x:c>
      <x:c r="G823" s="2" t="n">
        <x:v>-1</x:v>
      </x:c>
      <x:c r="H823" s="2" t="n">
        <x:v>0</x:v>
      </x:c>
      <x:c r="I823" s="2" t="n">
        <x:v>0</x:v>
      </x:c>
      <x:c r="J823" s="2" t="n">
        <x:v>2.5</x:v>
      </x:c>
      <x:c r="K823" s="2" t="n">
        <x:v>20</x:v>
      </x:c>
      <x:c r="L823" s="2" t="str">
        <x:v>R16 szerkezeti terv; anyaghoz illesztett próbafúrás kell</x:v>
      </x:c>
    </x:row>
    <x:row r="824" ht="36" customHeight="1">
      <x:c r="A824" s="2" t="str">
        <x:v>R16H0819</x:v>
      </x:c>
      <x:c r="B824" s="2" t="str">
        <x:v>KI16-D5-R</x:v>
      </x:c>
      <x:c r="C824" s="2" t="str">
        <x:v>FIÓK_ELO_HAT_ATMENO</x:v>
      </x:c>
      <x:c r="D824" s="2" t="n">
        <x:v>73</x:v>
      </x:c>
      <x:c r="E824" s="2" t="n">
        <x:v>7.5</x:v>
      </x:c>
      <x:c r="F824" s="2" t="n">
        <x:v>-15</x:v>
      </x:c>
      <x:c r="G824" s="2" t="n">
        <x:v>0</x:v>
      </x:c>
      <x:c r="H824" s="2" t="n">
        <x:v>0</x:v>
      </x:c>
      <x:c r="I824" s="2" t="n">
        <x:v>1</x:v>
      </x:c>
      <x:c r="J824" s="2" t="n">
        <x:v>4.5</x:v>
      </x:c>
      <x:c r="K824" s="2" t="n">
        <x:v>15</x:v>
      </x:c>
      <x:c r="L824" s="2" t="str">
        <x:v>R16 szerkezeti terv; anyaghoz illesztett próbafúrás kell</x:v>
      </x:c>
    </x:row>
    <x:row r="825" ht="36" customHeight="1">
      <x:c r="A825" s="2" t="str">
        <x:v>R16H0820</x:v>
      </x:c>
      <x:c r="B825" s="2" t="str">
        <x:v>KI16-D5-F</x:v>
      </x:c>
      <x:c r="C825" s="2" t="str">
        <x:v>FIÓK_ELO_HAT_PILOT</x:v>
      </x:c>
      <x:c r="D825" s="2" t="n">
        <x:v>0</x:v>
      </x:c>
      <x:c r="E825" s="2" t="n">
        <x:v>45</x:v>
      </x:c>
      <x:c r="F825" s="2" t="n">
        <x:v>-7.5</x:v>
      </x:c>
      <x:c r="G825" s="2" t="n">
        <x:v>1</x:v>
      </x:c>
      <x:c r="H825" s="2" t="n">
        <x:v>0</x:v>
      </x:c>
      <x:c r="I825" s="2" t="n">
        <x:v>0</x:v>
      </x:c>
      <x:c r="J825" s="2" t="n">
        <x:v>2.5</x:v>
      </x:c>
      <x:c r="K825" s="2" t="n">
        <x:v>20</x:v>
      </x:c>
      <x:c r="L825" s="2" t="str">
        <x:v>R16 szerkezeti terv; anyaghoz illesztett próbafúrás kell</x:v>
      </x:c>
    </x:row>
    <x:row r="826" ht="36" customHeight="1">
      <x:c r="A826" s="2" t="str">
        <x:v>R16H0821</x:v>
      </x:c>
      <x:c r="B826" s="2" t="str">
        <x:v>KI16-D5-R</x:v>
      </x:c>
      <x:c r="C826" s="2" t="str">
        <x:v>FIÓK_ELO_HAT_ATMENO</x:v>
      </x:c>
      <x:c r="D826" s="2" t="n">
        <x:v>203</x:v>
      </x:c>
      <x:c r="E826" s="2" t="n">
        <x:v>7.5</x:v>
      </x:c>
      <x:c r="F826" s="2" t="n">
        <x:v>-15</x:v>
      </x:c>
      <x:c r="G826" s="2" t="n">
        <x:v>0</x:v>
      </x:c>
      <x:c r="H826" s="2" t="n">
        <x:v>0</x:v>
      </x:c>
      <x:c r="I826" s="2" t="n">
        <x:v>1</x:v>
      </x:c>
      <x:c r="J826" s="2" t="n">
        <x:v>4.5</x:v>
      </x:c>
      <x:c r="K826" s="2" t="n">
        <x:v>15</x:v>
      </x:c>
      <x:c r="L826" s="2" t="str">
        <x:v>R16 szerkezeti terv; anyaghoz illesztett próbafúrás kell</x:v>
      </x:c>
    </x:row>
    <x:row r="827" ht="36" customHeight="1">
      <x:c r="A827" s="2" t="str">
        <x:v>R16H0822</x:v>
      </x:c>
      <x:c r="B827" s="2" t="str">
        <x:v>KI16-D5-F</x:v>
      </x:c>
      <x:c r="C827" s="2" t="str">
        <x:v>FIÓK_ELO_HAT_PILOT</x:v>
      </x:c>
      <x:c r="D827" s="2" t="n">
        <x:v>0</x:v>
      </x:c>
      <x:c r="E827" s="2" t="n">
        <x:v>175</x:v>
      </x:c>
      <x:c r="F827" s="2" t="n">
        <x:v>-7.5</x:v>
      </x:c>
      <x:c r="G827" s="2" t="n">
        <x:v>1</x:v>
      </x:c>
      <x:c r="H827" s="2" t="n">
        <x:v>0</x:v>
      </x:c>
      <x:c r="I827" s="2" t="n">
        <x:v>0</x:v>
      </x:c>
      <x:c r="J827" s="2" t="n">
        <x:v>2.5</x:v>
      </x:c>
      <x:c r="K827" s="2" t="n">
        <x:v>20</x:v>
      </x:c>
      <x:c r="L827" s="2" t="str">
        <x:v>R16 szerkezeti terv; anyaghoz illesztett próbafúrás kell</x:v>
      </x:c>
    </x:row>
    <x:row r="828" ht="36" customHeight="1">
      <x:c r="A828" s="2" t="str">
        <x:v>R16H0823</x:v>
      </x:c>
      <x:c r="B828" s="2" t="str">
        <x:v>KI16-D5-R</x:v>
      </x:c>
      <x:c r="C828" s="2" t="str">
        <x:v>FIÓK_ELO_HAT_ATMENO</x:v>
      </x:c>
      <x:c r="D828" s="2" t="n">
        <x:v>73</x:v>
      </x:c>
      <x:c r="E828" s="2" t="n">
        <x:v>282.5</x:v>
      </x:c>
      <x:c r="F828" s="2" t="n">
        <x:v>-15</x:v>
      </x:c>
      <x:c r="G828" s="2" t="n">
        <x:v>0</x:v>
      </x:c>
      <x:c r="H828" s="2" t="n">
        <x:v>0</x:v>
      </x:c>
      <x:c r="I828" s="2" t="n">
        <x:v>1</x:v>
      </x:c>
      <x:c r="J828" s="2" t="n">
        <x:v>4.5</x:v>
      </x:c>
      <x:c r="K828" s="2" t="n">
        <x:v>15</x:v>
      </x:c>
      <x:c r="L828" s="2" t="str">
        <x:v>R16 szerkezeti terv; anyaghoz illesztett próbafúrás kell</x:v>
      </x:c>
    </x:row>
    <x:row r="829" ht="36" customHeight="1">
      <x:c r="A829" s="2" t="str">
        <x:v>R16H0824</x:v>
      </x:c>
      <x:c r="B829" s="2" t="str">
        <x:v>KI16-D5-H</x:v>
      </x:c>
      <x:c r="C829" s="2" t="str">
        <x:v>FIÓK_ELO_HAT_PILOT</x:v>
      </x:c>
      <x:c r="D829" s="2" t="n">
        <x:v>0</x:v>
      </x:c>
      <x:c r="E829" s="2" t="n">
        <x:v>45</x:v>
      </x:c>
      <x:c r="F829" s="2" t="n">
        <x:v>-7.5</x:v>
      </x:c>
      <x:c r="G829" s="2" t="n">
        <x:v>1</x:v>
      </x:c>
      <x:c r="H829" s="2" t="n">
        <x:v>0</x:v>
      </x:c>
      <x:c r="I829" s="2" t="n">
        <x:v>0</x:v>
      </x:c>
      <x:c r="J829" s="2" t="n">
        <x:v>2.5</x:v>
      </x:c>
      <x:c r="K829" s="2" t="n">
        <x:v>20</x:v>
      </x:c>
      <x:c r="L829" s="2" t="str">
        <x:v>R16 szerkezeti terv; anyaghoz illesztett próbafúrás kell</x:v>
      </x:c>
    </x:row>
    <x:row r="830" ht="36" customHeight="1">
      <x:c r="A830" s="2" t="str">
        <x:v>R16H0825</x:v>
      </x:c>
      <x:c r="B830" s="2" t="str">
        <x:v>KI16-D5-R</x:v>
      </x:c>
      <x:c r="C830" s="2" t="str">
        <x:v>FIÓK_ELO_HAT_ATMENO</x:v>
      </x:c>
      <x:c r="D830" s="2" t="n">
        <x:v>203</x:v>
      </x:c>
      <x:c r="E830" s="2" t="n">
        <x:v>282.5</x:v>
      </x:c>
      <x:c r="F830" s="2" t="n">
        <x:v>-15</x:v>
      </x:c>
      <x:c r="G830" s="2" t="n">
        <x:v>0</x:v>
      </x:c>
      <x:c r="H830" s="2" t="n">
        <x:v>0</x:v>
      </x:c>
      <x:c r="I830" s="2" t="n">
        <x:v>1</x:v>
      </x:c>
      <x:c r="J830" s="2" t="n">
        <x:v>4.5</x:v>
      </x:c>
      <x:c r="K830" s="2" t="n">
        <x:v>15</x:v>
      </x:c>
      <x:c r="L830" s="2" t="str">
        <x:v>R16 szerkezeti terv; anyaghoz illesztett próbafúrás kell</x:v>
      </x:c>
    </x:row>
    <x:row r="831" ht="36" customHeight="1">
      <x:c r="A831" s="2" t="str">
        <x:v>R16H0826</x:v>
      </x:c>
      <x:c r="B831" s="2" t="str">
        <x:v>KI16-D5-H</x:v>
      </x:c>
      <x:c r="C831" s="2" t="str">
        <x:v>FIÓK_ELO_HAT_PILOT</x:v>
      </x:c>
      <x:c r="D831" s="2" t="n">
        <x:v>0</x:v>
      </x:c>
      <x:c r="E831" s="2" t="n">
        <x:v>175</x:v>
      </x:c>
      <x:c r="F831" s="2" t="n">
        <x:v>-7.5</x:v>
      </x:c>
      <x:c r="G831" s="2" t="n">
        <x:v>1</x:v>
      </x:c>
      <x:c r="H831" s="2" t="n">
        <x:v>0</x:v>
      </x:c>
      <x:c r="I831" s="2" t="n">
        <x:v>0</x:v>
      </x:c>
      <x:c r="J831" s="2" t="n">
        <x:v>2.5</x:v>
      </x:c>
      <x:c r="K831" s="2" t="n">
        <x:v>20</x:v>
      </x:c>
      <x:c r="L831" s="2" t="str">
        <x:v>R16 szerkezeti terv; anyaghoz illesztett próbafúrás kell</x:v>
      </x:c>
    </x:row>
    <x:row r="832" ht="36" customHeight="1">
      <x:c r="A832" s="2" t="str">
        <x:v>R16H0827</x:v>
      </x:c>
      <x:c r="B832" s="2" t="str">
        <x:v>KI16-D5-F</x:v>
      </x:c>
      <x:c r="C832" s="2" t="str">
        <x:v>FRONT_ROGZITES_ATMENO</x:v>
      </x:c>
      <x:c r="D832" s="2" t="n">
        <x:v>311</x:v>
      </x:c>
      <x:c r="E832" s="2" t="n">
        <x:v>45</x:v>
      </x:c>
      <x:c r="F832" s="2" t="n">
        <x:v>0</x:v>
      </x:c>
      <x:c r="G832" s="2" t="n">
        <x:v>0</x:v>
      </x:c>
      <x:c r="H832" s="2" t="n">
        <x:v>0</x:v>
      </x:c>
      <x:c r="I832" s="2" t="n">
        <x:v>-1</x:v>
      </x:c>
      <x:c r="J832" s="2" t="n">
        <x:v>5</x:v>
      </x:c>
      <x:c r="K832" s="2" t="n">
        <x:v>15</x:v>
      </x:c>
      <x:c r="L832" s="2" t="str">
        <x:v>R16 szerkezeti terv; anyaghoz illesztett próbafúrás kell</x:v>
      </x:c>
    </x:row>
    <x:row r="833" ht="36" customHeight="1">
      <x:c r="A833" s="2" t="str">
        <x:v>R16H0828</x:v>
      </x:c>
      <x:c r="B833" s="2" t="str">
        <x:v>KI12-TV02F2-04</x:v>
      </x:c>
      <x:c r="C833" s="2" t="str">
        <x:v>FRONT_ROGZITES_PILOT</x:v>
      </x:c>
      <x:c r="D833" s="2" t="n">
        <x:v>348.5</x:v>
      </x:c>
      <x:c r="E833" s="2" t="n">
        <x:v>118.5</x:v>
      </x:c>
      <x:c r="F833" s="2" t="n">
        <x:v>0</x:v>
      </x:c>
      <x:c r="G833" s="2" t="n">
        <x:v>0</x:v>
      </x:c>
      <x:c r="H833" s="2" t="n">
        <x:v>0</x:v>
      </x:c>
      <x:c r="I833" s="2" t="n">
        <x:v>-1</x:v>
      </x:c>
      <x:c r="J833" s="2" t="n">
        <x:v>2.5</x:v>
      </x:c>
      <x:c r="K833" s="2" t="n">
        <x:v>12</x:v>
      </x:c>
      <x:c r="L833" s="2" t="str">
        <x:v>R16 szerkezeti terv; anyaghoz illesztett próbafúrás kell</x:v>
      </x:c>
    </x:row>
    <x:row r="834" ht="36" customHeight="1">
      <x:c r="A834" s="2" t="str">
        <x:v>R16H0829</x:v>
      </x:c>
      <x:c r="B834" s="2" t="str">
        <x:v>KI16-D5-F</x:v>
      </x:c>
      <x:c r="C834" s="2" t="str">
        <x:v>FRONT_ROGZITES_ATMENO</x:v>
      </x:c>
      <x:c r="D834" s="2" t="n">
        <x:v>311</x:v>
      </x:c>
      <x:c r="E834" s="2" t="n">
        <x:v>175</x:v>
      </x:c>
      <x:c r="F834" s="2" t="n">
        <x:v>0</x:v>
      </x:c>
      <x:c r="G834" s="2" t="n">
        <x:v>0</x:v>
      </x:c>
      <x:c r="H834" s="2" t="n">
        <x:v>0</x:v>
      </x:c>
      <x:c r="I834" s="2" t="n">
        <x:v>-1</x:v>
      </x:c>
      <x:c r="J834" s="2" t="n">
        <x:v>5</x:v>
      </x:c>
      <x:c r="K834" s="2" t="n">
        <x:v>15</x:v>
      </x:c>
      <x:c r="L834" s="2" t="str">
        <x:v>R16 szerkezeti terv; anyaghoz illesztett próbafúrás kell</x:v>
      </x:c>
    </x:row>
    <x:row r="835" ht="36" customHeight="1">
      <x:c r="A835" s="2" t="str">
        <x:v>R16H0830</x:v>
      </x:c>
      <x:c r="B835" s="2" t="str">
        <x:v>KI12-TV02F2-04</x:v>
      </x:c>
      <x:c r="C835" s="2" t="str">
        <x:v>FRONT_ROGZITES_PILOT</x:v>
      </x:c>
      <x:c r="D835" s="2" t="n">
        <x:v>348.5</x:v>
      </x:c>
      <x:c r="E835" s="2" t="n">
        <x:v>248.5</x:v>
      </x:c>
      <x:c r="F835" s="2" t="n">
        <x:v>0</x:v>
      </x:c>
      <x:c r="G835" s="2" t="n">
        <x:v>0</x:v>
      </x:c>
      <x:c r="H835" s="2" t="n">
        <x:v>0</x:v>
      </x:c>
      <x:c r="I835" s="2" t="n">
        <x:v>-1</x:v>
      </x:c>
      <x:c r="J835" s="2" t="n">
        <x:v>2.5</x:v>
      </x:c>
      <x:c r="K835" s="2" t="n">
        <x:v>12</x:v>
      </x:c>
      <x:c r="L835" s="2" t="str">
        <x:v>R16 szerkezeti terv; anyaghoz illesztett próbafúrás kell</x:v>
      </x:c>
    </x:row>
    <x:row r="836" ht="36" customHeight="1">
      <x:c r="A836" s="2" t="str">
        <x:v>R16H0831</x:v>
      </x:c>
      <x:c r="B836" s="2" t="str">
        <x:v>KI16-D5-F</x:v>
      </x:c>
      <x:c r="C836" s="2" t="str">
        <x:v>FRONT_ROGZITES_ATMENO</x:v>
      </x:c>
      <x:c r="D836" s="2" t="n">
        <x:v>61</x:v>
      </x:c>
      <x:c r="E836" s="2" t="n">
        <x:v>45</x:v>
      </x:c>
      <x:c r="F836" s="2" t="n">
        <x:v>0</x:v>
      </x:c>
      <x:c r="G836" s="2" t="n">
        <x:v>0</x:v>
      </x:c>
      <x:c r="H836" s="2" t="n">
        <x:v>0</x:v>
      </x:c>
      <x:c r="I836" s="2" t="n">
        <x:v>-1</x:v>
      </x:c>
      <x:c r="J836" s="2" t="n">
        <x:v>5</x:v>
      </x:c>
      <x:c r="K836" s="2" t="n">
        <x:v>15</x:v>
      </x:c>
      <x:c r="L836" s="2" t="str">
        <x:v>R16 szerkezeti terv; anyaghoz illesztett próbafúrás kell</x:v>
      </x:c>
    </x:row>
    <x:row r="837" ht="36" customHeight="1">
      <x:c r="A837" s="2" t="str">
        <x:v>R16H0832</x:v>
      </x:c>
      <x:c r="B837" s="2" t="str">
        <x:v>KI12-TV02F2-04</x:v>
      </x:c>
      <x:c r="C837" s="2" t="str">
        <x:v>FRONT_ROGZITES_PILOT</x:v>
      </x:c>
      <x:c r="D837" s="2" t="n">
        <x:v>98.5</x:v>
      </x:c>
      <x:c r="E837" s="2" t="n">
        <x:v>118.5</x:v>
      </x:c>
      <x:c r="F837" s="2" t="n">
        <x:v>0</x:v>
      </x:c>
      <x:c r="G837" s="2" t="n">
        <x:v>0</x:v>
      </x:c>
      <x:c r="H837" s="2" t="n">
        <x:v>0</x:v>
      </x:c>
      <x:c r="I837" s="2" t="n">
        <x:v>-1</x:v>
      </x:c>
      <x:c r="J837" s="2" t="n">
        <x:v>2.5</x:v>
      </x:c>
      <x:c r="K837" s="2" t="n">
        <x:v>12</x:v>
      </x:c>
      <x:c r="L837" s="2" t="str">
        <x:v>R16 szerkezeti terv; anyaghoz illesztett próbafúrás kell</x:v>
      </x:c>
    </x:row>
    <x:row r="838" ht="36" customHeight="1">
      <x:c r="A838" s="2" t="str">
        <x:v>R16H0833</x:v>
      </x:c>
      <x:c r="B838" s="2" t="str">
        <x:v>KI16-D5-F</x:v>
      </x:c>
      <x:c r="C838" s="2" t="str">
        <x:v>FRONT_ROGZITES_ATMENO</x:v>
      </x:c>
      <x:c r="D838" s="2" t="n">
        <x:v>61</x:v>
      </x:c>
      <x:c r="E838" s="2" t="n">
        <x:v>175</x:v>
      </x:c>
      <x:c r="F838" s="2" t="n">
        <x:v>0</x:v>
      </x:c>
      <x:c r="G838" s="2" t="n">
        <x:v>0</x:v>
      </x:c>
      <x:c r="H838" s="2" t="n">
        <x:v>0</x:v>
      </x:c>
      <x:c r="I838" s="2" t="n">
        <x:v>-1</x:v>
      </x:c>
      <x:c r="J838" s="2" t="n">
        <x:v>5</x:v>
      </x:c>
      <x:c r="K838" s="2" t="n">
        <x:v>15</x:v>
      </x:c>
      <x:c r="L838" s="2" t="str">
        <x:v>R16 szerkezeti terv; anyaghoz illesztett próbafúrás kell</x:v>
      </x:c>
    </x:row>
    <x:row r="839" ht="36" customHeight="1">
      <x:c r="A839" s="2" t="str">
        <x:v>R16H0834</x:v>
      </x:c>
      <x:c r="B839" s="2" t="str">
        <x:v>KI12-TV02F2-04</x:v>
      </x:c>
      <x:c r="C839" s="2" t="str">
        <x:v>FRONT_ROGZITES_PILOT</x:v>
      </x:c>
      <x:c r="D839" s="2" t="n">
        <x:v>98.5</x:v>
      </x:c>
      <x:c r="E839" s="2" t="n">
        <x:v>248.5</x:v>
      </x:c>
      <x:c r="F839" s="2" t="n">
        <x:v>0</x:v>
      </x:c>
      <x:c r="G839" s="2" t="n">
        <x:v>0</x:v>
      </x:c>
      <x:c r="H839" s="2" t="n">
        <x:v>0</x:v>
      </x:c>
      <x:c r="I839" s="2" t="n">
        <x:v>-1</x:v>
      </x:c>
      <x:c r="J839" s="2" t="n">
        <x:v>2.5</x:v>
      </x:c>
      <x:c r="K839" s="2" t="n">
        <x:v>12</x:v>
      </x:c>
      <x:c r="L839" s="2" t="str">
        <x:v>R16 szerkezeti terv; anyaghoz illesztett próbafúrás kell</x:v>
      </x:c>
    </x:row>
    <x:row r="840" ht="36" customHeight="1">
      <x:c r="A840" s="2" t="str">
        <x:v>R16H0835</x:v>
      </x:c>
      <x:c r="B840" s="2" t="str">
        <x:v>KI16-M6-TV02-S-01</x:v>
      </x:c>
      <x:c r="C840" s="2" t="str">
        <x:v>CSAP J23</x:v>
      </x:c>
      <x:c r="D840" s="2" t="n">
        <x:v>9</x:v>
      </x:c>
      <x:c r="E840" s="2" t="n">
        <x:v>50</x:v>
      </x:c>
      <x:c r="F840" s="2" t="n">
        <x:v>-18</x:v>
      </x:c>
      <x:c r="G840" s="2" t="n">
        <x:v>0</x:v>
      </x:c>
      <x:c r="H840" s="2" t="n">
        <x:v>0</x:v>
      </x:c>
      <x:c r="I840" s="2" t="n">
        <x:v>1</x:v>
      </x:c>
      <x:c r="J840" s="2" t="n">
        <x:v>8</x:v>
      </x:c>
      <x:c r="K840" s="2" t="n">
        <x:v>12</x:v>
      </x:c>
      <x:c r="L840" s="2" t="str">
        <x:v>R12 J01-J26 / 8x30, 12+22</x:v>
      </x:c>
    </x:row>
    <x:row r="841" ht="36" customHeight="1">
      <x:c r="A841" s="2" t="str">
        <x:v>R16H0836</x:v>
      </x:c>
      <x:c r="B841" s="2" t="str">
        <x:v>KI16-M6-TV02-S-01</x:v>
      </x:c>
      <x:c r="C841" s="2" t="str">
        <x:v>CSAP J23</x:v>
      </x:c>
      <x:c r="D841" s="2" t="n">
        <x:v>9</x:v>
      </x:c>
      <x:c r="E841" s="2" t="n">
        <x:v>191</x:v>
      </x:c>
      <x:c r="F841" s="2" t="n">
        <x:v>-18</x:v>
      </x:c>
      <x:c r="G841" s="2" t="n">
        <x:v>0</x:v>
      </x:c>
      <x:c r="H841" s="2" t="n">
        <x:v>0</x:v>
      </x:c>
      <x:c r="I841" s="2" t="n">
        <x:v>1</x:v>
      </x:c>
      <x:c r="J841" s="2" t="n">
        <x:v>8</x:v>
      </x:c>
      <x:c r="K841" s="2" t="n">
        <x:v>12</x:v>
      </x:c>
      <x:c r="L841" s="2" t="str">
        <x:v>R12 J01-J26 / 8x30, 12+22</x:v>
      </x:c>
    </x:row>
    <x:row r="842" ht="36" customHeight="1">
      <x:c r="A842" s="2" t="str">
        <x:v>R16H0837</x:v>
      </x:c>
      <x:c r="B842" s="2" t="str">
        <x:v>KI16-M6-TV02-S-01</x:v>
      </x:c>
      <x:c r="C842" s="2" t="str">
        <x:v>CSAP J23</x:v>
      </x:c>
      <x:c r="D842" s="2" t="n">
        <x:v>9</x:v>
      </x:c>
      <x:c r="E842" s="2" t="n">
        <x:v>332</x:v>
      </x:c>
      <x:c r="F842" s="2" t="n">
        <x:v>-18</x:v>
      </x:c>
      <x:c r="G842" s="2" t="n">
        <x:v>0</x:v>
      </x:c>
      <x:c r="H842" s="2" t="n">
        <x:v>0</x:v>
      </x:c>
      <x:c r="I842" s="2" t="n">
        <x:v>1</x:v>
      </x:c>
      <x:c r="J842" s="2" t="n">
        <x:v>8</x:v>
      </x:c>
      <x:c r="K842" s="2" t="n">
        <x:v>12</x:v>
      </x:c>
      <x:c r="L842" s="2" t="str">
        <x:v>R12 J01-J26 / 8x30, 12+22</x:v>
      </x:c>
    </x:row>
    <x:row r="843" ht="36" customHeight="1">
      <x:c r="A843" s="2" t="str">
        <x:v>R16H0838</x:v>
      </x:c>
      <x:c r="B843" s="2" t="str">
        <x:v>KI16-M6-TV02-S-01</x:v>
      </x:c>
      <x:c r="C843" s="2" t="str">
        <x:v>CSAP J24</x:v>
      </x:c>
      <x:c r="D843" s="2" t="n">
        <x:v>382</x:v>
      </x:c>
      <x:c r="E843" s="2" t="n">
        <x:v>50</x:v>
      </x:c>
      <x:c r="F843" s="2" t="n">
        <x:v>-9</x:v>
      </x:c>
      <x:c r="G843" s="2" t="n">
        <x:v>-1</x:v>
      </x:c>
      <x:c r="H843" s="2" t="n">
        <x:v>0</x:v>
      </x:c>
      <x:c r="I843" s="2" t="n">
        <x:v>0</x:v>
      </x:c>
      <x:c r="J843" s="2" t="n">
        <x:v>8</x:v>
      </x:c>
      <x:c r="K843" s="2" t="n">
        <x:v>22</x:v>
      </x:c>
      <x:c r="L843" s="2" t="str">
        <x:v>R12 J01-J26 / 8x30, 12+22</x:v>
      </x:c>
    </x:row>
    <x:row r="844" ht="36" customHeight="1">
      <x:c r="A844" s="2" t="str">
        <x:v>R16H0839</x:v>
      </x:c>
      <x:c r="B844" s="2" t="str">
        <x:v>KI16-M6-TV02-S-01</x:v>
      </x:c>
      <x:c r="C844" s="2" t="str">
        <x:v>CSAP J24</x:v>
      </x:c>
      <x:c r="D844" s="2" t="n">
        <x:v>382</x:v>
      </x:c>
      <x:c r="E844" s="2" t="n">
        <x:v>191</x:v>
      </x:c>
      <x:c r="F844" s="2" t="n">
        <x:v>-9</x:v>
      </x:c>
      <x:c r="G844" s="2" t="n">
        <x:v>-1</x:v>
      </x:c>
      <x:c r="H844" s="2" t="n">
        <x:v>0</x:v>
      </x:c>
      <x:c r="I844" s="2" t="n">
        <x:v>0</x:v>
      </x:c>
      <x:c r="J844" s="2" t="n">
        <x:v>8</x:v>
      </x:c>
      <x:c r="K844" s="2" t="n">
        <x:v>22</x:v>
      </x:c>
      <x:c r="L844" s="2" t="str">
        <x:v>R12 J01-J26 / 8x30, 12+22</x:v>
      </x:c>
    </x:row>
    <x:row r="845" ht="36" customHeight="1">
      <x:c r="A845" s="2" t="str">
        <x:v>R16H0840</x:v>
      </x:c>
      <x:c r="B845" s="2" t="str">
        <x:v>KI16-M6-TV02-S-01</x:v>
      </x:c>
      <x:c r="C845" s="2" t="str">
        <x:v>CSAP J24</x:v>
      </x:c>
      <x:c r="D845" s="2" t="n">
        <x:v>382</x:v>
      </x:c>
      <x:c r="E845" s="2" t="n">
        <x:v>332</x:v>
      </x:c>
      <x:c r="F845" s="2" t="n">
        <x:v>-9</x:v>
      </x:c>
      <x:c r="G845" s="2" t="n">
        <x:v>-1</x:v>
      </x:c>
      <x:c r="H845" s="2" t="n">
        <x:v>0</x:v>
      </x:c>
      <x:c r="I845" s="2" t="n">
        <x:v>0</x:v>
      </x:c>
      <x:c r="J845" s="2" t="n">
        <x:v>8</x:v>
      </x:c>
      <x:c r="K845" s="2" t="n">
        <x:v>22</x:v>
      </x:c>
      <x:c r="L845" s="2" t="str">
        <x:v>R12 J01-J26 / 8x30, 12+22</x:v>
      </x:c>
    </x:row>
    <x:row r="846" ht="36" customHeight="1">
      <x:c r="A846" s="2" t="str">
        <x:v>R16H0841</x:v>
      </x:c>
      <x:c r="B846" s="2" t="str">
        <x:v>KI16-M6-TV02-S-01</x:v>
      </x:c>
      <x:c r="C846" s="2" t="str">
        <x:v>LEC_OLDAL / R14-J077</x:v>
      </x:c>
      <x:c r="D846" s="2" t="n">
        <x:v>60</x:v>
      </x:c>
      <x:c r="E846" s="2" t="n">
        <x:v>345</x:v>
      </x:c>
      <x:c r="F846" s="2" t="n">
        <x:v>-18</x:v>
      </x:c>
      <x:c r="G846" s="2" t="n">
        <x:v>0</x:v>
      </x:c>
      <x:c r="H846" s="2" t="n">
        <x:v>0</x:v>
      </x:c>
      <x:c r="I846" s="2" t="n">
        <x:v>1</x:v>
      </x:c>
      <x:c r="J846" s="2" t="n">
        <x:v>2.5</x:v>
      </x:c>
      <x:c r="K846" s="2" t="n">
        <x:v>12</x:v>
      </x:c>
      <x:c r="L846" s="2" t="str">
        <x:v>R14 tervezői kiosztás; tényleges laphoz és csavarhoz próbafúrás</x:v>
      </x:c>
    </x:row>
    <x:row r="847" ht="36" customHeight="1">
      <x:c r="A847" s="2" t="str">
        <x:v>R16H0842</x:v>
      </x:c>
      <x:c r="B847" s="2" t="str">
        <x:v>KI16-M6-TV02-S-01</x:v>
      </x:c>
      <x:c r="C847" s="2" t="str">
        <x:v>LEC_OLDAL / R14-J079</x:v>
      </x:c>
      <x:c r="D847" s="2" t="n">
        <x:v>140</x:v>
      </x:c>
      <x:c r="E847" s="2" t="n">
        <x:v>345</x:v>
      </x:c>
      <x:c r="F847" s="2" t="n">
        <x:v>-18</x:v>
      </x:c>
      <x:c r="G847" s="2" t="n">
        <x:v>0</x:v>
      </x:c>
      <x:c r="H847" s="2" t="n">
        <x:v>0</x:v>
      </x:c>
      <x:c r="I847" s="2" t="n">
        <x:v>1</x:v>
      </x:c>
      <x:c r="J847" s="2" t="n">
        <x:v>2.5</x:v>
      </x:c>
      <x:c r="K847" s="2" t="n">
        <x:v>12</x:v>
      </x:c>
      <x:c r="L847" s="2" t="str">
        <x:v>R14 tervezői kiosztás; tényleges laphoz és csavarhoz próbafúrás</x:v>
      </x:c>
    </x:row>
    <x:row r="848" ht="36" customHeight="1">
      <x:c r="A848" s="2" t="str">
        <x:v>R16H0843</x:v>
      </x:c>
      <x:c r="B848" s="2" t="str">
        <x:v>KI16-M6-TV02-S-01</x:v>
      </x:c>
      <x:c r="C848" s="2" t="str">
        <x:v>LEC_OLDAL / R14-J081</x:v>
      </x:c>
      <x:c r="D848" s="2" t="n">
        <x:v>220</x:v>
      </x:c>
      <x:c r="E848" s="2" t="n">
        <x:v>345</x:v>
      </x:c>
      <x:c r="F848" s="2" t="n">
        <x:v>-18</x:v>
      </x:c>
      <x:c r="G848" s="2" t="n">
        <x:v>0</x:v>
      </x:c>
      <x:c r="H848" s="2" t="n">
        <x:v>0</x:v>
      </x:c>
      <x:c r="I848" s="2" t="n">
        <x:v>1</x:v>
      </x:c>
      <x:c r="J848" s="2" t="n">
        <x:v>2.5</x:v>
      </x:c>
      <x:c r="K848" s="2" t="n">
        <x:v>12</x:v>
      </x:c>
      <x:c r="L848" s="2" t="str">
        <x:v>R14 tervezői kiosztás; tényleges laphoz és csavarhoz próbafúrás</x:v>
      </x:c>
    </x:row>
    <x:row r="849" ht="36" customHeight="1">
      <x:c r="A849" s="2" t="str">
        <x:v>R16H0844</x:v>
      </x:c>
      <x:c r="B849" s="2" t="str">
        <x:v>KI16-M6-TV02-S-01</x:v>
      </x:c>
      <x:c r="C849" s="2" t="str">
        <x:v>MEREVITO_CSAP / R14-J121</x:v>
      </x:c>
      <x:c r="D849" s="2" t="n">
        <x:v>170</x:v>
      </x:c>
      <x:c r="E849" s="2" t="n">
        <x:v>327</x:v>
      </x:c>
      <x:c r="F849" s="2" t="n">
        <x:v>-18</x:v>
      </x:c>
      <x:c r="G849" s="2" t="n">
        <x:v>0</x:v>
      </x:c>
      <x:c r="H849" s="2" t="n">
        <x:v>0</x:v>
      </x:c>
      <x:c r="I849" s="2" t="n">
        <x:v>1</x:v>
      </x:c>
      <x:c r="J849" s="2" t="n">
        <x:v>8</x:v>
      </x:c>
      <x:c r="K849" s="2" t="n">
        <x:v>12</x:v>
      </x:c>
      <x:c r="L849" s="2" t="str">
        <x:v>R14 Ø8x30 bükk csap, 22+12 mélység; középosztón 10 mm eltolt tengely</x:v>
      </x:c>
    </x:row>
    <x:row r="850" ht="36" customHeight="1">
      <x:c r="A850" s="2" t="str">
        <x:v>R16H0845</x:v>
      </x:c>
      <x:c r="B850" s="2" t="str">
        <x:v>KI16-M6-TV02-S-01</x:v>
      </x:c>
      <x:c r="C850" s="2" t="str">
        <x:v>MEREVITO_CSAP / R14-J122</x:v>
      </x:c>
      <x:c r="D850" s="2" t="n">
        <x:v>200</x:v>
      </x:c>
      <x:c r="E850" s="2" t="n">
        <x:v>327</x:v>
      </x:c>
      <x:c r="F850" s="2" t="n">
        <x:v>-18</x:v>
      </x:c>
      <x:c r="G850" s="2" t="n">
        <x:v>0</x:v>
      </x:c>
      <x:c r="H850" s="2" t="n">
        <x:v>0</x:v>
      </x:c>
      <x:c r="I850" s="2" t="n">
        <x:v>1</x:v>
      </x:c>
      <x:c r="J850" s="2" t="n">
        <x:v>8</x:v>
      </x:c>
      <x:c r="K850" s="2" t="n">
        <x:v>12</x:v>
      </x:c>
      <x:c r="L850" s="2" t="str">
        <x:v>R14 Ø8x30 bükk csap, 22+12 mélység; középosztón 10 mm eltolt tengely</x:v>
      </x:c>
    </x:row>
    <x:row r="851" ht="36" customHeight="1">
      <x:c r="A851" s="2" t="str">
        <x:v>R16H0846</x:v>
      </x:c>
      <x:c r="B851" s="2" t="str">
        <x:v>KI16-M6-TV02-S-01</x:v>
      </x:c>
      <x:c r="C851" s="2" t="str">
        <x:v>MEREVITO_CSAP / R14-J123</x:v>
      </x:c>
      <x:c r="D851" s="2" t="n">
        <x:v>230</x:v>
      </x:c>
      <x:c r="E851" s="2" t="n">
        <x:v>327</x:v>
      </x:c>
      <x:c r="F851" s="2" t="n">
        <x:v>-18</x:v>
      </x:c>
      <x:c r="G851" s="2" t="n">
        <x:v>0</x:v>
      </x:c>
      <x:c r="H851" s="2" t="n">
        <x:v>0</x:v>
      </x:c>
      <x:c r="I851" s="2" t="n">
        <x:v>1</x:v>
      </x:c>
      <x:c r="J851" s="2" t="n">
        <x:v>8</x:v>
      </x:c>
      <x:c r="K851" s="2" t="n">
        <x:v>12</x:v>
      </x:c>
      <x:c r="L851" s="2" t="str">
        <x:v>R14 Ø8x30 bükk csap, 22+12 mélység; középosztón 10 mm eltolt tengely</x:v>
      </x:c>
    </x:row>
    <x:row r="852" ht="36" customHeight="1">
      <x:c r="A852" s="2" t="str">
        <x:v>R16H0847</x:v>
      </x:c>
      <x:c r="B852" s="2" t="str">
        <x:v>KI16-M6-TV02-S-01</x:v>
      </x:c>
      <x:c r="C852" s="2" t="str">
        <x:v>CAMAR807_DUBEL</x:v>
      </x:c>
      <x:c r="D852" s="2" t="n">
        <x:v>352</x:v>
      </x:c>
      <x:c r="E852" s="2" t="n">
        <x:v>330</x:v>
      </x:c>
      <x:c r="F852" s="2" t="n">
        <x:v>-18</x:v>
      </x:c>
      <x:c r="G852" s="2" t="n">
        <x:v>0</x:v>
      </x:c>
      <x:c r="H852" s="2" t="n">
        <x:v>0</x:v>
      </x:c>
      <x:c r="I852" s="2" t="n">
        <x:v>1</x:v>
      </x:c>
      <x:c r="J852" s="2" t="n">
        <x:v>10</x:v>
      </x:c>
      <x:c r="K852" s="2" t="n">
        <x:v>12</x:v>
      </x:c>
      <x:c r="L852" s="2" t="str">
        <x:v>Camar807_IN.pdf F1: Ø10/12,32x64;30mm felső visszaállás; új vasalat/oldallap próba és alkalmazás jóváhagyandó</x:v>
      </x:c>
    </x:row>
    <x:row r="853" ht="36" customHeight="1">
      <x:c r="A853" s="2" t="str">
        <x:v>R16H0848</x:v>
      </x:c>
      <x:c r="B853" s="2" t="str">
        <x:v>KI16-M6-TV02-S-01</x:v>
      </x:c>
      <x:c r="C853" s="2" t="str">
        <x:v>CAMAR807_DUBEL</x:v>
      </x:c>
      <x:c r="D853" s="2" t="n">
        <x:v>288</x:v>
      </x:c>
      <x:c r="E853" s="2" t="n">
        <x:v>330</x:v>
      </x:c>
      <x:c r="F853" s="2" t="n">
        <x:v>-18</x:v>
      </x:c>
      <x:c r="G853" s="2" t="n">
        <x:v>0</x:v>
      </x:c>
      <x:c r="H853" s="2" t="n">
        <x:v>0</x:v>
      </x:c>
      <x:c r="I853" s="2" t="n">
        <x:v>1</x:v>
      </x:c>
      <x:c r="J853" s="2" t="n">
        <x:v>10</x:v>
      </x:c>
      <x:c r="K853" s="2" t="n">
        <x:v>12</x:v>
      </x:c>
      <x:c r="L853" s="2" t="str">
        <x:v>Camar807_IN.pdf F1: Ø10/12,32x64;30mm felső visszaállás; új vasalat/oldallap próba és alkalmazás jóváhagyandó</x:v>
      </x:c>
    </x:row>
    <x:row r="854" ht="36" customHeight="1">
      <x:c r="A854" s="2" t="str">
        <x:v>R16H0849</x:v>
      </x:c>
      <x:c r="B854" s="2" t="str">
        <x:v>KI16-M6-TV02-S-01</x:v>
      </x:c>
      <x:c r="C854" s="2" t="str">
        <x:v>CAMAR807_DUBEL</x:v>
      </x:c>
      <x:c r="D854" s="2" t="n">
        <x:v>352</x:v>
      </x:c>
      <x:c r="E854" s="2" t="n">
        <x:v>362</x:v>
      </x:c>
      <x:c r="F854" s="2" t="n">
        <x:v>-18</x:v>
      </x:c>
      <x:c r="G854" s="2" t="n">
        <x:v>0</x:v>
      </x:c>
      <x:c r="H854" s="2" t="n">
        <x:v>0</x:v>
      </x:c>
      <x:c r="I854" s="2" t="n">
        <x:v>1</x:v>
      </x:c>
      <x:c r="J854" s="2" t="n">
        <x:v>10</x:v>
      </x:c>
      <x:c r="K854" s="2" t="n">
        <x:v>12</x:v>
      </x:c>
      <x:c r="L854" s="2" t="str">
        <x:v>Camar807_IN.pdf F1: Ø10/12,32x64;30mm felső visszaállás; új vasalat/oldallap próba és alkalmazás jóváhagyandó</x:v>
      </x:c>
    </x:row>
    <x:row r="855" ht="36" customHeight="1">
      <x:c r="A855" s="2" t="str">
        <x:v>R16H0850</x:v>
      </x:c>
      <x:c r="B855" s="2" t="str">
        <x:v>KI16-M6-TV02-S-01</x:v>
      </x:c>
      <x:c r="C855" s="2" t="str">
        <x:v>CAMAR807_DUBEL</x:v>
      </x:c>
      <x:c r="D855" s="2" t="n">
        <x:v>288</x:v>
      </x:c>
      <x:c r="E855" s="2" t="n">
        <x:v>362</x:v>
      </x:c>
      <x:c r="F855" s="2" t="n">
        <x:v>-18</x:v>
      </x:c>
      <x:c r="G855" s="2" t="n">
        <x:v>0</x:v>
      </x:c>
      <x:c r="H855" s="2" t="n">
        <x:v>0</x:v>
      </x:c>
      <x:c r="I855" s="2" t="n">
        <x:v>1</x:v>
      </x:c>
      <x:c r="J855" s="2" t="n">
        <x:v>10</x:v>
      </x:c>
      <x:c r="K855" s="2" t="n">
        <x:v>12</x:v>
      </x:c>
      <x:c r="L855" s="2" t="str">
        <x:v>Camar807_IN.pdf F1: Ø10/12,32x64;30mm felső visszaállás; új vasalat/oldallap próba és alkalmazás jóváhagyandó</x:v>
      </x:c>
    </x:row>
    <x:row r="856" ht="36" customHeight="1">
      <x:c r="A856" s="2" t="str">
        <x:v>R16H0851</x:v>
      </x:c>
      <x:c r="B856" s="2" t="str">
        <x:v>KI16-M6-TV02-S-02</x:v>
      </x:c>
      <x:c r="C856" s="2" t="str">
        <x:v>CSAP J25</x:v>
      </x:c>
      <x:c r="D856" s="2" t="n">
        <x:v>9</x:v>
      </x:c>
      <x:c r="E856" s="2" t="n">
        <x:v>50</x:v>
      </x:c>
      <x:c r="F856" s="2" t="n">
        <x:v>0</x:v>
      </x:c>
      <x:c r="G856" s="2" t="n">
        <x:v>0</x:v>
      </x:c>
      <x:c r="H856" s="2" t="n">
        <x:v>0</x:v>
      </x:c>
      <x:c r="I856" s="2" t="n">
        <x:v>-1</x:v>
      </x:c>
      <x:c r="J856" s="2" t="n">
        <x:v>8</x:v>
      </x:c>
      <x:c r="K856" s="2" t="n">
        <x:v>12</x:v>
      </x:c>
      <x:c r="L856" s="2" t="str">
        <x:v>R12 J01-J26 / 8x30, 12+22</x:v>
      </x:c>
    </x:row>
    <x:row r="857" ht="36" customHeight="1">
      <x:c r="A857" s="2" t="str">
        <x:v>R16H0852</x:v>
      </x:c>
      <x:c r="B857" s="2" t="str">
        <x:v>KI16-M6-TV02-S-02</x:v>
      </x:c>
      <x:c r="C857" s="2" t="str">
        <x:v>CSAP J25</x:v>
      </x:c>
      <x:c r="D857" s="2" t="n">
        <x:v>9</x:v>
      </x:c>
      <x:c r="E857" s="2" t="n">
        <x:v>191</x:v>
      </x:c>
      <x:c r="F857" s="2" t="n">
        <x:v>0</x:v>
      </x:c>
      <x:c r="G857" s="2" t="n">
        <x:v>0</x:v>
      </x:c>
      <x:c r="H857" s="2" t="n">
        <x:v>0</x:v>
      </x:c>
      <x:c r="I857" s="2" t="n">
        <x:v>-1</x:v>
      </x:c>
      <x:c r="J857" s="2" t="n">
        <x:v>8</x:v>
      </x:c>
      <x:c r="K857" s="2" t="n">
        <x:v>12</x:v>
      </x:c>
      <x:c r="L857" s="2" t="str">
        <x:v>R12 J01-J26 / 8x30, 12+22</x:v>
      </x:c>
    </x:row>
    <x:row r="858" ht="36" customHeight="1">
      <x:c r="A858" s="2" t="str">
        <x:v>R16H0853</x:v>
      </x:c>
      <x:c r="B858" s="2" t="str">
        <x:v>KI16-M6-TV02-S-02</x:v>
      </x:c>
      <x:c r="C858" s="2" t="str">
        <x:v>CSAP J25</x:v>
      </x:c>
      <x:c r="D858" s="2" t="n">
        <x:v>9</x:v>
      </x:c>
      <x:c r="E858" s="2" t="n">
        <x:v>332</x:v>
      </x:c>
      <x:c r="F858" s="2" t="n">
        <x:v>0</x:v>
      </x:c>
      <x:c r="G858" s="2" t="n">
        <x:v>0</x:v>
      </x:c>
      <x:c r="H858" s="2" t="n">
        <x:v>0</x:v>
      </x:c>
      <x:c r="I858" s="2" t="n">
        <x:v>-1</x:v>
      </x:c>
      <x:c r="J858" s="2" t="n">
        <x:v>8</x:v>
      </x:c>
      <x:c r="K858" s="2" t="n">
        <x:v>12</x:v>
      </x:c>
      <x:c r="L858" s="2" t="str">
        <x:v>R12 J01-J26 / 8x30, 12+22</x:v>
      </x:c>
    </x:row>
    <x:row r="859" ht="36" customHeight="1">
      <x:c r="A859" s="2" t="str">
        <x:v>R16H0854</x:v>
      </x:c>
      <x:c r="B859" s="2" t="str">
        <x:v>KI16-M6-TV02-S-02</x:v>
      </x:c>
      <x:c r="C859" s="2" t="str">
        <x:v>CSAP J26</x:v>
      </x:c>
      <x:c r="D859" s="2" t="n">
        <x:v>382</x:v>
      </x:c>
      <x:c r="E859" s="2" t="n">
        <x:v>50</x:v>
      </x:c>
      <x:c r="F859" s="2" t="n">
        <x:v>-9</x:v>
      </x:c>
      <x:c r="G859" s="2" t="n">
        <x:v>-1</x:v>
      </x:c>
      <x:c r="H859" s="2" t="n">
        <x:v>0</x:v>
      </x:c>
      <x:c r="I859" s="2" t="n">
        <x:v>0</x:v>
      </x:c>
      <x:c r="J859" s="2" t="n">
        <x:v>8</x:v>
      </x:c>
      <x:c r="K859" s="2" t="n">
        <x:v>22</x:v>
      </x:c>
      <x:c r="L859" s="2" t="str">
        <x:v>R12 J01-J26 / 8x30, 12+22</x:v>
      </x:c>
    </x:row>
    <x:row r="860" ht="36" customHeight="1">
      <x:c r="A860" s="2" t="str">
        <x:v>R16H0855</x:v>
      </x:c>
      <x:c r="B860" s="2" t="str">
        <x:v>KI16-M6-TV02-S-02</x:v>
      </x:c>
      <x:c r="C860" s="2" t="str">
        <x:v>CSAP J26</x:v>
      </x:c>
      <x:c r="D860" s="2" t="n">
        <x:v>382</x:v>
      </x:c>
      <x:c r="E860" s="2" t="n">
        <x:v>191</x:v>
      </x:c>
      <x:c r="F860" s="2" t="n">
        <x:v>-9</x:v>
      </x:c>
      <x:c r="G860" s="2" t="n">
        <x:v>-1</x:v>
      </x:c>
      <x:c r="H860" s="2" t="n">
        <x:v>0</x:v>
      </x:c>
      <x:c r="I860" s="2" t="n">
        <x:v>0</x:v>
      </x:c>
      <x:c r="J860" s="2" t="n">
        <x:v>8</x:v>
      </x:c>
      <x:c r="K860" s="2" t="n">
        <x:v>22</x:v>
      </x:c>
      <x:c r="L860" s="2" t="str">
        <x:v>R12 J01-J26 / 8x30, 12+22</x:v>
      </x:c>
    </x:row>
    <x:row r="861" ht="36" customHeight="1">
      <x:c r="A861" s="2" t="str">
        <x:v>R16H0856</x:v>
      </x:c>
      <x:c r="B861" s="2" t="str">
        <x:v>KI16-M6-TV02-S-02</x:v>
      </x:c>
      <x:c r="C861" s="2" t="str">
        <x:v>CSAP J26</x:v>
      </x:c>
      <x:c r="D861" s="2" t="n">
        <x:v>382</x:v>
      </x:c>
      <x:c r="E861" s="2" t="n">
        <x:v>332</x:v>
      </x:c>
      <x:c r="F861" s="2" t="n">
        <x:v>-9</x:v>
      </x:c>
      <x:c r="G861" s="2" t="n">
        <x:v>-1</x:v>
      </x:c>
      <x:c r="H861" s="2" t="n">
        <x:v>0</x:v>
      </x:c>
      <x:c r="I861" s="2" t="n">
        <x:v>0</x:v>
      </x:c>
      <x:c r="J861" s="2" t="n">
        <x:v>8</x:v>
      </x:c>
      <x:c r="K861" s="2" t="n">
        <x:v>22</x:v>
      </x:c>
      <x:c r="L861" s="2" t="str">
        <x:v>R12 J01-J26 / 8x30, 12+22</x:v>
      </x:c>
    </x:row>
    <x:row r="862" ht="36" customHeight="1">
      <x:c r="A862" s="2" t="str">
        <x:v>R16H0857</x:v>
      </x:c>
      <x:c r="B862" s="2" t="str">
        <x:v>KI16-M6-TV02-S-02</x:v>
      </x:c>
      <x:c r="C862" s="2" t="str">
        <x:v>LEC_OLDAL / R14-J083</x:v>
      </x:c>
      <x:c r="D862" s="2" t="n">
        <x:v>60</x:v>
      </x:c>
      <x:c r="E862" s="2" t="n">
        <x:v>345</x:v>
      </x:c>
      <x:c r="F862" s="2" t="n">
        <x:v>0</x:v>
      </x:c>
      <x:c r="G862" s="2" t="n">
        <x:v>0</x:v>
      </x:c>
      <x:c r="H862" s="2" t="n">
        <x:v>0</x:v>
      </x:c>
      <x:c r="I862" s="2" t="n">
        <x:v>-1</x:v>
      </x:c>
      <x:c r="J862" s="2" t="n">
        <x:v>2.5</x:v>
      </x:c>
      <x:c r="K862" s="2" t="n">
        <x:v>12</x:v>
      </x:c>
      <x:c r="L862" s="2" t="str">
        <x:v>R14 tervezői kiosztás; tényleges laphoz és csavarhoz próbafúrás</x:v>
      </x:c>
    </x:row>
    <x:row r="863" ht="36" customHeight="1">
      <x:c r="A863" s="2" t="str">
        <x:v>R16H0858</x:v>
      </x:c>
      <x:c r="B863" s="2" t="str">
        <x:v>KI16-M6-TV02-S-02</x:v>
      </x:c>
      <x:c r="C863" s="2" t="str">
        <x:v>LEC_OLDAL / R14-J085</x:v>
      </x:c>
      <x:c r="D863" s="2" t="n">
        <x:v>140</x:v>
      </x:c>
      <x:c r="E863" s="2" t="n">
        <x:v>345</x:v>
      </x:c>
      <x:c r="F863" s="2" t="n">
        <x:v>0</x:v>
      </x:c>
      <x:c r="G863" s="2" t="n">
        <x:v>0</x:v>
      </x:c>
      <x:c r="H863" s="2" t="n">
        <x:v>0</x:v>
      </x:c>
      <x:c r="I863" s="2" t="n">
        <x:v>-1</x:v>
      </x:c>
      <x:c r="J863" s="2" t="n">
        <x:v>2.5</x:v>
      </x:c>
      <x:c r="K863" s="2" t="n">
        <x:v>12</x:v>
      </x:c>
      <x:c r="L863" s="2" t="str">
        <x:v>R14 tervezői kiosztás; tényleges laphoz és csavarhoz próbafúrás</x:v>
      </x:c>
    </x:row>
    <x:row r="864" ht="36" customHeight="1">
      <x:c r="A864" s="2" t="str">
        <x:v>R16H0859</x:v>
      </x:c>
      <x:c r="B864" s="2" t="str">
        <x:v>KI16-M6-TV02-S-02</x:v>
      </x:c>
      <x:c r="C864" s="2" t="str">
        <x:v>LEC_OLDAL / R14-J087</x:v>
      </x:c>
      <x:c r="D864" s="2" t="n">
        <x:v>220</x:v>
      </x:c>
      <x:c r="E864" s="2" t="n">
        <x:v>345</x:v>
      </x:c>
      <x:c r="F864" s="2" t="n">
        <x:v>0</x:v>
      </x:c>
      <x:c r="G864" s="2" t="n">
        <x:v>0</x:v>
      </x:c>
      <x:c r="H864" s="2" t="n">
        <x:v>0</x:v>
      </x:c>
      <x:c r="I864" s="2" t="n">
        <x:v>-1</x:v>
      </x:c>
      <x:c r="J864" s="2" t="n">
        <x:v>2.5</x:v>
      </x:c>
      <x:c r="K864" s="2" t="n">
        <x:v>12</x:v>
      </x:c>
      <x:c r="L864" s="2" t="str">
        <x:v>R14 tervezői kiosztás; tényleges laphoz és csavarhoz próbafúrás</x:v>
      </x:c>
    </x:row>
    <x:row r="865" ht="36" customHeight="1">
      <x:c r="A865" s="2" t="str">
        <x:v>R16H0860</x:v>
      </x:c>
      <x:c r="B865" s="2" t="str">
        <x:v>KI16-M6-TV02-S-02</x:v>
      </x:c>
      <x:c r="C865" s="2" t="str">
        <x:v>MEREVITO_CSAP / R14-J124</x:v>
      </x:c>
      <x:c r="D865" s="2" t="n">
        <x:v>170</x:v>
      </x:c>
      <x:c r="E865" s="2" t="n">
        <x:v>327</x:v>
      </x:c>
      <x:c r="F865" s="2" t="n">
        <x:v>0</x:v>
      </x:c>
      <x:c r="G865" s="2" t="n">
        <x:v>0</x:v>
      </x:c>
      <x:c r="H865" s="2" t="n">
        <x:v>0</x:v>
      </x:c>
      <x:c r="I865" s="2" t="n">
        <x:v>-1</x:v>
      </x:c>
      <x:c r="J865" s="2" t="n">
        <x:v>8</x:v>
      </x:c>
      <x:c r="K865" s="2" t="n">
        <x:v>12</x:v>
      </x:c>
      <x:c r="L865" s="2" t="str">
        <x:v>R14 Ø8x30 bükk csap, 22+12 mélység; középosztón 10 mm eltolt tengely</x:v>
      </x:c>
    </x:row>
    <x:row r="866" ht="36" customHeight="1">
      <x:c r="A866" s="2" t="str">
        <x:v>R16H0861</x:v>
      </x:c>
      <x:c r="B866" s="2" t="str">
        <x:v>KI16-M6-TV02-S-02</x:v>
      </x:c>
      <x:c r="C866" s="2" t="str">
        <x:v>MEREVITO_CSAP / R14-J125</x:v>
      </x:c>
      <x:c r="D866" s="2" t="n">
        <x:v>200</x:v>
      </x:c>
      <x:c r="E866" s="2" t="n">
        <x:v>327</x:v>
      </x:c>
      <x:c r="F866" s="2" t="n">
        <x:v>0</x:v>
      </x:c>
      <x:c r="G866" s="2" t="n">
        <x:v>0</x:v>
      </x:c>
      <x:c r="H866" s="2" t="n">
        <x:v>0</x:v>
      </x:c>
      <x:c r="I866" s="2" t="n">
        <x:v>-1</x:v>
      </x:c>
      <x:c r="J866" s="2" t="n">
        <x:v>8</x:v>
      </x:c>
      <x:c r="K866" s="2" t="n">
        <x:v>12</x:v>
      </x:c>
      <x:c r="L866" s="2" t="str">
        <x:v>R14 Ø8x30 bükk csap, 22+12 mélység; középosztón 10 mm eltolt tengely</x:v>
      </x:c>
    </x:row>
    <x:row r="867" ht="36" customHeight="1">
      <x:c r="A867" s="2" t="str">
        <x:v>R16H0862</x:v>
      </x:c>
      <x:c r="B867" s="2" t="str">
        <x:v>KI16-M6-TV02-S-02</x:v>
      </x:c>
      <x:c r="C867" s="2" t="str">
        <x:v>MEREVITO_CSAP / R14-J126</x:v>
      </x:c>
      <x:c r="D867" s="2" t="n">
        <x:v>230</x:v>
      </x:c>
      <x:c r="E867" s="2" t="n">
        <x:v>327</x:v>
      </x:c>
      <x:c r="F867" s="2" t="n">
        <x:v>0</x:v>
      </x:c>
      <x:c r="G867" s="2" t="n">
        <x:v>0</x:v>
      </x:c>
      <x:c r="H867" s="2" t="n">
        <x:v>0</x:v>
      </x:c>
      <x:c r="I867" s="2" t="n">
        <x:v>-1</x:v>
      </x:c>
      <x:c r="J867" s="2" t="n">
        <x:v>8</x:v>
      </x:c>
      <x:c r="K867" s="2" t="n">
        <x:v>12</x:v>
      </x:c>
      <x:c r="L867" s="2" t="str">
        <x:v>R14 Ø8x30 bükk csap, 22+12 mélység; középosztón 10 mm eltolt tengely</x:v>
      </x:c>
    </x:row>
    <x:row r="868" ht="36" customHeight="1">
      <x:c r="A868" s="2" t="str">
        <x:v>R16H0863</x:v>
      </x:c>
      <x:c r="B868" s="2" t="str">
        <x:v>KI16-M6-TV02-S-02</x:v>
      </x:c>
      <x:c r="C868" s="2" t="str">
        <x:v>CAMAR807_DUBEL</x:v>
      </x:c>
      <x:c r="D868" s="2" t="n">
        <x:v>352</x:v>
      </x:c>
      <x:c r="E868" s="2" t="n">
        <x:v>330</x:v>
      </x:c>
      <x:c r="F868" s="2" t="n">
        <x:v>0</x:v>
      </x:c>
      <x:c r="G868" s="2" t="n">
        <x:v>0</x:v>
      </x:c>
      <x:c r="H868" s="2" t="n">
        <x:v>0</x:v>
      </x:c>
      <x:c r="I868" s="2" t="n">
        <x:v>-1</x:v>
      </x:c>
      <x:c r="J868" s="2" t="n">
        <x:v>10</x:v>
      </x:c>
      <x:c r="K868" s="2" t="n">
        <x:v>12</x:v>
      </x:c>
      <x:c r="L868" s="2" t="str">
        <x:v>Camar807_IN.pdf F1: Ø10/12,32x64;30mm felső visszaállás; új vasalat/oldallap próba és alkalmazás jóváhagyandó</x:v>
      </x:c>
    </x:row>
    <x:row r="869" ht="36" customHeight="1">
      <x:c r="A869" s="2" t="str">
        <x:v>R16H0864</x:v>
      </x:c>
      <x:c r="B869" s="2" t="str">
        <x:v>KI16-M6-TV02-S-02</x:v>
      </x:c>
      <x:c r="C869" s="2" t="str">
        <x:v>CAMAR807_DUBEL</x:v>
      </x:c>
      <x:c r="D869" s="2" t="n">
        <x:v>288</x:v>
      </x:c>
      <x:c r="E869" s="2" t="n">
        <x:v>330</x:v>
      </x:c>
      <x:c r="F869" s="2" t="n">
        <x:v>0</x:v>
      </x:c>
      <x:c r="G869" s="2" t="n">
        <x:v>0</x:v>
      </x:c>
      <x:c r="H869" s="2" t="n">
        <x:v>0</x:v>
      </x:c>
      <x:c r="I869" s="2" t="n">
        <x:v>-1</x:v>
      </x:c>
      <x:c r="J869" s="2" t="n">
        <x:v>10</x:v>
      </x:c>
      <x:c r="K869" s="2" t="n">
        <x:v>12</x:v>
      </x:c>
      <x:c r="L869" s="2" t="str">
        <x:v>Camar807_IN.pdf F1: Ø10/12,32x64;30mm felső visszaállás; új vasalat/oldallap próba és alkalmazás jóváhagyandó</x:v>
      </x:c>
    </x:row>
    <x:row r="870" ht="36" customHeight="1">
      <x:c r="A870" s="2" t="str">
        <x:v>R16H0865</x:v>
      </x:c>
      <x:c r="B870" s="2" t="str">
        <x:v>KI16-M6-TV02-S-02</x:v>
      </x:c>
      <x:c r="C870" s="2" t="str">
        <x:v>CAMAR807_DUBEL</x:v>
      </x:c>
      <x:c r="D870" s="2" t="n">
        <x:v>352</x:v>
      </x:c>
      <x:c r="E870" s="2" t="n">
        <x:v>362</x:v>
      </x:c>
      <x:c r="F870" s="2" t="n">
        <x:v>0</x:v>
      </x:c>
      <x:c r="G870" s="2" t="n">
        <x:v>0</x:v>
      </x:c>
      <x:c r="H870" s="2" t="n">
        <x:v>0</x:v>
      </x:c>
      <x:c r="I870" s="2" t="n">
        <x:v>-1</x:v>
      </x:c>
      <x:c r="J870" s="2" t="n">
        <x:v>10</x:v>
      </x:c>
      <x:c r="K870" s="2" t="n">
        <x:v>12</x:v>
      </x:c>
      <x:c r="L870" s="2" t="str">
        <x:v>Camar807_IN.pdf F1: Ø10/12,32x64;30mm felső visszaállás; új vasalat/oldallap próba és alkalmazás jóváhagyandó</x:v>
      </x:c>
    </x:row>
    <x:row r="871" ht="36" customHeight="1">
      <x:c r="A871" s="2" t="str">
        <x:v>R16H0866</x:v>
      </x:c>
      <x:c r="B871" s="2" t="str">
        <x:v>KI16-M6-TV02-S-02</x:v>
      </x:c>
      <x:c r="C871" s="2" t="str">
        <x:v>CAMAR807_DUBEL</x:v>
      </x:c>
      <x:c r="D871" s="2" t="n">
        <x:v>288</x:v>
      </x:c>
      <x:c r="E871" s="2" t="n">
        <x:v>362</x:v>
      </x:c>
      <x:c r="F871" s="2" t="n">
        <x:v>0</x:v>
      </x:c>
      <x:c r="G871" s="2" t="n">
        <x:v>0</x:v>
      </x:c>
      <x:c r="H871" s="2" t="n">
        <x:v>0</x:v>
      </x:c>
      <x:c r="I871" s="2" t="n">
        <x:v>-1</x:v>
      </x:c>
      <x:c r="J871" s="2" t="n">
        <x:v>10</x:v>
      </x:c>
      <x:c r="K871" s="2" t="n">
        <x:v>12</x:v>
      </x:c>
      <x:c r="L871" s="2" t="str">
        <x:v>Camar807_IN.pdf F1: Ø10/12,32x64;30mm felső visszaállás; új vasalat/oldallap próba és alkalmazás jóváhagyandó</x:v>
      </x:c>
    </x:row>
    <x:row r="872" ht="36" customHeight="1">
      <x:c r="A872" s="2" t="str">
        <x:v>R16H0867</x:v>
      </x:c>
      <x:c r="B872" s="2" t="str">
        <x:v>KI16-M6-BOTTOM-03</x:v>
      </x:c>
      <x:c r="C872" s="2" t="str">
        <x:v>CSAP J23</x:v>
      </x:c>
      <x:c r="D872" s="2" t="n">
        <x:v>0</x:v>
      </x:c>
      <x:c r="E872" s="2" t="n">
        <x:v>50</x:v>
      </x:c>
      <x:c r="F872" s="2" t="n">
        <x:v>-9</x:v>
      </x:c>
      <x:c r="G872" s="2" t="n">
        <x:v>1</x:v>
      </x:c>
      <x:c r="H872" s="2" t="n">
        <x:v>0</x:v>
      </x:c>
      <x:c r="I872" s="2" t="n">
        <x:v>0</x:v>
      </x:c>
      <x:c r="J872" s="2" t="n">
        <x:v>8</x:v>
      </x:c>
      <x:c r="K872" s="2" t="n">
        <x:v>22</x:v>
      </x:c>
      <x:c r="L872" s="2" t="str">
        <x:v>R12 J01-J26 / 8x30, 12+22</x:v>
      </x:c>
    </x:row>
    <x:row r="873" ht="36" customHeight="1">
      <x:c r="A873" s="2" t="str">
        <x:v>R16H0868</x:v>
      </x:c>
      <x:c r="B873" s="2" t="str">
        <x:v>KI16-M6-BOTTOM-03</x:v>
      </x:c>
      <x:c r="C873" s="2" t="str">
        <x:v>CSAP J23</x:v>
      </x:c>
      <x:c r="D873" s="2" t="n">
        <x:v>0</x:v>
      </x:c>
      <x:c r="E873" s="2" t="n">
        <x:v>191</x:v>
      </x:c>
      <x:c r="F873" s="2" t="n">
        <x:v>-9</x:v>
      </x:c>
      <x:c r="G873" s="2" t="n">
        <x:v>1</x:v>
      </x:c>
      <x:c r="H873" s="2" t="n">
        <x:v>0</x:v>
      </x:c>
      <x:c r="I873" s="2" t="n">
        <x:v>0</x:v>
      </x:c>
      <x:c r="J873" s="2" t="n">
        <x:v>8</x:v>
      </x:c>
      <x:c r="K873" s="2" t="n">
        <x:v>22</x:v>
      </x:c>
      <x:c r="L873" s="2" t="str">
        <x:v>R12 J01-J26 / 8x30, 12+22</x:v>
      </x:c>
    </x:row>
    <x:row r="874" ht="36" customHeight="1">
      <x:c r="A874" s="2" t="str">
        <x:v>R16H0869</x:v>
      </x:c>
      <x:c r="B874" s="2" t="str">
        <x:v>KI16-M6-BOTTOM-03</x:v>
      </x:c>
      <x:c r="C874" s="2" t="str">
        <x:v>CSAP J23</x:v>
      </x:c>
      <x:c r="D874" s="2" t="n">
        <x:v>0</x:v>
      </x:c>
      <x:c r="E874" s="2" t="n">
        <x:v>332</x:v>
      </x:c>
      <x:c r="F874" s="2" t="n">
        <x:v>-9</x:v>
      </x:c>
      <x:c r="G874" s="2" t="n">
        <x:v>1</x:v>
      </x:c>
      <x:c r="H874" s="2" t="n">
        <x:v>0</x:v>
      </x:c>
      <x:c r="I874" s="2" t="n">
        <x:v>0</x:v>
      </x:c>
      <x:c r="J874" s="2" t="n">
        <x:v>8</x:v>
      </x:c>
      <x:c r="K874" s="2" t="n">
        <x:v>22</x:v>
      </x:c>
      <x:c r="L874" s="2" t="str">
        <x:v>R12 J01-J26 / 8x30, 12+22</x:v>
      </x:c>
    </x:row>
    <x:row r="875" ht="36" customHeight="1">
      <x:c r="A875" s="2" t="str">
        <x:v>R16H0870</x:v>
      </x:c>
      <x:c r="B875" s="2" t="str">
        <x:v>KI16-M6-BOTTOM-03</x:v>
      </x:c>
      <x:c r="C875" s="2" t="str">
        <x:v>CSAP J25</x:v>
      </x:c>
      <x:c r="D875" s="2" t="n">
        <x:v>414</x:v>
      </x:c>
      <x:c r="E875" s="2" t="n">
        <x:v>50</x:v>
      </x:c>
      <x:c r="F875" s="2" t="n">
        <x:v>-9</x:v>
      </x:c>
      <x:c r="G875" s="2" t="n">
        <x:v>-1</x:v>
      </x:c>
      <x:c r="H875" s="2" t="n">
        <x:v>0</x:v>
      </x:c>
      <x:c r="I875" s="2" t="n">
        <x:v>0</x:v>
      </x:c>
      <x:c r="J875" s="2" t="n">
        <x:v>8</x:v>
      </x:c>
      <x:c r="K875" s="2" t="n">
        <x:v>22</x:v>
      </x:c>
      <x:c r="L875" s="2" t="str">
        <x:v>R12 J01-J26 / 8x30, 12+22</x:v>
      </x:c>
    </x:row>
    <x:row r="876" ht="36" customHeight="1">
      <x:c r="A876" s="2" t="str">
        <x:v>R16H0871</x:v>
      </x:c>
      <x:c r="B876" s="2" t="str">
        <x:v>KI16-M6-BOTTOM-03</x:v>
      </x:c>
      <x:c r="C876" s="2" t="str">
        <x:v>CSAP J25</x:v>
      </x:c>
      <x:c r="D876" s="2" t="n">
        <x:v>414</x:v>
      </x:c>
      <x:c r="E876" s="2" t="n">
        <x:v>191</x:v>
      </x:c>
      <x:c r="F876" s="2" t="n">
        <x:v>-9</x:v>
      </x:c>
      <x:c r="G876" s="2" t="n">
        <x:v>-1</x:v>
      </x:c>
      <x:c r="H876" s="2" t="n">
        <x:v>0</x:v>
      </x:c>
      <x:c r="I876" s="2" t="n">
        <x:v>0</x:v>
      </x:c>
      <x:c r="J876" s="2" t="n">
        <x:v>8</x:v>
      </x:c>
      <x:c r="K876" s="2" t="n">
        <x:v>22</x:v>
      </x:c>
      <x:c r="L876" s="2" t="str">
        <x:v>R12 J01-J26 / 8x30, 12+22</x:v>
      </x:c>
    </x:row>
    <x:row r="877" ht="36" customHeight="1">
      <x:c r="A877" s="2" t="str">
        <x:v>R16H0872</x:v>
      </x:c>
      <x:c r="B877" s="2" t="str">
        <x:v>KI16-M6-BOTTOM-03</x:v>
      </x:c>
      <x:c r="C877" s="2" t="str">
        <x:v>CSAP J25</x:v>
      </x:c>
      <x:c r="D877" s="2" t="n">
        <x:v>414</x:v>
      </x:c>
      <x:c r="E877" s="2" t="n">
        <x:v>332</x:v>
      </x:c>
      <x:c r="F877" s="2" t="n">
        <x:v>-9</x:v>
      </x:c>
      <x:c r="G877" s="2" t="n">
        <x:v>-1</x:v>
      </x:c>
      <x:c r="H877" s="2" t="n">
        <x:v>0</x:v>
      </x:c>
      <x:c r="I877" s="2" t="n">
        <x:v>0</x:v>
      </x:c>
      <x:c r="J877" s="2" t="n">
        <x:v>8</x:v>
      </x:c>
      <x:c r="K877" s="2" t="n">
        <x:v>22</x:v>
      </x:c>
      <x:c r="L877" s="2" t="str">
        <x:v>R12 J01-J26 / 8x30, 12+22</x:v>
      </x:c>
    </x:row>
    <x:row r="878" ht="36" customHeight="1">
      <x:c r="A878" s="2" t="str">
        <x:v>R16H0873</x:v>
      </x:c>
      <x:c r="B878" s="2" t="str">
        <x:v>KI16-M6-BACK-05</x:v>
      </x:c>
      <x:c r="C878" s="2" t="str">
        <x:v>HATLAP_LEC / R14-J078</x:v>
      </x:c>
      <x:c r="D878" s="2" t="n">
        <x:v>404</x:v>
      </x:c>
      <x:c r="E878" s="2" t="n">
        <x:v>56</x:v>
      </x:c>
      <x:c r="F878" s="2" t="n">
        <x:v>0</x:v>
      </x:c>
      <x:c r="G878" s="2" t="n">
        <x:v>0</x:v>
      </x:c>
      <x:c r="H878" s="2" t="n">
        <x:v>0</x:v>
      </x:c>
      <x:c r="I878" s="2" t="n">
        <x:v>-1</x:v>
      </x:c>
      <x:c r="J878" s="2" t="n">
        <x:v>3.5</x:v>
      </x:c>
      <x:c r="K878" s="2" t="n">
        <x:v>8</x:v>
      </x:c>
      <x:c r="L878" s="2" t="str">
        <x:v>R14 tervezői kiosztás; tényleges laphoz és csavarhoz próbafúrás</x:v>
      </x:c>
    </x:row>
    <x:row r="879" ht="36" customHeight="1">
      <x:c r="A879" s="2" t="str">
        <x:v>R16H0874</x:v>
      </x:c>
      <x:c r="B879" s="2" t="str">
        <x:v>KI16-M6-BACK-05</x:v>
      </x:c>
      <x:c r="C879" s="2" t="str">
        <x:v>HATLAP_LEC / R14-J080</x:v>
      </x:c>
      <x:c r="D879" s="2" t="n">
        <x:v>404</x:v>
      </x:c>
      <x:c r="E879" s="2" t="n">
        <x:v>136</x:v>
      </x:c>
      <x:c r="F879" s="2" t="n">
        <x:v>0</x:v>
      </x:c>
      <x:c r="G879" s="2" t="n">
        <x:v>0</x:v>
      </x:c>
      <x:c r="H879" s="2" t="n">
        <x:v>0</x:v>
      </x:c>
      <x:c r="I879" s="2" t="n">
        <x:v>-1</x:v>
      </x:c>
      <x:c r="J879" s="2" t="n">
        <x:v>3.5</x:v>
      </x:c>
      <x:c r="K879" s="2" t="n">
        <x:v>8</x:v>
      </x:c>
      <x:c r="L879" s="2" t="str">
        <x:v>R14 tervezői kiosztás; tényleges laphoz és csavarhoz próbafúrás</x:v>
      </x:c>
    </x:row>
    <x:row r="880" ht="36" customHeight="1">
      <x:c r="A880" s="2" t="str">
        <x:v>R16H0875</x:v>
      </x:c>
      <x:c r="B880" s="2" t="str">
        <x:v>KI16-M6-BACK-05</x:v>
      </x:c>
      <x:c r="C880" s="2" t="str">
        <x:v>HATLAP_LEC / R14-J082</x:v>
      </x:c>
      <x:c r="D880" s="2" t="n">
        <x:v>404</x:v>
      </x:c>
      <x:c r="E880" s="2" t="n">
        <x:v>216</x:v>
      </x:c>
      <x:c r="F880" s="2" t="n">
        <x:v>0</x:v>
      </x:c>
      <x:c r="G880" s="2" t="n">
        <x:v>0</x:v>
      </x:c>
      <x:c r="H880" s="2" t="n">
        <x:v>0</x:v>
      </x:c>
      <x:c r="I880" s="2" t="n">
        <x:v>-1</x:v>
      </x:c>
      <x:c r="J880" s="2" t="n">
        <x:v>3.5</x:v>
      </x:c>
      <x:c r="K880" s="2" t="n">
        <x:v>8</x:v>
      </x:c>
      <x:c r="L880" s="2" t="str">
        <x:v>R14 tervezői kiosztás; tényleges laphoz és csavarhoz próbafúrás</x:v>
      </x:c>
    </x:row>
    <x:row r="881" ht="36" customHeight="1">
      <x:c r="A881" s="2" t="str">
        <x:v>R16H0876</x:v>
      </x:c>
      <x:c r="B881" s="2" t="str">
        <x:v>KI16-M6-BACK-05</x:v>
      </x:c>
      <x:c r="C881" s="2" t="str">
        <x:v>HATLAP_LEC / R14-J084</x:v>
      </x:c>
      <x:c r="D881" s="2" t="n">
        <x:v>8</x:v>
      </x:c>
      <x:c r="E881" s="2" t="n">
        <x:v>56</x:v>
      </x:c>
      <x:c r="F881" s="2" t="n">
        <x:v>0</x:v>
      </x:c>
      <x:c r="G881" s="2" t="n">
        <x:v>0</x:v>
      </x:c>
      <x:c r="H881" s="2" t="n">
        <x:v>0</x:v>
      </x:c>
      <x:c r="I881" s="2" t="n">
        <x:v>-1</x:v>
      </x:c>
      <x:c r="J881" s="2" t="n">
        <x:v>3.5</x:v>
      </x:c>
      <x:c r="K881" s="2" t="n">
        <x:v>8</x:v>
      </x:c>
      <x:c r="L881" s="2" t="str">
        <x:v>R14 tervezői kiosztás; tényleges laphoz és csavarhoz próbafúrás</x:v>
      </x:c>
    </x:row>
    <x:row r="882" ht="36" customHeight="1">
      <x:c r="A882" s="2" t="str">
        <x:v>R16H0877</x:v>
      </x:c>
      <x:c r="B882" s="2" t="str">
        <x:v>KI16-M6-BACK-05</x:v>
      </x:c>
      <x:c r="C882" s="2" t="str">
        <x:v>HATLAP_LEC / R14-J086</x:v>
      </x:c>
      <x:c r="D882" s="2" t="n">
        <x:v>8</x:v>
      </x:c>
      <x:c r="E882" s="2" t="n">
        <x:v>136</x:v>
      </x:c>
      <x:c r="F882" s="2" t="n">
        <x:v>0</x:v>
      </x:c>
      <x:c r="G882" s="2" t="n">
        <x:v>0</x:v>
      </x:c>
      <x:c r="H882" s="2" t="n">
        <x:v>0</x:v>
      </x:c>
      <x:c r="I882" s="2" t="n">
        <x:v>-1</x:v>
      </x:c>
      <x:c r="J882" s="2" t="n">
        <x:v>3.5</x:v>
      </x:c>
      <x:c r="K882" s="2" t="n">
        <x:v>8</x:v>
      </x:c>
      <x:c r="L882" s="2" t="str">
        <x:v>R14 tervezői kiosztás; tényleges laphoz és csavarhoz próbafúrás</x:v>
      </x:c>
    </x:row>
    <x:row r="883" ht="36" customHeight="1">
      <x:c r="A883" s="2" t="str">
        <x:v>R16H0878</x:v>
      </x:c>
      <x:c r="B883" s="2" t="str">
        <x:v>KI16-M6-BACK-05</x:v>
      </x:c>
      <x:c r="C883" s="2" t="str">
        <x:v>HATLAP_LEC / R14-J088</x:v>
      </x:c>
      <x:c r="D883" s="2" t="n">
        <x:v>8</x:v>
      </x:c>
      <x:c r="E883" s="2" t="n">
        <x:v>216</x:v>
      </x:c>
      <x:c r="F883" s="2" t="n">
        <x:v>0</x:v>
      </x:c>
      <x:c r="G883" s="2" t="n">
        <x:v>0</x:v>
      </x:c>
      <x:c r="H883" s="2" t="n">
        <x:v>0</x:v>
      </x:c>
      <x:c r="I883" s="2" t="n">
        <x:v>-1</x:v>
      </x:c>
      <x:c r="J883" s="2" t="n">
        <x:v>3.5</x:v>
      </x:c>
      <x:c r="K883" s="2" t="n">
        <x:v>8</x:v>
      </x:c>
      <x:c r="L883" s="2" t="str">
        <x:v>R14 tervezői kiosztás; tényleges laphoz és csavarhoz próbafúrás</x:v>
      </x:c>
    </x:row>
    <x:row r="884" ht="36" customHeight="1">
      <x:c r="A884" s="2" t="str">
        <x:v>R16H0879</x:v>
      </x:c>
      <x:c r="B884" s="2" t="str">
        <x:v>KI16-M6-BAT-06</x:v>
      </x:c>
      <x:c r="C884" s="2" t="str">
        <x:v>LEC_OLDAL / R14-J077</x:v>
      </x:c>
      <x:c r="D884" s="2" t="n">
        <x:v>22</x:v>
      </x:c>
      <x:c r="E884" s="2" t="n">
        <x:v>9</x:v>
      </x:c>
      <x:c r="F884" s="2" t="n">
        <x:v>-18</x:v>
      </x:c>
      <x:c r="G884" s="2" t="n">
        <x:v>0</x:v>
      </x:c>
      <x:c r="H884" s="2" t="n">
        <x:v>0</x:v>
      </x:c>
      <x:c r="I884" s="2" t="n">
        <x:v>1</x:v>
      </x:c>
      <x:c r="J884" s="2" t="n">
        <x:v>4</x:v>
      </x:c>
      <x:c r="K884" s="2" t="n">
        <x:v>18</x:v>
      </x:c>
      <x:c r="L884" s="2" t="str">
        <x:v>R14 tervezői kiosztás; tényleges laphoz és csavarhoz próbafúrás</x:v>
      </x:c>
    </x:row>
    <x:row r="885" ht="36" customHeight="1">
      <x:c r="A885" s="2" t="str">
        <x:v>R16H0880</x:v>
      </x:c>
      <x:c r="B885" s="2" t="str">
        <x:v>KI16-M6-BAT-06</x:v>
      </x:c>
      <x:c r="C885" s="2" t="str">
        <x:v>HATLAP_LEC / R14-J078</x:v>
      </x:c>
      <x:c r="D885" s="2" t="n">
        <x:v>37</x:v>
      </x:c>
      <x:c r="E885" s="2" t="n">
        <x:v>18</x:v>
      </x:c>
      <x:c r="F885" s="2" t="n">
        <x:v>-9</x:v>
      </x:c>
      <x:c r="G885" s="2" t="n">
        <x:v>0</x:v>
      </x:c>
      <x:c r="H885" s="2" t="n">
        <x:v>-1</x:v>
      </x:c>
      <x:c r="I885" s="2" t="n">
        <x:v>0</x:v>
      </x:c>
      <x:c r="J885" s="2" t="n">
        <x:v>2.5</x:v>
      </x:c>
      <x:c r="K885" s="2" t="n">
        <x:v>12</x:v>
      </x:c>
      <x:c r="L885" s="2" t="str">
        <x:v>R14 tervezői kiosztás; tényleges laphoz és csavarhoz próbafúrás</x:v>
      </x:c>
    </x:row>
    <x:row r="886" ht="36" customHeight="1">
      <x:c r="A886" s="2" t="str">
        <x:v>R16H0881</x:v>
      </x:c>
      <x:c r="B886" s="2" t="str">
        <x:v>KI16-M6-BAT-06</x:v>
      </x:c>
      <x:c r="C886" s="2" t="str">
        <x:v>LEC_OLDAL / R14-J079</x:v>
      </x:c>
      <x:c r="D886" s="2" t="n">
        <x:v>102</x:v>
      </x:c>
      <x:c r="E886" s="2" t="n">
        <x:v>9</x:v>
      </x:c>
      <x:c r="F886" s="2" t="n">
        <x:v>-18</x:v>
      </x:c>
      <x:c r="G886" s="2" t="n">
        <x:v>0</x:v>
      </x:c>
      <x:c r="H886" s="2" t="n">
        <x:v>0</x:v>
      </x:c>
      <x:c r="I886" s="2" t="n">
        <x:v>1</x:v>
      </x:c>
      <x:c r="J886" s="2" t="n">
        <x:v>4</x:v>
      </x:c>
      <x:c r="K886" s="2" t="n">
        <x:v>18</x:v>
      </x:c>
      <x:c r="L886" s="2" t="str">
        <x:v>R14 tervezői kiosztás; tényleges laphoz és csavarhoz próbafúrás</x:v>
      </x:c>
    </x:row>
    <x:row r="887" ht="36" customHeight="1">
      <x:c r="A887" s="2" t="str">
        <x:v>R16H0882</x:v>
      </x:c>
      <x:c r="B887" s="2" t="str">
        <x:v>KI16-M6-BAT-06</x:v>
      </x:c>
      <x:c r="C887" s="2" t="str">
        <x:v>HATLAP_LEC / R14-J080</x:v>
      </x:c>
      <x:c r="D887" s="2" t="n">
        <x:v>117</x:v>
      </x:c>
      <x:c r="E887" s="2" t="n">
        <x:v>18</x:v>
      </x:c>
      <x:c r="F887" s="2" t="n">
        <x:v>-9</x:v>
      </x:c>
      <x:c r="G887" s="2" t="n">
        <x:v>0</x:v>
      </x:c>
      <x:c r="H887" s="2" t="n">
        <x:v>-1</x:v>
      </x:c>
      <x:c r="I887" s="2" t="n">
        <x:v>0</x:v>
      </x:c>
      <x:c r="J887" s="2" t="n">
        <x:v>2.5</x:v>
      </x:c>
      <x:c r="K887" s="2" t="n">
        <x:v>12</x:v>
      </x:c>
      <x:c r="L887" s="2" t="str">
        <x:v>R14 tervezői kiosztás; tényleges laphoz és csavarhoz próbafúrás</x:v>
      </x:c>
    </x:row>
    <x:row r="888" ht="36" customHeight="1">
      <x:c r="A888" s="2" t="str">
        <x:v>R16H0883</x:v>
      </x:c>
      <x:c r="B888" s="2" t="str">
        <x:v>KI16-M6-BAT-06</x:v>
      </x:c>
      <x:c r="C888" s="2" t="str">
        <x:v>LEC_OLDAL / R14-J081</x:v>
      </x:c>
      <x:c r="D888" s="2" t="n">
        <x:v>182</x:v>
      </x:c>
      <x:c r="E888" s="2" t="n">
        <x:v>9</x:v>
      </x:c>
      <x:c r="F888" s="2" t="n">
        <x:v>-18</x:v>
      </x:c>
      <x:c r="G888" s="2" t="n">
        <x:v>0</x:v>
      </x:c>
      <x:c r="H888" s="2" t="n">
        <x:v>0</x:v>
      </x:c>
      <x:c r="I888" s="2" t="n">
        <x:v>1</x:v>
      </x:c>
      <x:c r="J888" s="2" t="n">
        <x:v>4</x:v>
      </x:c>
      <x:c r="K888" s="2" t="n">
        <x:v>18</x:v>
      </x:c>
      <x:c r="L888" s="2" t="str">
        <x:v>R14 tervezői kiosztás; tényleges laphoz és csavarhoz próbafúrás</x:v>
      </x:c>
    </x:row>
    <x:row r="889" ht="36" customHeight="1">
      <x:c r="A889" s="2" t="str">
        <x:v>R16H0884</x:v>
      </x:c>
      <x:c r="B889" s="2" t="str">
        <x:v>KI16-M6-BAT-06</x:v>
      </x:c>
      <x:c r="C889" s="2" t="str">
        <x:v>HATLAP_LEC / R14-J082</x:v>
      </x:c>
      <x:c r="D889" s="2" t="n">
        <x:v>197</x:v>
      </x:c>
      <x:c r="E889" s="2" t="n">
        <x:v>18</x:v>
      </x:c>
      <x:c r="F889" s="2" t="n">
        <x:v>-9</x:v>
      </x:c>
      <x:c r="G889" s="2" t="n">
        <x:v>0</x:v>
      </x:c>
      <x:c r="H889" s="2" t="n">
        <x:v>-1</x:v>
      </x:c>
      <x:c r="I889" s="2" t="n">
        <x:v>0</x:v>
      </x:c>
      <x:c r="J889" s="2" t="n">
        <x:v>2.5</x:v>
      </x:c>
      <x:c r="K889" s="2" t="n">
        <x:v>12</x:v>
      </x:c>
      <x:c r="L889" s="2" t="str">
        <x:v>R14 tervezői kiosztás; tényleges laphoz és csavarhoz próbafúrás</x:v>
      </x:c>
    </x:row>
    <x:row r="890" ht="36" customHeight="1">
      <x:c r="A890" s="2" t="str">
        <x:v>R16H0885</x:v>
      </x:c>
      <x:c r="B890" s="2" t="str">
        <x:v>KI16-M6-BAT-07</x:v>
      </x:c>
      <x:c r="C890" s="2" t="str">
        <x:v>LEC_OLDAL / R14-J083</x:v>
      </x:c>
      <x:c r="D890" s="2" t="n">
        <x:v>22</x:v>
      </x:c>
      <x:c r="E890" s="2" t="n">
        <x:v>9</x:v>
      </x:c>
      <x:c r="F890" s="2" t="n">
        <x:v>0</x:v>
      </x:c>
      <x:c r="G890" s="2" t="n">
        <x:v>0</x:v>
      </x:c>
      <x:c r="H890" s="2" t="n">
        <x:v>0</x:v>
      </x:c>
      <x:c r="I890" s="2" t="n">
        <x:v>-1</x:v>
      </x:c>
      <x:c r="J890" s="2" t="n">
        <x:v>4</x:v>
      </x:c>
      <x:c r="K890" s="2" t="n">
        <x:v>18</x:v>
      </x:c>
      <x:c r="L890" s="2" t="str">
        <x:v>R14 tervezői kiosztás; tényleges laphoz és csavarhoz próbafúrás</x:v>
      </x:c>
    </x:row>
    <x:row r="891" ht="36" customHeight="1">
      <x:c r="A891" s="2" t="str">
        <x:v>R16H0886</x:v>
      </x:c>
      <x:c r="B891" s="2" t="str">
        <x:v>KI16-M6-BAT-07</x:v>
      </x:c>
      <x:c r="C891" s="2" t="str">
        <x:v>HATLAP_LEC / R14-J084</x:v>
      </x:c>
      <x:c r="D891" s="2" t="n">
        <x:v>37</x:v>
      </x:c>
      <x:c r="E891" s="2" t="n">
        <x:v>18</x:v>
      </x:c>
      <x:c r="F891" s="2" t="n">
        <x:v>-9</x:v>
      </x:c>
      <x:c r="G891" s="2" t="n">
        <x:v>0</x:v>
      </x:c>
      <x:c r="H891" s="2" t="n">
        <x:v>-1</x:v>
      </x:c>
      <x:c r="I891" s="2" t="n">
        <x:v>0</x:v>
      </x:c>
      <x:c r="J891" s="2" t="n">
        <x:v>2.5</x:v>
      </x:c>
      <x:c r="K891" s="2" t="n">
        <x:v>12</x:v>
      </x:c>
      <x:c r="L891" s="2" t="str">
        <x:v>R14 tervezői kiosztás; tényleges laphoz és csavarhoz próbafúrás</x:v>
      </x:c>
    </x:row>
    <x:row r="892" ht="36" customHeight="1">
      <x:c r="A892" s="2" t="str">
        <x:v>R16H0887</x:v>
      </x:c>
      <x:c r="B892" s="2" t="str">
        <x:v>KI16-M6-BAT-07</x:v>
      </x:c>
      <x:c r="C892" s="2" t="str">
        <x:v>LEC_OLDAL / R14-J085</x:v>
      </x:c>
      <x:c r="D892" s="2" t="n">
        <x:v>102</x:v>
      </x:c>
      <x:c r="E892" s="2" t="n">
        <x:v>9</x:v>
      </x:c>
      <x:c r="F892" s="2" t="n">
        <x:v>0</x:v>
      </x:c>
      <x:c r="G892" s="2" t="n">
        <x:v>0</x:v>
      </x:c>
      <x:c r="H892" s="2" t="n">
        <x:v>0</x:v>
      </x:c>
      <x:c r="I892" s="2" t="n">
        <x:v>-1</x:v>
      </x:c>
      <x:c r="J892" s="2" t="n">
        <x:v>4</x:v>
      </x:c>
      <x:c r="K892" s="2" t="n">
        <x:v>18</x:v>
      </x:c>
      <x:c r="L892" s="2" t="str">
        <x:v>R14 tervezői kiosztás; tényleges laphoz és csavarhoz próbafúrás</x:v>
      </x:c>
    </x:row>
    <x:row r="893" ht="36" customHeight="1">
      <x:c r="A893" s="2" t="str">
        <x:v>R16H0888</x:v>
      </x:c>
      <x:c r="B893" s="2" t="str">
        <x:v>KI16-M6-BAT-07</x:v>
      </x:c>
      <x:c r="C893" s="2" t="str">
        <x:v>HATLAP_LEC / R14-J086</x:v>
      </x:c>
      <x:c r="D893" s="2" t="n">
        <x:v>117</x:v>
      </x:c>
      <x:c r="E893" s="2" t="n">
        <x:v>18</x:v>
      </x:c>
      <x:c r="F893" s="2" t="n">
        <x:v>-9</x:v>
      </x:c>
      <x:c r="G893" s="2" t="n">
        <x:v>0</x:v>
      </x:c>
      <x:c r="H893" s="2" t="n">
        <x:v>-1</x:v>
      </x:c>
      <x:c r="I893" s="2" t="n">
        <x:v>0</x:v>
      </x:c>
      <x:c r="J893" s="2" t="n">
        <x:v>2.5</x:v>
      </x:c>
      <x:c r="K893" s="2" t="n">
        <x:v>12</x:v>
      </x:c>
      <x:c r="L893" s="2" t="str">
        <x:v>R14 tervezői kiosztás; tényleges laphoz és csavarhoz próbafúrás</x:v>
      </x:c>
    </x:row>
    <x:row r="894" ht="36" customHeight="1">
      <x:c r="A894" s="2" t="str">
        <x:v>R16H0889</x:v>
      </x:c>
      <x:c r="B894" s="2" t="str">
        <x:v>KI16-M6-BAT-07</x:v>
      </x:c>
      <x:c r="C894" s="2" t="str">
        <x:v>LEC_OLDAL / R14-J087</x:v>
      </x:c>
      <x:c r="D894" s="2" t="n">
        <x:v>182</x:v>
      </x:c>
      <x:c r="E894" s="2" t="n">
        <x:v>9</x:v>
      </x:c>
      <x:c r="F894" s="2" t="n">
        <x:v>0</x:v>
      </x:c>
      <x:c r="G894" s="2" t="n">
        <x:v>0</x:v>
      </x:c>
      <x:c r="H894" s="2" t="n">
        <x:v>0</x:v>
      </x:c>
      <x:c r="I894" s="2" t="n">
        <x:v>-1</x:v>
      </x:c>
      <x:c r="J894" s="2" t="n">
        <x:v>4</x:v>
      </x:c>
      <x:c r="K894" s="2" t="n">
        <x:v>18</x:v>
      </x:c>
      <x:c r="L894" s="2" t="str">
        <x:v>R14 tervezői kiosztás; tényleges laphoz és csavarhoz próbafúrás</x:v>
      </x:c>
    </x:row>
    <x:row r="895" ht="36" customHeight="1">
      <x:c r="A895" s="2" t="str">
        <x:v>R16H0890</x:v>
      </x:c>
      <x:c r="B895" s="2" t="str">
        <x:v>KI16-M6-BAT-07</x:v>
      </x:c>
      <x:c r="C895" s="2" t="str">
        <x:v>HATLAP_LEC / R14-J088</x:v>
      </x:c>
      <x:c r="D895" s="2" t="n">
        <x:v>197</x:v>
      </x:c>
      <x:c r="E895" s="2" t="n">
        <x:v>18</x:v>
      </x:c>
      <x:c r="F895" s="2" t="n">
        <x:v>-9</x:v>
      </x:c>
      <x:c r="G895" s="2" t="n">
        <x:v>0</x:v>
      </x:c>
      <x:c r="H895" s="2" t="n">
        <x:v>-1</x:v>
      </x:c>
      <x:c r="I895" s="2" t="n">
        <x:v>0</x:v>
      </x:c>
      <x:c r="J895" s="2" t="n">
        <x:v>2.5</x:v>
      </x:c>
      <x:c r="K895" s="2" t="n">
        <x:v>12</x:v>
      </x:c>
      <x:c r="L895" s="2" t="str">
        <x:v>R14 tervezői kiosztás; tényleges laphoz és csavarhoz próbafúrás</x:v>
      </x:c>
    </x:row>
    <x:row r="896" ht="36" customHeight="1">
      <x:c r="A896" s="2" t="str">
        <x:v>R16H0891</x:v>
      </x:c>
      <x:c r="B896" s="2" t="str">
        <x:v>KI16-M6-RAIL-08</x:v>
      </x:c>
      <x:c r="C896" s="2" t="str">
        <x:v>MEREVITO_CSAP / R14-J121</x:v>
      </x:c>
      <x:c r="D896" s="2" t="n">
        <x:v>414</x:v>
      </x:c>
      <x:c r="E896" s="2" t="n">
        <x:v>20</x:v>
      </x:c>
      <x:c r="F896" s="2" t="n">
        <x:v>-9</x:v>
      </x:c>
      <x:c r="G896" s="2" t="n">
        <x:v>-1</x:v>
      </x:c>
      <x:c r="H896" s="2" t="n">
        <x:v>0</x:v>
      </x:c>
      <x:c r="I896" s="2" t="n">
        <x:v>0</x:v>
      </x:c>
      <x:c r="J896" s="2" t="n">
        <x:v>8</x:v>
      </x:c>
      <x:c r="K896" s="2" t="n">
        <x:v>22</x:v>
      </x:c>
      <x:c r="L896" s="2" t="str">
        <x:v>R14 Ø8x30 bükk csap, 22+12 mélység; ragasztott próbakötés</x:v>
      </x:c>
    </x:row>
    <x:row r="897" ht="36" customHeight="1">
      <x:c r="A897" s="2" t="str">
        <x:v>R16H0892</x:v>
      </x:c>
      <x:c r="B897" s="2" t="str">
        <x:v>KI16-M6-RAIL-08</x:v>
      </x:c>
      <x:c r="C897" s="2" t="str">
        <x:v>MEREVITO_CSAP / R14-J122</x:v>
      </x:c>
      <x:c r="D897" s="2" t="n">
        <x:v>414</x:v>
      </x:c>
      <x:c r="E897" s="2" t="n">
        <x:v>50</x:v>
      </x:c>
      <x:c r="F897" s="2" t="n">
        <x:v>-9</x:v>
      </x:c>
      <x:c r="G897" s="2" t="n">
        <x:v>-1</x:v>
      </x:c>
      <x:c r="H897" s="2" t="n">
        <x:v>0</x:v>
      </x:c>
      <x:c r="I897" s="2" t="n">
        <x:v>0</x:v>
      </x:c>
      <x:c r="J897" s="2" t="n">
        <x:v>8</x:v>
      </x:c>
      <x:c r="K897" s="2" t="n">
        <x:v>22</x:v>
      </x:c>
      <x:c r="L897" s="2" t="str">
        <x:v>R14 Ø8x30 bükk csap, 22+12 mélység; ragasztott próbakötés</x:v>
      </x:c>
    </x:row>
    <x:row r="898" ht="36" customHeight="1">
      <x:c r="A898" s="2" t="str">
        <x:v>R16H0893</x:v>
      </x:c>
      <x:c r="B898" s="2" t="str">
        <x:v>KI16-M6-RAIL-08</x:v>
      </x:c>
      <x:c r="C898" s="2" t="str">
        <x:v>MEREVITO_CSAP / R14-J123</x:v>
      </x:c>
      <x:c r="D898" s="2" t="n">
        <x:v>414</x:v>
      </x:c>
      <x:c r="E898" s="2" t="n">
        <x:v>80</x:v>
      </x:c>
      <x:c r="F898" s="2" t="n">
        <x:v>-9</x:v>
      </x:c>
      <x:c r="G898" s="2" t="n">
        <x:v>-1</x:v>
      </x:c>
      <x:c r="H898" s="2" t="n">
        <x:v>0</x:v>
      </x:c>
      <x:c r="I898" s="2" t="n">
        <x:v>0</x:v>
      </x:c>
      <x:c r="J898" s="2" t="n">
        <x:v>8</x:v>
      </x:c>
      <x:c r="K898" s="2" t="n">
        <x:v>22</x:v>
      </x:c>
      <x:c r="L898" s="2" t="str">
        <x:v>R14 Ø8x30 bükk csap, 22+12 mélység; ragasztott próbakötés</x:v>
      </x:c>
    </x:row>
    <x:row r="899" ht="36" customHeight="1">
      <x:c r="A899" s="2" t="str">
        <x:v>R16H0894</x:v>
      </x:c>
      <x:c r="B899" s="2" t="str">
        <x:v>KI16-M6-RAIL-08</x:v>
      </x:c>
      <x:c r="C899" s="2" t="str">
        <x:v>MEREVITO_CSAP / R14-J124</x:v>
      </x:c>
      <x:c r="D899" s="2" t="n">
        <x:v>0</x:v>
      </x:c>
      <x:c r="E899" s="2" t="n">
        <x:v>20</x:v>
      </x:c>
      <x:c r="F899" s="2" t="n">
        <x:v>-9</x:v>
      </x:c>
      <x:c r="G899" s="2" t="n">
        <x:v>1</x:v>
      </x:c>
      <x:c r="H899" s="2" t="n">
        <x:v>0</x:v>
      </x:c>
      <x:c r="I899" s="2" t="n">
        <x:v>0</x:v>
      </x:c>
      <x:c r="J899" s="2" t="n">
        <x:v>8</x:v>
      </x:c>
      <x:c r="K899" s="2" t="n">
        <x:v>22</x:v>
      </x:c>
      <x:c r="L899" s="2" t="str">
        <x:v>R14 Ø8x30 bükk csap, 22+12 mélység; ragasztott próbakötés</x:v>
      </x:c>
    </x:row>
    <x:row r="900" ht="36" customHeight="1">
      <x:c r="A900" s="2" t="str">
        <x:v>R16H0895</x:v>
      </x:c>
      <x:c r="B900" s="2" t="str">
        <x:v>KI16-M6-RAIL-08</x:v>
      </x:c>
      <x:c r="C900" s="2" t="str">
        <x:v>MEREVITO_CSAP / R14-J125</x:v>
      </x:c>
      <x:c r="D900" s="2" t="n">
        <x:v>0</x:v>
      </x:c>
      <x:c r="E900" s="2" t="n">
        <x:v>50</x:v>
      </x:c>
      <x:c r="F900" s="2" t="n">
        <x:v>-9</x:v>
      </x:c>
      <x:c r="G900" s="2" t="n">
        <x:v>1</x:v>
      </x:c>
      <x:c r="H900" s="2" t="n">
        <x:v>0</x:v>
      </x:c>
      <x:c r="I900" s="2" t="n">
        <x:v>0</x:v>
      </x:c>
      <x:c r="J900" s="2" t="n">
        <x:v>8</x:v>
      </x:c>
      <x:c r="K900" s="2" t="n">
        <x:v>22</x:v>
      </x:c>
      <x:c r="L900" s="2" t="str">
        <x:v>R14 Ø8x30 bükk csap, 22+12 mélység; ragasztott próbakötés</x:v>
      </x:c>
    </x:row>
    <x:row r="901" ht="36" customHeight="1">
      <x:c r="A901" s="2" t="str">
        <x:v>R16H0896</x:v>
      </x:c>
      <x:c r="B901" s="2" t="str">
        <x:v>KI16-M6-RAIL-08</x:v>
      </x:c>
      <x:c r="C901" s="2" t="str">
        <x:v>MEREVITO_CSAP / R14-J126</x:v>
      </x:c>
      <x:c r="D901" s="2" t="n">
        <x:v>0</x:v>
      </x:c>
      <x:c r="E901" s="2" t="n">
        <x:v>80</x:v>
      </x:c>
      <x:c r="F901" s="2" t="n">
        <x:v>-9</x:v>
      </x:c>
      <x:c r="G901" s="2" t="n">
        <x:v>1</x:v>
      </x:c>
      <x:c r="H901" s="2" t="n">
        <x:v>0</x:v>
      </x:c>
      <x:c r="I901" s="2" t="n">
        <x:v>0</x:v>
      </x:c>
      <x:c r="J901" s="2" t="n">
        <x:v>8</x:v>
      </x:c>
      <x:c r="K901" s="2" t="n">
        <x:v>22</x:v>
      </x:c>
      <x:c r="L901" s="2" t="str">
        <x:v>R14 Ø8x30 bükk csap, 22+12 mélység; ragasztott próbakötés</x:v>
      </x:c>
    </x:row>
    <x:row r="902" ht="36" customHeight="1">
      <x:c r="A902" s="2" t="str">
        <x:v>R16H0897</x:v>
      </x:c>
      <x:c r="B902" s="2" t="str">
        <x:v>KI12-TV02CAP-01</x:v>
      </x:c>
      <x:c r="C902" s="2" t="str">
        <x:v>CSAP J24</x:v>
      </x:c>
      <x:c r="D902" s="2" t="n">
        <x:v>3159</x:v>
      </x:c>
      <x:c r="E902" s="2" t="n">
        <x:v>50</x:v>
      </x:c>
      <x:c r="F902" s="2" t="n">
        <x:v>-18</x:v>
      </x:c>
      <x:c r="G902" s="2" t="n">
        <x:v>0</x:v>
      </x:c>
      <x:c r="H902" s="2" t="n">
        <x:v>0</x:v>
      </x:c>
      <x:c r="I902" s="2" t="n">
        <x:v>1</x:v>
      </x:c>
      <x:c r="J902" s="2" t="n">
        <x:v>8</x:v>
      </x:c>
      <x:c r="K902" s="2" t="n">
        <x:v>12</x:v>
      </x:c>
      <x:c r="L902" s="2" t="str">
        <x:v>R12 J01-J26 / 8x30, 12+22</x:v>
      </x:c>
    </x:row>
    <x:row r="903" ht="36" customHeight="1">
      <x:c r="A903" s="2" t="str">
        <x:v>R16H0898</x:v>
      </x:c>
      <x:c r="B903" s="2" t="str">
        <x:v>KI12-TV02CAP-01</x:v>
      </x:c>
      <x:c r="C903" s="2" t="str">
        <x:v>CSAP J24</x:v>
      </x:c>
      <x:c r="D903" s="2" t="n">
        <x:v>3159</x:v>
      </x:c>
      <x:c r="E903" s="2" t="n">
        <x:v>191</x:v>
      </x:c>
      <x:c r="F903" s="2" t="n">
        <x:v>-18</x:v>
      </x:c>
      <x:c r="G903" s="2" t="n">
        <x:v>0</x:v>
      </x:c>
      <x:c r="H903" s="2" t="n">
        <x:v>0</x:v>
      </x:c>
      <x:c r="I903" s="2" t="n">
        <x:v>1</x:v>
      </x:c>
      <x:c r="J903" s="2" t="n">
        <x:v>8</x:v>
      </x:c>
      <x:c r="K903" s="2" t="n">
        <x:v>12</x:v>
      </x:c>
      <x:c r="L903" s="2" t="str">
        <x:v>R12 J01-J26 / 8x30, 12+22</x:v>
      </x:c>
    </x:row>
    <x:row r="904" ht="36" customHeight="1">
      <x:c r="A904" s="2" t="str">
        <x:v>R16H0899</x:v>
      </x:c>
      <x:c r="B904" s="2" t="str">
        <x:v>KI12-TV02CAP-01</x:v>
      </x:c>
      <x:c r="C904" s="2" t="str">
        <x:v>CSAP J24</x:v>
      </x:c>
      <x:c r="D904" s="2" t="n">
        <x:v>3159</x:v>
      </x:c>
      <x:c r="E904" s="2" t="n">
        <x:v>332</x:v>
      </x:c>
      <x:c r="F904" s="2" t="n">
        <x:v>-18</x:v>
      </x:c>
      <x:c r="G904" s="2" t="n">
        <x:v>0</x:v>
      </x:c>
      <x:c r="H904" s="2" t="n">
        <x:v>0</x:v>
      </x:c>
      <x:c r="I904" s="2" t="n">
        <x:v>1</x:v>
      </x:c>
      <x:c r="J904" s="2" t="n">
        <x:v>8</x:v>
      </x:c>
      <x:c r="K904" s="2" t="n">
        <x:v>12</x:v>
      </x:c>
      <x:c r="L904" s="2" t="str">
        <x:v>R12 J01-J26 / 8x30, 12+22</x:v>
      </x:c>
    </x:row>
    <x:row r="905" ht="36" customHeight="1">
      <x:c r="A905" s="2" t="str">
        <x:v>R16H0900</x:v>
      </x:c>
      <x:c r="B905" s="2" t="str">
        <x:v>KI12-TV02CAP-01</x:v>
      </x:c>
      <x:c r="C905" s="2" t="str">
        <x:v>CSAP J26</x:v>
      </x:c>
      <x:c r="D905" s="2" t="n">
        <x:v>3591</x:v>
      </x:c>
      <x:c r="E905" s="2" t="n">
        <x:v>50</x:v>
      </x:c>
      <x:c r="F905" s="2" t="n">
        <x:v>-18</x:v>
      </x:c>
      <x:c r="G905" s="2" t="n">
        <x:v>0</x:v>
      </x:c>
      <x:c r="H905" s="2" t="n">
        <x:v>0</x:v>
      </x:c>
      <x:c r="I905" s="2" t="n">
        <x:v>1</x:v>
      </x:c>
      <x:c r="J905" s="2" t="n">
        <x:v>8</x:v>
      </x:c>
      <x:c r="K905" s="2" t="n">
        <x:v>12</x:v>
      </x:c>
      <x:c r="L905" s="2" t="str">
        <x:v>R12 J01-J26 / 8x30, 12+22</x:v>
      </x:c>
    </x:row>
    <x:row r="906" ht="36" customHeight="1">
      <x:c r="A906" s="2" t="str">
        <x:v>R16H0901</x:v>
      </x:c>
      <x:c r="B906" s="2" t="str">
        <x:v>KI12-TV02CAP-01</x:v>
      </x:c>
      <x:c r="C906" s="2" t="str">
        <x:v>CSAP J26</x:v>
      </x:c>
      <x:c r="D906" s="2" t="n">
        <x:v>3591</x:v>
      </x:c>
      <x:c r="E906" s="2" t="n">
        <x:v>191</x:v>
      </x:c>
      <x:c r="F906" s="2" t="n">
        <x:v>-18</x:v>
      </x:c>
      <x:c r="G906" s="2" t="n">
        <x:v>0</x:v>
      </x:c>
      <x:c r="H906" s="2" t="n">
        <x:v>0</x:v>
      </x:c>
      <x:c r="I906" s="2" t="n">
        <x:v>1</x:v>
      </x:c>
      <x:c r="J906" s="2" t="n">
        <x:v>8</x:v>
      </x:c>
      <x:c r="K906" s="2" t="n">
        <x:v>12</x:v>
      </x:c>
      <x:c r="L906" s="2" t="str">
        <x:v>R12 J01-J26 / 8x30, 12+22</x:v>
      </x:c>
    </x:row>
    <x:row r="907" ht="36" customHeight="1">
      <x:c r="A907" s="2" t="str">
        <x:v>R16H0902</x:v>
      </x:c>
      <x:c r="B907" s="2" t="str">
        <x:v>KI12-TV02CAP-01</x:v>
      </x:c>
      <x:c r="C907" s="2" t="str">
        <x:v>CSAP J26</x:v>
      </x:c>
      <x:c r="D907" s="2" t="n">
        <x:v>3591</x:v>
      </x:c>
      <x:c r="E907" s="2" t="n">
        <x:v>332</x:v>
      </x:c>
      <x:c r="F907" s="2" t="n">
        <x:v>-18</x:v>
      </x:c>
      <x:c r="G907" s="2" t="n">
        <x:v>0</x:v>
      </x:c>
      <x:c r="H907" s="2" t="n">
        <x:v>0</x:v>
      </x:c>
      <x:c r="I907" s="2" t="n">
        <x:v>1</x:v>
      </x:c>
      <x:c r="J907" s="2" t="n">
        <x:v>8</x:v>
      </x:c>
      <x:c r="K907" s="2" t="n">
        <x:v>12</x:v>
      </x:c>
      <x:c r="L907" s="2" t="str">
        <x:v>R12 J01-J26 / 8x30, 12+22</x:v>
      </x:c>
    </x:row>
    <x:row r="908" ht="36" customHeight="1">
      <x:c r="A908" s="2" t="str">
        <x:v>R16H0903</x:v>
      </x:c>
      <x:c r="B908" s="2" t="str">
        <x:v>KI16-D6-L</x:v>
      </x:c>
      <x:c r="C908" s="2" t="str">
        <x:v>FIÓK_FENEK_ATMENO</x:v>
      </x:c>
      <x:c r="D908" s="2" t="n">
        <x:v>20.5</x:v>
      </x:c>
      <x:c r="E908" s="2" t="n">
        <x:v>50</x:v>
      </x:c>
      <x:c r="F908" s="2" t="n">
        <x:v>0</x:v>
      </x:c>
      <x:c r="G908" s="2" t="n">
        <x:v>0</x:v>
      </x:c>
      <x:c r="H908" s="2" t="n">
        <x:v>0</x:v>
      </x:c>
      <x:c r="I908" s="2" t="n">
        <x:v>-1</x:v>
      </x:c>
      <x:c r="J908" s="2" t="n">
        <x:v>4.5</x:v>
      </x:c>
      <x:c r="K908" s="2" t="n">
        <x:v>15</x:v>
      </x:c>
      <x:c r="L908" s="2" t="str">
        <x:v>R16 szerkezeti terv; anyaghoz illesztett próbafúrás kell</x:v>
      </x:c>
    </x:row>
    <x:row r="909" ht="36" customHeight="1">
      <x:c r="A909" s="2" t="str">
        <x:v>R16H0904</x:v>
      </x:c>
      <x:c r="B909" s="2" t="str">
        <x:v>KI16-D6-B</x:v>
      </x:c>
      <x:c r="C909" s="2" t="str">
        <x:v>FIÓK_FENEK_PILOT</x:v>
      </x:c>
      <x:c r="D909" s="2" t="n">
        <x:v>0</x:v>
      </x:c>
      <x:c r="E909" s="2" t="n">
        <x:v>50</x:v>
      </x:c>
      <x:c r="F909" s="2" t="n">
        <x:v>-7.5</x:v>
      </x:c>
      <x:c r="G909" s="2" t="n">
        <x:v>1</x:v>
      </x:c>
      <x:c r="H909" s="2" t="n">
        <x:v>0</x:v>
      </x:c>
      <x:c r="I909" s="2" t="n">
        <x:v>0</x:v>
      </x:c>
      <x:c r="J909" s="2" t="n">
        <x:v>2.5</x:v>
      </x:c>
      <x:c r="K909" s="2" t="n">
        <x:v>20</x:v>
      </x:c>
      <x:c r="L909" s="2" t="str">
        <x:v>R16 szerkezeti terv; anyaghoz illesztett próbafúrás kell</x:v>
      </x:c>
    </x:row>
    <x:row r="910" ht="36" customHeight="1">
      <x:c r="A910" s="2" t="str">
        <x:v>R16H0905</x:v>
      </x:c>
      <x:c r="B910" s="2" t="str">
        <x:v>KI16-D6-L</x:v>
      </x:c>
      <x:c r="C910" s="2" t="str">
        <x:v>FIÓK_FENEK_ATMENO</x:v>
      </x:c>
      <x:c r="D910" s="2" t="n">
        <x:v>20.5</x:v>
      </x:c>
      <x:c r="E910" s="2" t="n">
        <x:v>145</x:v>
      </x:c>
      <x:c r="F910" s="2" t="n">
        <x:v>0</x:v>
      </x:c>
      <x:c r="G910" s="2" t="n">
        <x:v>0</x:v>
      </x:c>
      <x:c r="H910" s="2" t="n">
        <x:v>0</x:v>
      </x:c>
      <x:c r="I910" s="2" t="n">
        <x:v>-1</x:v>
      </x:c>
      <x:c r="J910" s="2" t="n">
        <x:v>4.5</x:v>
      </x:c>
      <x:c r="K910" s="2" t="n">
        <x:v>15</x:v>
      </x:c>
      <x:c r="L910" s="2" t="str">
        <x:v>R16 szerkezeti terv; anyaghoz illesztett próbafúrás kell</x:v>
      </x:c>
    </x:row>
    <x:row r="911" ht="36" customHeight="1">
      <x:c r="A911" s="2" t="str">
        <x:v>R16H0906</x:v>
      </x:c>
      <x:c r="B911" s="2" t="str">
        <x:v>KI16-D6-B</x:v>
      </x:c>
      <x:c r="C911" s="2" t="str">
        <x:v>FIÓK_FENEK_PILOT</x:v>
      </x:c>
      <x:c r="D911" s="2" t="n">
        <x:v>0</x:v>
      </x:c>
      <x:c r="E911" s="2" t="n">
        <x:v>145</x:v>
      </x:c>
      <x:c r="F911" s="2" t="n">
        <x:v>-7.5</x:v>
      </x:c>
      <x:c r="G911" s="2" t="n">
        <x:v>1</x:v>
      </x:c>
      <x:c r="H911" s="2" t="n">
        <x:v>0</x:v>
      </x:c>
      <x:c r="I911" s="2" t="n">
        <x:v>0</x:v>
      </x:c>
      <x:c r="J911" s="2" t="n">
        <x:v>2.5</x:v>
      </x:c>
      <x:c r="K911" s="2" t="n">
        <x:v>20</x:v>
      </x:c>
      <x:c r="L911" s="2" t="str">
        <x:v>R16 szerkezeti terv; anyaghoz illesztett próbafúrás kell</x:v>
      </x:c>
    </x:row>
    <x:row r="912" ht="36" customHeight="1">
      <x:c r="A912" s="2" t="str">
        <x:v>R16H0907</x:v>
      </x:c>
      <x:c r="B912" s="2" t="str">
        <x:v>KI16-D6-L</x:v>
      </x:c>
      <x:c r="C912" s="2" t="str">
        <x:v>FIÓK_FENEK_ATMENO</x:v>
      </x:c>
      <x:c r="D912" s="2" t="n">
        <x:v>20.5</x:v>
      </x:c>
      <x:c r="E912" s="2" t="n">
        <x:v>240</x:v>
      </x:c>
      <x:c r="F912" s="2" t="n">
        <x:v>0</x:v>
      </x:c>
      <x:c r="G912" s="2" t="n">
        <x:v>0</x:v>
      </x:c>
      <x:c r="H912" s="2" t="n">
        <x:v>0</x:v>
      </x:c>
      <x:c r="I912" s="2" t="n">
        <x:v>-1</x:v>
      </x:c>
      <x:c r="J912" s="2" t="n">
        <x:v>4.5</x:v>
      </x:c>
      <x:c r="K912" s="2" t="n">
        <x:v>15</x:v>
      </x:c>
      <x:c r="L912" s="2" t="str">
        <x:v>R16 szerkezeti terv; anyaghoz illesztett próbafúrás kell</x:v>
      </x:c>
    </x:row>
    <x:row r="913" ht="36" customHeight="1">
      <x:c r="A913" s="2" t="str">
        <x:v>R16H0908</x:v>
      </x:c>
      <x:c r="B913" s="2" t="str">
        <x:v>KI16-D6-B</x:v>
      </x:c>
      <x:c r="C913" s="2" t="str">
        <x:v>FIÓK_FENEK_PILOT</x:v>
      </x:c>
      <x:c r="D913" s="2" t="n">
        <x:v>0</x:v>
      </x:c>
      <x:c r="E913" s="2" t="n">
        <x:v>240</x:v>
      </x:c>
      <x:c r="F913" s="2" t="n">
        <x:v>-7.5</x:v>
      </x:c>
      <x:c r="G913" s="2" t="n">
        <x:v>1</x:v>
      </x:c>
      <x:c r="H913" s="2" t="n">
        <x:v>0</x:v>
      </x:c>
      <x:c r="I913" s="2" t="n">
        <x:v>0</x:v>
      </x:c>
      <x:c r="J913" s="2" t="n">
        <x:v>2.5</x:v>
      </x:c>
      <x:c r="K913" s="2" t="n">
        <x:v>20</x:v>
      </x:c>
      <x:c r="L913" s="2" t="str">
        <x:v>R16 szerkezeti terv; anyaghoz illesztett próbafúrás kell</x:v>
      </x:c>
    </x:row>
    <x:row r="914" ht="36" customHeight="1">
      <x:c r="A914" s="2" t="str">
        <x:v>R16H0909</x:v>
      </x:c>
      <x:c r="B914" s="2" t="str">
        <x:v>KI16-D6-L</x:v>
      </x:c>
      <x:c r="C914" s="2" t="str">
        <x:v>FIÓK_ELO_HAT_ATMENO</x:v>
      </x:c>
      <x:c r="D914" s="2" t="n">
        <x:v>73</x:v>
      </x:c>
      <x:c r="E914" s="2" t="n">
        <x:v>7.5</x:v>
      </x:c>
      <x:c r="F914" s="2" t="n">
        <x:v>0</x:v>
      </x:c>
      <x:c r="G914" s="2" t="n">
        <x:v>0</x:v>
      </x:c>
      <x:c r="H914" s="2" t="n">
        <x:v>0</x:v>
      </x:c>
      <x:c r="I914" s="2" t="n">
        <x:v>-1</x:v>
      </x:c>
      <x:c r="J914" s="2" t="n">
        <x:v>4.5</x:v>
      </x:c>
      <x:c r="K914" s="2" t="n">
        <x:v>15</x:v>
      </x:c>
      <x:c r="L914" s="2" t="str">
        <x:v>R16 szerkezeti terv; anyaghoz illesztett próbafúrás kell</x:v>
      </x:c>
    </x:row>
    <x:row r="915" ht="36" customHeight="1">
      <x:c r="A915" s="2" t="str">
        <x:v>R16H0910</x:v>
      </x:c>
      <x:c r="B915" s="2" t="str">
        <x:v>KI16-D6-F</x:v>
      </x:c>
      <x:c r="C915" s="2" t="str">
        <x:v>FIÓK_ELO_HAT_PILOT</x:v>
      </x:c>
      <x:c r="D915" s="2" t="n">
        <x:v>372</x:v>
      </x:c>
      <x:c r="E915" s="2" t="n">
        <x:v>45</x:v>
      </x:c>
      <x:c r="F915" s="2" t="n">
        <x:v>-7.5</x:v>
      </x:c>
      <x:c r="G915" s="2" t="n">
        <x:v>-1</x:v>
      </x:c>
      <x:c r="H915" s="2" t="n">
        <x:v>0</x:v>
      </x:c>
      <x:c r="I915" s="2" t="n">
        <x:v>0</x:v>
      </x:c>
      <x:c r="J915" s="2" t="n">
        <x:v>2.5</x:v>
      </x:c>
      <x:c r="K915" s="2" t="n">
        <x:v>20</x:v>
      </x:c>
      <x:c r="L915" s="2" t="str">
        <x:v>R16 szerkezeti terv; anyaghoz illesztett próbafúrás kell</x:v>
      </x:c>
    </x:row>
    <x:row r="916" ht="36" customHeight="1">
      <x:c r="A916" s="2" t="str">
        <x:v>R16H0911</x:v>
      </x:c>
      <x:c r="B916" s="2" t="str">
        <x:v>KI16-D6-L</x:v>
      </x:c>
      <x:c r="C916" s="2" t="str">
        <x:v>FIÓK_ELO_HAT_ATMENO</x:v>
      </x:c>
      <x:c r="D916" s="2" t="n">
        <x:v>203</x:v>
      </x:c>
      <x:c r="E916" s="2" t="n">
        <x:v>7.5</x:v>
      </x:c>
      <x:c r="F916" s="2" t="n">
        <x:v>0</x:v>
      </x:c>
      <x:c r="G916" s="2" t="n">
        <x:v>0</x:v>
      </x:c>
      <x:c r="H916" s="2" t="n">
        <x:v>0</x:v>
      </x:c>
      <x:c r="I916" s="2" t="n">
        <x:v>-1</x:v>
      </x:c>
      <x:c r="J916" s="2" t="n">
        <x:v>4.5</x:v>
      </x:c>
      <x:c r="K916" s="2" t="n">
        <x:v>15</x:v>
      </x:c>
      <x:c r="L916" s="2" t="str">
        <x:v>R16 szerkezeti terv; anyaghoz illesztett próbafúrás kell</x:v>
      </x:c>
    </x:row>
    <x:row r="917" ht="36" customHeight="1">
      <x:c r="A917" s="2" t="str">
        <x:v>R16H0912</x:v>
      </x:c>
      <x:c r="B917" s="2" t="str">
        <x:v>KI16-D6-F</x:v>
      </x:c>
      <x:c r="C917" s="2" t="str">
        <x:v>FIÓK_ELO_HAT_PILOT</x:v>
      </x:c>
      <x:c r="D917" s="2" t="n">
        <x:v>372</x:v>
      </x:c>
      <x:c r="E917" s="2" t="n">
        <x:v>175</x:v>
      </x:c>
      <x:c r="F917" s="2" t="n">
        <x:v>-7.5</x:v>
      </x:c>
      <x:c r="G917" s="2" t="n">
        <x:v>-1</x:v>
      </x:c>
      <x:c r="H917" s="2" t="n">
        <x:v>0</x:v>
      </x:c>
      <x:c r="I917" s="2" t="n">
        <x:v>0</x:v>
      </x:c>
      <x:c r="J917" s="2" t="n">
        <x:v>2.5</x:v>
      </x:c>
      <x:c r="K917" s="2" t="n">
        <x:v>20</x:v>
      </x:c>
      <x:c r="L917" s="2" t="str">
        <x:v>R16 szerkezeti terv; anyaghoz illesztett próbafúrás kell</x:v>
      </x:c>
    </x:row>
    <x:row r="918" ht="36" customHeight="1">
      <x:c r="A918" s="2" t="str">
        <x:v>R16H0913</x:v>
      </x:c>
      <x:c r="B918" s="2" t="str">
        <x:v>KI16-D6-L</x:v>
      </x:c>
      <x:c r="C918" s="2" t="str">
        <x:v>FIÓK_ELO_HAT_ATMENO</x:v>
      </x:c>
      <x:c r="D918" s="2" t="n">
        <x:v>73</x:v>
      </x:c>
      <x:c r="E918" s="2" t="n">
        <x:v>282.5</x:v>
      </x:c>
      <x:c r="F918" s="2" t="n">
        <x:v>0</x:v>
      </x:c>
      <x:c r="G918" s="2" t="n">
        <x:v>0</x:v>
      </x:c>
      <x:c r="H918" s="2" t="n">
        <x:v>0</x:v>
      </x:c>
      <x:c r="I918" s="2" t="n">
        <x:v>-1</x:v>
      </x:c>
      <x:c r="J918" s="2" t="n">
        <x:v>4.5</x:v>
      </x:c>
      <x:c r="K918" s="2" t="n">
        <x:v>15</x:v>
      </x:c>
      <x:c r="L918" s="2" t="str">
        <x:v>R16 szerkezeti terv; anyaghoz illesztett próbafúrás kell</x:v>
      </x:c>
    </x:row>
    <x:row r="919" ht="36" customHeight="1">
      <x:c r="A919" s="2" t="str">
        <x:v>R16H0914</x:v>
      </x:c>
      <x:c r="B919" s="2" t="str">
        <x:v>KI16-D6-H</x:v>
      </x:c>
      <x:c r="C919" s="2" t="str">
        <x:v>FIÓK_ELO_HAT_PILOT</x:v>
      </x:c>
      <x:c r="D919" s="2" t="n">
        <x:v>372</x:v>
      </x:c>
      <x:c r="E919" s="2" t="n">
        <x:v>45</x:v>
      </x:c>
      <x:c r="F919" s="2" t="n">
        <x:v>-7.5</x:v>
      </x:c>
      <x:c r="G919" s="2" t="n">
        <x:v>-1</x:v>
      </x:c>
      <x:c r="H919" s="2" t="n">
        <x:v>0</x:v>
      </x:c>
      <x:c r="I919" s="2" t="n">
        <x:v>0</x:v>
      </x:c>
      <x:c r="J919" s="2" t="n">
        <x:v>2.5</x:v>
      </x:c>
      <x:c r="K919" s="2" t="n">
        <x:v>20</x:v>
      </x:c>
      <x:c r="L919" s="2" t="str">
        <x:v>R16 szerkezeti terv; anyaghoz illesztett próbafúrás kell</x:v>
      </x:c>
    </x:row>
    <x:row r="920" ht="36" customHeight="1">
      <x:c r="A920" s="2" t="str">
        <x:v>R16H0915</x:v>
      </x:c>
      <x:c r="B920" s="2" t="str">
        <x:v>KI16-D6-L</x:v>
      </x:c>
      <x:c r="C920" s="2" t="str">
        <x:v>FIÓK_ELO_HAT_ATMENO</x:v>
      </x:c>
      <x:c r="D920" s="2" t="n">
        <x:v>203</x:v>
      </x:c>
      <x:c r="E920" s="2" t="n">
        <x:v>282.5</x:v>
      </x:c>
      <x:c r="F920" s="2" t="n">
        <x:v>0</x:v>
      </x:c>
      <x:c r="G920" s="2" t="n">
        <x:v>0</x:v>
      </x:c>
      <x:c r="H920" s="2" t="n">
        <x:v>0</x:v>
      </x:c>
      <x:c r="I920" s="2" t="n">
        <x:v>-1</x:v>
      </x:c>
      <x:c r="J920" s="2" t="n">
        <x:v>4.5</x:v>
      </x:c>
      <x:c r="K920" s="2" t="n">
        <x:v>15</x:v>
      </x:c>
      <x:c r="L920" s="2" t="str">
        <x:v>R16 szerkezeti terv; anyaghoz illesztett próbafúrás kell</x:v>
      </x:c>
    </x:row>
    <x:row r="921" ht="36" customHeight="1">
      <x:c r="A921" s="2" t="str">
        <x:v>R16H0916</x:v>
      </x:c>
      <x:c r="B921" s="2" t="str">
        <x:v>KI16-D6-H</x:v>
      </x:c>
      <x:c r="C921" s="2" t="str">
        <x:v>FIÓK_ELO_HAT_PILOT</x:v>
      </x:c>
      <x:c r="D921" s="2" t="n">
        <x:v>372</x:v>
      </x:c>
      <x:c r="E921" s="2" t="n">
        <x:v>175</x:v>
      </x:c>
      <x:c r="F921" s="2" t="n">
        <x:v>-7.5</x:v>
      </x:c>
      <x:c r="G921" s="2" t="n">
        <x:v>-1</x:v>
      </x:c>
      <x:c r="H921" s="2" t="n">
        <x:v>0</x:v>
      </x:c>
      <x:c r="I921" s="2" t="n">
        <x:v>0</x:v>
      </x:c>
      <x:c r="J921" s="2" t="n">
        <x:v>2.5</x:v>
      </x:c>
      <x:c r="K921" s="2" t="n">
        <x:v>20</x:v>
      </x:c>
      <x:c r="L921" s="2" t="str">
        <x:v>R16 szerkezeti terv; anyaghoz illesztett próbafúrás kell</x:v>
      </x:c>
    </x:row>
    <x:row r="922" ht="36" customHeight="1">
      <x:c r="A922" s="2" t="str">
        <x:v>R16H0917</x:v>
      </x:c>
      <x:c r="B922" s="2" t="str">
        <x:v>KI16-D6-R</x:v>
      </x:c>
      <x:c r="C922" s="2" t="str">
        <x:v>FIÓK_FENEK_ATMENO</x:v>
      </x:c>
      <x:c r="D922" s="2" t="n">
        <x:v>20.5</x:v>
      </x:c>
      <x:c r="E922" s="2" t="n">
        <x:v>50</x:v>
      </x:c>
      <x:c r="F922" s="2" t="n">
        <x:v>-15</x:v>
      </x:c>
      <x:c r="G922" s="2" t="n">
        <x:v>0</x:v>
      </x:c>
      <x:c r="H922" s="2" t="n">
        <x:v>0</x:v>
      </x:c>
      <x:c r="I922" s="2" t="n">
        <x:v>1</x:v>
      </x:c>
      <x:c r="J922" s="2" t="n">
        <x:v>4.5</x:v>
      </x:c>
      <x:c r="K922" s="2" t="n">
        <x:v>15</x:v>
      </x:c>
      <x:c r="L922" s="2" t="str">
        <x:v>R16 szerkezeti terv; anyaghoz illesztett próbafúrás kell</x:v>
      </x:c>
    </x:row>
    <x:row r="923" ht="36" customHeight="1">
      <x:c r="A923" s="2" t="str">
        <x:v>R16H0918</x:v>
      </x:c>
      <x:c r="B923" s="2" t="str">
        <x:v>KI16-D6-B</x:v>
      </x:c>
      <x:c r="C923" s="2" t="str">
        <x:v>FIÓK_FENEK_PILOT</x:v>
      </x:c>
      <x:c r="D923" s="2" t="n">
        <x:v>372</x:v>
      </x:c>
      <x:c r="E923" s="2" t="n">
        <x:v>50</x:v>
      </x:c>
      <x:c r="F923" s="2" t="n">
        <x:v>-7.5</x:v>
      </x:c>
      <x:c r="G923" s="2" t="n">
        <x:v>-1</x:v>
      </x:c>
      <x:c r="H923" s="2" t="n">
        <x:v>0</x:v>
      </x:c>
      <x:c r="I923" s="2" t="n">
        <x:v>0</x:v>
      </x:c>
      <x:c r="J923" s="2" t="n">
        <x:v>2.5</x:v>
      </x:c>
      <x:c r="K923" s="2" t="n">
        <x:v>20</x:v>
      </x:c>
      <x:c r="L923" s="2" t="str">
        <x:v>R16 szerkezeti terv; anyaghoz illesztett próbafúrás kell</x:v>
      </x:c>
    </x:row>
    <x:row r="924" ht="36" customHeight="1">
      <x:c r="A924" s="2" t="str">
        <x:v>R16H0919</x:v>
      </x:c>
      <x:c r="B924" s="2" t="str">
        <x:v>KI16-D6-R</x:v>
      </x:c>
      <x:c r="C924" s="2" t="str">
        <x:v>FIÓK_FENEK_ATMENO</x:v>
      </x:c>
      <x:c r="D924" s="2" t="n">
        <x:v>20.5</x:v>
      </x:c>
      <x:c r="E924" s="2" t="n">
        <x:v>145</x:v>
      </x:c>
      <x:c r="F924" s="2" t="n">
        <x:v>-15</x:v>
      </x:c>
      <x:c r="G924" s="2" t="n">
        <x:v>0</x:v>
      </x:c>
      <x:c r="H924" s="2" t="n">
        <x:v>0</x:v>
      </x:c>
      <x:c r="I924" s="2" t="n">
        <x:v>1</x:v>
      </x:c>
      <x:c r="J924" s="2" t="n">
        <x:v>4.5</x:v>
      </x:c>
      <x:c r="K924" s="2" t="n">
        <x:v>15</x:v>
      </x:c>
      <x:c r="L924" s="2" t="str">
        <x:v>R16 szerkezeti terv; anyaghoz illesztett próbafúrás kell</x:v>
      </x:c>
    </x:row>
    <x:row r="925" ht="36" customHeight="1">
      <x:c r="A925" s="2" t="str">
        <x:v>R16H0920</x:v>
      </x:c>
      <x:c r="B925" s="2" t="str">
        <x:v>KI16-D6-B</x:v>
      </x:c>
      <x:c r="C925" s="2" t="str">
        <x:v>FIÓK_FENEK_PILOT</x:v>
      </x:c>
      <x:c r="D925" s="2" t="n">
        <x:v>372</x:v>
      </x:c>
      <x:c r="E925" s="2" t="n">
        <x:v>145</x:v>
      </x:c>
      <x:c r="F925" s="2" t="n">
        <x:v>-7.5</x:v>
      </x:c>
      <x:c r="G925" s="2" t="n">
        <x:v>-1</x:v>
      </x:c>
      <x:c r="H925" s="2" t="n">
        <x:v>0</x:v>
      </x:c>
      <x:c r="I925" s="2" t="n">
        <x:v>0</x:v>
      </x:c>
      <x:c r="J925" s="2" t="n">
        <x:v>2.5</x:v>
      </x:c>
      <x:c r="K925" s="2" t="n">
        <x:v>20</x:v>
      </x:c>
      <x:c r="L925" s="2" t="str">
        <x:v>R16 szerkezeti terv; anyaghoz illesztett próbafúrás kell</x:v>
      </x:c>
    </x:row>
    <x:row r="926" ht="36" customHeight="1">
      <x:c r="A926" s="2" t="str">
        <x:v>R16H0921</x:v>
      </x:c>
      <x:c r="B926" s="2" t="str">
        <x:v>KI16-D6-R</x:v>
      </x:c>
      <x:c r="C926" s="2" t="str">
        <x:v>FIÓK_FENEK_ATMENO</x:v>
      </x:c>
      <x:c r="D926" s="2" t="n">
        <x:v>20.5</x:v>
      </x:c>
      <x:c r="E926" s="2" t="n">
        <x:v>240</x:v>
      </x:c>
      <x:c r="F926" s="2" t="n">
        <x:v>-15</x:v>
      </x:c>
      <x:c r="G926" s="2" t="n">
        <x:v>0</x:v>
      </x:c>
      <x:c r="H926" s="2" t="n">
        <x:v>0</x:v>
      </x:c>
      <x:c r="I926" s="2" t="n">
        <x:v>1</x:v>
      </x:c>
      <x:c r="J926" s="2" t="n">
        <x:v>4.5</x:v>
      </x:c>
      <x:c r="K926" s="2" t="n">
        <x:v>15</x:v>
      </x:c>
      <x:c r="L926" s="2" t="str">
        <x:v>R16 szerkezeti terv; anyaghoz illesztett próbafúrás kell</x:v>
      </x:c>
    </x:row>
    <x:row r="927" ht="36" customHeight="1">
      <x:c r="A927" s="2" t="str">
        <x:v>R16H0922</x:v>
      </x:c>
      <x:c r="B927" s="2" t="str">
        <x:v>KI16-D6-B</x:v>
      </x:c>
      <x:c r="C927" s="2" t="str">
        <x:v>FIÓK_FENEK_PILOT</x:v>
      </x:c>
      <x:c r="D927" s="2" t="n">
        <x:v>372</x:v>
      </x:c>
      <x:c r="E927" s="2" t="n">
        <x:v>240</x:v>
      </x:c>
      <x:c r="F927" s="2" t="n">
        <x:v>-7.5</x:v>
      </x:c>
      <x:c r="G927" s="2" t="n">
        <x:v>-1</x:v>
      </x:c>
      <x:c r="H927" s="2" t="n">
        <x:v>0</x:v>
      </x:c>
      <x:c r="I927" s="2" t="n">
        <x:v>0</x:v>
      </x:c>
      <x:c r="J927" s="2" t="n">
        <x:v>2.5</x:v>
      </x:c>
      <x:c r="K927" s="2" t="n">
        <x:v>20</x:v>
      </x:c>
      <x:c r="L927" s="2" t="str">
        <x:v>R16 szerkezeti terv; anyaghoz illesztett próbafúrás kell</x:v>
      </x:c>
    </x:row>
    <x:row r="928" ht="36" customHeight="1">
      <x:c r="A928" s="2" t="str">
        <x:v>R16H0923</x:v>
      </x:c>
      <x:c r="B928" s="2" t="str">
        <x:v>KI16-D6-R</x:v>
      </x:c>
      <x:c r="C928" s="2" t="str">
        <x:v>FIÓK_ELO_HAT_ATMENO</x:v>
      </x:c>
      <x:c r="D928" s="2" t="n">
        <x:v>73</x:v>
      </x:c>
      <x:c r="E928" s="2" t="n">
        <x:v>7.5</x:v>
      </x:c>
      <x:c r="F928" s="2" t="n">
        <x:v>-15</x:v>
      </x:c>
      <x:c r="G928" s="2" t="n">
        <x:v>0</x:v>
      </x:c>
      <x:c r="H928" s="2" t="n">
        <x:v>0</x:v>
      </x:c>
      <x:c r="I928" s="2" t="n">
        <x:v>1</x:v>
      </x:c>
      <x:c r="J928" s="2" t="n">
        <x:v>4.5</x:v>
      </x:c>
      <x:c r="K928" s="2" t="n">
        <x:v>15</x:v>
      </x:c>
      <x:c r="L928" s="2" t="str">
        <x:v>R16 szerkezeti terv; anyaghoz illesztett próbafúrás kell</x:v>
      </x:c>
    </x:row>
    <x:row r="929" ht="36" customHeight="1">
      <x:c r="A929" s="2" t="str">
        <x:v>R16H0924</x:v>
      </x:c>
      <x:c r="B929" s="2" t="str">
        <x:v>KI16-D6-F</x:v>
      </x:c>
      <x:c r="C929" s="2" t="str">
        <x:v>FIÓK_ELO_HAT_PILOT</x:v>
      </x:c>
      <x:c r="D929" s="2" t="n">
        <x:v>0</x:v>
      </x:c>
      <x:c r="E929" s="2" t="n">
        <x:v>45</x:v>
      </x:c>
      <x:c r="F929" s="2" t="n">
        <x:v>-7.5</x:v>
      </x:c>
      <x:c r="G929" s="2" t="n">
        <x:v>1</x:v>
      </x:c>
      <x:c r="H929" s="2" t="n">
        <x:v>0</x:v>
      </x:c>
      <x:c r="I929" s="2" t="n">
        <x:v>0</x:v>
      </x:c>
      <x:c r="J929" s="2" t="n">
        <x:v>2.5</x:v>
      </x:c>
      <x:c r="K929" s="2" t="n">
        <x:v>20</x:v>
      </x:c>
      <x:c r="L929" s="2" t="str">
        <x:v>R16 szerkezeti terv; anyaghoz illesztett próbafúrás kell</x:v>
      </x:c>
    </x:row>
    <x:row r="930" ht="36" customHeight="1">
      <x:c r="A930" s="2" t="str">
        <x:v>R16H0925</x:v>
      </x:c>
      <x:c r="B930" s="2" t="str">
        <x:v>KI16-D6-R</x:v>
      </x:c>
      <x:c r="C930" s="2" t="str">
        <x:v>FIÓK_ELO_HAT_ATMENO</x:v>
      </x:c>
      <x:c r="D930" s="2" t="n">
        <x:v>203</x:v>
      </x:c>
      <x:c r="E930" s="2" t="n">
        <x:v>7.5</x:v>
      </x:c>
      <x:c r="F930" s="2" t="n">
        <x:v>-15</x:v>
      </x:c>
      <x:c r="G930" s="2" t="n">
        <x:v>0</x:v>
      </x:c>
      <x:c r="H930" s="2" t="n">
        <x:v>0</x:v>
      </x:c>
      <x:c r="I930" s="2" t="n">
        <x:v>1</x:v>
      </x:c>
      <x:c r="J930" s="2" t="n">
        <x:v>4.5</x:v>
      </x:c>
      <x:c r="K930" s="2" t="n">
        <x:v>15</x:v>
      </x:c>
      <x:c r="L930" s="2" t="str">
        <x:v>R16 szerkezeti terv; anyaghoz illesztett próbafúrás kell</x:v>
      </x:c>
    </x:row>
    <x:row r="931" ht="36" customHeight="1">
      <x:c r="A931" s="2" t="str">
        <x:v>R16H0926</x:v>
      </x:c>
      <x:c r="B931" s="2" t="str">
        <x:v>KI16-D6-F</x:v>
      </x:c>
      <x:c r="C931" s="2" t="str">
        <x:v>FIÓK_ELO_HAT_PILOT</x:v>
      </x:c>
      <x:c r="D931" s="2" t="n">
        <x:v>0</x:v>
      </x:c>
      <x:c r="E931" s="2" t="n">
        <x:v>175</x:v>
      </x:c>
      <x:c r="F931" s="2" t="n">
        <x:v>-7.5</x:v>
      </x:c>
      <x:c r="G931" s="2" t="n">
        <x:v>1</x:v>
      </x:c>
      <x:c r="H931" s="2" t="n">
        <x:v>0</x:v>
      </x:c>
      <x:c r="I931" s="2" t="n">
        <x:v>0</x:v>
      </x:c>
      <x:c r="J931" s="2" t="n">
        <x:v>2.5</x:v>
      </x:c>
      <x:c r="K931" s="2" t="n">
        <x:v>20</x:v>
      </x:c>
      <x:c r="L931" s="2" t="str">
        <x:v>R16 szerkezeti terv; anyaghoz illesztett próbafúrás kell</x:v>
      </x:c>
    </x:row>
    <x:row r="932" ht="36" customHeight="1">
      <x:c r="A932" s="2" t="str">
        <x:v>R16H0927</x:v>
      </x:c>
      <x:c r="B932" s="2" t="str">
        <x:v>KI16-D6-R</x:v>
      </x:c>
      <x:c r="C932" s="2" t="str">
        <x:v>FIÓK_ELO_HAT_ATMENO</x:v>
      </x:c>
      <x:c r="D932" s="2" t="n">
        <x:v>73</x:v>
      </x:c>
      <x:c r="E932" s="2" t="n">
        <x:v>282.5</x:v>
      </x:c>
      <x:c r="F932" s="2" t="n">
        <x:v>-15</x:v>
      </x:c>
      <x:c r="G932" s="2" t="n">
        <x:v>0</x:v>
      </x:c>
      <x:c r="H932" s="2" t="n">
        <x:v>0</x:v>
      </x:c>
      <x:c r="I932" s="2" t="n">
        <x:v>1</x:v>
      </x:c>
      <x:c r="J932" s="2" t="n">
        <x:v>4.5</x:v>
      </x:c>
      <x:c r="K932" s="2" t="n">
        <x:v>15</x:v>
      </x:c>
      <x:c r="L932" s="2" t="str">
        <x:v>R16 szerkezeti terv; anyaghoz illesztett próbafúrás kell</x:v>
      </x:c>
    </x:row>
    <x:row r="933" ht="36" customHeight="1">
      <x:c r="A933" s="2" t="str">
        <x:v>R16H0928</x:v>
      </x:c>
      <x:c r="B933" s="2" t="str">
        <x:v>KI16-D6-H</x:v>
      </x:c>
      <x:c r="C933" s="2" t="str">
        <x:v>FIÓK_ELO_HAT_PILOT</x:v>
      </x:c>
      <x:c r="D933" s="2" t="n">
        <x:v>0</x:v>
      </x:c>
      <x:c r="E933" s="2" t="n">
        <x:v>45</x:v>
      </x:c>
      <x:c r="F933" s="2" t="n">
        <x:v>-7.5</x:v>
      </x:c>
      <x:c r="G933" s="2" t="n">
        <x:v>1</x:v>
      </x:c>
      <x:c r="H933" s="2" t="n">
        <x:v>0</x:v>
      </x:c>
      <x:c r="I933" s="2" t="n">
        <x:v>0</x:v>
      </x:c>
      <x:c r="J933" s="2" t="n">
        <x:v>2.5</x:v>
      </x:c>
      <x:c r="K933" s="2" t="n">
        <x:v>20</x:v>
      </x:c>
      <x:c r="L933" s="2" t="str">
        <x:v>R16 szerkezeti terv; anyaghoz illesztett próbafúrás kell</x:v>
      </x:c>
    </x:row>
    <x:row r="934" ht="36" customHeight="1">
      <x:c r="A934" s="2" t="str">
        <x:v>R16H0929</x:v>
      </x:c>
      <x:c r="B934" s="2" t="str">
        <x:v>KI16-D6-R</x:v>
      </x:c>
      <x:c r="C934" s="2" t="str">
        <x:v>FIÓK_ELO_HAT_ATMENO</x:v>
      </x:c>
      <x:c r="D934" s="2" t="n">
        <x:v>203</x:v>
      </x:c>
      <x:c r="E934" s="2" t="n">
        <x:v>282.5</x:v>
      </x:c>
      <x:c r="F934" s="2" t="n">
        <x:v>-15</x:v>
      </x:c>
      <x:c r="G934" s="2" t="n">
        <x:v>0</x:v>
      </x:c>
      <x:c r="H934" s="2" t="n">
        <x:v>0</x:v>
      </x:c>
      <x:c r="I934" s="2" t="n">
        <x:v>1</x:v>
      </x:c>
      <x:c r="J934" s="2" t="n">
        <x:v>4.5</x:v>
      </x:c>
      <x:c r="K934" s="2" t="n">
        <x:v>15</x:v>
      </x:c>
      <x:c r="L934" s="2" t="str">
        <x:v>R16 szerkezeti terv; anyaghoz illesztett próbafúrás kell</x:v>
      </x:c>
    </x:row>
    <x:row r="935" ht="36" customHeight="1">
      <x:c r="A935" s="2" t="str">
        <x:v>R16H0930</x:v>
      </x:c>
      <x:c r="B935" s="2" t="str">
        <x:v>KI16-D6-H</x:v>
      </x:c>
      <x:c r="C935" s="2" t="str">
        <x:v>FIÓK_ELO_HAT_PILOT</x:v>
      </x:c>
      <x:c r="D935" s="2" t="n">
        <x:v>0</x:v>
      </x:c>
      <x:c r="E935" s="2" t="n">
        <x:v>175</x:v>
      </x:c>
      <x:c r="F935" s="2" t="n">
        <x:v>-7.5</x:v>
      </x:c>
      <x:c r="G935" s="2" t="n">
        <x:v>1</x:v>
      </x:c>
      <x:c r="H935" s="2" t="n">
        <x:v>0</x:v>
      </x:c>
      <x:c r="I935" s="2" t="n">
        <x:v>0</x:v>
      </x:c>
      <x:c r="J935" s="2" t="n">
        <x:v>2.5</x:v>
      </x:c>
      <x:c r="K935" s="2" t="n">
        <x:v>20</x:v>
      </x:c>
      <x:c r="L935" s="2" t="str">
        <x:v>R16 szerkezeti terv; anyaghoz illesztett próbafúrás kell</x:v>
      </x:c>
    </x:row>
    <x:row r="936" ht="36" customHeight="1">
      <x:c r="A936" s="2" t="str">
        <x:v>R16H0931</x:v>
      </x:c>
      <x:c r="B936" s="2" t="str">
        <x:v>KI16-D6-F</x:v>
      </x:c>
      <x:c r="C936" s="2" t="str">
        <x:v>FRONT_ROGZITES_ATMENO</x:v>
      </x:c>
      <x:c r="D936" s="2" t="n">
        <x:v>311</x:v>
      </x:c>
      <x:c r="E936" s="2" t="n">
        <x:v>45</x:v>
      </x:c>
      <x:c r="F936" s="2" t="n">
        <x:v>0</x:v>
      </x:c>
      <x:c r="G936" s="2" t="n">
        <x:v>0</x:v>
      </x:c>
      <x:c r="H936" s="2" t="n">
        <x:v>0</x:v>
      </x:c>
      <x:c r="I936" s="2" t="n">
        <x:v>-1</x:v>
      </x:c>
      <x:c r="J936" s="2" t="n">
        <x:v>5</x:v>
      </x:c>
      <x:c r="K936" s="2" t="n">
        <x:v>15</x:v>
      </x:c>
      <x:c r="L936" s="2" t="str">
        <x:v>R16 szerkezeti terv; anyaghoz illesztett próbafúrás kell</x:v>
      </x:c>
    </x:row>
    <x:row r="937" ht="36" customHeight="1">
      <x:c r="A937" s="2" t="str">
        <x:v>R16H0932</x:v>
      </x:c>
      <x:c r="B937" s="2" t="str">
        <x:v>KI16-M6-FRONT-04</x:v>
      </x:c>
      <x:c r="C937" s="2" t="str">
        <x:v>FRONT_ROGZITES_PILOT</x:v>
      </x:c>
      <x:c r="D937" s="2" t="n">
        <x:v>348.5</x:v>
      </x:c>
      <x:c r="E937" s="2" t="n">
        <x:v>118.5</x:v>
      </x:c>
      <x:c r="F937" s="2" t="n">
        <x:v>0</x:v>
      </x:c>
      <x:c r="G937" s="2" t="n">
        <x:v>0</x:v>
      </x:c>
      <x:c r="H937" s="2" t="n">
        <x:v>0</x:v>
      </x:c>
      <x:c r="I937" s="2" t="n">
        <x:v>-1</x:v>
      </x:c>
      <x:c r="J937" s="2" t="n">
        <x:v>2.5</x:v>
      </x:c>
      <x:c r="K937" s="2" t="n">
        <x:v>12</x:v>
      </x:c>
      <x:c r="L937" s="2" t="str">
        <x:v>R16 szerkezeti terv; anyaghoz illesztett próbafúrás kell</x:v>
      </x:c>
    </x:row>
    <x:row r="938" ht="36" customHeight="1">
      <x:c r="A938" s="2" t="str">
        <x:v>R16H0933</x:v>
      </x:c>
      <x:c r="B938" s="2" t="str">
        <x:v>KI16-D6-F</x:v>
      </x:c>
      <x:c r="C938" s="2" t="str">
        <x:v>FRONT_ROGZITES_ATMENO</x:v>
      </x:c>
      <x:c r="D938" s="2" t="n">
        <x:v>311</x:v>
      </x:c>
      <x:c r="E938" s="2" t="n">
        <x:v>175</x:v>
      </x:c>
      <x:c r="F938" s="2" t="n">
        <x:v>0</x:v>
      </x:c>
      <x:c r="G938" s="2" t="n">
        <x:v>0</x:v>
      </x:c>
      <x:c r="H938" s="2" t="n">
        <x:v>0</x:v>
      </x:c>
      <x:c r="I938" s="2" t="n">
        <x:v>-1</x:v>
      </x:c>
      <x:c r="J938" s="2" t="n">
        <x:v>5</x:v>
      </x:c>
      <x:c r="K938" s="2" t="n">
        <x:v>15</x:v>
      </x:c>
      <x:c r="L938" s="2" t="str">
        <x:v>R16 szerkezeti terv; anyaghoz illesztett próbafúrás kell</x:v>
      </x:c>
    </x:row>
    <x:row r="939" ht="36" customHeight="1">
      <x:c r="A939" s="2" t="str">
        <x:v>R16H0934</x:v>
      </x:c>
      <x:c r="B939" s="2" t="str">
        <x:v>KI16-M6-FRONT-04</x:v>
      </x:c>
      <x:c r="C939" s="2" t="str">
        <x:v>FRONT_ROGZITES_PILOT</x:v>
      </x:c>
      <x:c r="D939" s="2" t="n">
        <x:v>348.5</x:v>
      </x:c>
      <x:c r="E939" s="2" t="n">
        <x:v>248.5</x:v>
      </x:c>
      <x:c r="F939" s="2" t="n">
        <x:v>0</x:v>
      </x:c>
      <x:c r="G939" s="2" t="n">
        <x:v>0</x:v>
      </x:c>
      <x:c r="H939" s="2" t="n">
        <x:v>0</x:v>
      </x:c>
      <x:c r="I939" s="2" t="n">
        <x:v>-1</x:v>
      </x:c>
      <x:c r="J939" s="2" t="n">
        <x:v>2.5</x:v>
      </x:c>
      <x:c r="K939" s="2" t="n">
        <x:v>12</x:v>
      </x:c>
      <x:c r="L939" s="2" t="str">
        <x:v>R16 szerkezeti terv; anyaghoz illesztett próbafúrás kell</x:v>
      </x:c>
    </x:row>
    <x:row r="940" ht="36" customHeight="1">
      <x:c r="A940" s="2" t="str">
        <x:v>R16H0935</x:v>
      </x:c>
      <x:c r="B940" s="2" t="str">
        <x:v>KI16-D6-F</x:v>
      </x:c>
      <x:c r="C940" s="2" t="str">
        <x:v>FRONT_ROGZITES_ATMENO</x:v>
      </x:c>
      <x:c r="D940" s="2" t="n">
        <x:v>61</x:v>
      </x:c>
      <x:c r="E940" s="2" t="n">
        <x:v>45</x:v>
      </x:c>
      <x:c r="F940" s="2" t="n">
        <x:v>0</x:v>
      </x:c>
      <x:c r="G940" s="2" t="n">
        <x:v>0</x:v>
      </x:c>
      <x:c r="H940" s="2" t="n">
        <x:v>0</x:v>
      </x:c>
      <x:c r="I940" s="2" t="n">
        <x:v>-1</x:v>
      </x:c>
      <x:c r="J940" s="2" t="n">
        <x:v>5</x:v>
      </x:c>
      <x:c r="K940" s="2" t="n">
        <x:v>15</x:v>
      </x:c>
      <x:c r="L940" s="2" t="str">
        <x:v>R16 szerkezeti terv; anyaghoz illesztett próbafúrás kell</x:v>
      </x:c>
    </x:row>
    <x:row r="941" ht="36" customHeight="1">
      <x:c r="A941" s="2" t="str">
        <x:v>R16H0936</x:v>
      </x:c>
      <x:c r="B941" s="2" t="str">
        <x:v>KI16-M6-FRONT-04</x:v>
      </x:c>
      <x:c r="C941" s="2" t="str">
        <x:v>FRONT_ROGZITES_PILOT</x:v>
      </x:c>
      <x:c r="D941" s="2" t="n">
        <x:v>98.5</x:v>
      </x:c>
      <x:c r="E941" s="2" t="n">
        <x:v>118.5</x:v>
      </x:c>
      <x:c r="F941" s="2" t="n">
        <x:v>0</x:v>
      </x:c>
      <x:c r="G941" s="2" t="n">
        <x:v>0</x:v>
      </x:c>
      <x:c r="H941" s="2" t="n">
        <x:v>0</x:v>
      </x:c>
      <x:c r="I941" s="2" t="n">
        <x:v>-1</x:v>
      </x:c>
      <x:c r="J941" s="2" t="n">
        <x:v>2.5</x:v>
      </x:c>
      <x:c r="K941" s="2" t="n">
        <x:v>12</x:v>
      </x:c>
      <x:c r="L941" s="2" t="str">
        <x:v>R16 szerkezeti terv; anyaghoz illesztett próbafúrás kell</x:v>
      </x:c>
    </x:row>
    <x:row r="942" ht="36" customHeight="1">
      <x:c r="A942" s="2" t="str">
        <x:v>R16H0937</x:v>
      </x:c>
      <x:c r="B942" s="2" t="str">
        <x:v>KI16-D6-F</x:v>
      </x:c>
      <x:c r="C942" s="2" t="str">
        <x:v>FRONT_ROGZITES_ATMENO</x:v>
      </x:c>
      <x:c r="D942" s="2" t="n">
        <x:v>61</x:v>
      </x:c>
      <x:c r="E942" s="2" t="n">
        <x:v>175</x:v>
      </x:c>
      <x:c r="F942" s="2" t="n">
        <x:v>0</x:v>
      </x:c>
      <x:c r="G942" s="2" t="n">
        <x:v>0</x:v>
      </x:c>
      <x:c r="H942" s="2" t="n">
        <x:v>0</x:v>
      </x:c>
      <x:c r="I942" s="2" t="n">
        <x:v>-1</x:v>
      </x:c>
      <x:c r="J942" s="2" t="n">
        <x:v>5</x:v>
      </x:c>
      <x:c r="K942" s="2" t="n">
        <x:v>15</x:v>
      </x:c>
      <x:c r="L942" s="2" t="str">
        <x:v>R16 szerkezeti terv; anyaghoz illesztett próbafúrás kell</x:v>
      </x:c>
    </x:row>
    <x:row r="943" ht="36" customHeight="1">
      <x:c r="A943" s="2" t="str">
        <x:v>R16H0938</x:v>
      </x:c>
      <x:c r="B943" s="2" t="str">
        <x:v>KI16-M6-FRONT-04</x:v>
      </x:c>
      <x:c r="C943" s="2" t="str">
        <x:v>FRONT_ROGZITES_PILOT</x:v>
      </x:c>
      <x:c r="D943" s="2" t="n">
        <x:v>98.5</x:v>
      </x:c>
      <x:c r="E943" s="2" t="n">
        <x:v>248.5</x:v>
      </x:c>
      <x:c r="F943" s="2" t="n">
        <x:v>0</x:v>
      </x:c>
      <x:c r="G943" s="2" t="n">
        <x:v>0</x:v>
      </x:c>
      <x:c r="H943" s="2" t="n">
        <x:v>0</x:v>
      </x:c>
      <x:c r="I943" s="2" t="n">
        <x:v>-1</x:v>
      </x:c>
      <x:c r="J943" s="2" t="n">
        <x:v>2.5</x:v>
      </x:c>
      <x:c r="K943" s="2" t="n">
        <x:v>12</x:v>
      </x:c>
      <x:c r="L943" s="2" t="str">
        <x:v>R16 szerkezeti terv; anyaghoz illesztett próbafúrás kell</x:v>
      </x:c>
    </x:row>
    <x:row r="944" ht="36" customHeight="1">
      <x:c r="A944" s="2" t="str">
        <x:v>R16H0939</x:v>
      </x:c>
      <x:c r="B944" s="2" t="str">
        <x:v>KI12-GAP-01</x:v>
      </x:c>
      <x:c r="C944" s="2" t="str">
        <x:v>BRONZ_MF375_PILOT</x:v>
      </x:c>
      <x:c r="D944" s="2" t="n">
        <x:v>100</x:v>
      </x:c>
      <x:c r="E944" s="2" t="n">
        <x:v>83.99800000000005</x:v>
      </x:c>
      <x:c r="F944" s="2" t="n">
        <x:v>0</x:v>
      </x:c>
      <x:c r="G944" s="2" t="n">
        <x:v>0</x:v>
      </x:c>
      <x:c r="H944" s="2" t="n">
        <x:v>0</x:v>
      </x:c>
      <x:c r="I944" s="2" t="n">
        <x:v>-1</x:v>
      </x:c>
      <x:c r="J944" s="2" t="n">
        <x:v>2.5</x:v>
      </x:c>
      <x:c r="K944" s="2" t="n">
        <x:v>12</x:v>
      </x:c>
      <x:c r="L944" s="2" t="str">
        <x:v>R16 szerkezeti terv; anyaghoz illesztett próbafúrás kell</x:v>
      </x:c>
    </x:row>
    <x:row r="945" ht="36" customHeight="1">
      <x:c r="A945" s="2" t="str">
        <x:v>R16H0940</x:v>
      </x:c>
      <x:c r="B945" s="2" t="str">
        <x:v>KI12-GAP-01</x:v>
      </x:c>
      <x:c r="C945" s="2" t="str">
        <x:v>BRONZ_MF375_PILOT</x:v>
      </x:c>
      <x:c r="D945" s="2" t="n">
        <x:v>100</x:v>
      </x:c>
      <x:c r="E945" s="2" t="n">
        <x:v>116.00199999999995</x:v>
      </x:c>
      <x:c r="F945" s="2" t="n">
        <x:v>0</x:v>
      </x:c>
      <x:c r="G945" s="2" t="n">
        <x:v>0</x:v>
      </x:c>
      <x:c r="H945" s="2" t="n">
        <x:v>0</x:v>
      </x:c>
      <x:c r="I945" s="2" t="n">
        <x:v>-1</x:v>
      </x:c>
      <x:c r="J945" s="2" t="n">
        <x:v>2.5</x:v>
      </x:c>
      <x:c r="K945" s="2" t="n">
        <x:v>12</x:v>
      </x:c>
      <x:c r="L945" s="2" t="str">
        <x:v>R16 szerkezeti terv; anyaghoz illesztett próbafúrás kell</x:v>
      </x:c>
    </x:row>
    <x:row r="946" ht="36" customHeight="1">
      <x:c r="A946" s="2" t="str">
        <x:v>R16H0941</x:v>
      </x:c>
      <x:c r="B946" s="2" t="str">
        <x:v>KI12-GAP-01</x:v>
      </x:c>
      <x:c r="C946" s="2" t="str">
        <x:v>BRONZ_MF375_PILOT</x:v>
      </x:c>
      <x:c r="D946" s="2" t="n">
        <x:v>800</x:v>
      </x:c>
      <x:c r="E946" s="2" t="n">
        <x:v>83.99800000000005</x:v>
      </x:c>
      <x:c r="F946" s="2" t="n">
        <x:v>0</x:v>
      </x:c>
      <x:c r="G946" s="2" t="n">
        <x:v>0</x:v>
      </x:c>
      <x:c r="H946" s="2" t="n">
        <x:v>0</x:v>
      </x:c>
      <x:c r="I946" s="2" t="n">
        <x:v>-1</x:v>
      </x:c>
      <x:c r="J946" s="2" t="n">
        <x:v>2.5</x:v>
      </x:c>
      <x:c r="K946" s="2" t="n">
        <x:v>12</x:v>
      </x:c>
      <x:c r="L946" s="2" t="str">
        <x:v>R16 szerkezeti terv; anyaghoz illesztett próbafúrás kell</x:v>
      </x:c>
    </x:row>
    <x:row r="947" ht="36" customHeight="1">
      <x:c r="A947" s="2" t="str">
        <x:v>R16H0942</x:v>
      </x:c>
      <x:c r="B947" s="2" t="str">
        <x:v>KI12-GAP-01</x:v>
      </x:c>
      <x:c r="C947" s="2" t="str">
        <x:v>BRONZ_MF375_PILOT</x:v>
      </x:c>
      <x:c r="D947" s="2" t="n">
        <x:v>800</x:v>
      </x:c>
      <x:c r="E947" s="2" t="n">
        <x:v>116.00199999999995</x:v>
      </x:c>
      <x:c r="F947" s="2" t="n">
        <x:v>0</x:v>
      </x:c>
      <x:c r="G947" s="2" t="n">
        <x:v>0</x:v>
      </x:c>
      <x:c r="H947" s="2" t="n">
        <x:v>0</x:v>
      </x:c>
      <x:c r="I947" s="2" t="n">
        <x:v>-1</x:v>
      </x:c>
      <x:c r="J947" s="2" t="n">
        <x:v>2.5</x:v>
      </x:c>
      <x:c r="K947" s="2" t="n">
        <x:v>12</x:v>
      </x:c>
      <x:c r="L947" s="2" t="str">
        <x:v>R16 szerkezeti terv; anyaghoz illesztett próbafúrás kell</x:v>
      </x:c>
    </x:row>
    <x:row r="948" ht="36" customHeight="1">
      <x:c r="A948" s="2" t="str">
        <x:v>R16H0943</x:v>
      </x:c>
      <x:c r="B948" s="2" t="str">
        <x:v>KI12-GAP-01</x:v>
      </x:c>
      <x:c r="C948" s="2" t="str">
        <x:v>BRONZ_MF375_PILOT</x:v>
      </x:c>
      <x:c r="D948" s="2" t="n">
        <x:v>1500</x:v>
      </x:c>
      <x:c r="E948" s="2" t="n">
        <x:v>83.99800000000005</x:v>
      </x:c>
      <x:c r="F948" s="2" t="n">
        <x:v>0</x:v>
      </x:c>
      <x:c r="G948" s="2" t="n">
        <x:v>0</x:v>
      </x:c>
      <x:c r="H948" s="2" t="n">
        <x:v>0</x:v>
      </x:c>
      <x:c r="I948" s="2" t="n">
        <x:v>-1</x:v>
      </x:c>
      <x:c r="J948" s="2" t="n">
        <x:v>2.5</x:v>
      </x:c>
      <x:c r="K948" s="2" t="n">
        <x:v>12</x:v>
      </x:c>
      <x:c r="L948" s="2" t="str">
        <x:v>R16 szerkezeti terv; anyaghoz illesztett próbafúrás kell</x:v>
      </x:c>
    </x:row>
    <x:row r="949" ht="36" customHeight="1">
      <x:c r="A949" s="2" t="str">
        <x:v>R16H0944</x:v>
      </x:c>
      <x:c r="B949" s="2" t="str">
        <x:v>KI12-GAP-01</x:v>
      </x:c>
      <x:c r="C949" s="2" t="str">
        <x:v>BRONZ_MF375_PILOT</x:v>
      </x:c>
      <x:c r="D949" s="2" t="n">
        <x:v>1500</x:v>
      </x:c>
      <x:c r="E949" s="2" t="n">
        <x:v>116.00199999999995</x:v>
      </x:c>
      <x:c r="F949" s="2" t="n">
        <x:v>0</x:v>
      </x:c>
      <x:c r="G949" s="2" t="n">
        <x:v>0</x:v>
      </x:c>
      <x:c r="H949" s="2" t="n">
        <x:v>0</x:v>
      </x:c>
      <x:c r="I949" s="2" t="n">
        <x:v>-1</x:v>
      </x:c>
      <x:c r="J949" s="2" t="n">
        <x:v>2.5</x:v>
      </x:c>
      <x:c r="K949" s="2" t="n">
        <x:v>12</x:v>
      </x:c>
      <x:c r="L949" s="2" t="str">
        <x:v>R16 szerkezeti terv; anyaghoz illesztett próbafúrás kell</x:v>
      </x:c>
    </x:row>
    <x:row r="950" ht="36" customHeight="1">
      <x:c r="A950" s="2" t="str">
        <x:v>R16H0945</x:v>
      </x:c>
      <x:c r="B950" s="2" t="str">
        <x:v>KI12-GAP-01</x:v>
      </x:c>
      <x:c r="C950" s="2" t="str">
        <x:v>BRONZ_MF375_PILOT</x:v>
      </x:c>
      <x:c r="D950" s="2" t="n">
        <x:v>2200</x:v>
      </x:c>
      <x:c r="E950" s="2" t="n">
        <x:v>83.99800000000005</x:v>
      </x:c>
      <x:c r="F950" s="2" t="n">
        <x:v>0</x:v>
      </x:c>
      <x:c r="G950" s="2" t="n">
        <x:v>0</x:v>
      </x:c>
      <x:c r="H950" s="2" t="n">
        <x:v>0</x:v>
      </x:c>
      <x:c r="I950" s="2" t="n">
        <x:v>-1</x:v>
      </x:c>
      <x:c r="J950" s="2" t="n">
        <x:v>2.5</x:v>
      </x:c>
      <x:c r="K950" s="2" t="n">
        <x:v>12</x:v>
      </x:c>
      <x:c r="L950" s="2" t="str">
        <x:v>R16 szerkezeti terv; anyaghoz illesztett próbafúrás kell</x:v>
      </x:c>
    </x:row>
    <x:row r="951" ht="36" customHeight="1">
      <x:c r="A951" s="2" t="str">
        <x:v>R16H0946</x:v>
      </x:c>
      <x:c r="B951" s="2" t="str">
        <x:v>KI12-GAP-01</x:v>
      </x:c>
      <x:c r="C951" s="2" t="str">
        <x:v>BRONZ_MF375_PILOT</x:v>
      </x:c>
      <x:c r="D951" s="2" t="n">
        <x:v>2200</x:v>
      </x:c>
      <x:c r="E951" s="2" t="n">
        <x:v>116.00199999999995</x:v>
      </x:c>
      <x:c r="F951" s="2" t="n">
        <x:v>0</x:v>
      </x:c>
      <x:c r="G951" s="2" t="n">
        <x:v>0</x:v>
      </x:c>
      <x:c r="H951" s="2" t="n">
        <x:v>0</x:v>
      </x:c>
      <x:c r="I951" s="2" t="n">
        <x:v>-1</x:v>
      </x:c>
      <x:c r="J951" s="2" t="n">
        <x:v>2.5</x:v>
      </x:c>
      <x:c r="K951" s="2" t="n">
        <x:v>12</x:v>
      </x:c>
      <x:c r="L951" s="2" t="str">
        <x:v>R16 szerkezeti terv; anyaghoz illesztett próbafúrás kell</x:v>
      </x:c>
    </x:row>
    <x:row r="952" ht="36" customHeight="1">
      <x:c r="A952" s="2" t="str">
        <x:v>R16H0947</x:v>
      </x:c>
      <x:c r="B952" s="2" t="str">
        <x:v>KI12-TV01H-01</x:v>
      </x:c>
      <x:c r="C952" s="2" t="str">
        <x:v>SERVICE_M4_ATMENO</x:v>
      </x:c>
      <x:c r="D952" s="2" t="n">
        <x:v>46</x:v>
      </x:c>
      <x:c r="E952" s="2" t="n">
        <x:v>26</x:v>
      </x:c>
      <x:c r="F952" s="2" t="n">
        <x:v>0</x:v>
      </x:c>
      <x:c r="G952" s="2" t="n">
        <x:v>0</x:v>
      </x:c>
      <x:c r="H952" s="2" t="n">
        <x:v>0</x:v>
      </x:c>
      <x:c r="I952" s="2" t="n">
        <x:v>-1</x:v>
      </x:c>
      <x:c r="J952" s="2" t="n">
        <x:v>5</x:v>
      </x:c>
      <x:c r="K952" s="2" t="n">
        <x:v>8</x:v>
      </x:c>
      <x:c r="L952" s="2" t="str">
        <x:v>R16 szerkezeti terv; anyaghoz illesztett próbafúrás kell</x:v>
      </x:c>
    </x:row>
    <x:row r="953" ht="36" customHeight="1">
      <x:c r="A953" s="2" t="str">
        <x:v>R16H0948</x:v>
      </x:c>
      <x:c r="B953" s="2" t="str">
        <x:v>KI12-TV01H-01</x:v>
      </x:c>
      <x:c r="C953" s="2" t="str">
        <x:v>SERVICE_M4_ATMENO</x:v>
      </x:c>
      <x:c r="D953" s="2" t="n">
        <x:v>316</x:v>
      </x:c>
      <x:c r="E953" s="2" t="n">
        <x:v>26</x:v>
      </x:c>
      <x:c r="F953" s="2" t="n">
        <x:v>0</x:v>
      </x:c>
      <x:c r="G953" s="2" t="n">
        <x:v>0</x:v>
      </x:c>
      <x:c r="H953" s="2" t="n">
        <x:v>0</x:v>
      </x:c>
      <x:c r="I953" s="2" t="n">
        <x:v>-1</x:v>
      </x:c>
      <x:c r="J953" s="2" t="n">
        <x:v>5</x:v>
      </x:c>
      <x:c r="K953" s="2" t="n">
        <x:v>8</x:v>
      </x:c>
      <x:c r="L953" s="2" t="str">
        <x:v>R16 szerkezeti terv; anyaghoz illesztett próbafúrás kell</x:v>
      </x:c>
    </x:row>
    <x:row r="954" ht="36" customHeight="1">
      <x:c r="A954" s="2" t="str">
        <x:v>R16H0949</x:v>
      </x:c>
      <x:c r="B954" s="2" t="str">
        <x:v>KI12-TV01H-01</x:v>
      </x:c>
      <x:c r="C954" s="2" t="str">
        <x:v>SERVICE_M4_ATMENO</x:v>
      </x:c>
      <x:c r="D954" s="2" t="n">
        <x:v>46</x:v>
      </x:c>
      <x:c r="E954" s="2" t="n">
        <x:v>296</x:v>
      </x:c>
      <x:c r="F954" s="2" t="n">
        <x:v>0</x:v>
      </x:c>
      <x:c r="G954" s="2" t="n">
        <x:v>0</x:v>
      </x:c>
      <x:c r="H954" s="2" t="n">
        <x:v>0</x:v>
      </x:c>
      <x:c r="I954" s="2" t="n">
        <x:v>-1</x:v>
      </x:c>
      <x:c r="J954" s="2" t="n">
        <x:v>5</x:v>
      </x:c>
      <x:c r="K954" s="2" t="n">
        <x:v>8</x:v>
      </x:c>
      <x:c r="L954" s="2" t="str">
        <x:v>R16 szerkezeti terv; anyaghoz illesztett próbafúrás kell</x:v>
      </x:c>
    </x:row>
    <x:row r="955" ht="36" customHeight="1">
      <x:c r="A955" s="2" t="str">
        <x:v>R16H0950</x:v>
      </x:c>
      <x:c r="B955" s="2" t="str">
        <x:v>KI12-TV01H-01</x:v>
      </x:c>
      <x:c r="C955" s="2" t="str">
        <x:v>SERVICE_M4_ATMENO</x:v>
      </x:c>
      <x:c r="D955" s="2" t="n">
        <x:v>316</x:v>
      </x:c>
      <x:c r="E955" s="2" t="n">
        <x:v>296</x:v>
      </x:c>
      <x:c r="F955" s="2" t="n">
        <x:v>0</x:v>
      </x:c>
      <x:c r="G955" s="2" t="n">
        <x:v>0</x:v>
      </x:c>
      <x:c r="H955" s="2" t="n">
        <x:v>0</x:v>
      </x:c>
      <x:c r="I955" s="2" t="n">
        <x:v>-1</x:v>
      </x:c>
      <x:c r="J955" s="2" t="n">
        <x:v>5</x:v>
      </x:c>
      <x:c r="K955" s="2" t="n">
        <x:v>8</x:v>
      </x:c>
      <x:c r="L955" s="2" t="str">
        <x:v>R16 szerkezeti terv; anyaghoz illesztett próbafúrás kell</x:v>
      </x:c>
    </x:row>
    <x:row r="956" ht="36" customHeight="1">
      <x:c r="A956" s="2" t="str">
        <x:v>R16H0951</x:v>
      </x:c>
      <x:c r="B956" s="2" t="str">
        <x:v>KI12-TV01H-01</x:v>
      </x:c>
      <x:c r="C956" s="2" t="str">
        <x:v>SERVICE_M4_ATMENO</x:v>
      </x:c>
      <x:c r="D956" s="2" t="n">
        <x:v>46</x:v>
      </x:c>
      <x:c r="E956" s="2" t="n">
        <x:v>386</x:v>
      </x:c>
      <x:c r="F956" s="2" t="n">
        <x:v>0</x:v>
      </x:c>
      <x:c r="G956" s="2" t="n">
        <x:v>0</x:v>
      </x:c>
      <x:c r="H956" s="2" t="n">
        <x:v>0</x:v>
      </x:c>
      <x:c r="I956" s="2" t="n">
        <x:v>-1</x:v>
      </x:c>
      <x:c r="J956" s="2" t="n">
        <x:v>5</x:v>
      </x:c>
      <x:c r="K956" s="2" t="n">
        <x:v>8</x:v>
      </x:c>
      <x:c r="L956" s="2" t="str">
        <x:v>R16 szerkezeti terv; anyaghoz illesztett próbafúrás kell</x:v>
      </x:c>
    </x:row>
    <x:row r="957" ht="36" customHeight="1">
      <x:c r="A957" s="2" t="str">
        <x:v>R16H0952</x:v>
      </x:c>
      <x:c r="B957" s="2" t="str">
        <x:v>KI12-TV01H-01</x:v>
      </x:c>
      <x:c r="C957" s="2" t="str">
        <x:v>SERVICE_M4_ATMENO</x:v>
      </x:c>
      <x:c r="D957" s="2" t="n">
        <x:v>316</x:v>
      </x:c>
      <x:c r="E957" s="2" t="n">
        <x:v>386</x:v>
      </x:c>
      <x:c r="F957" s="2" t="n">
        <x:v>0</x:v>
      </x:c>
      <x:c r="G957" s="2" t="n">
        <x:v>0</x:v>
      </x:c>
      <x:c r="H957" s="2" t="n">
        <x:v>0</x:v>
      </x:c>
      <x:c r="I957" s="2" t="n">
        <x:v>-1</x:v>
      </x:c>
      <x:c r="J957" s="2" t="n">
        <x:v>5</x:v>
      </x:c>
      <x:c r="K957" s="2" t="n">
        <x:v>8</x:v>
      </x:c>
      <x:c r="L957" s="2" t="str">
        <x:v>R16 szerkezeti terv; anyaghoz illesztett próbafúrás kell</x:v>
      </x:c>
    </x:row>
    <x:row r="958" ht="36" customHeight="1">
      <x:c r="A958" s="2" t="str">
        <x:v>R16H0953</x:v>
      </x:c>
      <x:c r="B958" s="2" t="str">
        <x:v>KI12-TV01H-01</x:v>
      </x:c>
      <x:c r="C958" s="2" t="str">
        <x:v>SERVICE_M4_ATMENO</x:v>
      </x:c>
      <x:c r="D958" s="2" t="n">
        <x:v>46</x:v>
      </x:c>
      <x:c r="E958" s="2" t="n">
        <x:v>656</x:v>
      </x:c>
      <x:c r="F958" s="2" t="n">
        <x:v>0</x:v>
      </x:c>
      <x:c r="G958" s="2" t="n">
        <x:v>0</x:v>
      </x:c>
      <x:c r="H958" s="2" t="n">
        <x:v>0</x:v>
      </x:c>
      <x:c r="I958" s="2" t="n">
        <x:v>-1</x:v>
      </x:c>
      <x:c r="J958" s="2" t="n">
        <x:v>5</x:v>
      </x:c>
      <x:c r="K958" s="2" t="n">
        <x:v>8</x:v>
      </x:c>
      <x:c r="L958" s="2" t="str">
        <x:v>R16 szerkezeti terv; anyaghoz illesztett próbafúrás kell</x:v>
      </x:c>
    </x:row>
    <x:row r="959" ht="36" customHeight="1">
      <x:c r="A959" s="2" t="str">
        <x:v>R16H0954</x:v>
      </x:c>
      <x:c r="B959" s="2" t="str">
        <x:v>KI12-TV01H-01</x:v>
      </x:c>
      <x:c r="C959" s="2" t="str">
        <x:v>SERVICE_M4_ATMENO</x:v>
      </x:c>
      <x:c r="D959" s="2" t="n">
        <x:v>316</x:v>
      </x:c>
      <x:c r="E959" s="2" t="n">
        <x:v>656</x:v>
      </x:c>
      <x:c r="F959" s="2" t="n">
        <x:v>0</x:v>
      </x:c>
      <x:c r="G959" s="2" t="n">
        <x:v>0</x:v>
      </x:c>
      <x:c r="H959" s="2" t="n">
        <x:v>0</x:v>
      </x:c>
      <x:c r="I959" s="2" t="n">
        <x:v>-1</x:v>
      </x:c>
      <x:c r="J959" s="2" t="n">
        <x:v>5</x:v>
      </x:c>
      <x:c r="K959" s="2" t="n">
        <x:v>8</x:v>
      </x:c>
      <x:c r="L959" s="2" t="str">
        <x:v>R16 szerkezeti terv; anyaghoz illesztett próbafúrás kell</x:v>
      </x:c>
    </x:row>
    <x:row r="960" ht="36" customHeight="1">
      <x:c r="A960" s="2" t="str">
        <x:v>R16H0955</x:v>
      </x:c>
      <x:c r="B960" s="2" t="str">
        <x:v>KI12-TV01H-01</x:v>
      </x:c>
      <x:c r="C960" s="2" t="str">
        <x:v>SERVICE_KABEL</x:v>
      </x:c>
      <x:c r="D960" s="2" t="n">
        <x:v>211</x:v>
      </x:c>
      <x:c r="E960" s="2" t="n">
        <x:v>611</x:v>
      </x:c>
      <x:c r="F960" s="2" t="n">
        <x:v>0</x:v>
      </x:c>
      <x:c r="G960" s="2" t="n">
        <x:v>0</x:v>
      </x:c>
      <x:c r="H960" s="2" t="n">
        <x:v>0</x:v>
      </x:c>
      <x:c r="I960" s="2" t="n">
        <x:v>-1</x:v>
      </x:c>
      <x:c r="J960" s="2" t="n">
        <x:v>20</x:v>
      </x:c>
      <x:c r="K960" s="2" t="n">
        <x:v>8</x:v>
      </x:c>
      <x:c r="L960" s="2" t="str">
        <x:v>R16 szerkezeti terv; anyaghoz illesztett próbafúrás kell</x:v>
      </x:c>
    </x:row>
    <x:row r="961" ht="36" customHeight="1">
      <x:c r="A961" s="2" t="str">
        <x:v>R16H0956</x:v>
      </x:c>
      <x:c r="B961" s="2" t="str">
        <x:v>KI12-TV01H-01</x:v>
      </x:c>
      <x:c r="C961" s="2" t="str">
        <x:v>SERVICE_KABEL</x:v>
      </x:c>
      <x:c r="D961" s="2" t="n">
        <x:v>211</x:v>
      </x:c>
      <x:c r="E961" s="2" t="n">
        <x:v>641</x:v>
      </x:c>
      <x:c r="F961" s="2" t="n">
        <x:v>0</x:v>
      </x:c>
      <x:c r="G961" s="2" t="n">
        <x:v>0</x:v>
      </x:c>
      <x:c r="H961" s="2" t="n">
        <x:v>0</x:v>
      </x:c>
      <x:c r="I961" s="2" t="n">
        <x:v>-1</x:v>
      </x:c>
      <x:c r="J961" s="2" t="n">
        <x:v>12</x:v>
      </x:c>
      <x:c r="K961" s="2" t="n">
        <x:v>8</x:v>
      </x:c>
      <x:c r="L961" s="2" t="str">
        <x:v>R16 szerkezeti terv; anyaghoz illesztett próbafúrás kell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>
      <x:c r="A1" s="5" t="str">
        <x:v>Kapacitás és tömeg / a40kg sín nem azonos a TIPON egység20kg határával</x:v>
      </x:c>
    </x:row>
    <x:row r="5" ht="36" customHeight="1">
      <x:c r="A5" s="34" t="str">
        <x:v>Fiók</x:v>
      </x:c>
      <x:c r="B5" s="34" t="str">
        <x:v>Modulmm</x:v>
      </x:c>
      <x:c r="C5" s="34" t="str">
        <x:v>Belsőszél</x:v>
      </x:c>
      <x:c r="D5" s="34" t="str">
        <x:v>Belsőmély</x:v>
      </x:c>
      <x:c r="E5" s="34" t="str">
        <x:v>Belsőmagas</x:v>
      </x:c>
      <x:c r="F5" s="34" t="str">
        <x:v>NL</x:v>
      </x:c>
      <x:c r="G5" s="34" t="str">
        <x:v>Liter</x:v>
      </x:c>
      <x:c r="H5" s="34" t="str">
        <x:v>Üreskg becsült</x:v>
      </x:c>
      <x:c r="I5" s="34" t="str">
        <x:v>TIPON</x:v>
      </x:c>
      <x:c r="J5" s="34" t="str">
        <x:v>Összkg határ</x:v>
      </x:c>
      <x:c r="K5" s="34" t="str">
        <x:v>Hasznoskg becsült</x:v>
      </x:c>
      <x:c r="L5" s="34" t="str">
        <x:v>Szinkronmm</x:v>
      </x:c>
      <x:c r="M5" s="34" t="str">
        <x:v>Stabilizátormm</x:v>
      </x:c>
    </x:row>
    <x:row r="6" ht="36" customHeight="1">
      <x:c r="A6" s="2" t="str">
        <x:v>D1</x:v>
      </x:c>
      <x:c r="B6" s="2" t="n">
        <x:v>720</x:v>
      </x:c>
      <x:c r="C6" s="2" t="n">
        <x:v>642</x:v>
      </x:c>
      <x:c r="D6" s="2" t="n">
        <x:v>260</x:v>
      </x:c>
      <x:c r="E6" s="2" t="n">
        <x:v>222</x:v>
      </x:c>
      <x:c r="F6" s="2" t="n">
        <x:v>300</x:v>
      </x:c>
      <x:c r="G6" s="7" t="n">
        <x:f>C6*D6*E6/1000000</x:f>
        <x:v>37.05624</x:v>
      </x:c>
      <x:c r="H6" s="7" t="n">
        <x:v>11.1569714</x:v>
      </x:c>
      <x:c r="I6" s="7" t="str">
        <x:v>T60L7140 / S1</x:v>
      </x:c>
      <x:c r="J6" s="7" t="n">
        <x:v>20</x:v>
      </x:c>
      <x:c r="K6" s="7" t="n">
        <x:f>J6-H6</x:f>
        <x:v>8.8430286</x:v>
      </x:c>
      <x:c r="L6" s="2" t="n">
        <x:v>417</x:v>
      </x:c>
      <x:c r="M6" s="2" t="n">
        <x:v>369</x:v>
      </x:c>
    </x:row>
    <x:row r="7" ht="36" customHeight="1">
      <x:c r="A7" s="2" t="str">
        <x:v>D2</x:v>
      </x:c>
      <x:c r="B7" s="2" t="n">
        <x:v>450</x:v>
      </x:c>
      <x:c r="C7" s="2" t="n">
        <x:v>372</x:v>
      </x:c>
      <x:c r="D7" s="2" t="n">
        <x:v>260</x:v>
      </x:c>
      <x:c r="E7" s="2" t="n">
        <x:v>222</x:v>
      </x:c>
      <x:c r="F7" s="2" t="n">
        <x:v>300</x:v>
      </x:c>
      <x:c r="G7" s="7" t="n">
        <x:f>C7*D7*E7/1000000</x:f>
        <x:v>21.47184</x:v>
      </x:c>
      <x:c r="H7" s="7" t="n">
        <x:v>7.7254874000000004</x:v>
      </x:c>
      <x:c r="I7" s="7" t="str">
        <x:v>T60L7040 / S0</x:v>
      </x:c>
      <x:c r="J7" s="7" t="n">
        <x:v>10</x:v>
      </x:c>
      <x:c r="K7" s="7" t="n">
        <x:f>J7-H7</x:f>
        <x:v>2.2745125999999996</x:v>
      </x:c>
      <x:c r="L7" s="2" t="n">
        <x:v>147</x:v>
      </x:c>
      <x:c r="M7" s="2" t="n">
        <x:v>99</x:v>
      </x:c>
    </x:row>
    <x:row r="8" ht="36" customHeight="1">
      <x:c r="A8" s="2" t="str">
        <x:v>D3</x:v>
      </x:c>
      <x:c r="B8" s="2" t="n">
        <x:v>450</x:v>
      </x:c>
      <x:c r="C8" s="2" t="n">
        <x:v>372</x:v>
      </x:c>
      <x:c r="D8" s="2" t="n">
        <x:v>260</x:v>
      </x:c>
      <x:c r="E8" s="2" t="n">
        <x:v>222</x:v>
      </x:c>
      <x:c r="F8" s="2" t="n">
        <x:v>300</x:v>
      </x:c>
      <x:c r="G8" s="7" t="n">
        <x:f>C8*D8*E8/1000000</x:f>
        <x:v>21.47184</x:v>
      </x:c>
      <x:c r="H8" s="7" t="n">
        <x:v>7.7254874000000004</x:v>
      </x:c>
      <x:c r="I8" s="7" t="str">
        <x:v>T60L7040 / S0</x:v>
      </x:c>
      <x:c r="J8" s="7" t="n">
        <x:v>10</x:v>
      </x:c>
      <x:c r="K8" s="7" t="n">
        <x:f>J8-H8</x:f>
        <x:v>2.2745125999999996</x:v>
      </x:c>
      <x:c r="L8" s="2" t="n">
        <x:v>147</x:v>
      </x:c>
      <x:c r="M8" s="2" t="n">
        <x:v>99</x:v>
      </x:c>
    </x:row>
    <x:row r="9" ht="36" customHeight="1">
      <x:c r="A9" s="2" t="str">
        <x:v>D4</x:v>
      </x:c>
      <x:c r="B9" s="2" t="n">
        <x:v>1080</x:v>
      </x:c>
      <x:c r="C9" s="2" t="n">
        <x:v>1002</x:v>
      </x:c>
      <x:c r="D9" s="2" t="n">
        <x:v>260</x:v>
      </x:c>
      <x:c r="E9" s="2" t="n">
        <x:v>222</x:v>
      </x:c>
      <x:c r="F9" s="2" t="n">
        <x:v>300</x:v>
      </x:c>
      <x:c r="G9" s="7" t="n">
        <x:f>C9*D9*E9/1000000</x:f>
        <x:v>57.83544</x:v>
      </x:c>
      <x:c r="H9" s="7" t="n">
        <x:v>15.7322834</x:v>
      </x:c>
      <x:c r="I9" s="7" t="str">
        <x:v>T60L7140 / S1</x:v>
      </x:c>
      <x:c r="J9" s="7" t="n">
        <x:v>20</x:v>
      </x:c>
      <x:c r="K9" s="7" t="n">
        <x:f>J9-H9</x:f>
        <x:v>4.2677166</x:v>
      </x:c>
      <x:c r="L9" s="2" t="n">
        <x:v>777</x:v>
      </x:c>
      <x:c r="M9" s="2" t="n">
        <x:v>729</x:v>
      </x:c>
    </x:row>
    <x:row r="10" ht="36" customHeight="1">
      <x:c r="A10" s="2" t="str">
        <x:v>D5</x:v>
      </x:c>
      <x:c r="B10" s="2" t="n">
        <x:v>450</x:v>
      </x:c>
      <x:c r="C10" s="2" t="n">
        <x:v>372</x:v>
      </x:c>
      <x:c r="D10" s="2" t="n">
        <x:v>260</x:v>
      </x:c>
      <x:c r="E10" s="2" t="n">
        <x:v>222</x:v>
      </x:c>
      <x:c r="F10" s="2" t="n">
        <x:v>300</x:v>
      </x:c>
      <x:c r="G10" s="7" t="n">
        <x:f>C10*D10*E10/1000000</x:f>
        <x:v>21.47184</x:v>
      </x:c>
      <x:c r="H10" s="7" t="n">
        <x:v>7.7254874000000004</x:v>
      </x:c>
      <x:c r="I10" s="7" t="str">
        <x:v>T60L7040 / S0</x:v>
      </x:c>
      <x:c r="J10" s="7" t="n">
        <x:v>10</x:v>
      </x:c>
      <x:c r="K10" s="7" t="n">
        <x:f>J10-H10</x:f>
        <x:v>2.2745125999999996</x:v>
      </x:c>
      <x:c r="L10" s="2" t="n">
        <x:v>147</x:v>
      </x:c>
      <x:c r="M10" s="2" t="n">
        <x:v>99</x:v>
      </x:c>
    </x:row>
    <x:row r="11" ht="36" customHeight="1">
      <x:c r="A11" s="2" t="str">
        <x:v>D6</x:v>
      </x:c>
      <x:c r="B11" s="2" t="n">
        <x:v>450</x:v>
      </x:c>
      <x:c r="C11" s="2" t="n">
        <x:v>372</x:v>
      </x:c>
      <x:c r="D11" s="2" t="n">
        <x:v>260</x:v>
      </x:c>
      <x:c r="E11" s="2" t="n">
        <x:v>222</x:v>
      </x:c>
      <x:c r="F11" s="2" t="n">
        <x:v>300</x:v>
      </x:c>
      <x:c r="G11" s="7" t="n">
        <x:f>C11*D11*E11/1000000</x:f>
        <x:v>21.47184</x:v>
      </x:c>
      <x:c r="H11" s="7" t="n">
        <x:v>7.7254874000000004</x:v>
      </x:c>
      <x:c r="I11" s="7" t="str">
        <x:v>T60L7040 / S0</x:v>
      </x:c>
      <x:c r="J11" s="7" t="n">
        <x:v>10</x:v>
      </x:c>
      <x:c r="K11" s="7" t="n">
        <x:f>J11-H11</x:f>
        <x:v>2.2745125999999996</x:v>
      </x:c>
      <x:c r="L11" s="2" t="n">
        <x:v>147</x:v>
      </x:c>
      <x:c r="M11" s="2" t="n">
        <x:v>99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" t="str">
        <x:v>24V / belső fény ajtónként-fiókonként / bronzbetét külön kör</x:v>
      </x:c>
    </x:row>
    <x:row r="5" ht="36" customHeight="1">
      <x:c r="A5" s="34" t="str">
        <x:v>Ág</x:v>
      </x:c>
      <x:c r="B5" s="34" t="str">
        <x:v>LEDmm</x:v>
      </x:c>
      <x:c r="C5" s="34" t="str">
        <x:v>W/m</x:v>
      </x:c>
      <x:c r="D5" s="34" t="str">
        <x:v>W</x:v>
      </x:c>
      <x:c r="E5" s="34" t="str">
        <x:v>A</x:v>
      </x:c>
      <x:c r="F5" s="34" t="str">
        <x:v>Vezérlés</x:v>
      </x:c>
    </x:row>
    <x:row r="6" ht="36" customHeight="1">
      <x:c r="A6" s="2" t="str">
        <x:v>AMB-TOP</x:v>
      </x:c>
      <x:c r="B6" s="2" t="n">
        <x:v>2650</x:v>
      </x:c>
      <x:c r="C6" s="2" t="n">
        <x:v>8</x:v>
      </x:c>
      <x:c r="D6" s="2" t="n">
        <x:f>B6/1000*C6</x:f>
        <x:v>21.2</x:v>
      </x:c>
      <x:c r="E6" s="2" t="n">
        <x:f>D6/24</x:f>
        <x:v>0.8833333333333333</x:v>
      </x:c>
      <x:c r="F6" s="2" t="str">
        <x:v>Sunricher DIM1</x:v>
      </x:c>
    </x:row>
    <x:row r="7" ht="36" customHeight="1">
      <x:c r="A7" s="2" t="str">
        <x:v>AMB-LOW</x:v>
      </x:c>
      <x:c r="B7" s="2" t="n">
        <x:v>3550</x:v>
      </x:c>
      <x:c r="C7" s="2" t="n">
        <x:v>8</x:v>
      </x:c>
      <x:c r="D7" s="2" t="n">
        <x:f>B7/1000*C7</x:f>
        <x:v>28.4</x:v>
      </x:c>
      <x:c r="E7" s="2" t="n">
        <x:f>D7/24</x:f>
        <x:v>1.1833333333333333</x:v>
      </x:c>
      <x:c r="F7" s="2" t="str">
        <x:v>Sunricher DIM2</x:v>
      </x:c>
    </x:row>
    <x:row r="8" ht="36" customHeight="1">
      <x:c r="A8" s="2" t="str">
        <x:v>AMB-BRONZE</x:v>
      </x:c>
      <x:c r="B8" s="2" t="n">
        <x:v>2300</x:v>
      </x:c>
      <x:c r="C8" s="2" t="n">
        <x:v>8</x:v>
      </x:c>
      <x:c r="D8" s="2" t="n">
        <x:f>B8/1000*C8</x:f>
        <x:v>18.4</x:v>
      </x:c>
      <x:c r="E8" s="2" t="n">
        <x:f>D8/24</x:f>
        <x:v>0.7666666666666666</x:v>
      </x:c>
      <x:c r="F8" s="2" t="str">
        <x:v>Sunricher DIM3 / oldalról a bronzbetétre</x:v>
      </x:c>
    </x:row>
    <x:row r="9" ht="36" customHeight="1">
      <x:c r="A9" s="2" t="str">
        <x:v>INT-D1</x:v>
      </x:c>
      <x:c r="B9" s="2" t="n">
        <x:v>600</x:v>
      </x:c>
      <x:c r="C9" s="2" t="n">
        <x:v>4.8</x:v>
      </x:c>
      <x:c r="D9" s="2" t="n">
        <x:f>B9/1000*C9</x:f>
        <x:v>2.88</x:v>
      </x:c>
      <x:c r="E9" s="2" t="n">
        <x:f>D9/24</x:f>
        <x:v>0.12</x:v>
      </x:c>
      <x:c r="F9" s="2" t="str">
        <x:v>833.89.253 saját nyitásérzékelő</x:v>
      </x:c>
    </x:row>
    <x:row r="10" ht="36" customHeight="1">
      <x:c r="A10" s="2" t="str">
        <x:v>INT-D2</x:v>
      </x:c>
      <x:c r="B10" s="2" t="n">
        <x:v>300</x:v>
      </x:c>
      <x:c r="C10" s="2" t="n">
        <x:v>4.8</x:v>
      </x:c>
      <x:c r="D10" s="2" t="n">
        <x:f>B10/1000*C10</x:f>
        <x:v>1.44</x:v>
      </x:c>
      <x:c r="E10" s="2" t="n">
        <x:f>D10/24</x:f>
        <x:v>0.06</x:v>
      </x:c>
      <x:c r="F10" s="2" t="str">
        <x:v>833.89.253 saját nyitásérzékelő</x:v>
      </x:c>
    </x:row>
    <x:row r="11" ht="36" customHeight="1">
      <x:c r="A11" s="2" t="str">
        <x:v>INT-D3</x:v>
      </x:c>
      <x:c r="B11" s="2" t="n">
        <x:v>300</x:v>
      </x:c>
      <x:c r="C11" s="2" t="n">
        <x:v>4.8</x:v>
      </x:c>
      <x:c r="D11" s="2" t="n">
        <x:f>B11/1000*C11</x:f>
        <x:v>1.44</x:v>
      </x:c>
      <x:c r="E11" s="2" t="n">
        <x:f>D11/24</x:f>
        <x:v>0.06</x:v>
      </x:c>
      <x:c r="F11" s="2" t="str">
        <x:v>833.89.253 saját nyitásérzékelő</x:v>
      </x:c>
    </x:row>
    <x:row r="12" ht="36" customHeight="1">
      <x:c r="A12" s="2" t="str">
        <x:v>INT-D4</x:v>
      </x:c>
      <x:c r="B12" s="2" t="n">
        <x:v>950</x:v>
      </x:c>
      <x:c r="C12" s="2" t="n">
        <x:v>4.8</x:v>
      </x:c>
      <x:c r="D12" s="2" t="n">
        <x:f>B12/1000*C12</x:f>
        <x:v>4.56</x:v>
      </x:c>
      <x:c r="E12" s="2" t="n">
        <x:f>D12/24</x:f>
        <x:v>0.18999999999999997</x:v>
      </x:c>
      <x:c r="F12" s="2" t="str">
        <x:v>833.89.253 saját nyitásérzékelő</x:v>
      </x:c>
    </x:row>
    <x:row r="13" ht="36" customHeight="1">
      <x:c r="A13" s="2" t="str">
        <x:v>INT-D5</x:v>
      </x:c>
      <x:c r="B13" s="2" t="n">
        <x:v>300</x:v>
      </x:c>
      <x:c r="C13" s="2" t="n">
        <x:v>4.8</x:v>
      </x:c>
      <x:c r="D13" s="2" t="n">
        <x:f>B13/1000*C13</x:f>
        <x:v>1.44</x:v>
      </x:c>
      <x:c r="E13" s="2" t="n">
        <x:f>D13/24</x:f>
        <x:v>0.06</x:v>
      </x:c>
      <x:c r="F13" s="2" t="str">
        <x:v>833.89.253 saját nyitásérzékelő</x:v>
      </x:c>
    </x:row>
    <x:row r="14" ht="36" customHeight="1">
      <x:c r="A14" s="2" t="str">
        <x:v>INT-D6</x:v>
      </x:c>
      <x:c r="B14" s="2" t="n">
        <x:v>300</x:v>
      </x:c>
      <x:c r="C14" s="2" t="n">
        <x:v>4.8</x:v>
      </x:c>
      <x:c r="D14" s="2" t="n">
        <x:f>B14/1000*C14</x:f>
        <x:v>1.44</x:v>
      </x:c>
      <x:c r="E14" s="2" t="n">
        <x:f>D14/24</x:f>
        <x:v>0.06</x:v>
      </x:c>
      <x:c r="F14" s="2" t="str">
        <x:v>833.89.253 saját nyitásérzékelő</x:v>
      </x:c>
    </x:row>
    <x:row r="15" ht="36" customHeight="1">
      <x:c r="A15" s="2" t="str">
        <x:v>INT-T1</x:v>
      </x:c>
      <x:c r="B15" s="2" t="n">
        <x:v>2250</x:v>
      </x:c>
      <x:c r="C15" s="2" t="n">
        <x:v>4.8</x:v>
      </x:c>
      <x:c r="D15" s="2" t="n">
        <x:f>B15/1000*C15</x:f>
        <x:v>10.799999999999999</x:v>
      </x:c>
      <x:c r="E15" s="2" t="n">
        <x:f>D15/24</x:f>
        <x:v>0.44999999999999996</x:v>
      </x:c>
      <x:c r="F15" s="2" t="str">
        <x:v>833.89.253 / ajtónként külön</x:v>
      </x:c>
    </x:row>
    <x:row r="16" ht="36" customHeight="1">
      <x:c r="A16" s="2" t="str">
        <x:v>INT-T2</x:v>
      </x:c>
      <x:c r="B16" s="2" t="n">
        <x:v>2250</x:v>
      </x:c>
      <x:c r="C16" s="2" t="n">
        <x:v>4.8</x:v>
      </x:c>
      <x:c r="D16" s="2" t="n">
        <x:f>B16/1000*C16</x:f>
        <x:v>10.799999999999999</x:v>
      </x:c>
      <x:c r="E16" s="2" t="n">
        <x:f>D16/24</x:f>
        <x:v>0.44999999999999996</x:v>
      </x:c>
      <x:c r="F16" s="2" t="str">
        <x:v>833.89.253 / ajtónként külön</x:v>
      </x:c>
    </x:row>
    <x:row r="20">
      <x:c r="A20" t="str">
        <x:v>ÖsszesW</x:v>
      </x:c>
      <x:c r="B20" t="n">
        <x:f>SUM(D6:D16)</x:f>
        <x:v>102.79999999999998</x:v>
      </x:c>
    </x:row>
    <x:row r="21">
      <x:c r="A21" t="str">
        <x:v>TápegységW</x:v>
      </x:c>
      <x:c r="B21" t="n">
        <x:v>151.2</x:v>
      </x:c>
    </x:row>
    <x:row r="22">
      <x:c r="A22" t="str">
        <x:v>Terhelés</x:v>
      </x:c>
      <x:c r="B22" s="11" t="n">
        <x:f>B20/B21</x:f>
        <x:v>0.6798941798941799</x:v>
      </x:c>
    </x:row>
    <x:row r="23">
      <x:c r="A23" t="str">
        <x:v>Fizikai ellenőrzés</x:v>
      </x:c>
      <x:c r="B23" t="str">
        <x:v>Nincs beüzemelve; csatlakozó és hőpróba szükséges.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65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70" hidden="0" customWidth="1"/>
  </x:cols>
  <x:sheetData>
    <x:row r="1">
      <x:c r="A1" s="5" t="str">
        <x:v>R16 változás / minden ár bruttó becslés / teljes régi csomag kiváltása</x:v>
      </x:c>
    </x:row>
    <x:row r="5" ht="36" customHeight="1">
      <x:c r="A5" s="34" t="str">
        <x:v>ID</x:v>
      </x:c>
      <x:c r="B5" s="34" t="str">
        <x:v>Tartalom</x:v>
      </x:c>
      <x:c r="C5" s="34" t="str">
        <x:v>Menny</x:v>
      </x:c>
      <x:c r="D5" s="34" t="str">
        <x:v>KiváltottFt</x:v>
      </x:c>
      <x:c r="E5" s="34" t="str">
        <x:v>AlsóegységFt</x:v>
      </x:c>
      <x:c r="F5" s="34" t="str">
        <x:v>VárhatóegységFt</x:v>
      </x:c>
      <x:c r="G5" s="34" t="str">
        <x:v>FelsőegységFt</x:v>
      </x:c>
      <x:c r="H5" s="34" t="str">
        <x:v>Alsónövekmény</x:v>
      </x:c>
      <x:c r="I5" s="34" t="str">
        <x:v>Várhatónövekmény</x:v>
      </x:c>
      <x:c r="J5" s="34" t="str">
        <x:v>Felsőnövekmény</x:v>
      </x:c>
      <x:c r="K5" s="34" t="str">
        <x:v>Alap</x:v>
      </x:c>
    </x:row>
    <x:row r="6" ht="36" customHeight="1">
      <x:c r="A6" s="2" t="str">
        <x:v>C01</x:v>
      </x:c>
      <x:c r="B6" s="2" t="str">
        <x:v>KI-030 teljes felső csomag: hordozók,toronyfront,nyomat,bronxbetét,minták</x:v>
      </x:c>
      <x:c r="C6" s="2" t="n">
        <x:v>1</x:v>
      </x:c>
      <x:c r="D6" s="13" t="n">
        <x:v>765500</x:v>
      </x:c>
      <x:c r="E6" s="13" t="n">
        <x:v>760000</x:v>
      </x:c>
      <x:c r="F6" s="13" t="n">
        <x:v>935500</x:v>
      </x:c>
      <x:c r="G6" s="13" t="n">
        <x:v>1200000</x:v>
      </x:c>
      <x:c r="H6" s="13" t="n">
        <x:f>C6*E6-D6</x:f>
        <x:v>-5500</x:v>
      </x:c>
      <x:c r="I6" s="13" t="n">
        <x:f>C6*F6-D6</x:f>
        <x:v>170000</x:v>
      </x:c>
      <x:c r="J6" s="13" t="n">
        <x:f>C6*G6-D6</x:f>
        <x:v>434500</x:v>
      </x:c>
      <x:c r="K6" s="2" t="str">
        <x:v>Régi765500 kiváltása; a klipsz/falrögzítés különR15 csomagban.</x:v>
      </x:c>
    </x:row>
    <x:row r="7" ht="36" customHeight="1">
      <x:c r="A7" s="2" t="str">
        <x:v>C02</x:v>
      </x:c>
      <x:c r="B7" s="2" t="str">
        <x:v>KI-031 teljes alsó6fiókos bútor és beépítés</x:v>
      </x:c>
      <x:c r="C7" s="2" t="n">
        <x:v>1</x:v>
      </x:c>
      <x:c r="D7" s="13" t="n">
        <x:v>350000</x:v>
      </x:c>
      <x:c r="E7" s="13" t="n">
        <x:v>770000</x:v>
      </x:c>
      <x:c r="F7" s="13" t="n">
        <x:v>985000</x:v>
      </x:c>
      <x:c r="G7" s="13" t="n">
        <x:v>1290000</x:v>
      </x:c>
      <x:c r="H7" s="13" t="n">
        <x:f>C7*E7-D7</x:f>
        <x:v>420000</x:v>
      </x:c>
      <x:c r="I7" s="13" t="n">
        <x:f>C7*F7-D7</x:f>
        <x:v>635000</x:v>
      </x:c>
      <x:c r="J7" s="13" t="n">
        <x:f>C7*G7-D7</x:f>
        <x:v>940000</x:v>
      </x:c>
      <x:c r="K7" s="2" t="str">
        <x:v>Régi350000 kiváltása. Korpusz/front250000 +6sínpár210000 +6TIPON/kuplung/stabilizátor180000 +fiókdoboz145000 +műhelymunka200000.</x:v>
      </x:c>
    </x:row>
    <x:row r="8" ht="36" customHeight="1">
      <x:c r="A8" s="2" t="str">
        <x:v>C03</x:v>
      </x:c>
      <x:c r="B8" s="2" t="str">
        <x:v>Plusz1korpusz Camar pár+lemezek</x:v>
      </x:c>
      <x:c r="C8" s="2" t="n">
        <x:v>1</x:v>
      </x:c>
      <x:c r="D8" s="13" t="n">
        <x:v>0</x:v>
      </x:c>
      <x:c r="E8" s="13" t="n">
        <x:v>9000</x:v>
      </x:c>
      <x:c r="F8" s="13" t="n">
        <x:v>15000</x:v>
      </x:c>
      <x:c r="G8" s="13" t="n">
        <x:v>24000</x:v>
      </x:c>
      <x:c r="H8" s="13" t="n">
        <x:f>C8*E8-D8</x:f>
        <x:v>9000</x:v>
      </x:c>
      <x:c r="I8" s="13" t="n">
        <x:f>C8*F8-D8</x:f>
        <x:v>15000</x:v>
      </x:c>
      <x:c r="J8" s="13" t="n">
        <x:f>C8*G8-D8</x:f>
        <x:v>24000</x:v>
      </x:c>
      <x:c r="K8" s="2" t="str">
        <x:v>R15 hat pár helyett hét pár a toronnyal együtt.</x:v>
      </x:c>
    </x:row>
    <x:row r="9" ht="36" customHeight="1">
      <x:c r="A9" s="2" t="str">
        <x:v>C04</x:v>
      </x:c>
      <x:c r="B9" s="2" t="str">
        <x:v>Belső nyitásérzékelők</x:v>
      </x:c>
      <x:c r="C9" s="2" t="n">
        <x:v>8</x:v>
      </x:c>
      <x:c r="D9" s="13" t="n">
        <x:v>0</x:v>
      </x:c>
      <x:c r="E9" s="13" t="n">
        <x:v>4500</x:v>
      </x:c>
      <x:c r="F9" s="13" t="n">
        <x:v>7000</x:v>
      </x:c>
      <x:c r="G9" s="13" t="n">
        <x:v>11000</x:v>
      </x:c>
      <x:c r="H9" s="13" t="n">
        <x:f>C9*E9-D9</x:f>
        <x:v>36000</x:v>
      </x:c>
      <x:c r="I9" s="13" t="n">
        <x:f>C9*F9-D9</x:f>
        <x:v>56000</x:v>
      </x:c>
      <x:c r="J9" s="13" t="n">
        <x:f>C9*G9-D9</x:f>
        <x:v>88000</x:v>
      </x:c>
      <x:c r="K9" s="2" t="str">
        <x:v>Häfele833.89.253; darabár becslés, nem HU webshopigazolás.</x:v>
      </x:c>
    </x:row>
    <x:row r="10" ht="36" customHeight="1">
      <x:c r="A10" s="2" t="str">
        <x:v>C05</x:v>
      </x:c>
      <x:c r="B10" s="2" t="str">
        <x:v>Belső24V4.8W LEDszalag rendelt10m</x:v>
      </x:c>
      <x:c r="C10" s="2" t="n">
        <x:v>10</x:v>
      </x:c>
      <x:c r="D10" s="13" t="n">
        <x:v>0</x:v>
      </x:c>
      <x:c r="E10" s="13" t="n">
        <x:v>1800</x:v>
      </x:c>
      <x:c r="F10" s="13" t="n">
        <x:v>3000</x:v>
      </x:c>
      <x:c r="G10" s="13" t="n">
        <x:v>4500</x:v>
      </x:c>
      <x:c r="H10" s="13" t="n">
        <x:f>C10*E10-D10</x:f>
        <x:v>18000</x:v>
      </x:c>
      <x:c r="I10" s="13" t="n">
        <x:f>C10*F10-D10</x:f>
        <x:v>30000</x:v>
      </x:c>
      <x:c r="J10" s="13" t="n">
        <x:f>C10*G10-D10</x:f>
        <x:v>45000</x:v>
      </x:c>
      <x:c r="K10" s="2" t="str">
        <x:v>Beépülés számított; két5mtekercs, maradék tartalék.</x:v>
      </x:c>
    </x:row>
    <x:row r="11" ht="36" customHeight="1">
      <x:c r="A11" s="2" t="str">
        <x:v>C06</x:v>
      </x:c>
      <x:c r="B11" s="2" t="str">
        <x:v>Belső profil,diffúzor,végzáró,klipsz</x:v>
      </x:c>
      <x:c r="C11" s="2" t="n">
        <x:v>10</x:v>
      </x:c>
      <x:c r="D11" s="13" t="n">
        <x:v>0</x:v>
      </x:c>
      <x:c r="E11" s="13" t="n">
        <x:v>2500</x:v>
      </x:c>
      <x:c r="F11" s="13" t="n">
        <x:v>4000</x:v>
      </x:c>
      <x:c r="G11" s="13" t="n">
        <x:v>6000</x:v>
      </x:c>
      <x:c r="H11" s="13" t="n">
        <x:f>C11*E11-D11</x:f>
        <x:v>25000</x:v>
      </x:c>
      <x:c r="I11" s="13" t="n">
        <x:f>C11*F11-D11</x:f>
        <x:v>40000</x:v>
      </x:c>
      <x:c r="J11" s="13" t="n">
        <x:f>C11*G11-D11</x:f>
        <x:v>60000</x:v>
      </x:c>
      <x:c r="K11" s="2" t="str">
        <x:v>10m rendelési keret; vágásveszteség és szenzor helye.</x:v>
      </x:c>
    </x:row>
    <x:row r="12" ht="36" customHeight="1">
      <x:c r="A12" s="2" t="str">
        <x:v>C07</x:v>
      </x:c>
      <x:c r="B12" s="2" t="str">
        <x:v>Szenzorcsatlakozók,kábel,ágvédelem</x:v>
      </x:c>
      <x:c r="C12" s="2" t="n">
        <x:v>8</x:v>
      </x:c>
      <x:c r="D12" s="13" t="n">
        <x:v>0</x:v>
      </x:c>
      <x:c r="E12" s="13" t="n">
        <x:v>1500</x:v>
      </x:c>
      <x:c r="F12" s="13" t="n">
        <x:v>2500</x:v>
      </x:c>
      <x:c r="G12" s="13" t="n">
        <x:v>4000</x:v>
      </x:c>
      <x:c r="H12" s="13" t="n">
        <x:f>C12*E12-D12</x:f>
        <x:v>12000</x:v>
      </x:c>
      <x:c r="I12" s="13" t="n">
        <x:f>C12*F12-D12</x:f>
        <x:v>20000</x:v>
      </x:c>
      <x:c r="J12" s="13" t="n">
        <x:f>C12*G12-D12</x:f>
        <x:v>32000</x:v>
      </x:c>
      <x:c r="K12" s="2" t="str">
        <x:v>Hossz és csatlakozórendszer villanyszerelői egyeztetés.</x:v>
      </x:c>
    </x:row>
    <x:row r="13" ht="36" customHeight="1">
      <x:c r="A13" s="2" t="str">
        <x:v>C08</x:v>
      </x:c>
      <x:c r="B13" s="2" t="str">
        <x:v>Belső fény szerelése és próbája</x:v>
      </x:c>
      <x:c r="C13" s="2" t="n">
        <x:v>1</x:v>
      </x:c>
      <x:c r="D13" s="13" t="n">
        <x:v>0</x:v>
      </x:c>
      <x:c r="E13" s="13" t="n">
        <x:v>30000</x:v>
      </x:c>
      <x:c r="F13" s="13" t="n">
        <x:v>50000</x:v>
      </x:c>
      <x:c r="G13" s="13" t="n">
        <x:v>80000</x:v>
      </x:c>
      <x:c r="H13" s="13" t="n">
        <x:f>C13*E13-D13</x:f>
        <x:v>30000</x:v>
      </x:c>
      <x:c r="I13" s="13" t="n">
        <x:f>C13*F13-D13</x:f>
        <x:v>50000</x:v>
      </x:c>
      <x:c r="J13" s="13" t="n">
        <x:f>C13*G13-D13</x:f>
        <x:v>80000</x:v>
      </x:c>
      <x:c r="K13" s="2" t="str">
        <x:v>8nyitási kör; nincs beüzemelve.</x:v>
      </x:c>
    </x:row>
    <x:row r="14" ht="36" customHeight="1">
      <x:c r="A14" s="2" t="str">
        <x:v>C09</x:v>
      </x:c>
      <x:c r="B14" s="2" t="str">
        <x:v>Szerviz áttelepítése a toronyba</x:v>
      </x:c>
      <x:c r="C14" s="2" t="n">
        <x:v>1</x:v>
      </x:c>
      <x:c r="D14" s="13" t="n">
        <x:v>0</x:v>
      </x:c>
      <x:c r="E14" s="13" t="n">
        <x:v>15000</x:v>
      </x:c>
      <x:c r="F14" s="13" t="n">
        <x:v>35000</x:v>
      </x:c>
      <x:c r="G14" s="13" t="n">
        <x:v>65000</x:v>
      </x:c>
      <x:c r="H14" s="13" t="n">
        <x:f>C14*E14-D14</x:f>
        <x:v>15000</x:v>
      </x:c>
      <x:c r="I14" s="13" t="n">
        <x:f>C14*F14-D14</x:f>
        <x:v>35000</x:v>
      </x:c>
      <x:c r="J14" s="13" t="n">
        <x:f>C14*G14-D14</x:f>
        <x:v>65000</x:v>
      </x:c>
      <x:c r="K14" s="2" t="str">
        <x:v>R15 tálcaátalakítás többlete; tápegység nem újra vásárolt.</x:v>
      </x:c>
    </x:row>
    <x:row r="15">
      <x:c r="D15" s="14"/>
      <x:c r="E15" s="14"/>
      <x:c r="F15" s="14"/>
      <x:c r="G15" s="14"/>
      <x:c r="H15" s="14"/>
      <x:c r="I15" s="14"/>
      <x:c r="J15" s="14"/>
    </x:row>
    <x:row r="16">
      <x:c r="D16" s="14"/>
      <x:c r="E16" s="14"/>
      <x:c r="F16" s="14"/>
      <x:c r="G16" s="14"/>
      <x:c r="H16" s="14"/>
      <x:c r="I16" s="14"/>
      <x:c r="J16" s="14"/>
    </x:row>
    <x:row r="17">
      <x:c r="D17" s="14"/>
      <x:c r="E17" s="14"/>
      <x:c r="F17" s="14"/>
      <x:c r="G17" s="14"/>
      <x:c r="H17" s="14"/>
      <x:c r="I17" s="14"/>
      <x:c r="J17" s="14"/>
    </x:row>
    <x:row r="18">
      <x:c r="D18" s="14"/>
      <x:c r="E18" s="14"/>
      <x:c r="F18" s="14"/>
      <x:c r="G18" s="14" t="str">
        <x:v>NÖVEKMÉNY</x:v>
      </x:c>
      <x:c r="H18" s="14" t="n">
        <x:f>SUM(H6:H14)</x:f>
        <x:v>559500</x:v>
      </x:c>
      <x:c r="I18" s="14" t="n">
        <x:f>SUM(I6:I14)</x:f>
        <x:v>1051000</x:v>
      </x:c>
      <x:c r="J18" s="14" t="n">
        <x:f>SUM(J6:J14)</x:f>
        <x:v>1768500</x:v>
      </x:c>
    </x:row>
    <x:row r="21">
      <x:c r="A21" t="str">
        <x:v>R15 feltételes projektösszeg</x:v>
      </x:c>
      <x:c r="B21" s="14" t="n">
        <x:v>25161190</x:v>
      </x:c>
    </x:row>
    <x:row r="22">
      <x:c r="A22" t="str">
        <x:v>Főregiszter R16 előtti összege</x:v>
      </x:c>
      <x:c r="B22" s="14" t="n">
        <x:v>24673390</x:v>
      </x:c>
    </x:row>
    <x:row r="23">
      <x:c r="A23" t="str">
        <x:v>R16 frissített projektelőirányzat</x:v>
      </x:c>
      <x:c r="B23" s="14" t="n">
        <x:f>B21+I18</x:f>
        <x:v>26212190</x:v>
      </x:c>
    </x:row>
    <x:row r="24">
      <x:c r="A24" t="str">
        <x:v>Eltérés18M-tól</x:v>
      </x:c>
      <x:c r="B24" s="14" t="n">
        <x:f>B23-18000000</x:f>
        <x:v>8212190</x:v>
      </x:c>
    </x:row>
    <x:row r="25">
      <x:c r="A25" t="str">
        <x:v>Külön tartalék</x:v>
      </x:c>
      <x:c r="B25" s="14" t="n">
        <x:v>2000000</x:v>
      </x:c>
    </x:row>
    <x:row r="26">
      <x:c r="A26" t="str">
        <x:v>CsakR16 bizonytalansági sáv alsó</x:v>
      </x:c>
      <x:c r="B26" s="14" t="n">
        <x:f>B21+H18</x:f>
        <x:v>25720690</x:v>
      </x:c>
    </x:row>
    <x:row r="27">
      <x:c r="A27" t="str">
        <x:v>CsakR16 bizonytalansági sáv felső</x:v>
      </x:c>
      <x:c r="B27" s="14" t="n">
        <x:f>B21+J18</x:f>
        <x:v>26929690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5" t="str">
        <x:v>Tusgrafika közös koordinátán;200mm bronzbetét nincs teleszínezve mintával</x:v>
      </x:c>
    </x:row>
    <x:row r="5" ht="36" customHeight="1">
      <x:c r="A5" s="34" t="str">
        <x:v>Darab</x:v>
      </x:c>
      <x:c r="B5" s="34" t="str">
        <x:v>X</x:v>
      </x:c>
      <x:c r="C5" s="34" t="str">
        <x:v>Z</x:v>
      </x:c>
      <x:c r="D5" s="34" t="str">
        <x:v>Wmm</x:v>
      </x:c>
      <x:c r="E5" s="34" t="str">
        <x:v>Hmm</x:v>
      </x:c>
      <x:c r="F5" s="34" t="str">
        <x:v>Nettóm²</x:v>
      </x:c>
      <x:c r="G5" s="34" t="str">
        <x:v>Kifutóvalm²</x:v>
      </x:c>
      <x:c r="H5" s="34" t="str">
        <x:v>Fájl</x:v>
      </x:c>
    </x:row>
    <x:row r="6" ht="36" customHeight="1">
      <x:c r="A6" s="2" t="str">
        <x:v>KI12-TV01F-01</x:v>
      </x:c>
      <x:c r="B6" s="2" t="n">
        <x:v>1.5</x:v>
      </x:c>
      <x:c r="C6" s="2" t="n">
        <x:v>551.5</x:v>
      </x:c>
      <x:c r="D6" s="2" t="n">
        <x:v>357</x:v>
      </x:c>
      <x:c r="E6" s="2" t="n">
        <x:v>2327</x:v>
      </x:c>
      <x:c r="F6" s="2" t="n">
        <x:f>D6*E6/1000000</x:f>
        <x:v>0.830739</x:v>
      </x:c>
      <x:c r="G6" s="2" t="n">
        <x:f>(D6+20)*(E6+20)/1000000</x:f>
        <x:v>0.884819</x:v>
      </x:c>
      <x:c r="H6" s="2" t="str">
        <x:v>KI12-TV01F-01_INK_TRIM.svg</x:v>
      </x:c>
    </x:row>
    <x:row r="7" ht="36" customHeight="1">
      <x:c r="A7" s="2" t="str">
        <x:v>KI12-TV01F-02</x:v>
      </x:c>
      <x:c r="B7" s="2" t="n">
        <x:v>361.5</x:v>
      </x:c>
      <x:c r="C7" s="2" t="n">
        <x:v>551.5</x:v>
      </x:c>
      <x:c r="D7" s="2" t="n">
        <x:v>357</x:v>
      </x:c>
      <x:c r="E7" s="2" t="n">
        <x:v>2327</x:v>
      </x:c>
      <x:c r="F7" s="2" t="n">
        <x:f>D7*E7/1000000</x:f>
        <x:v>0.830739</x:v>
      </x:c>
      <x:c r="G7" s="2" t="n">
        <x:f>(D7+20)*(E7+20)/1000000</x:f>
        <x:v>0.884819</x:v>
      </x:c>
      <x:c r="H7" s="2" t="str">
        <x:v>KI12-TV01F-02_INK_TRIM.svg</x:v>
      </x:c>
    </x:row>
    <x:row r="8" ht="36" customHeight="1">
      <x:c r="A8" s="2" t="str">
        <x:v>KI12-TV03P-01</x:v>
      </x:c>
      <x:c r="B8" s="2" t="n">
        <x:v>921.5</x:v>
      </x:c>
      <x:c r="C8" s="2" t="n">
        <x:v>550</x:v>
      </x:c>
      <x:c r="D8" s="2" t="n">
        <x:v>667</x:v>
      </x:c>
      <x:c r="E8" s="2" t="n">
        <x:v>2330</x:v>
      </x:c>
      <x:c r="F8" s="2" t="n">
        <x:f>D8*E8/1000000</x:f>
        <x:v>1.55411</x:v>
      </x:c>
      <x:c r="G8" s="2" t="n">
        <x:f>(D8+20)*(E8+20)/1000000</x:f>
        <x:v>1.61445</x:v>
      </x:c>
      <x:c r="H8" s="2" t="str">
        <x:v>KI12-TV03P-01_INK_TRIM.svg</x:v>
      </x:c>
    </x:row>
    <x:row r="9" ht="36" customHeight="1">
      <x:c r="A9" s="2" t="str">
        <x:v>KI12-TV03P-02</x:v>
      </x:c>
      <x:c r="B9" s="2" t="n">
        <x:v>1591.5</x:v>
      </x:c>
      <x:c r="C9" s="2" t="n">
        <x:v>550</x:v>
      </x:c>
      <x:c r="D9" s="2" t="n">
        <x:v>667</x:v>
      </x:c>
      <x:c r="E9" s="2" t="n">
        <x:v>2330</x:v>
      </x:c>
      <x:c r="F9" s="2" t="n">
        <x:f>D9*E9/1000000</x:f>
        <x:v>1.55411</x:v>
      </x:c>
      <x:c r="G9" s="2" t="n">
        <x:f>(D9+20)*(E9+20)/1000000</x:f>
        <x:v>1.61445</x:v>
      </x:c>
      <x:c r="H9" s="2" t="str">
        <x:v>KI12-TV03P-02_INK_TRIM.svg</x:v>
      </x:c>
    </x:row>
    <x:row r="10" ht="36" customHeight="1">
      <x:c r="A10" s="2" t="str">
        <x:v>KI12-TV03P-03</x:v>
      </x:c>
      <x:c r="B10" s="2" t="n">
        <x:v>2261.5</x:v>
      </x:c>
      <x:c r="C10" s="2" t="n">
        <x:v>550</x:v>
      </x:c>
      <x:c r="D10" s="2" t="n">
        <x:v>667</x:v>
      </x:c>
      <x:c r="E10" s="2" t="n">
        <x:v>2330</x:v>
      </x:c>
      <x:c r="F10" s="2" t="n">
        <x:f>D10*E10/1000000</x:f>
        <x:v>1.55411</x:v>
      </x:c>
      <x:c r="G10" s="2" t="n">
        <x:f>(D10+20)*(E10+20)/1000000</x:f>
        <x:v>1.61445</x:v>
      </x:c>
      <x:c r="H10" s="2" t="str">
        <x:v>KI12-TV03P-03_INK_TRIM.svg</x:v>
      </x:c>
    </x:row>
    <x:row r="11" ht="36" customHeight="1">
      <x:c r="A11" s="2" t="str">
        <x:v>KI12-TV03P-04</x:v>
      </x:c>
      <x:c r="B11" s="2" t="n">
        <x:v>2931.5</x:v>
      </x:c>
      <x:c r="C11" s="2" t="n">
        <x:v>550</x:v>
      </x:c>
      <x:c r="D11" s="2" t="n">
        <x:v>667</x:v>
      </x:c>
      <x:c r="E11" s="2" t="n">
        <x:v>2330</x:v>
      </x:c>
      <x:c r="F11" s="2" t="n">
        <x:f>D11*E11/1000000</x:f>
        <x:v>1.55411</x:v>
      </x:c>
      <x:c r="G11" s="2" t="n">
        <x:f>(D11+20)*(E11+20)/1000000</x:f>
        <x:v>1.61445</x:v>
      </x:c>
      <x:c r="H11" s="2" t="str">
        <x:v>KI12-TV03P-04_INK_TRIM.svg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5" hidden="0" customWidth="1"/>
    <x:col min="5" max="5" width="55" hidden="0" customWidth="1"/>
  </x:cols>
  <x:sheetData>
    <x:row r="1">
      <x:c r="A1" s="5" t="str">
        <x:v>Anyag és technológia / fizikai minta még nem jóváhagyott</x:v>
      </x:c>
    </x:row>
    <x:row r="5" ht="36" customHeight="1">
      <x:c r="A5" s="34" t="str">
        <x:v>Kód</x:v>
      </x:c>
      <x:c r="B5" s="34" t="str">
        <x:v>Rétegrend</x:v>
      </x:c>
      <x:c r="C5" s="34" t="str">
        <x:v>Méret/alkalmazás</x:v>
      </x:c>
      <x:c r="D5" s="34" t="str">
        <x:v>Próba</x:v>
      </x:c>
      <x:c r="E5" s="34" t="str">
        <x:v>Megjegyzés</x:v>
      </x:c>
    </x:row>
    <x:row r="6" ht="100" customHeight="1">
      <x:c r="A6" s="2" t="str">
        <x:v>M16-BRONZE</x:v>
      </x:c>
      <x:c r="B6" s="2" t="str">
        <x:v>18mm MDF hordozó + kétoldali lezárás + matt bronzbarna 2KPU felület</x:v>
      </x:c>
      <x:c r="C6" s="2" t="str">
        <x:v>200x2330mm; frontY382;18mm szerelőtér a fal előtt</x:v>
      </x:c>
      <x:c r="D6" s="2" t="str">
        <x:v>Színminta: NCS S7005-Y20R barnás alap,5–10GU cél60fokon; ez tervezett színrecept, nem gyártói rendelési kód. Bronzos hatást a2700Kfény ad; fémcsillám csak mintajóváhagyással.</x:v>
      </x:c>
      <x:c r="E6" s="2" t="str">
        <x:v>Az alsó frontokkal azonos színminta/batch; nem fényes rézcsík. AlternatívaEGGERF528ST20, de szálcsiszolt és fényesebb lehet.</x:v>
      </x:c>
    </x:row>
    <x:row r="7" ht="100" customHeight="1">
      <x:c r="A7" s="2" t="str">
        <x:v>M16-WALL</x:v>
      </x:c>
      <x:c r="B7" s="2" t="str">
        <x:v>Vescom Bely+Print1040.01 jelölt; vinyl nyomható,szabálytalan lenvászonhatású felület</x:v>
      </x:c>
      <x:c r="C7" s="2" t="str">
        <x:v>4x667x2330mm 18mm merev panelen</x:v>
      </x:c>
      <x:c r="D7" s="2" t="str">
        <x:v>Valódi kárpit helyett textilhatású falburkolat; ragasztó/alapozó MDFre gyártóval jóváhagyandó.</x:v>
      </x:c>
      <x:c r="E7" s="2" t="str">
        <x:v>Nincs TV mögötti kárpitszivacs, relief vagy kitalált mélység. Egyenletes előkészítés, szélek zárása, hátoldali kiegyenlítő réteg.</x:v>
      </x:c>
    </x:row>
    <x:row r="8" ht="100" customHeight="1">
      <x:c r="A8" s="2" t="str">
        <x:v>M16-TOWER</x:v>
      </x:c>
      <x:c r="B8" s="2" t="str">
        <x:v>18mm sík front + bronzbarna matt alap + tusgrafika nyomott/UV felületi réteg</x:v>
      </x:c>
      <x:c r="C8" s="2" t="str">
        <x:v>2x357x2327mm; osztástól független közös minta</x:v>
      </x:c>
      <x:c r="D8" s="2" t="str">
        <x:v>Nyomdai festék/lakk/ragasztó kompatibilitás, tapadás és karcállóság próbája kell.</x:v>
      </x:c>
      <x:c r="E8" s="2" t="str">
        <x:v>Ráfestett látvány helyett külön gyártási grafika. Alsófront bronzbarna, grafika nélkül.</x:v>
      </x:c>
    </x:row>
    <x:row r="9" ht="100" customHeight="1">
      <x:c r="A9" s="2" t="str">
        <x:v>M16-DRAWER15</x:v>
      </x:c>
      <x:c r="B9" s="2" t="str">
        <x:v>15mm nyír rétegelt lemez,csiszolt él,vízbázisú matt lakk</x:v>
      </x:c>
      <x:c r="C9" s="2" t="str">
        <x:v>30fiókdobozalkatrész;testoldal≤16mm</x:v>
      </x:c>
      <x:c r="D9" s="2" t="str">
        <x:v>Lapvastagság és sűrűség valódi beszállítói mintán ellenőrizendő.</x:v>
      </x:c>
      <x:c r="E9" s="2" t="str">
        <x:v>Névleges700kg/m³ tömegbecslés; csavarozott kötés és teljes terhelésű próba.</x:v>
      </x:c>
    </x:row>
  </x:sheetData>
  <x:pageMargins left="0.7" right="0.7" top="0.75" bottom="0.75" header="0.3" footer="0.3"/>
</x:worksheet>
</file>