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b79ba9cf8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sszevetés" sheetId="1" r:id="R53b786b115ae4818"/>
    <x:sheet xmlns:r="http://schemas.openxmlformats.org/officeDocument/2006/relationships" name="Költségek" sheetId="2" r:id="R7dbfa3216e544c2a"/>
    <x:sheet xmlns:r="http://schemas.openxmlformats.org/officeDocument/2006/relationships" name="Alkatrészek" sheetId="3" r:id="R1219485997624664"/>
    <x:sheet xmlns:r="http://schemas.openxmlformats.org/officeDocument/2006/relationships" name="Világítás" sheetId="4" r:id="R1e473dfff52043b3"/>
    <x:sheet xmlns:r="http://schemas.openxmlformats.org/officeDocument/2006/relationships" name="Lezárás" sheetId="5" r:id="R05cf77545af8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-&quot;"/>
    <x:numFmt numFmtId="201" formatCode="0.0%"/>
    <x:numFmt numFmtId="202" formatCode="0.0"/>
    <x:numFmt numFmtId="203" formatCode="0.00"/>
  </x:numFmts>
  <x:fonts count="8">
    <x:font>
      <x:sz val="11"/>
      <x:name val="Carlito"/>
    </x:font>
    <x:font>
      <x:sz val="10"/>
      <x:name val="Arial"/>
    </x:font>
    <x:font>
      <x:b/>
      <x:sz val="16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0000CC"/>
      <x:name val="Arial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43D41"/>
      </x:patternFill>
    </x:fill>
    <x:fill>
      <x:patternFill patternType="solid">
        <x:fgColor rgb="FFE0E6E4"/>
      </x:patternFill>
    </x:fill>
    <x:fill>
      <x:patternFill patternType="solid">
        <x:fgColor rgb="FFE6EAE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7f40579344cf7" /><Relationship Type="http://schemas.openxmlformats.org/officeDocument/2006/relationships/theme" Target="/xl/theme/theme1.xml" Id="R2d5782dfcf434477" /><Relationship Type="http://schemas.openxmlformats.org/officeDocument/2006/relationships/sharedStrings" Target="/xl/sharedStrings.xml" Id="R7266ca2e565945dd" /><Relationship Type="http://schemas.openxmlformats.org/officeDocument/2006/relationships/worksheet" Target="/xl/worksheets/sheet1.xml" Id="R53b786b115ae4818" /><Relationship Type="http://schemas.openxmlformats.org/officeDocument/2006/relationships/worksheet" Target="/xl/worksheets/sheet2.xml" Id="R7dbfa3216e544c2a" /><Relationship Type="http://schemas.openxmlformats.org/officeDocument/2006/relationships/worksheet" Target="/xl/worksheets/sheet3.xml" Id="R1219485997624664" /><Relationship Type="http://schemas.openxmlformats.org/officeDocument/2006/relationships/worksheet" Target="/xl/worksheets/sheet4.xml" Id="R1e473dfff52043b3" /><Relationship Type="http://schemas.openxmlformats.org/officeDocument/2006/relationships/worksheet" Target="/xl/worksheets/sheet5.xml" Id="R05cf77545af84b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9" hidden="0" customWidth="1"/>
    <x:col min="3" max="3" width="49" hidden="0" customWidth="1"/>
    <x:col min="4" max="4" width="20" hidden="0" customWidth="1"/>
    <x:col min="5" max="5" width="3" hidden="0" customWidth="1"/>
    <x:col min="6" max="6" width="9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360 cm médiafal: S01 R16 és S16 R05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 t="str">
        <x:v>Hat külön fiók; kisebb összes fióktér, szélesebb toronypolcok és teljes magas bal ajtó. Az S16 külön alternatíva; az élő lakásregisztert nem írja át.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5" t="str">
        <x:v>Médiafal, bruttó Ft</x:v>
      </x:c>
      <x:c r="B5" s="5" t="str">
        <x:v>Alap</x:v>
      </x:c>
      <x:c r="C5" s="5" t="str">
        <x:v>Alsó sáv</x:v>
      </x:c>
      <x:c r="D5" s="5" t="str">
        <x:v>Felső sáv</x:v>
      </x:c>
      <x:c r="E5" s="1"/>
      <x:c r="F5" s="1" t="str">
        <x:v>Forrás és korlát</x:v>
      </x:c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1" t="str">
        <x:v>S01 Kyoto Ink R16</x:v>
      </x:c>
      <x:c r="B6" s="8" t="n">
        <x:v>2969300</x:v>
      </x:c>
      <x:c r="C6" s="8" t="n">
        <x:v>2438726</x:v>
      </x:c>
      <x:c r="D6" s="8" t="n">
        <x:v>4030447</x:v>
      </x:c>
      <x:c r="E6" s="1"/>
      <x:c r="F6" s="1" t="str">
        <x:v>S01: élő Elemregiszter KI-030/031/032/034/114, 2026.10.29.</x:v>
      </x:c>
      <x:c r="G6" s="1"/>
      <x:c r="H6" s="1"/>
      <x:c r="I6" s="1"/>
      <x:c r="J6" s="1"/>
      <x:c r="K6" s="1"/>
      <x:c r="L6" s="1"/>
      <x:c r="M6" s="1"/>
      <x:c r="N6" s="1"/>
      <x:c r="O6" s="1"/>
    </x:row>
    <x:row r="7" ht="24" customHeight="1">
      <x:c r="A7" s="18" t="str">
        <x:v>S16 Monza Magno R05</x:v>
      </x:c>
      <x:c r="B7" s="19" t="n">
        <x:f>'Költségek'!I33</x:f>
        <x:v>3683946</x:v>
      </x:c>
      <x:c r="C7" s="19" t="n">
        <x:f>'Költségek'!J33</x:f>
        <x:v>2736612</x:v>
      </x:c>
      <x:c r="D7" s="19" t="n">
        <x:f>'Költségek'!K33</x:f>
        <x:v>5183707</x:v>
      </x:c>
      <x:c r="E7" s="1"/>
      <x:c r="F7" s="1" t="str">
        <x:v>S16: Költségek lap. A többlet új anyag-, keret- és világításbecslés.</x:v>
      </x:c>
      <x:c r="G7" s="1"/>
      <x:c r="H7" s="1"/>
      <x:c r="I7" s="1"/>
      <x:c r="J7" s="1"/>
      <x:c r="K7" s="1"/>
      <x:c r="L7" s="1"/>
      <x:c r="M7" s="1"/>
      <x:c r="N7" s="1"/>
      <x:c r="O7" s="1"/>
    </x:row>
    <x:row r="8" ht="24" customHeight="1">
      <x:c r="A8" s="18" t="str">
        <x:v>S16 mínusz S01, alap</x:v>
      </x:c>
      <x:c r="B8" s="19" t="n">
        <x:f>B7-B6</x:f>
        <x:v>714646</x:v>
      </x:c>
      <x:c r="C8" s="19"/>
      <x:c r="D8" s="19"/>
      <x:c r="E8" s="1"/>
      <x:c r="F8" s="1" t="str">
        <x:v>KI-014/KI-106 szerelési átfedés az ajánlatban tisztázandó.</x:v>
      </x:c>
      <x:c r="G8" s="1"/>
      <x:c r="H8" s="1"/>
      <x:c r="I8" s="1"/>
      <x:c r="J8" s="1"/>
      <x:c r="K8" s="1"/>
      <x:c r="L8" s="1"/>
      <x:c r="M8" s="1"/>
      <x:c r="N8" s="1"/>
      <x:c r="O8" s="1"/>
    </x:row>
    <x:row r="9" ht="24" customHeight="1">
      <x:c r="A9" s="1" t="str">
        <x:v>Különbség %</x:v>
      </x:c>
      <x:c r="B9" s="15" t="n">
        <x:f>B8/B6</x:f>
        <x:v>0.2406782743407537</x:v>
      </x:c>
      <x:c r="C9" s="1"/>
      <x:c r="D9" s="1"/>
      <x:c r="E9" s="1"/>
      <x:c r="F9" s="1" t="str">
        <x:v>S01 régi CP1a/CP3 lapjain elavult méret- és árszövegek is vannak.</x:v>
      </x:c>
      <x:c r="G9" s="1"/>
      <x:c r="H9" s="1"/>
      <x:c r="I9" s="1"/>
      <x:c r="J9" s="1"/>
      <x:c r="K9" s="1"/>
      <x:c r="L9" s="1"/>
      <x:c r="M9" s="1"/>
      <x:c r="N9" s="1"/>
      <x:c r="O9" s="1"/>
    </x:row>
    <x:row r="10" ht="24" customHeight="1">
      <x:c r="A10" s="1"/>
      <x:c r="B10" s="1"/>
      <x:c r="C10" s="1"/>
      <x:c r="D10" s="1"/>
      <x:c r="E10" s="1"/>
      <x:c r="F10" s="1" t="str">
        <x:v>S16:bal fél alatt nincs fiók;D1 a torony jobb fele alatt.155,7liter fióktér a S01 180,8litere helyett.</x:v>
      </x:c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4" customHeight="1">
      <x:c r="A11" s="1"/>
      <x:c r="B11" s="1"/>
      <x:c r="C11" s="1"/>
      <x:c r="D11" s="1"/>
      <x:c r="E11" s="1"/>
      <x:c r="F11" s="1" t="str">
        <x:v>A nagy toronyív a felső rekesz sarkaiból helyet vesz el; S16 polc406×290mm,S01polc331×290mm.</x:v>
      </x:c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32" customHeight="1">
      <x:c r="A12" s="5" t="str">
        <x:v>Lakáskeret, bruttó Ft</x:v>
      </x:c>
      <x:c r="B12" s="5" t="str">
        <x:v>Összeg</x:v>
      </x:c>
      <x:c r="C12" s="5" t="str">
        <x:v>Értelmezés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4" customHeight="1">
      <x:c r="A13" s="1" t="str">
        <x:v>S01 aktuális előirányzat</x:v>
      </x:c>
      <x:c r="B13" s="8" t="n">
        <x:v>26212190</x:v>
      </x:c>
      <x:c r="C13" s="14" t="str">
        <x:v>Élő regiszter, R16 állapot.</x:v>
      </x:c>
      <x:c r="D13" s="1"/>
      <x:c r="E13" s="1"/>
      <x:c r="F13" s="1" t="str">
        <x:v>75col méretreferencia:Samsung QE75Q7FAAUXXH;1677,5×962,4×61,1mm.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4" customHeight="1">
      <x:c r="A14" s="1" t="str">
        <x:v>S16-tal feltételes előirányzat</x:v>
      </x:c>
      <x:c r="B14" s="8" t="n">
        <x:f>B13-B6+B7</x:f>
        <x:v>26926836</x:v>
      </x:c>
      <x:c r="C14" s="14" t="str">
        <x:v>Csak az öt W01 csomagsor cseréje.</x:v>
      </x:c>
      <x:c r="D14" s="1"/>
      <x:c r="E14" s="1"/>
      <x:c r="F14" s="1" t="str">
        <x:v>Gyári HU adat:25,3kg,VESA400×400; készülék rendelés nincs jóváhagyva.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4" customHeight="1">
      <x:c r="A15" s="1" t="str">
        <x:v>Tulajdonosi cél</x:v>
      </x:c>
      <x:c r="B15" s="8" t="n">
        <x:v>18000000</x:v>
      </x:c>
      <x:c r="C15" s="14" t="str">
        <x:v>Nem emeltük meg.</x:v>
      </x:c>
      <x:c r="D15" s="1"/>
      <x:c r="E15" s="1"/>
      <x:c r="F15" s="1" t="str">
        <x:v>https://www.samsung.com/hu/tvs/qled-tv/q7f-75-inch-qled-4k-smart-tv-qe75q7faauxxh/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4" customHeight="1">
      <x:c r="A16" s="1" t="str">
        <x:v>Cél feletti összeg</x:v>
      </x:c>
      <x:c r="B16" s="8" t="n">
        <x:f>B14-B15</x:f>
        <x:v>8926836</x:v>
      </x:c>
      <x:c r="C16" s="14" t="str">
        <x:v>S16 feltételes projekt mínusz cél.</x:v>
      </x:c>
      <x:c r="D16" s="1"/>
      <x:c r="E16" s="1"/>
      <x:c r="F16" s="1" t="str">
        <x:v>A75col ár saját becslés, a gyári oldalon nincs érvényes eladási ár.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4" customHeight="1">
      <x:c r="A17" s="1" t="str">
        <x:v>Külön tartalék</x:v>
      </x:c>
      <x:c r="B17" s="8" t="n">
        <x:v>2000000</x:v>
      </x:c>
      <x:c r="C17" s="14" t="str">
        <x:v>Nem része a tervezett beszerzési főösszegnek.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32" customHeight="1">
      <x:c r="A20" s="5" t="str">
        <x:v>Összehasonlítási feltétel</x:v>
      </x:c>
      <x:c r="B20" s="5" t="str">
        <x:v>S01 R16</x:v>
      </x:c>
      <x:c r="C20" s="5" t="str">
        <x:v>S16 R05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4" customHeight="1">
      <x:c r="A21" s="1" t="str">
        <x:v>Teljes szélesség (mm)</x:v>
      </x:c>
      <x:c r="B21" s="1" t="n">
        <x:v>3600</x:v>
      </x:c>
      <x:c r="C21" s="1" t="n">
        <x:v>3600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4" customHeight="1">
      <x:c r="A22" s="1" t="str">
        <x:v>Fiókok száma</x:v>
      </x:c>
      <x:c r="B22" s="1" t="n">
        <x:v>6</x:v>
      </x:c>
      <x:c r="C22" s="1" t="n">
        <x:v>6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4" customHeight="1">
      <x:c r="A23" s="1" t="str">
        <x:v>Fiókok nettó térfogata (liter)</x:v>
      </x:c>
      <x:c r="B23" s="16" t="n">
        <x:v>180.77904</x:v>
      </x:c>
      <x:c r="C23" s="16" t="n">
        <x:v>155.67084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4" customHeight="1">
      <x:c r="A24" s="1" t="str">
        <x:v>Polcok száma</x:v>
      </x:c>
      <x:c r="B24" s="1" t="n">
        <x:v>10</x:v>
      </x:c>
      <x:c r="C24" s="1" t="n">
        <x:v>10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4" customHeight="1">
      <x:c r="A25" s="1" t="str">
        <x:v>Egy polc használható felülete (mm)</x:v>
      </x:c>
      <x:c r="B25" s="1" t="str">
        <x:v>331 × 290</x:v>
      </x:c>
      <x:c r="C25" s="1" t="str">
        <x:v>406 × 290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4" customHeight="1">
      <x:c r="A26" s="1" t="str">
        <x:v>Belső érzékelők száma</x:v>
      </x:c>
      <x:c r="B26" s="1" t="n">
        <x:v>8</x:v>
      </x:c>
      <x:c r="C26" s="1" t="n">
        <x:v>8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4" customHeight="1">
      <x:c r="A27" s="1" t="str">
        <x:v>Külső LED-hossz (m)</x:v>
      </x:c>
      <x:c r="B27" s="17" t="n">
        <x:v>8.5</x:v>
      </x:c>
      <x:c r="C27" s="17" t="n">
        <x:v>26.049424657383355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4" customHeight="1">
      <x:c r="A28" s="1" t="str">
        <x:v>Belső LED-hossz (m)</x:v>
      </x:c>
      <x:c r="B28" s="17" t="n">
        <x:v>7.25</x:v>
      </x:c>
      <x:c r="C28" s="17" t="n">
        <x:v>6.83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4" customHeight="1">
      <x:c r="A30" s="1" t="str">
        <x:v>Az árkülönbség becsült. A sávok átfednek; biztos megtakarítás nem igazolt.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4" customHeight="1">
      <x:c r="A31" s="1" t="str">
        <x:v>TV-készülék, közös szállítás/felhordás és W02 külön projektkeretben marad.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4" customHeight="1">
      <x:c r="A32" s="1" t="str">
        <x:v>Második összehasonlító stílus nincs megadva. A teljes S16 lakás költsége nincs ebben kiszámolva.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32" customHeight="1">
      <x:c r="A35" s="5" t="str">
        <x:v>75 colos TV külön cseréje</x:v>
      </x:c>
      <x:c r="B35" s="5" t="str">
        <x:v>Bruttó Ft</x:v>
      </x:c>
      <x:c r="C35" s="5" t="str">
        <x:v>Állapot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38" customHeight="1">
      <x:c r="A36" s="1" t="str">
        <x:v>Régi KI-033 TV keret</x:v>
      </x:c>
      <x:c r="B36" s="8" t="n">
        <x:v>250000</x:v>
      </x:c>
      <x:c r="C36" s="14" t="str">
        <x:v>S01:65col, becslés.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38" customHeight="1">
      <x:c r="A37" s="1" t="str">
        <x:v>Új75col TV keret</x:v>
      </x:c>
      <x:c r="B37" s="8" t="n">
        <x:v>350000</x:v>
      </x:c>
      <x:c r="C37" s="14" t="str">
        <x:v>350000Ft becslés;300000–450000Ft sáv.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38" customHeight="1">
      <x:c r="A38" s="1" t="str">
        <x:v>TV különbözet</x:v>
      </x:c>
      <x:c r="B38" s="8" t="n">
        <x:f>B37-B36</x:f>
        <x:v>100000</x:v>
      </x:c>
      <x:c r="C38" s="14" t="str">
        <x:v>Nem része a médiafal bútorárának.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38" customHeight="1">
      <x:c r="A39" s="1" t="str">
        <x:v>S16 lakáskeret75col TV-vel</x:v>
      </x:c>
      <x:c r="B39" s="8" t="n">
        <x:f>B14+B38</x:f>
        <x:v>27026836</x:v>
      </x:c>
      <x:c r="C39" s="14" t="str">
        <x:v>W01csere +KI-033csere; tartalék külön.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38" customHeight="1">
      <x:c r="A40" s="1" t="str">
        <x:v>Cél feletti összeg75col TV-vel</x:v>
      </x:c>
      <x:c r="B40" s="8" t="n">
        <x:f>B39-B15</x:f>
        <x:v>9026836</x:v>
      </x:c>
      <x:c r="C40" s="14" t="str">
        <x:v>A18M cél változatlan.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46" hidden="0" customWidth="1"/>
    <x:col min="4" max="4" width="10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3" hidden="0" customWidth="1"/>
    <x:col min="13" max="13" width="9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S16 R05 tételes költségbecslés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 t="str">
        <x:v>2026.10.29. Bruttó Ft. Minden ár becslés; nincs fix ajánlat. Kék szám: módosítható feltevés.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5" t="str">
        <x:v>Kód</x:v>
      </x:c>
      <x:c r="B5" s="5" t="str">
        <x:v>Csoport</x:v>
      </x:c>
      <x:c r="C5" s="5" t="str">
        <x:v>Tétel</x:v>
      </x:c>
      <x:c r="D5" s="5" t="str">
        <x:v>Menny.</x:v>
      </x:c>
      <x:c r="E5" s="5" t="str">
        <x:v>Egység</x:v>
      </x:c>
      <x:c r="F5" s="5" t="str">
        <x:v>Egységár</x:v>
      </x:c>
      <x:c r="G5" s="5" t="str">
        <x:v>Alsó egységár</x:v>
      </x:c>
      <x:c r="H5" s="5" t="str">
        <x:v>Felső egységár</x:v>
      </x:c>
      <x:c r="I5" s="5" t="str">
        <x:v>Alap Ft</x:v>
      </x:c>
      <x:c r="J5" s="5" t="str">
        <x:v>Alsó Ft</x:v>
      </x:c>
      <x:c r="K5" s="5" t="str">
        <x:v>Felső Ft</x:v>
      </x:c>
      <x:c r="L5" s="1"/>
      <x:c r="M5" s="1" t="str">
        <x:v>Áralap és tartalom</x:v>
      </x:c>
      <x:c r="N5" s="1"/>
      <x:c r="O5" s="1"/>
    </x:row>
    <x:row r="6" ht="38" customHeight="1">
      <x:c r="A6" s="1" t="str">
        <x:v>C01</x:v>
      </x:c>
      <x:c r="B6" s="1" t="str">
        <x:v>Alsó bútor</x:v>
      </x:c>
      <x:c r="C6" s="14" t="str">
        <x:v>6 korpusz + sík dekorfront</x:v>
      </x:c>
      <x:c r="D6" s="10" t="n">
        <x:v>1</x:v>
      </x:c>
      <x:c r="E6" s="10" t="str">
        <x:v>csomag</x:v>
      </x:c>
      <x:c r="F6" s="11" t="n">
        <x:v>225000</x:v>
      </x:c>
      <x:c r="G6" s="11" t="n">
        <x:v>175000</x:v>
      </x:c>
      <x:c r="H6" s="11" t="n">
        <x:v>305000</x:v>
      </x:c>
      <x:c r="I6" s="12" t="n">
        <x:f>ROUND(D6*F6,0)</x:f>
        <x:v>225000</x:v>
      </x:c>
      <x:c r="J6" s="12" t="n">
        <x:f>ROUND(D6*G6,0)</x:f>
        <x:v>175000</x:v>
      </x:c>
      <x:c r="K6" s="12" t="n">
        <x:f>ROUND(D6*H6,0)</x:f>
        <x:v>305000</x:v>
      </x:c>
      <x:c r="L6" s="1"/>
      <x:c r="M6" s="14" t="str">
        <x:v>S01 R16 cost.json és élő Elemregiszter, 2026-10-29. Azonos műszaki tartalom költségfeltevése, nem új ajánlat.</x:v>
      </x:c>
      <x:c r="N6" s="1"/>
      <x:c r="O6" s="1"/>
    </x:row>
    <x:row r="7" ht="38" customHeight="1">
      <x:c r="A7" s="1" t="str">
        <x:v>C02</x:v>
      </x:c>
      <x:c r="B7" s="1" t="str">
        <x:v>Alsó bútor</x:v>
      </x:c>
      <x:c r="C7" s="14" t="str">
        <x:v>MOVENTO300 sínpár</x:v>
      </x:c>
      <x:c r="D7" s="10" t="n">
        <x:v>6</x:v>
      </x:c>
      <x:c r="E7" s="10" t="str">
        <x:v>pár</x:v>
      </x:c>
      <x:c r="F7" s="11" t="n">
        <x:v>35000</x:v>
      </x:c>
      <x:c r="G7" s="11" t="n">
        <x:v>28000</x:v>
      </x:c>
      <x:c r="H7" s="11" t="n">
        <x:v>46000</x:v>
      </x:c>
      <x:c r="I7" s="12" t="n">
        <x:f>ROUND(D7*F7,0)</x:f>
        <x:v>210000</x:v>
      </x:c>
      <x:c r="J7" s="12" t="n">
        <x:f>ROUND(D7*G7,0)</x:f>
        <x:v>168000</x:v>
      </x:c>
      <x:c r="K7" s="12" t="n">
        <x:f>ROUND(D7*H7,0)</x:f>
        <x:v>276000</x:v>
      </x:c>
      <x:c r="L7" s="1"/>
      <x:c r="M7" s="14" t="str">
        <x:v>S01 R16 cost.json és élő Elemregiszter, 2026-10-29. Azonos műszaki tartalom költségfeltevése, nem új ajánlat.</x:v>
      </x:c>
      <x:c r="N7" s="1"/>
      <x:c r="O7" s="1"/>
    </x:row>
    <x:row r="8" ht="38" customHeight="1">
      <x:c r="A8" s="1" t="str">
        <x:v>C03</x:v>
      </x:c>
      <x:c r="B8" s="1" t="str">
        <x:v>Alsó bútor</x:v>
      </x:c>
      <x:c r="C8" s="14" t="str">
        <x:v>TIP-ON + kapocs + szinkron + stabilizátor</x:v>
      </x:c>
      <x:c r="D8" s="10" t="n">
        <x:v>6</x:v>
      </x:c>
      <x:c r="E8" s="10" t="str">
        <x:v>szett</x:v>
      </x:c>
      <x:c r="F8" s="11" t="n">
        <x:v>30000</x:v>
      </x:c>
      <x:c r="G8" s="11" t="n">
        <x:v>24000</x:v>
      </x:c>
      <x:c r="H8" s="11" t="n">
        <x:v>40000</x:v>
      </x:c>
      <x:c r="I8" s="12" t="n">
        <x:f>ROUND(D8*F8,0)</x:f>
        <x:v>180000</x:v>
      </x:c>
      <x:c r="J8" s="12" t="n">
        <x:f>ROUND(D8*G8,0)</x:f>
        <x:v>144000</x:v>
      </x:c>
      <x:c r="K8" s="12" t="n">
        <x:f>ROUND(D8*H8,0)</x:f>
        <x:v>240000</x:v>
      </x:c>
      <x:c r="L8" s="1"/>
      <x:c r="M8" s="14" t="str">
        <x:v>S01 R16 cost.json és élő Elemregiszter, 2026-10-29. Azonos műszaki tartalom költségfeltevése, nem új ajánlat.</x:v>
      </x:c>
      <x:c r="N8" s="1"/>
      <x:c r="O8" s="1"/>
    </x:row>
    <x:row r="9" ht="38" customHeight="1">
      <x:c r="A9" s="1" t="str">
        <x:v>C04</x:v>
      </x:c>
      <x:c r="B9" s="1" t="str">
        <x:v>Alsó bútor</x:v>
      </x:c>
      <x:c r="C9" s="14" t="str">
        <x:v>6 nyír fiókdoboz</x:v>
      </x:c>
      <x:c r="D9" s="10" t="n">
        <x:v>1</x:v>
      </x:c>
      <x:c r="E9" s="10" t="str">
        <x:v>csomag</x:v>
      </x:c>
      <x:c r="F9" s="11" t="n">
        <x:v>135000</x:v>
      </x:c>
      <x:c r="G9" s="11" t="n">
        <x:v>100000</x:v>
      </x:c>
      <x:c r="H9" s="11" t="n">
        <x:v>190000</x:v>
      </x:c>
      <x:c r="I9" s="12" t="n">
        <x:f>ROUND(D9*F9,0)</x:f>
        <x:v>135000</x:v>
      </x:c>
      <x:c r="J9" s="12" t="n">
        <x:f>ROUND(D9*G9,0)</x:f>
        <x:v>100000</x:v>
      </x:c>
      <x:c r="K9" s="12" t="n">
        <x:f>ROUND(D9*H9,0)</x:f>
        <x:v>190000</x:v>
      </x:c>
      <x:c r="L9" s="1"/>
      <x:c r="M9" s="14" t="str">
        <x:v>S01 R16 cost.json és élő Elemregiszter, 2026-10-29. Azonos műszaki tartalom költségfeltevése, nem új ajánlat.</x:v>
      </x:c>
      <x:c r="N9" s="1"/>
      <x:c r="O9" s="1"/>
    </x:row>
    <x:row r="10" ht="38" customHeight="1">
      <x:c r="A10" s="1" t="str">
        <x:v>C05</x:v>
      </x:c>
      <x:c r="B10" s="1" t="str">
        <x:v>Alsó bútor</x:v>
      </x:c>
      <x:c r="C10" s="14" t="str">
        <x:v>Alsó bútor műhelymunka</x:v>
      </x:c>
      <x:c r="D10" s="10" t="n">
        <x:v>1</x:v>
      </x:c>
      <x:c r="E10" s="10" t="str">
        <x:v>csomag</x:v>
      </x:c>
      <x:c r="F10" s="11" t="n">
        <x:v>200000</x:v>
      </x:c>
      <x:c r="G10" s="11" t="n">
        <x:v>160000</x:v>
      </x:c>
      <x:c r="H10" s="11" t="n">
        <x:v>240000</x:v>
      </x:c>
      <x:c r="I10" s="12" t="n">
        <x:f>ROUND(D10*F10,0)</x:f>
        <x:v>200000</x:v>
      </x:c>
      <x:c r="J10" s="12" t="n">
        <x:f>ROUND(D10*G10,0)</x:f>
        <x:v>160000</x:v>
      </x:c>
      <x:c r="K10" s="12" t="n">
        <x:f>ROUND(D10*H10,0)</x:f>
        <x:v>240000</x:v>
      </x:c>
      <x:c r="L10" s="1"/>
      <x:c r="M10" s="14" t="str">
        <x:v>S01 R16 cost.json és élő Elemregiszter, 2026-10-29. Azonos műszaki tartalom költségfeltevése, nem új ajánlat.</x:v>
      </x:c>
      <x:c r="N10" s="1"/>
      <x:c r="O10" s="1"/>
    </x:row>
    <x:row r="11" ht="38" customHeight="1">
      <x:c r="A11" s="1" t="str">
        <x:v>U01</x:v>
      </x:c>
      <x:c r="B11" s="1" t="str">
        <x:v>Felső és felület</x:v>
      </x:c>
      <x:c r="C11" s="14" t="str">
        <x:v>Háttér hordozó MDF</x:v>
      </x:c>
      <x:c r="D11" s="10" t="n">
        <x:v>6.258075</x:v>
      </x:c>
      <x:c r="E11" s="10" t="str">
        <x:v>m²</x:v>
      </x:c>
      <x:c r="F11" s="11" t="n">
        <x:v>12500</x:v>
      </x:c>
      <x:c r="G11" s="11" t="n">
        <x:v>9500</x:v>
      </x:c>
      <x:c r="H11" s="11" t="n">
        <x:v>17000</x:v>
      </x:c>
      <x:c r="I11" s="12" t="n">
        <x:f>ROUND(D11*F11,0)</x:f>
        <x:v>78226</x:v>
      </x:c>
      <x:c r="J11" s="12" t="n">
        <x:f>ROUND(D11*G11,0)</x:f>
        <x:v>59452</x:v>
      </x:c>
      <x:c r="K11" s="12" t="n">
        <x:f>ROUND(D11*H11,0)</x:f>
        <x:v>106387</x:v>
      </x:c>
      <x:c r="L11" s="1"/>
      <x:c r="M11" s="14" t="str">
        <x:v>R05 2×678×2305 és2×679,5×2305 mm; anyag becslés, gyártási hulladék U09-ben.</x:v>
      </x:c>
      <x:c r="N11" s="1"/>
      <x:c r="O11" s="1"/>
    </x:row>
    <x:row r="12" ht="38" customHeight="1">
      <x:c r="A12" s="1" t="str">
        <x:v>U02</x:v>
      </x:c>
      <x:c r="B12" s="1" t="str">
        <x:v>Felső és felület</x:v>
      </x:c>
      <x:c r="C12" s="14" t="str">
        <x:v>Szürke textilhatású háttér, beszerzési keret</x:v>
      </x:c>
      <x:c r="D12" s="10" t="n">
        <x:v>6.93</x:v>
      </x:c>
      <x:c r="E12" s="10" t="str">
        <x:v>m²</x:v>
      </x:c>
      <x:c r="F12" s="11" t="n">
        <x:v>24000</x:v>
      </x:c>
      <x:c r="G12" s="11" t="n">
        <x:v>16000</x:v>
      </x:c>
      <x:c r="H12" s="11" t="n">
        <x:v>36000</x:v>
      </x:c>
      <x:c r="I12" s="12" t="n">
        <x:f>ROUND(D12*F12,0)</x:f>
        <x:v>166320</x:v>
      </x:c>
      <x:c r="J12" s="12" t="n">
        <x:f>ROUND(D12*G12,0)</x:f>
        <x:v>110880</x:v>
      </x:c>
      <x:c r="K12" s="12" t="n">
        <x:f>ROUND(D12*H12,0)</x:f>
        <x:v>249480</x:v>
      </x:c>
      <x:c r="L12" s="1"/>
      <x:c r="M12" s="14" t="str">
        <x:v>10,5% burkolati ráhagyás; saját becslés, nincs webshopár.</x:v>
      </x:c>
      <x:c r="N12" s="1"/>
      <x:c r="O12" s="1"/>
    </x:row>
    <x:row r="13" ht="38" customHeight="1">
      <x:c r="A13" s="1" t="str">
        <x:v>U03</x:v>
      </x:c>
      <x:c r="B13" s="1" t="str">
        <x:v>Felső és felület</x:v>
      </x:c>
      <x:c r="C13" s="14" t="str">
        <x:v>Toronytest, 10 polc, bontható hátak</x:v>
      </x:c>
      <x:c r="D13" s="10" t="n">
        <x:v>1</x:v>
      </x:c>
      <x:c r="E13" s="10" t="str">
        <x:v>csomag</x:v>
      </x:c>
      <x:c r="F13" s="11" t="n">
        <x:v>155000</x:v>
      </x:c>
      <x:c r="G13" s="11" t="n">
        <x:v>120000</x:v>
      </x:c>
      <x:c r="H13" s="11" t="n">
        <x:v>220000</x:v>
      </x:c>
      <x:c r="I13" s="12" t="n">
        <x:f>ROUND(D13*F13,0)</x:f>
        <x:v>155000</x:v>
      </x:c>
      <x:c r="J13" s="12" t="n">
        <x:f>ROUND(D13*G13,0)</x:f>
        <x:v>120000</x:v>
      </x:c>
      <x:c r="K13" s="12" t="n">
        <x:f>ROUND(D13*H13,0)</x:f>
        <x:v>220000</x:v>
      </x:c>
      <x:c r="L13" s="1"/>
      <x:c r="M13" s="14" t="str">
        <x:v>R05 alkatrészjegyzék; anyag + élzárás, munkadíj U09.</x:v>
      </x:c>
      <x:c r="N13" s="1"/>
      <x:c r="O13" s="1"/>
    </x:row>
    <x:row r="14" ht="38" customHeight="1">
      <x:c r="A14" s="1" t="str">
        <x:v>U04</x:v>
      </x:c>
      <x:c r="B14" s="1" t="str">
        <x:v>Felső és felület</x:v>
      </x:c>
      <x:c r="C14" s="14" t="str">
        <x:v>2 ajtó dekorral + pánt/TIP-ON</x:v>
      </x:c>
      <x:c r="D14" s="10" t="n">
        <x:v>1</x:v>
      </x:c>
      <x:c r="E14" s="10" t="str">
        <x:v>csomag</x:v>
      </x:c>
      <x:c r="F14" s="11" t="n">
        <x:v>190000</x:v>
      </x:c>
      <x:c r="G14" s="11" t="n">
        <x:v>145000</x:v>
      </x:c>
      <x:c r="H14" s="11" t="n">
        <x:v>265000</x:v>
      </x:c>
      <x:c r="I14" s="12" t="n">
        <x:f>ROUND(D14*F14,0)</x:f>
        <x:v>190000</x:v>
      </x:c>
      <x:c r="J14" s="12" t="n">
        <x:f>ROUND(D14*G14,0)</x:f>
        <x:v>145000</x:v>
      </x:c>
      <x:c r="K14" s="12" t="n">
        <x:f>ROUND(D14*H14,0)</x:f>
        <x:v>265000</x:v>
      </x:c>
      <x:c r="L14" s="1"/>
      <x:c r="M14" s="14" t="str">
        <x:v>11 pánt +2 nyitó becsült keret; rugó nélküli inset változat ellenőrzendő.</x:v>
      </x:c>
      <x:c r="N14" s="1"/>
      <x:c r="O14" s="1"/>
    </x:row>
    <x:row r="15" ht="38" customHeight="1">
      <x:c r="A15" s="1" t="str">
        <x:v>U05</x:v>
      </x:c>
      <x:c r="B15" s="1" t="str">
        <x:v>Felső és felület</x:v>
      </x:c>
      <x:c r="C15" s="14" t="str">
        <x:v>Nagy ívű grafit keretek és laminált sarokhéjak</x:v>
      </x:c>
      <x:c r="D15" s="10" t="n">
        <x:v>1</x:v>
      </x:c>
      <x:c r="E15" s="10" t="str">
        <x:v>csomag</x:v>
      </x:c>
      <x:c r="F15" s="11" t="n">
        <x:v>285000</x:v>
      </x:c>
      <x:c r="G15" s="11" t="n">
        <x:v>195000</x:v>
      </x:c>
      <x:c r="H15" s="11" t="n">
        <x:v>430000</x:v>
      </x:c>
      <x:c r="I15" s="12" t="n">
        <x:f>ROUND(D15*F15,0)</x:f>
        <x:v>285000</x:v>
      </x:c>
      <x:c r="J15" s="12" t="n">
        <x:f>ROUND(D15*G15,0)</x:f>
        <x:v>195000</x:v>
      </x:c>
      <x:c r="K15" s="12" t="n">
        <x:f>ROUND(D15*H15,0)</x:f>
        <x:v>430000</x:v>
      </x:c>
      <x:c r="L15" s="1"/>
      <x:c r="M15" s="14" t="str">
        <x:v>R100 torony/R80 alsó keret; valódi íves sarokhéjak,sablon és2KPU; U09 csak végszerelés.</x:v>
      </x:c>
      <x:c r="N15" s="1"/>
      <x:c r="O15" s="1"/>
    </x:row>
    <x:row r="16" ht="38" customHeight="1">
      <x:c r="A16" s="1" t="str">
        <x:v>U06</x:v>
      </x:c>
      <x:c r="B16" s="1" t="str">
        <x:v>Felső és felület</x:v>
      </x:c>
      <x:c r="C16" s="14" t="str">
        <x:v>Folytonos TV-réteg és távtartók</x:v>
      </x:c>
      <x:c r="D16" s="10" t="n">
        <x:v>4.16</x:v>
      </x:c>
      <x:c r="E16" s="10" t="str">
        <x:v>m²</x:v>
      </x:c>
      <x:c r="F16" s="11" t="n">
        <x:v>35000</x:v>
      </x:c>
      <x:c r="G16" s="11" t="n">
        <x:v>25000</x:v>
      </x:c>
      <x:c r="H16" s="11" t="n">
        <x:v>50000</x:v>
      </x:c>
      <x:c r="I16" s="12" t="n">
        <x:f>ROUND(D16*F16,0)</x:f>
        <x:v>145600</x:v>
      </x:c>
      <x:c r="J16" s="12" t="n">
        <x:f>ROUND(D16*G16,0)</x:f>
        <x:v>104000</x:v>
      </x:c>
      <x:c r="K16" s="12" t="n">
        <x:f>ROUND(D16*H16,0)</x:f>
        <x:v>208000</x:v>
      </x:c>
      <x:c r="L16" s="1"/>
      <x:c r="M16" s="14" t="str">
        <x:v>Három kontúrozott rész a toronytól a fedlapig, R160/R140/R100. Bruttó téglalapanyag-keret; nem csak látható nettó terület.</x:v>
      </x:c>
      <x:c r="N16" s="1"/>
      <x:c r="O16" s="1"/>
    </x:row>
    <x:row r="17" ht="38" customHeight="1">
      <x:c r="A17" s="1" t="str">
        <x:v>U07</x:v>
      </x:c>
      <x:c r="B17" s="1" t="str">
        <x:v>Felső és felület</x:v>
      </x:c>
      <x:c r="C17" s="14" t="str">
        <x:v>Valódi textilbetét, bontható rögzítés</x:v>
      </x:c>
      <x:c r="D17" s="10" t="n">
        <x:v>1</x:v>
      </x:c>
      <x:c r="E17" s="10" t="str">
        <x:v>db</x:v>
      </x:c>
      <x:c r="F17" s="11" t="n">
        <x:v>46000</x:v>
      </x:c>
      <x:c r="G17" s="11" t="n">
        <x:v>31000</x:v>
      </x:c>
      <x:c r="H17" s="11" t="n">
        <x:v>71000</x:v>
      </x:c>
      <x:c r="I17" s="12" t="n">
        <x:f>ROUND(D17*F17,0)</x:f>
        <x:v>46000</x:v>
      </x:c>
      <x:c r="J17" s="12" t="n">
        <x:f>ROUND(D17*G17,0)</x:f>
        <x:v>31000</x:v>
      </x:c>
      <x:c r="K17" s="12" t="n">
        <x:f>ROUND(D17*H17,0)</x:f>
        <x:v>71000</x:v>
      </x:c>
      <x:c r="L17" s="1"/>
      <x:c r="M17" s="14" t="str">
        <x:v>360×2515; kész kárpitos elem becslés.</x:v>
      </x:c>
      <x:c r="N17" s="1"/>
      <x:c r="O17" s="1"/>
    </x:row>
    <x:row r="18" ht="38" customHeight="1">
      <x:c r="A18" s="1" t="str">
        <x:v>U09</x:v>
      </x:c>
      <x:c r="B18" s="1" t="str">
        <x:v>Felső és felület</x:v>
      </x:c>
      <x:c r="C18" s="14" t="str">
        <x:v>Felső műhely-összeállítás és segédanyag</x:v>
      </x:c>
      <x:c r="D18" s="10" t="n">
        <x:v>1</x:v>
      </x:c>
      <x:c r="E18" s="10" t="str">
        <x:v>csomag</x:v>
      </x:c>
      <x:c r="F18" s="11" t="n">
        <x:v>100000</x:v>
      </x:c>
      <x:c r="G18" s="11" t="n">
        <x:v>75000</x:v>
      </x:c>
      <x:c r="H18" s="11" t="n">
        <x:v>150000</x:v>
      </x:c>
      <x:c r="I18" s="12" t="n">
        <x:f>ROUND(D18*F18,0)</x:f>
        <x:v>100000</x:v>
      </x:c>
      <x:c r="J18" s="12" t="n">
        <x:f>ROUND(D18*G18,0)</x:f>
        <x:v>75000</x:v>
      </x:c>
      <x:c r="K18" s="12" t="n">
        <x:f>ROUND(D18*H18,0)</x:f>
        <x:v>150000</x:v>
      </x:c>
      <x:c r="L18" s="1"/>
      <x:c r="M18" s="14" t="str">
        <x:v>A készre árazott U05–08 felületek munkája itt nem ismétlődik; hordozó hulladék és ragasztó benne.</x:v>
      </x:c>
      <x:c r="N18" s="1"/>
      <x:c r="O18" s="1"/>
    </x:row>
    <x:row r="19" ht="38" customHeight="1">
      <x:c r="A19" s="1" t="str">
        <x:v>U10</x:v>
      </x:c>
      <x:c r="B19" s="1" t="str">
        <x:v>Felső és felület</x:v>
      </x:c>
      <x:c r="C19" s="14" t="str">
        <x:v>Együttes szín-/él-/fénypróba</x:v>
      </x:c>
      <x:c r="D19" s="10" t="n">
        <x:v>1</x:v>
      </x:c>
      <x:c r="E19" s="10" t="str">
        <x:v>csomag</x:v>
      </x:c>
      <x:c r="F19" s="11" t="n">
        <x:v>65000</x:v>
      </x:c>
      <x:c r="G19" s="11" t="n">
        <x:v>45000</x:v>
      </x:c>
      <x:c r="H19" s="11" t="n">
        <x:v>100000</x:v>
      </x:c>
      <x:c r="I19" s="12" t="n">
        <x:f>ROUND(D19*F19,0)</x:f>
        <x:v>65000</x:v>
      </x:c>
      <x:c r="J19" s="12" t="n">
        <x:f>ROUND(D19*G19,0)</x:f>
        <x:v>45000</x:v>
      </x:c>
      <x:c r="K19" s="12" t="n">
        <x:f>ROUND(D19*H19,0)</x:f>
        <x:v>100000</x:v>
      </x:c>
      <x:c r="L19" s="1"/>
      <x:c r="M19" s="14" t="str">
        <x:v>Fizikai minta elkészítése; a próba még nem történt meg.</x:v>
      </x:c>
      <x:c r="N19" s="1"/>
      <x:c r="O19" s="1"/>
    </x:row>
    <x:row r="20" ht="38" customHeight="1">
      <x:c r="A20" s="1" t="str">
        <x:v>F01</x:v>
      </x:c>
      <x:c r="B20" s="1" t="str">
        <x:v>Rögzítés és szerelés</x:v>
      </x:c>
      <x:c r="C20" s="14" t="str">
        <x:v>7 korpusz rögzítése és helyszíni beépítés</x:v>
      </x:c>
      <x:c r="D20" s="10" t="n">
        <x:v>1</x:v>
      </x:c>
      <x:c r="E20" s="10" t="str">
        <x:v>csomag</x:v>
      </x:c>
      <x:c r="F20" s="11" t="n">
        <x:v>504800</x:v>
      </x:c>
      <x:c r="G20" s="11" t="n">
        <x:v>429080</x:v>
      </x:c>
      <x:c r="H20" s="11" t="n">
        <x:v>656240</x:v>
      </x:c>
      <x:c r="I20" s="12" t="n">
        <x:f>ROUND(D20*F20,0)</x:f>
        <x:v>504800</x:v>
      </x:c>
      <x:c r="J20" s="12" t="n">
        <x:f>ROUND(D20*G20,0)</x:f>
        <x:v>429080</x:v>
      </x:c>
      <x:c r="K20" s="12" t="n">
        <x:f>ROUND(D20*H20,0)</x:f>
        <x:v>656240</x:v>
      </x:c>
      <x:c r="L20" s="1"/>
      <x:c r="M20" s="14" t="str">
        <x:v>S01 R16 cost.json és élő Elemregiszter, 2026-10-29. Azonos műszaki tartalom költségfeltevése, nem új ajánlat. KI-032; átfedés KI-014 szerelési sorral ajánlati tisztázásra.</x:v>
      </x:c>
      <x:c r="N20" s="1"/>
      <x:c r="O20" s="1"/>
    </x:row>
    <x:row r="21" ht="38" customHeight="1">
      <x:c r="A21" s="1" t="str">
        <x:v>F02</x:v>
      </x:c>
      <x:c r="B21" s="1" t="str">
        <x:v>Rögzítés és szerelés</x:v>
      </x:c>
      <x:c r="C21" s="14" t="str">
        <x:v>Plusz előre oldható panelkapcsok/sínek</x:v>
      </x:c>
      <x:c r="D21" s="10" t="n">
        <x:v>1</x:v>
      </x:c>
      <x:c r="E21" s="10" t="str">
        <x:v>keret</x:v>
      </x:c>
      <x:c r="F21" s="11" t="n">
        <x:v>60000</x:v>
      </x:c>
      <x:c r="G21" s="11" t="n">
        <x:v>35000</x:v>
      </x:c>
      <x:c r="H21" s="11" t="n">
        <x:v>95000</x:v>
      </x:c>
      <x:c r="I21" s="12" t="n">
        <x:f>ROUND(D21*F21,0)</x:f>
        <x:v>60000</x:v>
      </x:c>
      <x:c r="J21" s="12" t="n">
        <x:f>ROUND(D21*G21,0)</x:f>
        <x:v>35000</x:v>
      </x:c>
      <x:c r="K21" s="12" t="n">
        <x:f>ROUND(D21*H21,0)</x:f>
        <x:v>95000</x:v>
      </x:c>
      <x:c r="L21" s="1"/>
      <x:c r="M21" s="14" t="str">
        <x:v>S16 rétegzett paneltöbblet. Falhorgony végleges méretezése külön feltétel.</x:v>
      </x:c>
      <x:c r="N21" s="1"/>
      <x:c r="O21" s="1"/>
    </x:row>
    <x:row r="22" ht="38" customHeight="1">
      <x:c r="A22" s="1" t="str">
        <x:v>TV01</x:v>
      </x:c>
      <x:c r="B22" s="1" t="str">
        <x:v>TV-konzol</x:v>
      </x:c>
      <x:c r="C22" s="14" t="str">
        <x:v>Vogel TVM3605 konzol</x:v>
      </x:c>
      <x:c r="D22" s="10" t="n">
        <x:v>1</x:v>
      </x:c>
      <x:c r="E22" s="10" t="str">
        <x:v>db</x:v>
      </x:c>
      <x:c r="F22" s="11" t="n">
        <x:v>32000</x:v>
      </x:c>
      <x:c r="G22" s="11" t="n">
        <x:v>27200</x:v>
      </x:c>
      <x:c r="H22" s="11" t="n">
        <x:v>41600</x:v>
      </x:c>
      <x:c r="I22" s="12" t="n">
        <x:f>ROUND(D22*F22,0)</x:f>
        <x:v>32000</x:v>
      </x:c>
      <x:c r="J22" s="12" t="n">
        <x:f>ROUND(D22*G22,0)</x:f>
        <x:v>27200</x:v>
      </x:c>
      <x:c r="K22" s="12" t="n">
        <x:f>ROUND(D22*H22,0)</x:f>
        <x:v>41600</x:v>
      </x:c>
      <x:c r="L22" s="1"/>
      <x:c r="M22" s="14" t="str">
        <x:v>S01 R16 cost.json és élő Elemregiszter, 2026-10-29. Azonos műszaki tartalom költségfeltevése, nem új ajánlat. KI-034; a TV vételára külön marad.</x:v>
      </x:c>
      <x:c r="N22" s="1"/>
      <x:c r="O22" s="1"/>
    </x:row>
    <x:row r="23" ht="38" customHeight="1">
      <x:c r="A23" s="1" t="str">
        <x:v>L01</x:v>
      </x:c>
      <x:c r="B23" s="1" t="str">
        <x:v>Világítás</x:v>
      </x:c>
      <x:c r="C23" s="14" t="str">
        <x:v>Belső világítás teljes 8 érzékelős csomag</x:v>
      </x:c>
      <x:c r="D23" s="10" t="n">
        <x:v>1</x:v>
      </x:c>
      <x:c r="E23" s="10" t="str">
        <x:v>csomag</x:v>
      </x:c>
      <x:c r="F23" s="11" t="n">
        <x:v>196000</x:v>
      </x:c>
      <x:c r="G23" s="11" t="n">
        <x:v>135000</x:v>
      </x:c>
      <x:c r="H23" s="11" t="n">
        <x:v>292000</x:v>
      </x:c>
      <x:c r="I23" s="12" t="n">
        <x:f>ROUND(D23*F23,0)</x:f>
        <x:v>196000</x:v>
      </x:c>
      <x:c r="J23" s="12" t="n">
        <x:f>ROUND(D23*G23,0)</x:f>
        <x:v>135000</x:v>
      </x:c>
      <x:c r="K23" s="12" t="n">
        <x:f>ROUND(D23*H23,0)</x:f>
        <x:v>292000</x:v>
      </x:c>
      <x:c r="L23" s="1"/>
      <x:c r="M23" s="14" t="str">
        <x:v>S01 R16 cost.json és élő Elemregiszter, 2026-10-29. Azonos műszaki tartalom költségfeltevése, nem új ajánlat. 10m LED/profil keret, kábel, szenzor és szerelés; táp L07-ben.</x:v>
      </x:c>
      <x:c r="N23" s="1"/>
      <x:c r="O23" s="1"/>
    </x:row>
    <x:row r="24" ht="38" customHeight="1">
      <x:c r="A24" s="1" t="str">
        <x:v>L02</x:v>
      </x:c>
      <x:c r="B24" s="1" t="str">
        <x:v>Világítás</x:v>
      </x:c>
      <x:c r="C24" s="14" t="str">
        <x:v>24V CCT külső LED beszerzés</x:v>
      </x:c>
      <x:c r="D24" s="10" t="n">
        <x:v>30</x:v>
      </x:c>
      <x:c r="E24" s="10" t="str">
        <x:v>m</x:v>
      </x:c>
      <x:c r="F24" s="11" t="n">
        <x:v>7000</x:v>
      </x:c>
      <x:c r="G24" s="11" t="n">
        <x:v>4500</x:v>
      </x:c>
      <x:c r="H24" s="11" t="n">
        <x:v>10000</x:v>
      </x:c>
      <x:c r="I24" s="12" t="n">
        <x:f>ROUND(D24*F24,0)</x:f>
        <x:v>210000</x:v>
      </x:c>
      <x:c r="J24" s="12" t="n">
        <x:f>ROUND(D24*G24,0)</x:f>
        <x:v>135000</x:v>
      </x:c>
      <x:c r="K24" s="12" t="n">
        <x:f>ROUND(D24*H24,0)</x:f>
        <x:v>300000</x:v>
      </x:c>
      <x:c r="L24" s="1"/>
      <x:c r="M24" s="14" t="str">
        <x:v>Teljes körbefutó kontúrok;30m beszerzési keret, 10W/m max. Saját becslés.</x:v>
      </x:c>
      <x:c r="N24" s="1"/>
      <x:c r="O24" s="1"/>
    </x:row>
    <x:row r="25" ht="38" customHeight="1">
      <x:c r="A25" s="1" t="str">
        <x:v>L03</x:v>
      </x:c>
      <x:c r="B25" s="1" t="str">
        <x:v>Világítás</x:v>
      </x:c>
      <x:c r="C25" s="14" t="str">
        <x:v>Külső profil, opál fedél, végzáró</x:v>
      </x:c>
      <x:c r="D25" s="10" t="n">
        <x:v>30</x:v>
      </x:c>
      <x:c r="E25" s="10" t="str">
        <x:v>m</x:v>
      </x:c>
      <x:c r="F25" s="11" t="n">
        <x:v>4500</x:v>
      </x:c>
      <x:c r="G25" s="11" t="n">
        <x:v>3000</x:v>
      </x:c>
      <x:c r="H25" s="11" t="n">
        <x:v>6500</x:v>
      </x:c>
      <x:c r="I25" s="12" t="n">
        <x:f>ROUND(D25*F25,0)</x:f>
        <x:v>135000</x:v>
      </x:c>
      <x:c r="J25" s="12" t="n">
        <x:f>ROUND(D25*G25,0)</x:f>
        <x:v>90000</x:v>
      </x:c>
      <x:c r="K25" s="12" t="n">
        <x:f>ROUND(D25*H25,0)</x:f>
        <x:v>195000</x:v>
      </x:c>
      <x:c r="L25" s="1"/>
      <x:c r="M25" s="14" t="str">
        <x:v>Profilkeret, tényleges vágás/fénypróba szükséges; egyenes szakaszok.</x:v>
      </x:c>
      <x:c r="N25" s="1"/>
      <x:c r="O25" s="1"/>
    </x:row>
    <x:row r="26" ht="38" customHeight="1">
      <x:c r="A26" s="1" t="str">
        <x:v>L04</x:v>
      </x:c>
      <x:c r="B26" s="1" t="str">
        <x:v>Világítás</x:v>
      </x:c>
      <x:c r="C26" s="14" t="str">
        <x:v>CCT vezérlők, 5 független külső fényút</x:v>
      </x:c>
      <x:c r="D26" s="10" t="n">
        <x:v>5</x:v>
      </x:c>
      <x:c r="E26" s="10" t="str">
        <x:v>db</x:v>
      </x:c>
      <x:c r="F26" s="11" t="n">
        <x:v>19000</x:v>
      </x:c>
      <x:c r="G26" s="11" t="n">
        <x:v>14000</x:v>
      </x:c>
      <x:c r="H26" s="11" t="n">
        <x:v>28000</x:v>
      </x:c>
      <x:c r="I26" s="12" t="n">
        <x:f>ROUND(D26*F26,0)</x:f>
        <x:v>95000</x:v>
      </x:c>
      <x:c r="J26" s="12" t="n">
        <x:f>ROUND(D26*G26,0)</x:f>
        <x:v>70000</x:v>
      </x:c>
      <x:c r="K26" s="12" t="n">
        <x:f>ROUND(D26*H26,0)</x:f>
        <x:v>140000</x:v>
      </x:c>
      <x:c r="L26" s="1"/>
      <x:c r="M26" s="14" t="str">
        <x:v>Sunricher SR-ZG9101FA-CCT jelölt; gyári adat ellenőrizve, ár becslés.</x:v>
      </x:c>
      <x:c r="N26" s="1"/>
      <x:c r="O26" s="1"/>
    </x:row>
    <x:row r="27" ht="38" customHeight="1">
      <x:c r="A27" s="1" t="str">
        <x:v>L05</x:v>
      </x:c>
      <x:c r="B27" s="1" t="str">
        <x:v>Világítás</x:v>
      </x:c>
      <x:c r="C27" s="14" t="str">
        <x:v>Külső 24V/200W tápegység</x:v>
      </x:c>
      <x:c r="D27" s="10" t="n">
        <x:v>2</x:v>
      </x:c>
      <x:c r="E27" s="10" t="str">
        <x:v>db</x:v>
      </x:c>
      <x:c r="F27" s="11" t="n">
        <x:v>35000</x:v>
      </x:c>
      <x:c r="G27" s="11" t="n">
        <x:v>25000</x:v>
      </x:c>
      <x:c r="H27" s="11" t="n">
        <x:v>50000</x:v>
      </x:c>
      <x:c r="I27" s="12" t="n">
        <x:f>ROUND(D27*F27,0)</x:f>
        <x:v>70000</x:v>
      </x:c>
      <x:c r="J27" s="12" t="n">
        <x:f>ROUND(D27*G27,0)</x:f>
        <x:v>50000</x:v>
      </x:c>
      <x:c r="K27" s="12" t="n">
        <x:f>ROUND(D27*H27,0)</x:f>
        <x:v>100000</x:v>
      </x:c>
      <x:c r="L27" s="1"/>
      <x:c r="M27" s="14" t="str">
        <x:v>200W SELV CV táp, pontos SKU nyitott; konzervatív3D helyfoglalóval, villamos/hőpróba nélkül.</x:v>
      </x:c>
      <x:c r="N27" s="1"/>
      <x:c r="O27" s="1"/>
    </x:row>
    <x:row r="28" ht="38" customHeight="1">
      <x:c r="A28" s="1" t="str">
        <x:v>L06</x:v>
      </x:c>
      <x:c r="B28" s="1" t="str">
        <x:v>Világítás</x:v>
      </x:c>
      <x:c r="C28" s="14" t="str">
        <x:v>Külső kábel, védelem, csatlakozók</x:v>
      </x:c>
      <x:c r="D28" s="10" t="n">
        <x:v>1</x:v>
      </x:c>
      <x:c r="E28" s="10" t="str">
        <x:v>csomag</x:v>
      </x:c>
      <x:c r="F28" s="11" t="n">
        <x:v>50000</x:v>
      </x:c>
      <x:c r="G28" s="11" t="n">
        <x:v>35000</x:v>
      </x:c>
      <x:c r="H28" s="11" t="n">
        <x:v>80000</x:v>
      </x:c>
      <x:c r="I28" s="12" t="n">
        <x:f>ROUND(D28*F28,0)</x:f>
        <x:v>50000</x:v>
      </x:c>
      <x:c r="J28" s="12" t="n">
        <x:f>ROUND(D28*G28,0)</x:f>
        <x:v>35000</x:v>
      </x:c>
      <x:c r="K28" s="12" t="n">
        <x:f>ROUND(D28*H28,0)</x:f>
        <x:v>80000</x:v>
      </x:c>
      <x:c r="L28" s="1"/>
      <x:c r="M28" s="14" t="str">
        <x:v>5 külön ág; nincs ingyenes elosztás vagy Hue szalagvágás feltételezve.</x:v>
      </x:c>
      <x:c r="N28" s="1"/>
      <x:c r="O28" s="1"/>
    </x:row>
    <x:row r="29" ht="38" customHeight="1">
      <x:c r="A29" s="1" t="str">
        <x:v>L07</x:v>
      </x:c>
      <x:c r="B29" s="1" t="str">
        <x:v>Világítás</x:v>
      </x:c>
      <x:c r="C29" s="14" t="str">
        <x:v>Belső kompatibilis 24V/60W táp</x:v>
      </x:c>
      <x:c r="D29" s="10" t="n">
        <x:v>1</x:v>
      </x:c>
      <x:c r="E29" s="10" t="str">
        <x:v>db</x:v>
      </x:c>
      <x:c r="F29" s="11" t="n">
        <x:v>25000</x:v>
      </x:c>
      <x:c r="G29" s="11" t="n">
        <x:v>18000</x:v>
      </x:c>
      <x:c r="H29" s="11" t="n">
        <x:v>38000</x:v>
      </x:c>
      <x:c r="I29" s="12" t="n">
        <x:f>ROUND(D29*F29,0)</x:f>
        <x:v>25000</x:v>
      </x:c>
      <x:c r="J29" s="12" t="n">
        <x:f>ROUND(D29*G29,0)</x:f>
        <x:v>18000</x:v>
      </x:c>
      <x:c r="K29" s="12" t="n">
        <x:f>ROUND(D29*H29,0)</x:f>
        <x:v>38000</x:v>
      </x:c>
      <x:c r="L29" s="1"/>
      <x:c r="M29" s="14" t="str">
        <x:v>Loox rendszerhez illő kész táp/csatlakozó; pontos SKU szakági lezárásra.</x:v>
      </x:c>
      <x:c r="N29" s="1"/>
      <x:c r="O29" s="1"/>
    </x:row>
    <x:row r="30" ht="38" customHeight="1">
      <x:c r="A30" s="1" t="str">
        <x:v>L08</x:v>
      </x:c>
      <x:c r="B30" s="1" t="str">
        <x:v>Világítás</x:v>
      </x:c>
      <x:c r="C30" s="14" t="str">
        <x:v>Külső villamos szerelés és hő/fénypróba</x:v>
      </x:c>
      <x:c r="D30" s="10" t="n">
        <x:v>1</x:v>
      </x:c>
      <x:c r="E30" s="10" t="str">
        <x:v>csomag</x:v>
      </x:c>
      <x:c r="F30" s="11" t="n">
        <x:v>90000</x:v>
      </x:c>
      <x:c r="G30" s="11" t="n">
        <x:v>60000</x:v>
      </x:c>
      <x:c r="H30" s="11" t="n">
        <x:v>140000</x:v>
      </x:c>
      <x:c r="I30" s="12" t="n">
        <x:f>ROUND(D30*F30,0)</x:f>
        <x:v>90000</x:v>
      </x:c>
      <x:c r="J30" s="12" t="n">
        <x:f>ROUND(D30*G30,0)</x:f>
        <x:v>60000</x:v>
      </x:c>
      <x:c r="K30" s="12" t="n">
        <x:f>ROUND(D30*H30,0)</x:f>
        <x:v>140000</x:v>
      </x:c>
      <x:c r="L30" s="1"/>
      <x:c r="M30" s="14" t="str">
        <x:v>L01 belső szerelését nem ismétli; meglévő D16 betáp alkalmassága feltétel.</x:v>
      </x:c>
      <x:c r="N30" s="1"/>
      <x:c r="O30" s="1"/>
    </x:row>
    <x:row r="31" ht="38" customHeight="1">
      <x:c r="A31" s="1" t="str">
        <x:v>L09</x:v>
      </x:c>
      <x:c r="B31" s="1" t="str">
        <x:v>Világítás</x:v>
      </x:c>
      <x:c r="C31" s="14" t="str">
        <x:v>Torony szerviztér kialakítása</x:v>
      </x:c>
      <x:c r="D31" s="10" t="n">
        <x:v>1</x:v>
      </x:c>
      <x:c r="E31" s="10" t="str">
        <x:v>csomag</x:v>
      </x:c>
      <x:c r="F31" s="11" t="n">
        <x:v>35000</x:v>
      </x:c>
      <x:c r="G31" s="11" t="n">
        <x:v>20000</x:v>
      </x:c>
      <x:c r="H31" s="11" t="n">
        <x:v>55000</x:v>
      </x:c>
      <x:c r="I31" s="12" t="n">
        <x:f>ROUND(D31*F31,0)</x:f>
        <x:v>35000</x:v>
      </x:c>
      <x:c r="J31" s="12" t="n">
        <x:f>ROUND(D31*G31,0)</x:f>
        <x:v>20000</x:v>
      </x:c>
      <x:c r="K31" s="12" t="n">
        <x:f>ROUND(D31*H31,0)</x:f>
        <x:v>55000</x:v>
      </x:c>
      <x:c r="L31" s="1"/>
      <x:c r="M31" s="14" t="str">
        <x:v>S01 R16 cost.json és élő Elemregiszter, 2026-10-29. Azonos műszaki tartalom költségfeltevése, nem új ajánlat. S16 két hátsó bontható rekesz és szellőzés.</x:v>
      </x:c>
      <x:c r="N31" s="1"/>
      <x:c r="O31" s="1"/>
    </x:row>
    <x:row r="32" ht="24" customHeight="1">
      <x:c r="A32" s="1"/>
      <x:c r="B32" s="1"/>
      <x:c r="C32" s="1"/>
      <x:c r="D32" s="1"/>
      <x:c r="E32" s="1"/>
      <x:c r="F32" s="8"/>
      <x:c r="G32" s="8"/>
      <x:c r="H32" s="8"/>
      <x:c r="I32" s="12"/>
      <x:c r="J32" s="12"/>
      <x:c r="K32" s="12"/>
      <x:c r="L32" s="1"/>
      <x:c r="M32" s="1"/>
      <x:c r="N32" s="1"/>
      <x:c r="O32" s="1"/>
    </x:row>
    <x:row r="33" ht="24" customHeight="1">
      <x:c r="A33" s="7"/>
      <x:c r="B33" s="7"/>
      <x:c r="C33" s="7" t="str">
        <x:v>S16 médiafal összesen</x:v>
      </x:c>
      <x:c r="D33" s="7"/>
      <x:c r="E33" s="7"/>
      <x:c r="F33" s="9"/>
      <x:c r="G33" s="9"/>
      <x:c r="H33" s="9"/>
      <x:c r="I33" s="13" t="n">
        <x:f>SUM(I6:I31)</x:f>
        <x:v>3683946</x:v>
      </x:c>
      <x:c r="J33" s="13" t="n">
        <x:f>SUM(J6:J31)</x:f>
        <x:v>2736612</x:v>
      </x:c>
      <x:c r="K33" s="13" t="n">
        <x:f>SUM(K6:K31)</x:f>
        <x:v>5183707</x:v>
      </x:c>
      <x:c r="L33" s="1"/>
      <x:c r="M33" s="1"/>
      <x:c r="N33" s="1"/>
      <x:c r="O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22" hidden="0" customWidth="1"/>
    <x:col min="9" max="9" width="22" hidden="0" customWidth="1"/>
    <x:col min="10" max="10" width="22" hidden="0" customWidth="1"/>
    <x:col min="12" max="12" width="11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S16 R05 alkatrészjegyzék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 t="str">
        <x:v>Kész névleges méretek mm-ben. Nyers szabás és vasalatfurat nincs gyártásra kiadva. Részletes kontúr: azonos nevű DXF.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5" t="str">
        <x:v>ID</x:v>
      </x:c>
      <x:c r="B5" s="5" t="str">
        <x:v>Megnevezés</x:v>
      </x:c>
      <x:c r="C5" s="5" t="str">
        <x:v>L mm</x:v>
      </x:c>
      <x:c r="D5" s="5" t="str">
        <x:v>W mm</x:v>
      </x:c>
      <x:c r="E5" s="5" t="str">
        <x:v>Mélység/T mm</x:v>
      </x:c>
      <x:c r="F5" s="5" t="str">
        <x:v>Anyag</x:v>
      </x:c>
      <x:c r="G5" s="5" t="str">
        <x:v>Költség</x:v>
      </x:c>
      <x:c r="H5" s="5" t="str">
        <x:v>Szálirány</x:v>
      </x:c>
      <x:c r="I5" s="5" t="str">
        <x:v>Nyers L</x:v>
      </x:c>
      <x:c r="J5" s="5" t="str">
        <x:v>Nyers W</x:v>
      </x:c>
      <x:c r="K5" s="1"/>
      <x:c r="L5" s="1" t="str">
        <x:v>Méret értelmezése / részlet</x:v>
      </x:c>
      <x:c r="M5" s="1"/>
      <x:c r="N5" s="1"/>
      <x:c r="O5" s="1"/>
    </x:row>
    <x:row r="6" ht="24" customHeight="1">
      <x:c r="A6" s="1" t="str">
        <x:v>D1-L</x:v>
      </x:c>
      <x:c r="B6" s="1" t="str">
        <x:v>D1 korpuszoldal</x:v>
      </x:c>
      <x:c r="C6" s="16" t="n">
        <x:v>337</x:v>
      </x:c>
      <x:c r="D6" s="16" t="n">
        <x:v>402</x:v>
      </x:c>
      <x:c r="E6" s="16" t="n">
        <x:v>18</x:v>
      </x:c>
      <x:c r="F6" s="1" t="str">
        <x:v>M01</x:v>
      </x:c>
      <x:c r="G6" s="1" t="str">
        <x:v>C01</x:v>
      </x:c>
      <x:c r="H6" s="1" t="str">
        <x:v>nincs</x:v>
      </x:c>
      <x:c r="I6" s="1" t="str">
        <x:v>Műhelyre vár</x:v>
      </x:c>
      <x:c r="J6" s="1" t="str">
        <x:v>Műhelyre vár</x:v>
      </x:c>
      <x:c r="K6" s="1"/>
      <x:c r="L6" s="14" t="str"/>
      <x:c r="M6" s="1"/>
      <x:c r="N6" s="1"/>
      <x:c r="O6" s="1"/>
    </x:row>
    <x:row r="7" ht="24" customHeight="1">
      <x:c r="A7" s="1" t="str">
        <x:v>D1-R</x:v>
      </x:c>
      <x:c r="B7" s="1" t="str">
        <x:v>D1 korpuszoldal</x:v>
      </x:c>
      <x:c r="C7" s="16" t="n">
        <x:v>337</x:v>
      </x:c>
      <x:c r="D7" s="16" t="n">
        <x:v>402</x:v>
      </x:c>
      <x:c r="E7" s="16" t="n">
        <x:v>18</x:v>
      </x:c>
      <x:c r="F7" s="1" t="str">
        <x:v>M01</x:v>
      </x:c>
      <x:c r="G7" s="1" t="str">
        <x:v>C01</x:v>
      </x:c>
      <x:c r="H7" s="1" t="str">
        <x:v>nincs</x:v>
      </x:c>
      <x:c r="I7" s="1" t="str">
        <x:v>Műhelyre vár</x:v>
      </x:c>
      <x:c r="J7" s="1" t="str">
        <x:v>Műhelyre vár</x:v>
      </x:c>
      <x:c r="K7" s="1"/>
      <x:c r="L7" s="14" t="str"/>
      <x:c r="M7" s="1"/>
      <x:c r="N7" s="1"/>
      <x:c r="O7" s="1"/>
    </x:row>
    <x:row r="8" ht="24" customHeight="1">
      <x:c r="A8" s="1" t="str">
        <x:v>D1-T</x:v>
      </x:c>
      <x:c r="B8" s="1" t="str">
        <x:v>D1 fenék/tető</x:v>
      </x:c>
      <x:c r="C8" s="16" t="n">
        <x:v>399</x:v>
      </x:c>
      <x:c r="D8" s="16" t="n">
        <x:v>337</x:v>
      </x:c>
      <x:c r="E8" s="16" t="n">
        <x:v>18</x:v>
      </x:c>
      <x:c r="F8" s="1" t="str">
        <x:v>M01</x:v>
      </x:c>
      <x:c r="G8" s="1" t="str">
        <x:v>C01</x:v>
      </x:c>
      <x:c r="H8" s="1" t="str">
        <x:v>nincs</x:v>
      </x:c>
      <x:c r="I8" s="1" t="str">
        <x:v>Műhelyre vár</x:v>
      </x:c>
      <x:c r="J8" s="1" t="str">
        <x:v>Műhelyre vár</x:v>
      </x:c>
      <x:c r="K8" s="1"/>
      <x:c r="L8" s="14" t="str"/>
      <x:c r="M8" s="1"/>
      <x:c r="N8" s="1"/>
      <x:c r="O8" s="1"/>
    </x:row>
    <x:row r="9" ht="24" customHeight="1">
      <x:c r="A9" s="1" t="str">
        <x:v>D1-BACK</x:v>
      </x:c>
      <x:c r="B9" s="1" t="str">
        <x:v>D1 bontható hát</x:v>
      </x:c>
      <x:c r="C9" s="16" t="n">
        <x:v>399</x:v>
      </x:c>
      <x:c r="D9" s="16" t="n">
        <x:v>384</x:v>
      </x:c>
      <x:c r="E9" s="16" t="n">
        <x:v>8</x:v>
      </x:c>
      <x:c r="F9" s="1" t="str">
        <x:v>M08</x:v>
      </x:c>
      <x:c r="G9" s="1" t="str">
        <x:v>C01</x:v>
      </x:c>
      <x:c r="H9" s="1" t="str">
        <x:v>nincs</x:v>
      </x:c>
      <x:c r="I9" s="1" t="str">
        <x:v>Műhelyre vár</x:v>
      </x:c>
      <x:c r="J9" s="1" t="str">
        <x:v>Műhelyre vár</x:v>
      </x:c>
      <x:c r="K9" s="1"/>
      <x:c r="L9" s="14" t="str"/>
      <x:c r="M9" s="1"/>
      <x:c r="N9" s="1"/>
      <x:c r="O9" s="1"/>
    </x:row>
    <x:row r="10" ht="24" customHeight="1">
      <x:c r="A10" s="1" t="str">
        <x:v>D1-FRONT</x:v>
      </x:c>
      <x:c r="B10" s="1" t="str">
        <x:v>D1 egy magas front</x:v>
      </x:c>
      <x:c r="C10" s="16" t="n">
        <x:v>432</x:v>
      </x:c>
      <x:c r="D10" s="16" t="n">
        <x:v>378</x:v>
      </x:c>
      <x:c r="E10" s="16" t="n">
        <x:v>18</x:v>
      </x:c>
      <x:c r="F10" s="1" t="str">
        <x:v>M03</x:v>
      </x:c>
      <x:c r="G10" s="1" t="str">
        <x:v>C01</x:v>
      </x:c>
      <x:c r="H10" s="1" t="str">
        <x:v>U vízszintes</x:v>
      </x:c>
      <x:c r="I10" s="1" t="str">
        <x:v>Műhelyre vár</x:v>
      </x:c>
      <x:c r="J10" s="1" t="str">
        <x:v>Műhelyre vár</x:v>
      </x:c>
      <x:c r="K10" s="1"/>
      <x:c r="L10" s="14" t="str">
        <x:v>Névleges 3 mm frontköz; minimum benyomási út 2,5 mm. Korpusz elé 5 mm tervezett rés.</x:v>
      </x:c>
      <x:c r="M10" s="1"/>
      <x:c r="N10" s="1"/>
      <x:c r="O10" s="1"/>
    </x:row>
    <x:row r="11" ht="24" customHeight="1">
      <x:c r="A11" s="1" t="str">
        <x:v>D1-BOX-L</x:v>
      </x:c>
      <x:c r="B11" s="1" t="str">
        <x:v>D1 fiókoldal</x:v>
      </x:c>
      <x:c r="C11" s="16" t="n">
        <x:v>290</x:v>
      </x:c>
      <x:c r="D11" s="16" t="n">
        <x:v>237</x:v>
      </x:c>
      <x:c r="E11" s="16" t="n">
        <x:v>15</x:v>
      </x:c>
      <x:c r="F11" s="1" t="str">
        <x:v>M07</x:v>
      </x:c>
      <x:c r="G11" s="1" t="str">
        <x:v>C04</x:v>
      </x:c>
      <x:c r="H11" s="1" t="str">
        <x:v>nincs</x:v>
      </x:c>
      <x:c r="I11" s="1" t="str">
        <x:v>Műhelyre vár</x:v>
      </x:c>
      <x:c r="J11" s="1" t="str">
        <x:v>Műhelyre vár</x:v>
      </x:c>
      <x:c r="K11" s="1"/>
      <x:c r="L11" s="14" t="str"/>
      <x:c r="M11" s="1"/>
      <x:c r="N11" s="1"/>
      <x:c r="O11" s="1"/>
    </x:row>
    <x:row r="12" ht="24" customHeight="1">
      <x:c r="A12" s="1" t="str">
        <x:v>D1-BOX-R</x:v>
      </x:c>
      <x:c r="B12" s="1" t="str">
        <x:v>D1 fiókoldal</x:v>
      </x:c>
      <x:c r="C12" s="16" t="n">
        <x:v>290</x:v>
      </x:c>
      <x:c r="D12" s="16" t="n">
        <x:v>237</x:v>
      </x:c>
      <x:c r="E12" s="16" t="n">
        <x:v>15</x:v>
      </x:c>
      <x:c r="F12" s="1" t="str">
        <x:v>M07</x:v>
      </x:c>
      <x:c r="G12" s="1" t="str">
        <x:v>C04</x:v>
      </x:c>
      <x:c r="H12" s="1" t="str">
        <x:v>nincs</x:v>
      </x:c>
      <x:c r="I12" s="1" t="str">
        <x:v>Műhelyre vár</x:v>
      </x:c>
      <x:c r="J12" s="1" t="str">
        <x:v>Műhelyre vár</x:v>
      </x:c>
      <x:c r="K12" s="1"/>
      <x:c r="L12" s="14" t="str"/>
      <x:c r="M12" s="1"/>
      <x:c r="N12" s="1"/>
      <x:c r="O12" s="1"/>
    </x:row>
    <x:row r="13" ht="24" customHeight="1">
      <x:c r="A13" s="1" t="str">
        <x:v>D1-BOX-F</x:v>
      </x:c>
      <x:c r="B13" s="1" t="str">
        <x:v>D1 dobozelő/hát</x:v>
      </x:c>
      <x:c r="C13" s="16" t="n">
        <x:v>357</x:v>
      </x:c>
      <x:c r="D13" s="16" t="n">
        <x:v>222</x:v>
      </x:c>
      <x:c r="E13" s="16" t="n">
        <x:v>15</x:v>
      </x:c>
      <x:c r="F13" s="1" t="str">
        <x:v>M07</x:v>
      </x:c>
      <x:c r="G13" s="1" t="str">
        <x:v>C04</x:v>
      </x:c>
      <x:c r="H13" s="1" t="str">
        <x:v>nincs</x:v>
      </x:c>
      <x:c r="I13" s="1" t="str">
        <x:v>Műhelyre vár</x:v>
      </x:c>
      <x:c r="J13" s="1" t="str">
        <x:v>Műhelyre vár</x:v>
      </x:c>
      <x:c r="K13" s="1"/>
      <x:c r="L13" s="14" t="str"/>
      <x:c r="M13" s="1"/>
      <x:c r="N13" s="1"/>
      <x:c r="O13" s="1"/>
    </x:row>
    <x:row r="14" ht="24" customHeight="1">
      <x:c r="A14" s="1" t="str">
        <x:v>D1-BOX-H</x:v>
      </x:c>
      <x:c r="B14" s="1" t="str">
        <x:v>D1 dobozelő/hát</x:v>
      </x:c>
      <x:c r="C14" s="16" t="n">
        <x:v>357</x:v>
      </x:c>
      <x:c r="D14" s="16" t="n">
        <x:v>222</x:v>
      </x:c>
      <x:c r="E14" s="16" t="n">
        <x:v>15</x:v>
      </x:c>
      <x:c r="F14" s="1" t="str">
        <x:v>M07</x:v>
      </x:c>
      <x:c r="G14" s="1" t="str">
        <x:v>C04</x:v>
      </x:c>
      <x:c r="H14" s="1" t="str">
        <x:v>nincs</x:v>
      </x:c>
      <x:c r="I14" s="1" t="str">
        <x:v>Műhelyre vár</x:v>
      </x:c>
      <x:c r="J14" s="1" t="str">
        <x:v>Műhelyre vár</x:v>
      </x:c>
      <x:c r="K14" s="1"/>
      <x:c r="L14" s="14" t="str"/>
      <x:c r="M14" s="1"/>
      <x:c r="N14" s="1"/>
      <x:c r="O14" s="1"/>
    </x:row>
    <x:row r="15" ht="24" customHeight="1">
      <x:c r="A15" s="1" t="str">
        <x:v>D1-BOX-B</x:v>
      </x:c>
      <x:c r="B15" s="1" t="str">
        <x:v>D1 fiókfenék</x:v>
      </x:c>
      <x:c r="C15" s="16" t="n">
        <x:v>357</x:v>
      </x:c>
      <x:c r="D15" s="16" t="n">
        <x:v>290</x:v>
      </x:c>
      <x:c r="E15" s="16" t="n">
        <x:v>15</x:v>
      </x:c>
      <x:c r="F15" s="1" t="str">
        <x:v>M07</x:v>
      </x:c>
      <x:c r="G15" s="1" t="str">
        <x:v>C04</x:v>
      </x:c>
      <x:c r="H15" s="1" t="str">
        <x:v>nincs</x:v>
      </x:c>
      <x:c r="I15" s="1" t="str">
        <x:v>Műhelyre vár</x:v>
      </x:c>
      <x:c r="J15" s="1" t="str">
        <x:v>Műhelyre vár</x:v>
      </x:c>
      <x:c r="K15" s="1"/>
      <x:c r="L15" s="14" t="str"/>
      <x:c r="M15" s="1"/>
      <x:c r="N15" s="1"/>
      <x:c r="O15" s="1"/>
    </x:row>
    <x:row r="16" ht="24" customHeight="1">
      <x:c r="A16" s="1" t="str">
        <x:v>D2-L</x:v>
      </x:c>
      <x:c r="B16" s="1" t="str">
        <x:v>D2 korpuszoldal</x:v>
      </x:c>
      <x:c r="C16" s="16" t="n">
        <x:v>337</x:v>
      </x:c>
      <x:c r="D16" s="16" t="n">
        <x:v>420</x:v>
      </x:c>
      <x:c r="E16" s="16" t="n">
        <x:v>18</x:v>
      </x:c>
      <x:c r="F16" s="1" t="str">
        <x:v>M01</x:v>
      </x:c>
      <x:c r="G16" s="1" t="str">
        <x:v>C01</x:v>
      </x:c>
      <x:c r="H16" s="1" t="str">
        <x:v>nincs</x:v>
      </x:c>
      <x:c r="I16" s="1" t="str">
        <x:v>Műhelyre vár</x:v>
      </x:c>
      <x:c r="J16" s="1" t="str">
        <x:v>Műhelyre vár</x:v>
      </x:c>
      <x:c r="K16" s="1"/>
      <x:c r="L16" s="14" t="str"/>
      <x:c r="M16" s="1"/>
      <x:c r="N16" s="1"/>
      <x:c r="O16" s="1"/>
    </x:row>
    <x:row r="17" ht="24" customHeight="1">
      <x:c r="A17" s="1" t="str">
        <x:v>D2-R</x:v>
      </x:c>
      <x:c r="B17" s="1" t="str">
        <x:v>D2 korpuszoldal</x:v>
      </x:c>
      <x:c r="C17" s="16" t="n">
        <x:v>337</x:v>
      </x:c>
      <x:c r="D17" s="16" t="n">
        <x:v>420</x:v>
      </x:c>
      <x:c r="E17" s="16" t="n">
        <x:v>18</x:v>
      </x:c>
      <x:c r="F17" s="1" t="str">
        <x:v>M01</x:v>
      </x:c>
      <x:c r="G17" s="1" t="str">
        <x:v>C01</x:v>
      </x:c>
      <x:c r="H17" s="1" t="str">
        <x:v>nincs</x:v>
      </x:c>
      <x:c r="I17" s="1" t="str">
        <x:v>Műhelyre vár</x:v>
      </x:c>
      <x:c r="J17" s="1" t="str">
        <x:v>Műhelyre vár</x:v>
      </x:c>
      <x:c r="K17" s="1"/>
      <x:c r="L17" s="14" t="str"/>
      <x:c r="M17" s="1"/>
      <x:c r="N17" s="1"/>
      <x:c r="O17" s="1"/>
    </x:row>
    <x:row r="18" ht="24" customHeight="1">
      <x:c r="A18" s="1" t="str">
        <x:v>D2-B</x:v>
      </x:c>
      <x:c r="B18" s="1" t="str">
        <x:v>D2 fenék/tető</x:v>
      </x:c>
      <x:c r="C18" s="16" t="n">
        <x:v>389</x:v>
      </x:c>
      <x:c r="D18" s="16" t="n">
        <x:v>337</x:v>
      </x:c>
      <x:c r="E18" s="16" t="n">
        <x:v>18</x:v>
      </x:c>
      <x:c r="F18" s="1" t="str">
        <x:v>M01</x:v>
      </x:c>
      <x:c r="G18" s="1" t="str">
        <x:v>C01</x:v>
      </x:c>
      <x:c r="H18" s="1" t="str">
        <x:v>nincs</x:v>
      </x:c>
      <x:c r="I18" s="1" t="str">
        <x:v>Műhelyre vár</x:v>
      </x:c>
      <x:c r="J18" s="1" t="str">
        <x:v>Műhelyre vár</x:v>
      </x:c>
      <x:c r="K18" s="1"/>
      <x:c r="L18" s="14" t="str"/>
      <x:c r="M18" s="1"/>
      <x:c r="N18" s="1"/>
      <x:c r="O18" s="1"/>
    </x:row>
    <x:row r="19" ht="24" customHeight="1">
      <x:c r="A19" s="1" t="str">
        <x:v>D2-T</x:v>
      </x:c>
      <x:c r="B19" s="1" t="str">
        <x:v>D2 fenék/tető</x:v>
      </x:c>
      <x:c r="C19" s="16" t="n">
        <x:v>389</x:v>
      </x:c>
      <x:c r="D19" s="16" t="n">
        <x:v>337</x:v>
      </x:c>
      <x:c r="E19" s="16" t="n">
        <x:v>18</x:v>
      </x:c>
      <x:c r="F19" s="1" t="str">
        <x:v>M01</x:v>
      </x:c>
      <x:c r="G19" s="1" t="str">
        <x:v>C01</x:v>
      </x:c>
      <x:c r="H19" s="1" t="str">
        <x:v>nincs</x:v>
      </x:c>
      <x:c r="I19" s="1" t="str">
        <x:v>Műhelyre vár</x:v>
      </x:c>
      <x:c r="J19" s="1" t="str">
        <x:v>Műhelyre vár</x:v>
      </x:c>
      <x:c r="K19" s="1"/>
      <x:c r="L19" s="14" t="str"/>
      <x:c r="M19" s="1"/>
      <x:c r="N19" s="1"/>
      <x:c r="O19" s="1"/>
    </x:row>
    <x:row r="20" ht="24" customHeight="1">
      <x:c r="A20" s="1" t="str">
        <x:v>D2-BACK</x:v>
      </x:c>
      <x:c r="B20" s="1" t="str">
        <x:v>D2 bontható hát</x:v>
      </x:c>
      <x:c r="C20" s="16" t="n">
        <x:v>389</x:v>
      </x:c>
      <x:c r="D20" s="16" t="n">
        <x:v>384</x:v>
      </x:c>
      <x:c r="E20" s="16" t="n">
        <x:v>8</x:v>
      </x:c>
      <x:c r="F20" s="1" t="str">
        <x:v>M08</x:v>
      </x:c>
      <x:c r="G20" s="1" t="str">
        <x:v>C01</x:v>
      </x:c>
      <x:c r="H20" s="1" t="str">
        <x:v>nincs</x:v>
      </x:c>
      <x:c r="I20" s="1" t="str">
        <x:v>Műhelyre vár</x:v>
      </x:c>
      <x:c r="J20" s="1" t="str">
        <x:v>Műhelyre vár</x:v>
      </x:c>
      <x:c r="K20" s="1"/>
      <x:c r="L20" s="14" t="str"/>
      <x:c r="M20" s="1"/>
      <x:c r="N20" s="1"/>
      <x:c r="O20" s="1"/>
    </x:row>
    <x:row r="21" ht="24" customHeight="1">
      <x:c r="A21" s="1" t="str">
        <x:v>D2-FRONT</x:v>
      </x:c>
      <x:c r="B21" s="1" t="str">
        <x:v>D2 egy magas front</x:v>
      </x:c>
      <x:c r="C21" s="16" t="n">
        <x:v>422</x:v>
      </x:c>
      <x:c r="D21" s="16" t="n">
        <x:v>378</x:v>
      </x:c>
      <x:c r="E21" s="16" t="n">
        <x:v>18</x:v>
      </x:c>
      <x:c r="F21" s="1" t="str">
        <x:v>M03</x:v>
      </x:c>
      <x:c r="G21" s="1" t="str">
        <x:v>C01</x:v>
      </x:c>
      <x:c r="H21" s="1" t="str">
        <x:v>U vízszintes</x:v>
      </x:c>
      <x:c r="I21" s="1" t="str">
        <x:v>Műhelyre vár</x:v>
      </x:c>
      <x:c r="J21" s="1" t="str">
        <x:v>Műhelyre vár</x:v>
      </x:c>
      <x:c r="K21" s="1"/>
      <x:c r="L21" s="14" t="str">
        <x:v>Névleges 3 mm frontköz; minimum benyomási út 2,5 mm. Korpusz elé 5 mm tervezett rés.</x:v>
      </x:c>
      <x:c r="M21" s="1"/>
      <x:c r="N21" s="1"/>
      <x:c r="O21" s="1"/>
    </x:row>
    <x:row r="22" ht="24" customHeight="1">
      <x:c r="A22" s="1" t="str">
        <x:v>D2-BOX-L</x:v>
      </x:c>
      <x:c r="B22" s="1" t="str">
        <x:v>D2 fiókoldal</x:v>
      </x:c>
      <x:c r="C22" s="16" t="n">
        <x:v>290</x:v>
      </x:c>
      <x:c r="D22" s="16" t="n">
        <x:v>237</x:v>
      </x:c>
      <x:c r="E22" s="16" t="n">
        <x:v>15</x:v>
      </x:c>
      <x:c r="F22" s="1" t="str">
        <x:v>M07</x:v>
      </x:c>
      <x:c r="G22" s="1" t="str">
        <x:v>C04</x:v>
      </x:c>
      <x:c r="H22" s="1" t="str">
        <x:v>nincs</x:v>
      </x:c>
      <x:c r="I22" s="1" t="str">
        <x:v>Műhelyre vár</x:v>
      </x:c>
      <x:c r="J22" s="1" t="str">
        <x:v>Műhelyre vár</x:v>
      </x:c>
      <x:c r="K22" s="1"/>
      <x:c r="L22" s="14" t="str"/>
      <x:c r="M22" s="1"/>
      <x:c r="N22" s="1"/>
      <x:c r="O22" s="1"/>
    </x:row>
    <x:row r="23" ht="24" customHeight="1">
      <x:c r="A23" s="1" t="str">
        <x:v>D2-BOX-R</x:v>
      </x:c>
      <x:c r="B23" s="1" t="str">
        <x:v>D2 fiókoldal</x:v>
      </x:c>
      <x:c r="C23" s="16" t="n">
        <x:v>290</x:v>
      </x:c>
      <x:c r="D23" s="16" t="n">
        <x:v>237</x:v>
      </x:c>
      <x:c r="E23" s="16" t="n">
        <x:v>15</x:v>
      </x:c>
      <x:c r="F23" s="1" t="str">
        <x:v>M07</x:v>
      </x:c>
      <x:c r="G23" s="1" t="str">
        <x:v>C04</x:v>
      </x:c>
      <x:c r="H23" s="1" t="str">
        <x:v>nincs</x:v>
      </x:c>
      <x:c r="I23" s="1" t="str">
        <x:v>Műhelyre vár</x:v>
      </x:c>
      <x:c r="J23" s="1" t="str">
        <x:v>Műhelyre vár</x:v>
      </x:c>
      <x:c r="K23" s="1"/>
      <x:c r="L23" s="14" t="str"/>
      <x:c r="M23" s="1"/>
      <x:c r="N23" s="1"/>
      <x:c r="O23" s="1"/>
    </x:row>
    <x:row r="24" ht="24" customHeight="1">
      <x:c r="A24" s="1" t="str">
        <x:v>D2-BOX-F</x:v>
      </x:c>
      <x:c r="B24" s="1" t="str">
        <x:v>D2 dobozelő/hát</x:v>
      </x:c>
      <x:c r="C24" s="16" t="n">
        <x:v>347</x:v>
      </x:c>
      <x:c r="D24" s="16" t="n">
        <x:v>222</x:v>
      </x:c>
      <x:c r="E24" s="16" t="n">
        <x:v>15</x:v>
      </x:c>
      <x:c r="F24" s="1" t="str">
        <x:v>M07</x:v>
      </x:c>
      <x:c r="G24" s="1" t="str">
        <x:v>C04</x:v>
      </x:c>
      <x:c r="H24" s="1" t="str">
        <x:v>nincs</x:v>
      </x:c>
      <x:c r="I24" s="1" t="str">
        <x:v>Műhelyre vár</x:v>
      </x:c>
      <x:c r="J24" s="1" t="str">
        <x:v>Műhelyre vár</x:v>
      </x:c>
      <x:c r="K24" s="1"/>
      <x:c r="L24" s="14" t="str"/>
      <x:c r="M24" s="1"/>
      <x:c r="N24" s="1"/>
      <x:c r="O24" s="1"/>
    </x:row>
    <x:row r="25" ht="24" customHeight="1">
      <x:c r="A25" s="1" t="str">
        <x:v>D2-BOX-H</x:v>
      </x:c>
      <x:c r="B25" s="1" t="str">
        <x:v>D2 dobozelő/hát</x:v>
      </x:c>
      <x:c r="C25" s="16" t="n">
        <x:v>347</x:v>
      </x:c>
      <x:c r="D25" s="16" t="n">
        <x:v>222</x:v>
      </x:c>
      <x:c r="E25" s="16" t="n">
        <x:v>15</x:v>
      </x:c>
      <x:c r="F25" s="1" t="str">
        <x:v>M07</x:v>
      </x:c>
      <x:c r="G25" s="1" t="str">
        <x:v>C04</x:v>
      </x:c>
      <x:c r="H25" s="1" t="str">
        <x:v>nincs</x:v>
      </x:c>
      <x:c r="I25" s="1" t="str">
        <x:v>Műhelyre vár</x:v>
      </x:c>
      <x:c r="J25" s="1" t="str">
        <x:v>Műhelyre vár</x:v>
      </x:c>
      <x:c r="K25" s="1"/>
      <x:c r="L25" s="14" t="str"/>
      <x:c r="M25" s="1"/>
      <x:c r="N25" s="1"/>
      <x:c r="O25" s="1"/>
    </x:row>
    <x:row r="26" ht="24" customHeight="1">
      <x:c r="A26" s="1" t="str">
        <x:v>D2-BOX-B</x:v>
      </x:c>
      <x:c r="B26" s="1" t="str">
        <x:v>D2 fiókfenék</x:v>
      </x:c>
      <x:c r="C26" s="16" t="n">
        <x:v>347</x:v>
      </x:c>
      <x:c r="D26" s="16" t="n">
        <x:v>290</x:v>
      </x:c>
      <x:c r="E26" s="16" t="n">
        <x:v>15</x:v>
      </x:c>
      <x:c r="F26" s="1" t="str">
        <x:v>M07</x:v>
      </x:c>
      <x:c r="G26" s="1" t="str">
        <x:v>C04</x:v>
      </x:c>
      <x:c r="H26" s="1" t="str">
        <x:v>nincs</x:v>
      </x:c>
      <x:c r="I26" s="1" t="str">
        <x:v>Műhelyre vár</x:v>
      </x:c>
      <x:c r="J26" s="1" t="str">
        <x:v>Műhelyre vár</x:v>
      </x:c>
      <x:c r="K26" s="1"/>
      <x:c r="L26" s="14" t="str"/>
      <x:c r="M26" s="1"/>
      <x:c r="N26" s="1"/>
      <x:c r="O26" s="1"/>
    </x:row>
    <x:row r="27" ht="24" customHeight="1">
      <x:c r="A27" s="1" t="str">
        <x:v>D3-L</x:v>
      </x:c>
      <x:c r="B27" s="1" t="str">
        <x:v>D3 korpuszoldal</x:v>
      </x:c>
      <x:c r="C27" s="16" t="n">
        <x:v>337</x:v>
      </x:c>
      <x:c r="D27" s="16" t="n">
        <x:v>420</x:v>
      </x:c>
      <x:c r="E27" s="16" t="n">
        <x:v>18</x:v>
      </x:c>
      <x:c r="F27" s="1" t="str">
        <x:v>M01</x:v>
      </x:c>
      <x:c r="G27" s="1" t="str">
        <x:v>C01</x:v>
      </x:c>
      <x:c r="H27" s="1" t="str">
        <x:v>nincs</x:v>
      </x:c>
      <x:c r="I27" s="1" t="str">
        <x:v>Műhelyre vár</x:v>
      </x:c>
      <x:c r="J27" s="1" t="str">
        <x:v>Műhelyre vár</x:v>
      </x:c>
      <x:c r="K27" s="1"/>
      <x:c r="L27" s="14" t="str"/>
      <x:c r="M27" s="1"/>
      <x:c r="N27" s="1"/>
      <x:c r="O27" s="1"/>
    </x:row>
    <x:row r="28" ht="24" customHeight="1">
      <x:c r="A28" s="1" t="str">
        <x:v>D3-R</x:v>
      </x:c>
      <x:c r="B28" s="1" t="str">
        <x:v>D3 korpuszoldal</x:v>
      </x:c>
      <x:c r="C28" s="16" t="n">
        <x:v>337</x:v>
      </x:c>
      <x:c r="D28" s="16" t="n">
        <x:v>420</x:v>
      </x:c>
      <x:c r="E28" s="16" t="n">
        <x:v>18</x:v>
      </x:c>
      <x:c r="F28" s="1" t="str">
        <x:v>M01</x:v>
      </x:c>
      <x:c r="G28" s="1" t="str">
        <x:v>C01</x:v>
      </x:c>
      <x:c r="H28" s="1" t="str">
        <x:v>nincs</x:v>
      </x:c>
      <x:c r="I28" s="1" t="str">
        <x:v>Műhelyre vár</x:v>
      </x:c>
      <x:c r="J28" s="1" t="str">
        <x:v>Műhelyre vár</x:v>
      </x:c>
      <x:c r="K28" s="1"/>
      <x:c r="L28" s="14" t="str"/>
      <x:c r="M28" s="1"/>
      <x:c r="N28" s="1"/>
      <x:c r="O28" s="1"/>
    </x:row>
    <x:row r="29" ht="24" customHeight="1">
      <x:c r="A29" s="1" t="str">
        <x:v>D3-B</x:v>
      </x:c>
      <x:c r="B29" s="1" t="str">
        <x:v>D3 fenék/tető</x:v>
      </x:c>
      <x:c r="C29" s="16" t="n">
        <x:v>389</x:v>
      </x:c>
      <x:c r="D29" s="16" t="n">
        <x:v>337</x:v>
      </x:c>
      <x:c r="E29" s="16" t="n">
        <x:v>18</x:v>
      </x:c>
      <x:c r="F29" s="1" t="str">
        <x:v>M01</x:v>
      </x:c>
      <x:c r="G29" s="1" t="str">
        <x:v>C01</x:v>
      </x:c>
      <x:c r="H29" s="1" t="str">
        <x:v>nincs</x:v>
      </x:c>
      <x:c r="I29" s="1" t="str">
        <x:v>Műhelyre vár</x:v>
      </x:c>
      <x:c r="J29" s="1" t="str">
        <x:v>Műhelyre vár</x:v>
      </x:c>
      <x:c r="K29" s="1"/>
      <x:c r="L29" s="14" t="str"/>
      <x:c r="M29" s="1"/>
      <x:c r="N29" s="1"/>
      <x:c r="O29" s="1"/>
    </x:row>
    <x:row r="30" ht="24" customHeight="1">
      <x:c r="A30" s="1" t="str">
        <x:v>D3-T</x:v>
      </x:c>
      <x:c r="B30" s="1" t="str">
        <x:v>D3 fenék/tető</x:v>
      </x:c>
      <x:c r="C30" s="16" t="n">
        <x:v>389</x:v>
      </x:c>
      <x:c r="D30" s="16" t="n">
        <x:v>337</x:v>
      </x:c>
      <x:c r="E30" s="16" t="n">
        <x:v>18</x:v>
      </x:c>
      <x:c r="F30" s="1" t="str">
        <x:v>M01</x:v>
      </x:c>
      <x:c r="G30" s="1" t="str">
        <x:v>C01</x:v>
      </x:c>
      <x:c r="H30" s="1" t="str">
        <x:v>nincs</x:v>
      </x:c>
      <x:c r="I30" s="1" t="str">
        <x:v>Műhelyre vár</x:v>
      </x:c>
      <x:c r="J30" s="1" t="str">
        <x:v>Műhelyre vár</x:v>
      </x:c>
      <x:c r="K30" s="1"/>
      <x:c r="L30" s="14" t="str"/>
      <x:c r="M30" s="1"/>
      <x:c r="N30" s="1"/>
      <x:c r="O30" s="1"/>
    </x:row>
    <x:row r="31" ht="24" customHeight="1">
      <x:c r="A31" s="1" t="str">
        <x:v>D3-BACK</x:v>
      </x:c>
      <x:c r="B31" s="1" t="str">
        <x:v>D3 bontható hát</x:v>
      </x:c>
      <x:c r="C31" s="16" t="n">
        <x:v>389</x:v>
      </x:c>
      <x:c r="D31" s="16" t="n">
        <x:v>384</x:v>
      </x:c>
      <x:c r="E31" s="16" t="n">
        <x:v>8</x:v>
      </x:c>
      <x:c r="F31" s="1" t="str">
        <x:v>M08</x:v>
      </x:c>
      <x:c r="G31" s="1" t="str">
        <x:v>C01</x:v>
      </x:c>
      <x:c r="H31" s="1" t="str">
        <x:v>nincs</x:v>
      </x:c>
      <x:c r="I31" s="1" t="str">
        <x:v>Műhelyre vár</x:v>
      </x:c>
      <x:c r="J31" s="1" t="str">
        <x:v>Műhelyre vár</x:v>
      </x:c>
      <x:c r="K31" s="1"/>
      <x:c r="L31" s="14" t="str"/>
      <x:c r="M31" s="1"/>
      <x:c r="N31" s="1"/>
      <x:c r="O31" s="1"/>
    </x:row>
    <x:row r="32" ht="24" customHeight="1">
      <x:c r="A32" s="1" t="str">
        <x:v>D3-FRONT</x:v>
      </x:c>
      <x:c r="B32" s="1" t="str">
        <x:v>D3 egy magas front</x:v>
      </x:c>
      <x:c r="C32" s="16" t="n">
        <x:v>422</x:v>
      </x:c>
      <x:c r="D32" s="16" t="n">
        <x:v>378</x:v>
      </x:c>
      <x:c r="E32" s="16" t="n">
        <x:v>18</x:v>
      </x:c>
      <x:c r="F32" s="1" t="str">
        <x:v>M03</x:v>
      </x:c>
      <x:c r="G32" s="1" t="str">
        <x:v>C01</x:v>
      </x:c>
      <x:c r="H32" s="1" t="str">
        <x:v>U vízszintes</x:v>
      </x:c>
      <x:c r="I32" s="1" t="str">
        <x:v>Műhelyre vár</x:v>
      </x:c>
      <x:c r="J32" s="1" t="str">
        <x:v>Műhelyre vár</x:v>
      </x:c>
      <x:c r="K32" s="1"/>
      <x:c r="L32" s="14" t="str">
        <x:v>Névleges 3 mm frontköz; minimum benyomási út 2,5 mm. Korpusz elé 5 mm tervezett rés.</x:v>
      </x:c>
      <x:c r="M32" s="1"/>
      <x:c r="N32" s="1"/>
      <x:c r="O32" s="1"/>
    </x:row>
    <x:row r="33" ht="24" customHeight="1">
      <x:c r="A33" s="1" t="str">
        <x:v>D3-BOX-L</x:v>
      </x:c>
      <x:c r="B33" s="1" t="str">
        <x:v>D3 fiókoldal</x:v>
      </x:c>
      <x:c r="C33" s="16" t="n">
        <x:v>290</x:v>
      </x:c>
      <x:c r="D33" s="16" t="n">
        <x:v>237</x:v>
      </x:c>
      <x:c r="E33" s="16" t="n">
        <x:v>15</x:v>
      </x:c>
      <x:c r="F33" s="1" t="str">
        <x:v>M07</x:v>
      </x:c>
      <x:c r="G33" s="1" t="str">
        <x:v>C04</x:v>
      </x:c>
      <x:c r="H33" s="1" t="str">
        <x:v>nincs</x:v>
      </x:c>
      <x:c r="I33" s="1" t="str">
        <x:v>Műhelyre vár</x:v>
      </x:c>
      <x:c r="J33" s="1" t="str">
        <x:v>Műhelyre vár</x:v>
      </x:c>
      <x:c r="K33" s="1"/>
      <x:c r="L33" s="14" t="str"/>
      <x:c r="M33" s="1"/>
      <x:c r="N33" s="1"/>
      <x:c r="O33" s="1"/>
    </x:row>
    <x:row r="34" ht="24" customHeight="1">
      <x:c r="A34" s="1" t="str">
        <x:v>D3-BOX-R</x:v>
      </x:c>
      <x:c r="B34" s="1" t="str">
        <x:v>D3 fiókoldal</x:v>
      </x:c>
      <x:c r="C34" s="16" t="n">
        <x:v>290</x:v>
      </x:c>
      <x:c r="D34" s="16" t="n">
        <x:v>237</x:v>
      </x:c>
      <x:c r="E34" s="16" t="n">
        <x:v>15</x:v>
      </x:c>
      <x:c r="F34" s="1" t="str">
        <x:v>M07</x:v>
      </x:c>
      <x:c r="G34" s="1" t="str">
        <x:v>C04</x:v>
      </x:c>
      <x:c r="H34" s="1" t="str">
        <x:v>nincs</x:v>
      </x:c>
      <x:c r="I34" s="1" t="str">
        <x:v>Műhelyre vár</x:v>
      </x:c>
      <x:c r="J34" s="1" t="str">
        <x:v>Műhelyre vár</x:v>
      </x:c>
      <x:c r="K34" s="1"/>
      <x:c r="L34" s="14" t="str"/>
      <x:c r="M34" s="1"/>
      <x:c r="N34" s="1"/>
      <x:c r="O34" s="1"/>
    </x:row>
    <x:row r="35" ht="24" customHeight="1">
      <x:c r="A35" s="1" t="str">
        <x:v>D3-BOX-F</x:v>
      </x:c>
      <x:c r="B35" s="1" t="str">
        <x:v>D3 dobozelő/hát</x:v>
      </x:c>
      <x:c r="C35" s="16" t="n">
        <x:v>347</x:v>
      </x:c>
      <x:c r="D35" s="16" t="n">
        <x:v>222</x:v>
      </x:c>
      <x:c r="E35" s="16" t="n">
        <x:v>15</x:v>
      </x:c>
      <x:c r="F35" s="1" t="str">
        <x:v>M07</x:v>
      </x:c>
      <x:c r="G35" s="1" t="str">
        <x:v>C04</x:v>
      </x:c>
      <x:c r="H35" s="1" t="str">
        <x:v>nincs</x:v>
      </x:c>
      <x:c r="I35" s="1" t="str">
        <x:v>Műhelyre vár</x:v>
      </x:c>
      <x:c r="J35" s="1" t="str">
        <x:v>Műhelyre vár</x:v>
      </x:c>
      <x:c r="K35" s="1"/>
      <x:c r="L35" s="14" t="str"/>
      <x:c r="M35" s="1"/>
      <x:c r="N35" s="1"/>
      <x:c r="O35" s="1"/>
    </x:row>
    <x:row r="36" ht="24" customHeight="1">
      <x:c r="A36" s="1" t="str">
        <x:v>D3-BOX-H</x:v>
      </x:c>
      <x:c r="B36" s="1" t="str">
        <x:v>D3 dobozelő/hát</x:v>
      </x:c>
      <x:c r="C36" s="16" t="n">
        <x:v>347</x:v>
      </x:c>
      <x:c r="D36" s="16" t="n">
        <x:v>222</x:v>
      </x:c>
      <x:c r="E36" s="16" t="n">
        <x:v>15</x:v>
      </x:c>
      <x:c r="F36" s="1" t="str">
        <x:v>M07</x:v>
      </x:c>
      <x:c r="G36" s="1" t="str">
        <x:v>C04</x:v>
      </x:c>
      <x:c r="H36" s="1" t="str">
        <x:v>nincs</x:v>
      </x:c>
      <x:c r="I36" s="1" t="str">
        <x:v>Műhelyre vár</x:v>
      </x:c>
      <x:c r="J36" s="1" t="str">
        <x:v>Műhelyre vár</x:v>
      </x:c>
      <x:c r="K36" s="1"/>
      <x:c r="L36" s="14" t="str"/>
      <x:c r="M36" s="1"/>
      <x:c r="N36" s="1"/>
      <x:c r="O36" s="1"/>
    </x:row>
    <x:row r="37" ht="24" customHeight="1">
      <x:c r="A37" s="1" t="str">
        <x:v>D3-BOX-B</x:v>
      </x:c>
      <x:c r="B37" s="1" t="str">
        <x:v>D3 fiókfenék</x:v>
      </x:c>
      <x:c r="C37" s="16" t="n">
        <x:v>347</x:v>
      </x:c>
      <x:c r="D37" s="16" t="n">
        <x:v>290</x:v>
      </x:c>
      <x:c r="E37" s="16" t="n">
        <x:v>15</x:v>
      </x:c>
      <x:c r="F37" s="1" t="str">
        <x:v>M07</x:v>
      </x:c>
      <x:c r="G37" s="1" t="str">
        <x:v>C04</x:v>
      </x:c>
      <x:c r="H37" s="1" t="str">
        <x:v>nincs</x:v>
      </x:c>
      <x:c r="I37" s="1" t="str">
        <x:v>Műhelyre vár</x:v>
      </x:c>
      <x:c r="J37" s="1" t="str">
        <x:v>Műhelyre vár</x:v>
      </x:c>
      <x:c r="K37" s="1"/>
      <x:c r="L37" s="14" t="str"/>
      <x:c r="M37" s="1"/>
      <x:c r="N37" s="1"/>
      <x:c r="O37" s="1"/>
    </x:row>
    <x:row r="38" ht="24" customHeight="1">
      <x:c r="A38" s="1" t="str">
        <x:v>D4-L</x:v>
      </x:c>
      <x:c r="B38" s="1" t="str">
        <x:v>D4 korpuszoldal</x:v>
      </x:c>
      <x:c r="C38" s="16" t="n">
        <x:v>337</x:v>
      </x:c>
      <x:c r="D38" s="16" t="n">
        <x:v>420</x:v>
      </x:c>
      <x:c r="E38" s="16" t="n">
        <x:v>18</x:v>
      </x:c>
      <x:c r="F38" s="1" t="str">
        <x:v>M01</x:v>
      </x:c>
      <x:c r="G38" s="1" t="str">
        <x:v>C01</x:v>
      </x:c>
      <x:c r="H38" s="1" t="str">
        <x:v>nincs</x:v>
      </x:c>
      <x:c r="I38" s="1" t="str">
        <x:v>Műhelyre vár</x:v>
      </x:c>
      <x:c r="J38" s="1" t="str">
        <x:v>Műhelyre vár</x:v>
      </x:c>
      <x:c r="K38" s="1"/>
      <x:c r="L38" s="14" t="str"/>
      <x:c r="M38" s="1"/>
      <x:c r="N38" s="1"/>
      <x:c r="O38" s="1"/>
    </x:row>
    <x:row r="39" ht="24" customHeight="1">
      <x:c r="A39" s="1" t="str">
        <x:v>D4-R</x:v>
      </x:c>
      <x:c r="B39" s="1" t="str">
        <x:v>D4 korpuszoldal</x:v>
      </x:c>
      <x:c r="C39" s="16" t="n">
        <x:v>337</x:v>
      </x:c>
      <x:c r="D39" s="16" t="n">
        <x:v>420</x:v>
      </x:c>
      <x:c r="E39" s="16" t="n">
        <x:v>18</x:v>
      </x:c>
      <x:c r="F39" s="1" t="str">
        <x:v>M01</x:v>
      </x:c>
      <x:c r="G39" s="1" t="str">
        <x:v>C01</x:v>
      </x:c>
      <x:c r="H39" s="1" t="str">
        <x:v>nincs</x:v>
      </x:c>
      <x:c r="I39" s="1" t="str">
        <x:v>Műhelyre vár</x:v>
      </x:c>
      <x:c r="J39" s="1" t="str">
        <x:v>Műhelyre vár</x:v>
      </x:c>
      <x:c r="K39" s="1"/>
      <x:c r="L39" s="14" t="str"/>
      <x:c r="M39" s="1"/>
      <x:c r="N39" s="1"/>
      <x:c r="O39" s="1"/>
    </x:row>
    <x:row r="40" ht="24" customHeight="1">
      <x:c r="A40" s="1" t="str">
        <x:v>D4-B</x:v>
      </x:c>
      <x:c r="B40" s="1" t="str">
        <x:v>D4 fenék/tető</x:v>
      </x:c>
      <x:c r="C40" s="16" t="n">
        <x:v>994</x:v>
      </x:c>
      <x:c r="D40" s="16" t="n">
        <x:v>337</x:v>
      </x:c>
      <x:c r="E40" s="16" t="n">
        <x:v>18</x:v>
      </x:c>
      <x:c r="F40" s="1" t="str">
        <x:v>M01</x:v>
      </x:c>
      <x:c r="G40" s="1" t="str">
        <x:v>C01</x:v>
      </x:c>
      <x:c r="H40" s="1" t="str">
        <x:v>nincs</x:v>
      </x:c>
      <x:c r="I40" s="1" t="str">
        <x:v>Műhelyre vár</x:v>
      </x:c>
      <x:c r="J40" s="1" t="str">
        <x:v>Műhelyre vár</x:v>
      </x:c>
      <x:c r="K40" s="1"/>
      <x:c r="L40" s="14" t="str"/>
      <x:c r="M40" s="1"/>
      <x:c r="N40" s="1"/>
      <x:c r="O40" s="1"/>
    </x:row>
    <x:row r="41" ht="24" customHeight="1">
      <x:c r="A41" s="1" t="str">
        <x:v>D4-T</x:v>
      </x:c>
      <x:c r="B41" s="1" t="str">
        <x:v>D4 fenék/tető</x:v>
      </x:c>
      <x:c r="C41" s="16" t="n">
        <x:v>994</x:v>
      </x:c>
      <x:c r="D41" s="16" t="n">
        <x:v>337</x:v>
      </x:c>
      <x:c r="E41" s="16" t="n">
        <x:v>18</x:v>
      </x:c>
      <x:c r="F41" s="1" t="str">
        <x:v>M01</x:v>
      </x:c>
      <x:c r="G41" s="1" t="str">
        <x:v>C01</x:v>
      </x:c>
      <x:c r="H41" s="1" t="str">
        <x:v>nincs</x:v>
      </x:c>
      <x:c r="I41" s="1" t="str">
        <x:v>Műhelyre vár</x:v>
      </x:c>
      <x:c r="J41" s="1" t="str">
        <x:v>Műhelyre vár</x:v>
      </x:c>
      <x:c r="K41" s="1"/>
      <x:c r="L41" s="14" t="str"/>
      <x:c r="M41" s="1"/>
      <x:c r="N41" s="1"/>
      <x:c r="O41" s="1"/>
    </x:row>
    <x:row r="42" ht="24" customHeight="1">
      <x:c r="A42" s="1" t="str">
        <x:v>D4-BACK</x:v>
      </x:c>
      <x:c r="B42" s="1" t="str">
        <x:v>D4 bontható hát</x:v>
      </x:c>
      <x:c r="C42" s="16" t="n">
        <x:v>994</x:v>
      </x:c>
      <x:c r="D42" s="16" t="n">
        <x:v>384</x:v>
      </x:c>
      <x:c r="E42" s="16" t="n">
        <x:v>8</x:v>
      </x:c>
      <x:c r="F42" s="1" t="str">
        <x:v>M08</x:v>
      </x:c>
      <x:c r="G42" s="1" t="str">
        <x:v>C01</x:v>
      </x:c>
      <x:c r="H42" s="1" t="str">
        <x:v>nincs</x:v>
      </x:c>
      <x:c r="I42" s="1" t="str">
        <x:v>Műhelyre vár</x:v>
      </x:c>
      <x:c r="J42" s="1" t="str">
        <x:v>Műhelyre vár</x:v>
      </x:c>
      <x:c r="K42" s="1"/>
      <x:c r="L42" s="14" t="str"/>
      <x:c r="M42" s="1"/>
      <x:c r="N42" s="1"/>
      <x:c r="O42" s="1"/>
    </x:row>
    <x:row r="43" ht="24" customHeight="1">
      <x:c r="A43" s="1" t="str">
        <x:v>D4-FRONT</x:v>
      </x:c>
      <x:c r="B43" s="1" t="str">
        <x:v>D4 egy magas front</x:v>
      </x:c>
      <x:c r="C43" s="16" t="n">
        <x:v>1027</x:v>
      </x:c>
      <x:c r="D43" s="16" t="n">
        <x:v>378</x:v>
      </x:c>
      <x:c r="E43" s="16" t="n">
        <x:v>18</x:v>
      </x:c>
      <x:c r="F43" s="1" t="str">
        <x:v>M03</x:v>
      </x:c>
      <x:c r="G43" s="1" t="str">
        <x:v>C01</x:v>
      </x:c>
      <x:c r="H43" s="1" t="str">
        <x:v>U vízszintes</x:v>
      </x:c>
      <x:c r="I43" s="1" t="str">
        <x:v>Műhelyre vár</x:v>
      </x:c>
      <x:c r="J43" s="1" t="str">
        <x:v>Műhelyre vár</x:v>
      </x:c>
      <x:c r="K43" s="1"/>
      <x:c r="L43" s="14" t="str">
        <x:v>Névleges 3 mm frontköz; minimum benyomási út 2,5 mm. Korpusz elé 5 mm tervezett rés.</x:v>
      </x:c>
      <x:c r="M43" s="1"/>
      <x:c r="N43" s="1"/>
      <x:c r="O43" s="1"/>
    </x:row>
    <x:row r="44" ht="24" customHeight="1">
      <x:c r="A44" s="1" t="str">
        <x:v>D4-BOX-L</x:v>
      </x:c>
      <x:c r="B44" s="1" t="str">
        <x:v>D4 fiókoldal</x:v>
      </x:c>
      <x:c r="C44" s="16" t="n">
        <x:v>290</x:v>
      </x:c>
      <x:c r="D44" s="16" t="n">
        <x:v>237</x:v>
      </x:c>
      <x:c r="E44" s="16" t="n">
        <x:v>15</x:v>
      </x:c>
      <x:c r="F44" s="1" t="str">
        <x:v>M07</x:v>
      </x:c>
      <x:c r="G44" s="1" t="str">
        <x:v>C04</x:v>
      </x:c>
      <x:c r="H44" s="1" t="str">
        <x:v>nincs</x:v>
      </x:c>
      <x:c r="I44" s="1" t="str">
        <x:v>Műhelyre vár</x:v>
      </x:c>
      <x:c r="J44" s="1" t="str">
        <x:v>Műhelyre vár</x:v>
      </x:c>
      <x:c r="K44" s="1"/>
      <x:c r="L44" s="14" t="str"/>
      <x:c r="M44" s="1"/>
      <x:c r="N44" s="1"/>
      <x:c r="O44" s="1"/>
    </x:row>
    <x:row r="45" ht="24" customHeight="1">
      <x:c r="A45" s="1" t="str">
        <x:v>D4-BOX-R</x:v>
      </x:c>
      <x:c r="B45" s="1" t="str">
        <x:v>D4 fiókoldal</x:v>
      </x:c>
      <x:c r="C45" s="16" t="n">
        <x:v>290</x:v>
      </x:c>
      <x:c r="D45" s="16" t="n">
        <x:v>237</x:v>
      </x:c>
      <x:c r="E45" s="16" t="n">
        <x:v>15</x:v>
      </x:c>
      <x:c r="F45" s="1" t="str">
        <x:v>M07</x:v>
      </x:c>
      <x:c r="G45" s="1" t="str">
        <x:v>C04</x:v>
      </x:c>
      <x:c r="H45" s="1" t="str">
        <x:v>nincs</x:v>
      </x:c>
      <x:c r="I45" s="1" t="str">
        <x:v>Műhelyre vár</x:v>
      </x:c>
      <x:c r="J45" s="1" t="str">
        <x:v>Műhelyre vár</x:v>
      </x:c>
      <x:c r="K45" s="1"/>
      <x:c r="L45" s="14" t="str"/>
      <x:c r="M45" s="1"/>
      <x:c r="N45" s="1"/>
      <x:c r="O45" s="1"/>
    </x:row>
    <x:row r="46" ht="24" customHeight="1">
      <x:c r="A46" s="1" t="str">
        <x:v>D4-BOX-F</x:v>
      </x:c>
      <x:c r="B46" s="1" t="str">
        <x:v>D4 dobozelő/hát</x:v>
      </x:c>
      <x:c r="C46" s="16" t="n">
        <x:v>952</x:v>
      </x:c>
      <x:c r="D46" s="16" t="n">
        <x:v>222</x:v>
      </x:c>
      <x:c r="E46" s="16" t="n">
        <x:v>15</x:v>
      </x:c>
      <x:c r="F46" s="1" t="str">
        <x:v>M07</x:v>
      </x:c>
      <x:c r="G46" s="1" t="str">
        <x:v>C04</x:v>
      </x:c>
      <x:c r="H46" s="1" t="str">
        <x:v>nincs</x:v>
      </x:c>
      <x:c r="I46" s="1" t="str">
        <x:v>Műhelyre vár</x:v>
      </x:c>
      <x:c r="J46" s="1" t="str">
        <x:v>Műhelyre vár</x:v>
      </x:c>
      <x:c r="K46" s="1"/>
      <x:c r="L46" s="14" t="str"/>
      <x:c r="M46" s="1"/>
      <x:c r="N46" s="1"/>
      <x:c r="O46" s="1"/>
    </x:row>
    <x:row r="47" ht="24" customHeight="1">
      <x:c r="A47" s="1" t="str">
        <x:v>D4-BOX-H</x:v>
      </x:c>
      <x:c r="B47" s="1" t="str">
        <x:v>D4 dobozelő/hát</x:v>
      </x:c>
      <x:c r="C47" s="16" t="n">
        <x:v>952</x:v>
      </x:c>
      <x:c r="D47" s="16" t="n">
        <x:v>222</x:v>
      </x:c>
      <x:c r="E47" s="16" t="n">
        <x:v>15</x:v>
      </x:c>
      <x:c r="F47" s="1" t="str">
        <x:v>M07</x:v>
      </x:c>
      <x:c r="G47" s="1" t="str">
        <x:v>C04</x:v>
      </x:c>
      <x:c r="H47" s="1" t="str">
        <x:v>nincs</x:v>
      </x:c>
      <x:c r="I47" s="1" t="str">
        <x:v>Műhelyre vár</x:v>
      </x:c>
      <x:c r="J47" s="1" t="str">
        <x:v>Műhelyre vár</x:v>
      </x:c>
      <x:c r="K47" s="1"/>
      <x:c r="L47" s="14" t="str"/>
      <x:c r="M47" s="1"/>
      <x:c r="N47" s="1"/>
      <x:c r="O47" s="1"/>
    </x:row>
    <x:row r="48" ht="24" customHeight="1">
      <x:c r="A48" s="1" t="str">
        <x:v>D4-BOX-B</x:v>
      </x:c>
      <x:c r="B48" s="1" t="str">
        <x:v>D4 fiókfenék</x:v>
      </x:c>
      <x:c r="C48" s="16" t="n">
        <x:v>952</x:v>
      </x:c>
      <x:c r="D48" s="16" t="n">
        <x:v>290</x:v>
      </x:c>
      <x:c r="E48" s="16" t="n">
        <x:v>15</x:v>
      </x:c>
      <x:c r="F48" s="1" t="str">
        <x:v>M07</x:v>
      </x:c>
      <x:c r="G48" s="1" t="str">
        <x:v>C04</x:v>
      </x:c>
      <x:c r="H48" s="1" t="str">
        <x:v>nincs</x:v>
      </x:c>
      <x:c r="I48" s="1" t="str">
        <x:v>Műhelyre vár</x:v>
      </x:c>
      <x:c r="J48" s="1" t="str">
        <x:v>Műhelyre vár</x:v>
      </x:c>
      <x:c r="K48" s="1"/>
      <x:c r="L48" s="14" t="str"/>
      <x:c r="M48" s="1"/>
      <x:c r="N48" s="1"/>
      <x:c r="O48" s="1"/>
    </x:row>
    <x:row r="49" ht="24" customHeight="1">
      <x:c r="A49" s="1" t="str">
        <x:v>D5-L</x:v>
      </x:c>
      <x:c r="B49" s="1" t="str">
        <x:v>D5 korpuszoldal</x:v>
      </x:c>
      <x:c r="C49" s="16" t="n">
        <x:v>337</x:v>
      </x:c>
      <x:c r="D49" s="16" t="n">
        <x:v>420</x:v>
      </x:c>
      <x:c r="E49" s="16" t="n">
        <x:v>18</x:v>
      </x:c>
      <x:c r="F49" s="1" t="str">
        <x:v>M01</x:v>
      </x:c>
      <x:c r="G49" s="1" t="str">
        <x:v>C01</x:v>
      </x:c>
      <x:c r="H49" s="1" t="str">
        <x:v>nincs</x:v>
      </x:c>
      <x:c r="I49" s="1" t="str">
        <x:v>Műhelyre vár</x:v>
      </x:c>
      <x:c r="J49" s="1" t="str">
        <x:v>Műhelyre vár</x:v>
      </x:c>
      <x:c r="K49" s="1"/>
      <x:c r="L49" s="14" t="str"/>
      <x:c r="M49" s="1"/>
      <x:c r="N49" s="1"/>
      <x:c r="O49" s="1"/>
    </x:row>
    <x:row r="50" ht="24" customHeight="1">
      <x:c r="A50" s="1" t="str">
        <x:v>D5-R</x:v>
      </x:c>
      <x:c r="B50" s="1" t="str">
        <x:v>D5 korpuszoldal</x:v>
      </x:c>
      <x:c r="C50" s="16" t="n">
        <x:v>337</x:v>
      </x:c>
      <x:c r="D50" s="16" t="n">
        <x:v>420</x:v>
      </x:c>
      <x:c r="E50" s="16" t="n">
        <x:v>18</x:v>
      </x:c>
      <x:c r="F50" s="1" t="str">
        <x:v>M01</x:v>
      </x:c>
      <x:c r="G50" s="1" t="str">
        <x:v>C01</x:v>
      </x:c>
      <x:c r="H50" s="1" t="str">
        <x:v>nincs</x:v>
      </x:c>
      <x:c r="I50" s="1" t="str">
        <x:v>Műhelyre vár</x:v>
      </x:c>
      <x:c r="J50" s="1" t="str">
        <x:v>Műhelyre vár</x:v>
      </x:c>
      <x:c r="K50" s="1"/>
      <x:c r="L50" s="14" t="str"/>
      <x:c r="M50" s="1"/>
      <x:c r="N50" s="1"/>
      <x:c r="O50" s="1"/>
    </x:row>
    <x:row r="51" ht="24" customHeight="1">
      <x:c r="A51" s="1" t="str">
        <x:v>D5-B</x:v>
      </x:c>
      <x:c r="B51" s="1" t="str">
        <x:v>D5 fenék/tető</x:v>
      </x:c>
      <x:c r="C51" s="16" t="n">
        <x:v>389</x:v>
      </x:c>
      <x:c r="D51" s="16" t="n">
        <x:v>337</x:v>
      </x:c>
      <x:c r="E51" s="16" t="n">
        <x:v>18</x:v>
      </x:c>
      <x:c r="F51" s="1" t="str">
        <x:v>M01</x:v>
      </x:c>
      <x:c r="G51" s="1" t="str">
        <x:v>C01</x:v>
      </x:c>
      <x:c r="H51" s="1" t="str">
        <x:v>nincs</x:v>
      </x:c>
      <x:c r="I51" s="1" t="str">
        <x:v>Műhelyre vár</x:v>
      </x:c>
      <x:c r="J51" s="1" t="str">
        <x:v>Műhelyre vár</x:v>
      </x:c>
      <x:c r="K51" s="1"/>
      <x:c r="L51" s="14" t="str"/>
      <x:c r="M51" s="1"/>
      <x:c r="N51" s="1"/>
      <x:c r="O51" s="1"/>
    </x:row>
    <x:row r="52" ht="24" customHeight="1">
      <x:c r="A52" s="1" t="str">
        <x:v>D5-T</x:v>
      </x:c>
      <x:c r="B52" s="1" t="str">
        <x:v>D5 fenék/tető</x:v>
      </x:c>
      <x:c r="C52" s="16" t="n">
        <x:v>389</x:v>
      </x:c>
      <x:c r="D52" s="16" t="n">
        <x:v>337</x:v>
      </x:c>
      <x:c r="E52" s="16" t="n">
        <x:v>18</x:v>
      </x:c>
      <x:c r="F52" s="1" t="str">
        <x:v>M01</x:v>
      </x:c>
      <x:c r="G52" s="1" t="str">
        <x:v>C01</x:v>
      </x:c>
      <x:c r="H52" s="1" t="str">
        <x:v>nincs</x:v>
      </x:c>
      <x:c r="I52" s="1" t="str">
        <x:v>Műhelyre vár</x:v>
      </x:c>
      <x:c r="J52" s="1" t="str">
        <x:v>Műhelyre vár</x:v>
      </x:c>
      <x:c r="K52" s="1"/>
      <x:c r="L52" s="14" t="str"/>
      <x:c r="M52" s="1"/>
      <x:c r="N52" s="1"/>
      <x:c r="O52" s="1"/>
    </x:row>
    <x:row r="53" ht="24" customHeight="1">
      <x:c r="A53" s="1" t="str">
        <x:v>D5-BACK</x:v>
      </x:c>
      <x:c r="B53" s="1" t="str">
        <x:v>D5 bontható hát</x:v>
      </x:c>
      <x:c r="C53" s="16" t="n">
        <x:v>389</x:v>
      </x:c>
      <x:c r="D53" s="16" t="n">
        <x:v>384</x:v>
      </x:c>
      <x:c r="E53" s="16" t="n">
        <x:v>8</x:v>
      </x:c>
      <x:c r="F53" s="1" t="str">
        <x:v>M08</x:v>
      </x:c>
      <x:c r="G53" s="1" t="str">
        <x:v>C01</x:v>
      </x:c>
      <x:c r="H53" s="1" t="str">
        <x:v>nincs</x:v>
      </x:c>
      <x:c r="I53" s="1" t="str">
        <x:v>Műhelyre vár</x:v>
      </x:c>
      <x:c r="J53" s="1" t="str">
        <x:v>Műhelyre vár</x:v>
      </x:c>
      <x:c r="K53" s="1"/>
      <x:c r="L53" s="14" t="str"/>
      <x:c r="M53" s="1"/>
      <x:c r="N53" s="1"/>
      <x:c r="O53" s="1"/>
    </x:row>
    <x:row r="54" ht="24" customHeight="1">
      <x:c r="A54" s="1" t="str">
        <x:v>D5-FRONT</x:v>
      </x:c>
      <x:c r="B54" s="1" t="str">
        <x:v>D5 egy magas front</x:v>
      </x:c>
      <x:c r="C54" s="16" t="n">
        <x:v>422</x:v>
      </x:c>
      <x:c r="D54" s="16" t="n">
        <x:v>378</x:v>
      </x:c>
      <x:c r="E54" s="16" t="n">
        <x:v>18</x:v>
      </x:c>
      <x:c r="F54" s="1" t="str">
        <x:v>M03</x:v>
      </x:c>
      <x:c r="G54" s="1" t="str">
        <x:v>C01</x:v>
      </x:c>
      <x:c r="H54" s="1" t="str">
        <x:v>U vízszintes</x:v>
      </x:c>
      <x:c r="I54" s="1" t="str">
        <x:v>Műhelyre vár</x:v>
      </x:c>
      <x:c r="J54" s="1" t="str">
        <x:v>Műhelyre vár</x:v>
      </x:c>
      <x:c r="K54" s="1"/>
      <x:c r="L54" s="14" t="str">
        <x:v>Névleges 3 mm frontköz; minimum benyomási út 2,5 mm. Korpusz elé 5 mm tervezett rés.</x:v>
      </x:c>
      <x:c r="M54" s="1"/>
      <x:c r="N54" s="1"/>
      <x:c r="O54" s="1"/>
    </x:row>
    <x:row r="55" ht="24" customHeight="1">
      <x:c r="A55" s="1" t="str">
        <x:v>D5-BOX-L</x:v>
      </x:c>
      <x:c r="B55" s="1" t="str">
        <x:v>D5 fiókoldal</x:v>
      </x:c>
      <x:c r="C55" s="16" t="n">
        <x:v>290</x:v>
      </x:c>
      <x:c r="D55" s="16" t="n">
        <x:v>237</x:v>
      </x:c>
      <x:c r="E55" s="16" t="n">
        <x:v>15</x:v>
      </x:c>
      <x:c r="F55" s="1" t="str">
        <x:v>M07</x:v>
      </x:c>
      <x:c r="G55" s="1" t="str">
        <x:v>C04</x:v>
      </x:c>
      <x:c r="H55" s="1" t="str">
        <x:v>nincs</x:v>
      </x:c>
      <x:c r="I55" s="1" t="str">
        <x:v>Műhelyre vár</x:v>
      </x:c>
      <x:c r="J55" s="1" t="str">
        <x:v>Műhelyre vár</x:v>
      </x:c>
      <x:c r="K55" s="1"/>
      <x:c r="L55" s="14" t="str"/>
      <x:c r="M55" s="1"/>
      <x:c r="N55" s="1"/>
      <x:c r="O55" s="1"/>
    </x:row>
    <x:row r="56" ht="24" customHeight="1">
      <x:c r="A56" s="1" t="str">
        <x:v>D5-BOX-R</x:v>
      </x:c>
      <x:c r="B56" s="1" t="str">
        <x:v>D5 fiókoldal</x:v>
      </x:c>
      <x:c r="C56" s="16" t="n">
        <x:v>290</x:v>
      </x:c>
      <x:c r="D56" s="16" t="n">
        <x:v>237</x:v>
      </x:c>
      <x:c r="E56" s="16" t="n">
        <x:v>15</x:v>
      </x:c>
      <x:c r="F56" s="1" t="str">
        <x:v>M07</x:v>
      </x:c>
      <x:c r="G56" s="1" t="str">
        <x:v>C04</x:v>
      </x:c>
      <x:c r="H56" s="1" t="str">
        <x:v>nincs</x:v>
      </x:c>
      <x:c r="I56" s="1" t="str">
        <x:v>Műhelyre vár</x:v>
      </x:c>
      <x:c r="J56" s="1" t="str">
        <x:v>Műhelyre vár</x:v>
      </x:c>
      <x:c r="K56" s="1"/>
      <x:c r="L56" s="14" t="str"/>
      <x:c r="M56" s="1"/>
      <x:c r="N56" s="1"/>
      <x:c r="O56" s="1"/>
    </x:row>
    <x:row r="57" ht="24" customHeight="1">
      <x:c r="A57" s="1" t="str">
        <x:v>D5-BOX-F</x:v>
      </x:c>
      <x:c r="B57" s="1" t="str">
        <x:v>D5 dobozelő/hát</x:v>
      </x:c>
      <x:c r="C57" s="16" t="n">
        <x:v>347</x:v>
      </x:c>
      <x:c r="D57" s="16" t="n">
        <x:v>222</x:v>
      </x:c>
      <x:c r="E57" s="16" t="n">
        <x:v>15</x:v>
      </x:c>
      <x:c r="F57" s="1" t="str">
        <x:v>M07</x:v>
      </x:c>
      <x:c r="G57" s="1" t="str">
        <x:v>C04</x:v>
      </x:c>
      <x:c r="H57" s="1" t="str">
        <x:v>nincs</x:v>
      </x:c>
      <x:c r="I57" s="1" t="str">
        <x:v>Műhelyre vár</x:v>
      </x:c>
      <x:c r="J57" s="1" t="str">
        <x:v>Műhelyre vár</x:v>
      </x:c>
      <x:c r="K57" s="1"/>
      <x:c r="L57" s="14" t="str"/>
      <x:c r="M57" s="1"/>
      <x:c r="N57" s="1"/>
      <x:c r="O57" s="1"/>
    </x:row>
    <x:row r="58" ht="24" customHeight="1">
      <x:c r="A58" s="1" t="str">
        <x:v>D5-BOX-H</x:v>
      </x:c>
      <x:c r="B58" s="1" t="str">
        <x:v>D5 dobozelő/hát</x:v>
      </x:c>
      <x:c r="C58" s="16" t="n">
        <x:v>347</x:v>
      </x:c>
      <x:c r="D58" s="16" t="n">
        <x:v>222</x:v>
      </x:c>
      <x:c r="E58" s="16" t="n">
        <x:v>15</x:v>
      </x:c>
      <x:c r="F58" s="1" t="str">
        <x:v>M07</x:v>
      </x:c>
      <x:c r="G58" s="1" t="str">
        <x:v>C04</x:v>
      </x:c>
      <x:c r="H58" s="1" t="str">
        <x:v>nincs</x:v>
      </x:c>
      <x:c r="I58" s="1" t="str">
        <x:v>Műhelyre vár</x:v>
      </x:c>
      <x:c r="J58" s="1" t="str">
        <x:v>Műhelyre vár</x:v>
      </x:c>
      <x:c r="K58" s="1"/>
      <x:c r="L58" s="14" t="str"/>
      <x:c r="M58" s="1"/>
      <x:c r="N58" s="1"/>
      <x:c r="O58" s="1"/>
    </x:row>
    <x:row r="59" ht="24" customHeight="1">
      <x:c r="A59" s="1" t="str">
        <x:v>D5-BOX-B</x:v>
      </x:c>
      <x:c r="B59" s="1" t="str">
        <x:v>D5 fiókfenék</x:v>
      </x:c>
      <x:c r="C59" s="16" t="n">
        <x:v>347</x:v>
      </x:c>
      <x:c r="D59" s="16" t="n">
        <x:v>290</x:v>
      </x:c>
      <x:c r="E59" s="16" t="n">
        <x:v>15</x:v>
      </x:c>
      <x:c r="F59" s="1" t="str">
        <x:v>M07</x:v>
      </x:c>
      <x:c r="G59" s="1" t="str">
        <x:v>C04</x:v>
      </x:c>
      <x:c r="H59" s="1" t="str">
        <x:v>nincs</x:v>
      </x:c>
      <x:c r="I59" s="1" t="str">
        <x:v>Műhelyre vár</x:v>
      </x:c>
      <x:c r="J59" s="1" t="str">
        <x:v>Műhelyre vár</x:v>
      </x:c>
      <x:c r="K59" s="1"/>
      <x:c r="L59" s="14" t="str"/>
      <x:c r="M59" s="1"/>
      <x:c r="N59" s="1"/>
      <x:c r="O59" s="1"/>
    </x:row>
    <x:row r="60" ht="24" customHeight="1">
      <x:c r="A60" s="1" t="str">
        <x:v>D6-L</x:v>
      </x:c>
      <x:c r="B60" s="1" t="str">
        <x:v>D6 korpuszoldal</x:v>
      </x:c>
      <x:c r="C60" s="16" t="n">
        <x:v>337</x:v>
      </x:c>
      <x:c r="D60" s="16" t="n">
        <x:v>420</x:v>
      </x:c>
      <x:c r="E60" s="16" t="n">
        <x:v>18</x:v>
      </x:c>
      <x:c r="F60" s="1" t="str">
        <x:v>M01</x:v>
      </x:c>
      <x:c r="G60" s="1" t="str">
        <x:v>C01</x:v>
      </x:c>
      <x:c r="H60" s="1" t="str">
        <x:v>nincs</x:v>
      </x:c>
      <x:c r="I60" s="1" t="str">
        <x:v>Műhelyre vár</x:v>
      </x:c>
      <x:c r="J60" s="1" t="str">
        <x:v>Műhelyre vár</x:v>
      </x:c>
      <x:c r="K60" s="1"/>
      <x:c r="L60" s="14" t="str"/>
      <x:c r="M60" s="1"/>
      <x:c r="N60" s="1"/>
      <x:c r="O60" s="1"/>
    </x:row>
    <x:row r="61" ht="24" customHeight="1">
      <x:c r="A61" s="1" t="str">
        <x:v>D6-R</x:v>
      </x:c>
      <x:c r="B61" s="1" t="str">
        <x:v>D6 korpuszoldal</x:v>
      </x:c>
      <x:c r="C61" s="16" t="n">
        <x:v>337</x:v>
      </x:c>
      <x:c r="D61" s="16" t="n">
        <x:v>260</x:v>
      </x:c>
      <x:c r="E61" s="16" t="n">
        <x:v>18</x:v>
      </x:c>
      <x:c r="F61" s="1" t="str">
        <x:v>M01</x:v>
      </x:c>
      <x:c r="G61" s="1" t="str">
        <x:v>C01</x:v>
      </x:c>
      <x:c r="H61" s="1" t="str">
        <x:v>nincs</x:v>
      </x:c>
      <x:c r="I61" s="1" t="str">
        <x:v>Műhelyre vár</x:v>
      </x:c>
      <x:c r="J61" s="1" t="str">
        <x:v>Műhelyre vár</x:v>
      </x:c>
      <x:c r="K61" s="1"/>
      <x:c r="L61" s="14" t="str"/>
      <x:c r="M61" s="1"/>
      <x:c r="N61" s="1"/>
      <x:c r="O61" s="1"/>
    </x:row>
    <x:row r="62" ht="24" customHeight="1">
      <x:c r="A62" s="1" t="str">
        <x:v>D6-B</x:v>
      </x:c>
      <x:c r="B62" s="1" t="str">
        <x:v>D6 fenék/tető</x:v>
      </x:c>
      <x:c r="C62" s="16" t="n">
        <x:v>327</x:v>
      </x:c>
      <x:c r="D62" s="16" t="n">
        <x:v>337</x:v>
      </x:c>
      <x:c r="E62" s="16" t="n">
        <x:v>18</x:v>
      </x:c>
      <x:c r="F62" s="1" t="str">
        <x:v>M01</x:v>
      </x:c>
      <x:c r="G62" s="1" t="str">
        <x:v>C01</x:v>
      </x:c>
      <x:c r="H62" s="1" t="str">
        <x:v>nincs</x:v>
      </x:c>
      <x:c r="I62" s="1" t="str">
        <x:v>Műhelyre vár</x:v>
      </x:c>
      <x:c r="J62" s="1" t="str">
        <x:v>Műhelyre vár</x:v>
      </x:c>
      <x:c r="K62" s="1"/>
      <x:c r="L62" s="14" t="str"/>
      <x:c r="M62" s="1"/>
      <x:c r="N62" s="1"/>
      <x:c r="O62" s="1"/>
    </x:row>
    <x:row r="63" ht="24" customHeight="1">
      <x:c r="A63" s="1" t="str">
        <x:v>D6-T</x:v>
      </x:c>
      <x:c r="B63" s="1" t="str">
        <x:v>D6 fenék/tető</x:v>
      </x:c>
      <x:c r="C63" s="16" t="n">
        <x:v>327</x:v>
      </x:c>
      <x:c r="D63" s="16" t="n">
        <x:v>337</x:v>
      </x:c>
      <x:c r="E63" s="16" t="n">
        <x:v>18</x:v>
      </x:c>
      <x:c r="F63" s="1" t="str">
        <x:v>M01</x:v>
      </x:c>
      <x:c r="G63" s="1" t="str">
        <x:v>C01</x:v>
      </x:c>
      <x:c r="H63" s="1" t="str">
        <x:v>nincs</x:v>
      </x:c>
      <x:c r="I63" s="1" t="str">
        <x:v>Műhelyre vár</x:v>
      </x:c>
      <x:c r="J63" s="1" t="str">
        <x:v>Műhelyre vár</x:v>
      </x:c>
      <x:c r="K63" s="1"/>
      <x:c r="L63" s="14" t="str"/>
      <x:c r="M63" s="1"/>
      <x:c r="N63" s="1"/>
      <x:c r="O63" s="1"/>
    </x:row>
    <x:row r="64" ht="24" customHeight="1">
      <x:c r="A64" s="1" t="str">
        <x:v>D6-BACK</x:v>
      </x:c>
      <x:c r="B64" s="1" t="str">
        <x:v>D6 bontható hát</x:v>
      </x:c>
      <x:c r="C64" s="16" t="n">
        <x:v>389</x:v>
      </x:c>
      <x:c r="D64" s="16" t="n">
        <x:v>384</x:v>
      </x:c>
      <x:c r="E64" s="16" t="n">
        <x:v>8</x:v>
      </x:c>
      <x:c r="F64" s="1" t="str">
        <x:v>M08</x:v>
      </x:c>
      <x:c r="G64" s="1" t="str">
        <x:v>C01</x:v>
      </x:c>
      <x:c r="H64" s="1" t="str">
        <x:v>nincs</x:v>
      </x:c>
      <x:c r="I64" s="1" t="str">
        <x:v>Műhelyre vár</x:v>
      </x:c>
      <x:c r="J64" s="1" t="str">
        <x:v>Műhelyre vár</x:v>
      </x:c>
      <x:c r="K64" s="1"/>
      <x:c r="L64" s="14" t="str"/>
      <x:c r="M64" s="1"/>
      <x:c r="N64" s="1"/>
      <x:c r="O64" s="1"/>
    </x:row>
    <x:row r="65" ht="24" customHeight="1">
      <x:c r="A65" s="1" t="str">
        <x:v>D6-FRONT</x:v>
      </x:c>
      <x:c r="B65" s="1" t="str">
        <x:v>D6 egy magas front</x:v>
      </x:c>
      <x:c r="C65" s="16" t="n">
        <x:v>402.5</x:v>
      </x:c>
      <x:c r="D65" s="16" t="n">
        <x:v>378</x:v>
      </x:c>
      <x:c r="E65" s="16" t="n">
        <x:v>18</x:v>
      </x:c>
      <x:c r="F65" s="1" t="str">
        <x:v>M03</x:v>
      </x:c>
      <x:c r="G65" s="1" t="str">
        <x:v>C01</x:v>
      </x:c>
      <x:c r="H65" s="1" t="str">
        <x:v>U vízszintes</x:v>
      </x:c>
      <x:c r="I65" s="1" t="str">
        <x:v>Műhelyre vár</x:v>
      </x:c>
      <x:c r="J65" s="1" t="str">
        <x:v>Műhelyre vár</x:v>
      </x:c>
      <x:c r="K65" s="1"/>
      <x:c r="L65" s="14" t="str">
        <x:v>Névleges 3 mm frontköz; minimum benyomási út 2,5 mm. Korpusz elé 5 mm tervezett rés.</x:v>
      </x:c>
      <x:c r="M65" s="1"/>
      <x:c r="N65" s="1"/>
      <x:c r="O65" s="1"/>
    </x:row>
    <x:row r="66" ht="24" customHeight="1">
      <x:c r="A66" s="1" t="str">
        <x:v>D6-BOX-L</x:v>
      </x:c>
      <x:c r="B66" s="1" t="str">
        <x:v>D6 fiókoldal</x:v>
      </x:c>
      <x:c r="C66" s="16" t="n">
        <x:v>290</x:v>
      </x:c>
      <x:c r="D66" s="16" t="n">
        <x:v>237</x:v>
      </x:c>
      <x:c r="E66" s="16" t="n">
        <x:v>15</x:v>
      </x:c>
      <x:c r="F66" s="1" t="str">
        <x:v>M07</x:v>
      </x:c>
      <x:c r="G66" s="1" t="str">
        <x:v>C04</x:v>
      </x:c>
      <x:c r="H66" s="1" t="str">
        <x:v>nincs</x:v>
      </x:c>
      <x:c r="I66" s="1" t="str">
        <x:v>Műhelyre vár</x:v>
      </x:c>
      <x:c r="J66" s="1" t="str">
        <x:v>Műhelyre vár</x:v>
      </x:c>
      <x:c r="K66" s="1"/>
      <x:c r="L66" s="14" t="str"/>
      <x:c r="M66" s="1"/>
      <x:c r="N66" s="1"/>
      <x:c r="O66" s="1"/>
    </x:row>
    <x:row r="67" ht="24" customHeight="1">
      <x:c r="A67" s="1" t="str">
        <x:v>D6-BOX-R</x:v>
      </x:c>
      <x:c r="B67" s="1" t="str">
        <x:v>D6 fiókoldal</x:v>
      </x:c>
      <x:c r="C67" s="16" t="n">
        <x:v>290</x:v>
      </x:c>
      <x:c r="D67" s="16" t="n">
        <x:v>237</x:v>
      </x:c>
      <x:c r="E67" s="16" t="n">
        <x:v>15</x:v>
      </x:c>
      <x:c r="F67" s="1" t="str">
        <x:v>M07</x:v>
      </x:c>
      <x:c r="G67" s="1" t="str">
        <x:v>C04</x:v>
      </x:c>
      <x:c r="H67" s="1" t="str">
        <x:v>nincs</x:v>
      </x:c>
      <x:c r="I67" s="1" t="str">
        <x:v>Műhelyre vár</x:v>
      </x:c>
      <x:c r="J67" s="1" t="str">
        <x:v>Műhelyre vár</x:v>
      </x:c>
      <x:c r="K67" s="1"/>
      <x:c r="L67" s="14" t="str"/>
      <x:c r="M67" s="1"/>
      <x:c r="N67" s="1"/>
      <x:c r="O67" s="1"/>
    </x:row>
    <x:row r="68" ht="24" customHeight="1">
      <x:c r="A68" s="1" t="str">
        <x:v>D6-BOX-F</x:v>
      </x:c>
      <x:c r="B68" s="1" t="str">
        <x:v>D6 dobozelő/hát</x:v>
      </x:c>
      <x:c r="C68" s="16" t="n">
        <x:v>347</x:v>
      </x:c>
      <x:c r="D68" s="16" t="n">
        <x:v>222</x:v>
      </x:c>
      <x:c r="E68" s="16" t="n">
        <x:v>15</x:v>
      </x:c>
      <x:c r="F68" s="1" t="str">
        <x:v>M07</x:v>
      </x:c>
      <x:c r="G68" s="1" t="str">
        <x:v>C04</x:v>
      </x:c>
      <x:c r="H68" s="1" t="str">
        <x:v>nincs</x:v>
      </x:c>
      <x:c r="I68" s="1" t="str">
        <x:v>Műhelyre vár</x:v>
      </x:c>
      <x:c r="J68" s="1" t="str">
        <x:v>Műhelyre vár</x:v>
      </x:c>
      <x:c r="K68" s="1"/>
      <x:c r="L68" s="14" t="str"/>
      <x:c r="M68" s="1"/>
      <x:c r="N68" s="1"/>
      <x:c r="O68" s="1"/>
    </x:row>
    <x:row r="69" ht="24" customHeight="1">
      <x:c r="A69" s="1" t="str">
        <x:v>D6-BOX-H</x:v>
      </x:c>
      <x:c r="B69" s="1" t="str">
        <x:v>D6 dobozelő/hát</x:v>
      </x:c>
      <x:c r="C69" s="16" t="n">
        <x:v>347</x:v>
      </x:c>
      <x:c r="D69" s="16" t="n">
        <x:v>222</x:v>
      </x:c>
      <x:c r="E69" s="16" t="n">
        <x:v>15</x:v>
      </x:c>
      <x:c r="F69" s="1" t="str">
        <x:v>M07</x:v>
      </x:c>
      <x:c r="G69" s="1" t="str">
        <x:v>C04</x:v>
      </x:c>
      <x:c r="H69" s="1" t="str">
        <x:v>nincs</x:v>
      </x:c>
      <x:c r="I69" s="1" t="str">
        <x:v>Műhelyre vár</x:v>
      </x:c>
      <x:c r="J69" s="1" t="str">
        <x:v>Műhelyre vár</x:v>
      </x:c>
      <x:c r="K69" s="1"/>
      <x:c r="L69" s="14" t="str"/>
      <x:c r="M69" s="1"/>
      <x:c r="N69" s="1"/>
      <x:c r="O69" s="1"/>
    </x:row>
    <x:row r="70" ht="24" customHeight="1">
      <x:c r="A70" s="1" t="str">
        <x:v>D6-BOX-B</x:v>
      </x:c>
      <x:c r="B70" s="1" t="str">
        <x:v>D6 fiókfenék</x:v>
      </x:c>
      <x:c r="C70" s="16" t="n">
        <x:v>347</x:v>
      </x:c>
      <x:c r="D70" s="16" t="n">
        <x:v>290</x:v>
      </x:c>
      <x:c r="E70" s="16" t="n">
        <x:v>15</x:v>
      </x:c>
      <x:c r="F70" s="1" t="str">
        <x:v>M07</x:v>
      </x:c>
      <x:c r="G70" s="1" t="str">
        <x:v>C04</x:v>
      </x:c>
      <x:c r="H70" s="1" t="str">
        <x:v>nincs</x:v>
      </x:c>
      <x:c r="I70" s="1" t="str">
        <x:v>Műhelyre vár</x:v>
      </x:c>
      <x:c r="J70" s="1" t="str">
        <x:v>Műhelyre vár</x:v>
      </x:c>
      <x:c r="K70" s="1"/>
      <x:c r="L70" s="14" t="str"/>
      <x:c r="M70" s="1"/>
      <x:c r="N70" s="1"/>
      <x:c r="O70" s="1"/>
    </x:row>
    <x:row r="71" ht="24" customHeight="1">
      <x:c r="A71" s="1" t="str">
        <x:v>T-L</x:v>
      </x:c>
      <x:c r="B71" s="1" t="str">
        <x:v>Torony oldallap</x:v>
      </x:c>
      <x:c r="C71" s="16" t="n">
        <x:v>337</x:v>
      </x:c>
      <x:c r="D71" s="16" t="n">
        <x:v>2525</x:v>
      </x:c>
      <x:c r="E71" s="16" t="n">
        <x:v>18</x:v>
      </x:c>
      <x:c r="F71" s="1" t="str">
        <x:v>M01</x:v>
      </x:c>
      <x:c r="G71" s="1" t="str">
        <x:v>U03</x:v>
      </x:c>
      <x:c r="H71" s="1" t="str">
        <x:v>nincs</x:v>
      </x:c>
      <x:c r="I71" s="1" t="str">
        <x:v>Műhelyre vár</x:v>
      </x:c>
      <x:c r="J71" s="1" t="str">
        <x:v>Műhelyre vár</x:v>
      </x:c>
      <x:c r="K71" s="1"/>
      <x:c r="L71" s="14" t="str"/>
      <x:c r="M71" s="1"/>
      <x:c r="N71" s="1"/>
      <x:c r="O71" s="1"/>
    </x:row>
    <x:row r="72" ht="24" customHeight="1">
      <x:c r="A72" s="1" t="str">
        <x:v>T-R</x:v>
      </x:c>
      <x:c r="B72" s="1" t="str">
        <x:v>Torony oldallap</x:v>
      </x:c>
      <x:c r="C72" s="16" t="n">
        <x:v>337</x:v>
      </x:c>
      <x:c r="D72" s="16" t="n">
        <x:v>2205</x:v>
      </x:c>
      <x:c r="E72" s="16" t="n">
        <x:v>18</x:v>
      </x:c>
      <x:c r="F72" s="1" t="str">
        <x:v>M01</x:v>
      </x:c>
      <x:c r="G72" s="1" t="str">
        <x:v>U03</x:v>
      </x:c>
      <x:c r="H72" s="1" t="str">
        <x:v>nincs</x:v>
      </x:c>
      <x:c r="I72" s="1" t="str">
        <x:v>Műhelyre vár</x:v>
      </x:c>
      <x:c r="J72" s="1" t="str">
        <x:v>Műhelyre vár</x:v>
      </x:c>
      <x:c r="K72" s="1"/>
      <x:c r="L72" s="14" t="str"/>
      <x:c r="M72" s="1"/>
      <x:c r="N72" s="1"/>
      <x:c r="O72" s="1"/>
    </x:row>
    <x:row r="73" ht="24" customHeight="1">
      <x:c r="A73" s="1" t="str">
        <x:v>T-B</x:v>
      </x:c>
      <x:c r="B73" s="1" t="str">
        <x:v>Torony fenék/tető</x:v>
      </x:c>
      <x:c r="C73" s="16" t="n">
        <x:v>834</x:v>
      </x:c>
      <x:c r="D73" s="16" t="n">
        <x:v>337</x:v>
      </x:c>
      <x:c r="E73" s="16" t="n">
        <x:v>18</x:v>
      </x:c>
      <x:c r="F73" s="1" t="str">
        <x:v>M01</x:v>
      </x:c>
      <x:c r="G73" s="1" t="str">
        <x:v>U03</x:v>
      </x:c>
      <x:c r="H73" s="1" t="str">
        <x:v>nincs</x:v>
      </x:c>
      <x:c r="I73" s="1" t="str">
        <x:v>Műhelyre vár</x:v>
      </x:c>
      <x:c r="J73" s="1" t="str">
        <x:v>Műhelyre vár</x:v>
      </x:c>
      <x:c r="K73" s="1"/>
      <x:c r="L73" s="14" t="str"/>
      <x:c r="M73" s="1"/>
      <x:c r="N73" s="1"/>
      <x:c r="O73" s="1"/>
    </x:row>
    <x:row r="74" ht="24" customHeight="1">
      <x:c r="A74" s="1" t="str">
        <x:v>T-C</x:v>
      </x:c>
      <x:c r="B74" s="1" t="str">
        <x:v>Torony középosztó</x:v>
      </x:c>
      <x:c r="C74" s="16" t="n">
        <x:v>337</x:v>
      </x:c>
      <x:c r="D74" s="16" t="n">
        <x:v>2269</x:v>
      </x:c>
      <x:c r="E74" s="16" t="n">
        <x:v>18</x:v>
      </x:c>
      <x:c r="F74" s="1" t="str">
        <x:v>M01</x:v>
      </x:c>
      <x:c r="G74" s="1" t="str">
        <x:v>U03</x:v>
      </x:c>
      <x:c r="H74" s="1" t="str">
        <x:v>nincs</x:v>
      </x:c>
      <x:c r="I74" s="1" t="str">
        <x:v>Műhelyre vár</x:v>
      </x:c>
      <x:c r="J74" s="1" t="str">
        <x:v>Műhelyre vár</x:v>
      </x:c>
      <x:c r="K74" s="1"/>
      <x:c r="L74" s="14" t="str"/>
      <x:c r="M74" s="1"/>
      <x:c r="N74" s="1"/>
      <x:c r="O74" s="1"/>
    </x:row>
    <x:row r="75" ht="24" customHeight="1">
      <x:c r="A75" s="1" t="str">
        <x:v>T-L-S1</x:v>
      </x:c>
      <x:c r="B75" s="1" t="str">
        <x:v>Állítható polc</x:v>
      </x:c>
      <x:c r="C75" s="16" t="n">
        <x:v>406</x:v>
      </x:c>
      <x:c r="D75" s="16" t="n">
        <x:v>290</x:v>
      </x:c>
      <x:c r="E75" s="16" t="n">
        <x:v>18</x:v>
      </x:c>
      <x:c r="F75" s="1" t="str">
        <x:v>M01</x:v>
      </x:c>
      <x:c r="G75" s="1" t="str">
        <x:v>U03</x:v>
      </x:c>
      <x:c r="H75" s="1" t="str">
        <x:v>nincs</x:v>
      </x:c>
      <x:c r="I75" s="1" t="str">
        <x:v>Műhelyre vár</x:v>
      </x:c>
      <x:c r="J75" s="1" t="str">
        <x:v>Műhelyre vár</x:v>
      </x:c>
      <x:c r="K75" s="1"/>
      <x:c r="L75" s="14" t="str">
        <x:v>1 mm oldalhézag; hasznos polcméret 406×290. Elülső35mm szabad sáv a fényprofilnak. Terhelést műhely igazolja.</x:v>
      </x:c>
      <x:c r="M75" s="1"/>
      <x:c r="N75" s="1"/>
      <x:c r="O75" s="1"/>
    </x:row>
    <x:row r="76" ht="24" customHeight="1">
      <x:c r="A76" s="1" t="str">
        <x:v>T-L-S2</x:v>
      </x:c>
      <x:c r="B76" s="1" t="str">
        <x:v>Állítható polc</x:v>
      </x:c>
      <x:c r="C76" s="16" t="n">
        <x:v>406</x:v>
      </x:c>
      <x:c r="D76" s="16" t="n">
        <x:v>290</x:v>
      </x:c>
      <x:c r="E76" s="16" t="n">
        <x:v>18</x:v>
      </x:c>
      <x:c r="F76" s="1" t="str">
        <x:v>M01</x:v>
      </x:c>
      <x:c r="G76" s="1" t="str">
        <x:v>U03</x:v>
      </x:c>
      <x:c r="H76" s="1" t="str">
        <x:v>nincs</x:v>
      </x:c>
      <x:c r="I76" s="1" t="str">
        <x:v>Műhelyre vár</x:v>
      </x:c>
      <x:c r="J76" s="1" t="str">
        <x:v>Műhelyre vár</x:v>
      </x:c>
      <x:c r="K76" s="1"/>
      <x:c r="L76" s="14" t="str">
        <x:v>1 mm oldalhézag; hasznos polcméret 406×290. Elülső35mm szabad sáv a fényprofilnak. Terhelést műhely igazolja.</x:v>
      </x:c>
      <x:c r="M76" s="1"/>
      <x:c r="N76" s="1"/>
      <x:c r="O76" s="1"/>
    </x:row>
    <x:row r="77" ht="24" customHeight="1">
      <x:c r="A77" s="1" t="str">
        <x:v>T-L-S3</x:v>
      </x:c>
      <x:c r="B77" s="1" t="str">
        <x:v>Állítható polc</x:v>
      </x:c>
      <x:c r="C77" s="16" t="n">
        <x:v>406</x:v>
      </x:c>
      <x:c r="D77" s="16" t="n">
        <x:v>290</x:v>
      </x:c>
      <x:c r="E77" s="16" t="n">
        <x:v>18</x:v>
      </x:c>
      <x:c r="F77" s="1" t="str">
        <x:v>M01</x:v>
      </x:c>
      <x:c r="G77" s="1" t="str">
        <x:v>U03</x:v>
      </x:c>
      <x:c r="H77" s="1" t="str">
        <x:v>nincs</x:v>
      </x:c>
      <x:c r="I77" s="1" t="str">
        <x:v>Műhelyre vár</x:v>
      </x:c>
      <x:c r="J77" s="1" t="str">
        <x:v>Műhelyre vár</x:v>
      </x:c>
      <x:c r="K77" s="1"/>
      <x:c r="L77" s="14" t="str">
        <x:v>1 mm oldalhézag; hasznos polcméret 406×290. Elülső35mm szabad sáv a fényprofilnak. Terhelést műhely igazolja.</x:v>
      </x:c>
      <x:c r="M77" s="1"/>
      <x:c r="N77" s="1"/>
      <x:c r="O77" s="1"/>
    </x:row>
    <x:row r="78" ht="24" customHeight="1">
      <x:c r="A78" s="1" t="str">
        <x:v>T-L-S4</x:v>
      </x:c>
      <x:c r="B78" s="1" t="str">
        <x:v>Állítható polc</x:v>
      </x:c>
      <x:c r="C78" s="16" t="n">
        <x:v>406</x:v>
      </x:c>
      <x:c r="D78" s="16" t="n">
        <x:v>290</x:v>
      </x:c>
      <x:c r="E78" s="16" t="n">
        <x:v>18</x:v>
      </x:c>
      <x:c r="F78" s="1" t="str">
        <x:v>M01</x:v>
      </x:c>
      <x:c r="G78" s="1" t="str">
        <x:v>U03</x:v>
      </x:c>
      <x:c r="H78" s="1" t="str">
        <x:v>nincs</x:v>
      </x:c>
      <x:c r="I78" s="1" t="str">
        <x:v>Műhelyre vár</x:v>
      </x:c>
      <x:c r="J78" s="1" t="str">
        <x:v>Műhelyre vár</x:v>
      </x:c>
      <x:c r="K78" s="1"/>
      <x:c r="L78" s="14" t="str">
        <x:v>1 mm oldalhézag; hasznos polcméret 406×290. Elülső35mm szabad sáv a fényprofilnak. Terhelést műhely igazolja.</x:v>
      </x:c>
      <x:c r="M78" s="1"/>
      <x:c r="N78" s="1"/>
      <x:c r="O78" s="1"/>
    </x:row>
    <x:row r="79" ht="24" customHeight="1">
      <x:c r="A79" s="1" t="str">
        <x:v>T-L-S5</x:v>
      </x:c>
      <x:c r="B79" s="1" t="str">
        <x:v>Állítható polc</x:v>
      </x:c>
      <x:c r="C79" s="16" t="n">
        <x:v>406</x:v>
      </x:c>
      <x:c r="D79" s="16" t="n">
        <x:v>290</x:v>
      </x:c>
      <x:c r="E79" s="16" t="n">
        <x:v>18</x:v>
      </x:c>
      <x:c r="F79" s="1" t="str">
        <x:v>M01</x:v>
      </x:c>
      <x:c r="G79" s="1" t="str">
        <x:v>U03</x:v>
      </x:c>
      <x:c r="H79" s="1" t="str">
        <x:v>nincs</x:v>
      </x:c>
      <x:c r="I79" s="1" t="str">
        <x:v>Műhelyre vár</x:v>
      </x:c>
      <x:c r="J79" s="1" t="str">
        <x:v>Műhelyre vár</x:v>
      </x:c>
      <x:c r="K79" s="1"/>
      <x:c r="L79" s="14" t="str">
        <x:v>1 mm oldalhézag; hasznos polcméret 406×290. Elülső35mm szabad sáv a fényprofilnak. Terhelést műhely igazolja.</x:v>
      </x:c>
      <x:c r="M79" s="1"/>
      <x:c r="N79" s="1"/>
      <x:c r="O79" s="1"/>
    </x:row>
    <x:row r="80" ht="24" customHeight="1">
      <x:c r="A80" s="1" t="str">
        <x:v>T-L-BACK</x:v>
      </x:c>
      <x:c r="B80" s="1" t="str">
        <x:v>Bontható felső hát</x:v>
      </x:c>
      <x:c r="C80" s="16" t="n">
        <x:v>406</x:v>
      </x:c>
      <x:c r="D80" s="16" t="n">
        <x:v>1921</x:v>
      </x:c>
      <x:c r="E80" s="16" t="n">
        <x:v>8</x:v>
      </x:c>
      <x:c r="F80" s="1" t="str">
        <x:v>M08</x:v>
      </x:c>
      <x:c r="G80" s="1" t="str">
        <x:v>U03</x:v>
      </x:c>
      <x:c r="H80" s="1" t="str">
        <x:v>nincs</x:v>
      </x:c>
      <x:c r="I80" s="1" t="str">
        <x:v>Műhelyre vár</x:v>
      </x:c>
      <x:c r="J80" s="1" t="str">
        <x:v>Műhelyre vár</x:v>
      </x:c>
      <x:c r="K80" s="1"/>
      <x:c r="L80" s="14" t="str"/>
      <x:c r="M80" s="1"/>
      <x:c r="N80" s="1"/>
      <x:c r="O80" s="1"/>
    </x:row>
    <x:row r="81" ht="24" customHeight="1">
      <x:c r="A81" s="1" t="str">
        <x:v>T-L-SERVICE</x:v>
      </x:c>
      <x:c r="B81" s="1" t="str">
        <x:v>Bontható alsó szervizfedél</x:v>
      </x:c>
      <x:c r="C81" s="16" t="n">
        <x:v>406</x:v>
      </x:c>
      <x:c r="D81" s="16" t="n">
        <x:v>345</x:v>
      </x:c>
      <x:c r="E81" s="16" t="n">
        <x:v>8</x:v>
      </x:c>
      <x:c r="F81" s="1" t="str">
        <x:v>M08</x:v>
      </x:c>
      <x:c r="G81" s="1" t="str">
        <x:v>U03</x:v>
      </x:c>
      <x:c r="H81" s="1" t="str">
        <x:v>nincs</x:v>
      </x:c>
      <x:c r="I81" s="1" t="str">
        <x:v>Műhelyre vár</x:v>
      </x:c>
      <x:c r="J81" s="1" t="str">
        <x:v>Műhelyre vár</x:v>
      </x:c>
      <x:c r="K81" s="1"/>
      <x:c r="L81" s="14" t="str">
        <x:v>Előlről csavarozva kiemelhető; alsó rekeszben 240 mm tárolási mélység.</x:v>
      </x:c>
      <x:c r="M81" s="1"/>
      <x:c r="N81" s="1"/>
      <x:c r="O81" s="1"/>
    </x:row>
    <x:row r="82" ht="24" customHeight="1">
      <x:c r="A82" s="1" t="str">
        <x:v>T-R-S1</x:v>
      </x:c>
      <x:c r="B82" s="1" t="str">
        <x:v>Állítható polc</x:v>
      </x:c>
      <x:c r="C82" s="16" t="n">
        <x:v>406</x:v>
      </x:c>
      <x:c r="D82" s="16" t="n">
        <x:v>290</x:v>
      </x:c>
      <x:c r="E82" s="16" t="n">
        <x:v>18</x:v>
      </x:c>
      <x:c r="F82" s="1" t="str">
        <x:v>M01</x:v>
      </x:c>
      <x:c r="G82" s="1" t="str">
        <x:v>U03</x:v>
      </x:c>
      <x:c r="H82" s="1" t="str">
        <x:v>nincs</x:v>
      </x:c>
      <x:c r="I82" s="1" t="str">
        <x:v>Műhelyre vár</x:v>
      </x:c>
      <x:c r="J82" s="1" t="str">
        <x:v>Műhelyre vár</x:v>
      </x:c>
      <x:c r="K82" s="1"/>
      <x:c r="L82" s="14" t="str">
        <x:v>1 mm oldalhézag; hasznos polcméret 406×290. Elülső35mm szabad sáv a fényprofilnak. Terhelést műhely igazolja.</x:v>
      </x:c>
      <x:c r="M82" s="1"/>
      <x:c r="N82" s="1"/>
      <x:c r="O82" s="1"/>
    </x:row>
    <x:row r="83" ht="24" customHeight="1">
      <x:c r="A83" s="1" t="str">
        <x:v>T-R-S2</x:v>
      </x:c>
      <x:c r="B83" s="1" t="str">
        <x:v>Állítható polc</x:v>
      </x:c>
      <x:c r="C83" s="16" t="n">
        <x:v>406</x:v>
      </x:c>
      <x:c r="D83" s="16" t="n">
        <x:v>290</x:v>
      </x:c>
      <x:c r="E83" s="16" t="n">
        <x:v>18</x:v>
      </x:c>
      <x:c r="F83" s="1" t="str">
        <x:v>M01</x:v>
      </x:c>
      <x:c r="G83" s="1" t="str">
        <x:v>U03</x:v>
      </x:c>
      <x:c r="H83" s="1" t="str">
        <x:v>nincs</x:v>
      </x:c>
      <x:c r="I83" s="1" t="str">
        <x:v>Műhelyre vár</x:v>
      </x:c>
      <x:c r="J83" s="1" t="str">
        <x:v>Műhelyre vár</x:v>
      </x:c>
      <x:c r="K83" s="1"/>
      <x:c r="L83" s="14" t="str">
        <x:v>1 mm oldalhézag; hasznos polcméret 406×290. Elülső35mm szabad sáv a fényprofilnak. Terhelést műhely igazolja.</x:v>
      </x:c>
      <x:c r="M83" s="1"/>
      <x:c r="N83" s="1"/>
      <x:c r="O83" s="1"/>
    </x:row>
    <x:row r="84" ht="24" customHeight="1">
      <x:c r="A84" s="1" t="str">
        <x:v>T-R-S3</x:v>
      </x:c>
      <x:c r="B84" s="1" t="str">
        <x:v>Állítható polc</x:v>
      </x:c>
      <x:c r="C84" s="16" t="n">
        <x:v>406</x:v>
      </x:c>
      <x:c r="D84" s="16" t="n">
        <x:v>290</x:v>
      </x:c>
      <x:c r="E84" s="16" t="n">
        <x:v>18</x:v>
      </x:c>
      <x:c r="F84" s="1" t="str">
        <x:v>M01</x:v>
      </x:c>
      <x:c r="G84" s="1" t="str">
        <x:v>U03</x:v>
      </x:c>
      <x:c r="H84" s="1" t="str">
        <x:v>nincs</x:v>
      </x:c>
      <x:c r="I84" s="1" t="str">
        <x:v>Műhelyre vár</x:v>
      </x:c>
      <x:c r="J84" s="1" t="str">
        <x:v>Műhelyre vár</x:v>
      </x:c>
      <x:c r="K84" s="1"/>
      <x:c r="L84" s="14" t="str">
        <x:v>1 mm oldalhézag; hasznos polcméret 406×290. Elülső35mm szabad sáv a fényprofilnak. Terhelést műhely igazolja.</x:v>
      </x:c>
      <x:c r="M84" s="1"/>
      <x:c r="N84" s="1"/>
      <x:c r="O84" s="1"/>
    </x:row>
    <x:row r="85" ht="24" customHeight="1">
      <x:c r="A85" s="1" t="str">
        <x:v>T-R-S4</x:v>
      </x:c>
      <x:c r="B85" s="1" t="str">
        <x:v>Állítható polc</x:v>
      </x:c>
      <x:c r="C85" s="16" t="n">
        <x:v>406</x:v>
      </x:c>
      <x:c r="D85" s="16" t="n">
        <x:v>290</x:v>
      </x:c>
      <x:c r="E85" s="16" t="n">
        <x:v>18</x:v>
      </x:c>
      <x:c r="F85" s="1" t="str">
        <x:v>M01</x:v>
      </x:c>
      <x:c r="G85" s="1" t="str">
        <x:v>U03</x:v>
      </x:c>
      <x:c r="H85" s="1" t="str">
        <x:v>nincs</x:v>
      </x:c>
      <x:c r="I85" s="1" t="str">
        <x:v>Műhelyre vár</x:v>
      </x:c>
      <x:c r="J85" s="1" t="str">
        <x:v>Műhelyre vár</x:v>
      </x:c>
      <x:c r="K85" s="1"/>
      <x:c r="L85" s="14" t="str">
        <x:v>1 mm oldalhézag; hasznos polcméret 406×290. Elülső35mm szabad sáv a fényprofilnak. Terhelést műhely igazolja.</x:v>
      </x:c>
      <x:c r="M85" s="1"/>
      <x:c r="N85" s="1"/>
      <x:c r="O85" s="1"/>
    </x:row>
    <x:row r="86" ht="24" customHeight="1">
      <x:c r="A86" s="1" t="str">
        <x:v>T-R-S5</x:v>
      </x:c>
      <x:c r="B86" s="1" t="str">
        <x:v>Állítható polc</x:v>
      </x:c>
      <x:c r="C86" s="16" t="n">
        <x:v>406</x:v>
      </x:c>
      <x:c r="D86" s="16" t="n">
        <x:v>290</x:v>
      </x:c>
      <x:c r="E86" s="16" t="n">
        <x:v>18</x:v>
      </x:c>
      <x:c r="F86" s="1" t="str">
        <x:v>M01</x:v>
      </x:c>
      <x:c r="G86" s="1" t="str">
        <x:v>U03</x:v>
      </x:c>
      <x:c r="H86" s="1" t="str">
        <x:v>nincs</x:v>
      </x:c>
      <x:c r="I86" s="1" t="str">
        <x:v>Műhelyre vár</x:v>
      </x:c>
      <x:c r="J86" s="1" t="str">
        <x:v>Műhelyre vár</x:v>
      </x:c>
      <x:c r="K86" s="1"/>
      <x:c r="L86" s="14" t="str">
        <x:v>1 mm oldalhézag; hasznos polcméret 406×290. Elülső35mm szabad sáv a fényprofilnak. Terhelést műhely igazolja.</x:v>
      </x:c>
      <x:c r="M86" s="1"/>
      <x:c r="N86" s="1"/>
      <x:c r="O86" s="1"/>
    </x:row>
    <x:row r="87" ht="24" customHeight="1">
      <x:c r="A87" s="1" t="str">
        <x:v>T-R-BACK</x:v>
      </x:c>
      <x:c r="B87" s="1" t="str">
        <x:v>Bontható felső hát</x:v>
      </x:c>
      <x:c r="C87" s="16" t="n">
        <x:v>406</x:v>
      </x:c>
      <x:c r="D87" s="16" t="n">
        <x:v>1921</x:v>
      </x:c>
      <x:c r="E87" s="16" t="n">
        <x:v>8</x:v>
      </x:c>
      <x:c r="F87" s="1" t="str">
        <x:v>M08</x:v>
      </x:c>
      <x:c r="G87" s="1" t="str">
        <x:v>U03</x:v>
      </x:c>
      <x:c r="H87" s="1" t="str">
        <x:v>nincs</x:v>
      </x:c>
      <x:c r="I87" s="1" t="str">
        <x:v>Műhelyre vár</x:v>
      </x:c>
      <x:c r="J87" s="1" t="str">
        <x:v>Műhelyre vár</x:v>
      </x:c>
      <x:c r="K87" s="1"/>
      <x:c r="L87" s="14" t="str"/>
      <x:c r="M87" s="1"/>
      <x:c r="N87" s="1"/>
      <x:c r="O87" s="1"/>
    </x:row>
    <x:row r="88" ht="24" customHeight="1">
      <x:c r="A88" s="1" t="str">
        <x:v>T-R-SERVICE</x:v>
      </x:c>
      <x:c r="B88" s="1" t="str">
        <x:v>Bontható alsó szervizfedél</x:v>
      </x:c>
      <x:c r="C88" s="16" t="n">
        <x:v>406</x:v>
      </x:c>
      <x:c r="D88" s="16" t="n">
        <x:v>345</x:v>
      </x:c>
      <x:c r="E88" s="16" t="n">
        <x:v>8</x:v>
      </x:c>
      <x:c r="F88" s="1" t="str">
        <x:v>M08</x:v>
      </x:c>
      <x:c r="G88" s="1" t="str">
        <x:v>U03</x:v>
      </x:c>
      <x:c r="H88" s="1" t="str">
        <x:v>nincs</x:v>
      </x:c>
      <x:c r="I88" s="1" t="str">
        <x:v>Műhelyre vár</x:v>
      </x:c>
      <x:c r="J88" s="1" t="str">
        <x:v>Műhelyre vár</x:v>
      </x:c>
      <x:c r="K88" s="1"/>
      <x:c r="L88" s="14" t="str">
        <x:v>Előlről csavarozva kiemelhető; alsó rekeszben 240 mm tárolási mélység.</x:v>
      </x:c>
      <x:c r="M88" s="1"/>
      <x:c r="N88" s="1"/>
      <x:c r="O88" s="1"/>
    </x:row>
    <x:row r="89" ht="24" customHeight="1">
      <x:c r="A89" s="1" t="str">
        <x:v>T-DOOR-L</x:v>
      </x:c>
      <x:c r="B89" s="1" t="str">
        <x:v>Torony ajtó</x:v>
      </x:c>
      <x:c r="C89" s="16" t="n">
        <x:v>412.5</x:v>
      </x:c>
      <x:c r="D89" s="16" t="n">
        <x:v>2683</x:v>
      </x:c>
      <x:c r="E89" s="16" t="n">
        <x:v>18</x:v>
      </x:c>
      <x:c r="F89" s="1" t="str">
        <x:v>M03</x:v>
      </x:c>
      <x:c r="G89" s="1" t="str">
        <x:v>U04</x:v>
      </x:c>
      <x:c r="H89" s="1" t="str">
        <x:v>V függőleges</x:v>
      </x:c>
      <x:c r="I89" s="1" t="str">
        <x:v>Műhelyre vár</x:v>
      </x:c>
      <x:c r="J89" s="1" t="str">
        <x:v>Műhelyre vár</x:v>
      </x:c>
      <x:c r="K89" s="1"/>
      <x:c r="L89" s="14" t="str">
        <x:v>Ajtó; teljes peremprofil fészek10×6mm; hajlékony24V átvezetés.</x:v>
      </x:c>
      <x:c r="M89" s="1"/>
      <x:c r="N89" s="1"/>
      <x:c r="O89" s="1"/>
    </x:row>
    <x:row r="90" ht="24" customHeight="1">
      <x:c r="A90" s="1" t="str">
        <x:v>T-DOOR-R</x:v>
      </x:c>
      <x:c r="B90" s="1" t="str">
        <x:v>Torony ajtó</x:v>
      </x:c>
      <x:c r="C90" s="16" t="n">
        <x:v>412.5</x:v>
      </x:c>
      <x:c r="D90" s="16" t="n">
        <x:v>2281</x:v>
      </x:c>
      <x:c r="E90" s="16" t="n">
        <x:v>18</x:v>
      </x:c>
      <x:c r="F90" s="1" t="str">
        <x:v>M03</x:v>
      </x:c>
      <x:c r="G90" s="1" t="str">
        <x:v>U04</x:v>
      </x:c>
      <x:c r="H90" s="1" t="str">
        <x:v>V függőleges</x:v>
      </x:c>
      <x:c r="I90" s="1" t="str">
        <x:v>Műhelyre vár</x:v>
      </x:c>
      <x:c r="J90" s="1" t="str">
        <x:v>Műhelyre vár</x:v>
      </x:c>
      <x:c r="K90" s="1"/>
      <x:c r="L90" s="14" t="str">
        <x:v>Rugó nélküli inset CLIP top + mágneses TIP-ON. Bal6/jobb5 pánt előirányzat, tömeg és ráütés alapján véglegesítendő; csillapítás nincs.</x:v>
      </x:c>
      <x:c r="M90" s="1"/>
      <x:c r="N90" s="1"/>
      <x:c r="O90" s="1"/>
    </x:row>
    <x:row r="91" ht="24" customHeight="1">
      <x:c r="A91" s="1" t="str">
        <x:v>TEXTILE</x:v>
      </x:c>
      <x:c r="B91" s="1" t="str">
        <x:v>Elefántcsont szövetbetét</x:v>
      </x:c>
      <x:c r="C91" s="16" t="n">
        <x:v>360</x:v>
      </x:c>
      <x:c r="D91" s="16" t="n">
        <x:v>2515</x:v>
      </x:c>
      <x:c r="E91" s="16" t="n">
        <x:v>8</x:v>
      </x:c>
      <x:c r="F91" s="1" t="str">
        <x:v>M05</x:v>
      </x:c>
      <x:c r="G91" s="1" t="str">
        <x:v>U07</x:v>
      </x:c>
      <x:c r="H91" s="1" t="str">
        <x:v>nincs</x:v>
      </x:c>
      <x:c r="I91" s="1" t="str">
        <x:v>Műhelyre vár</x:v>
      </x:c>
      <x:c r="J91" s="1" t="str">
        <x:v>Műhelyre vár</x:v>
      </x:c>
      <x:c r="K91" s="1"/>
      <x:c r="L91" s="14" t="str">
        <x:v>R60 cserélhető szövetbetét; tulajdonosi kép szerinti lágyabb ív javaslat.</x:v>
      </x:c>
      <x:c r="M91" s="1"/>
      <x:c r="N91" s="1"/>
      <x:c r="O91" s="1"/>
    </x:row>
    <x:row r="92" ht="24" customHeight="1">
      <x:c r="A92" s="1" t="str">
        <x:v>BG-1</x:v>
      </x:c>
      <x:c r="B92" s="1" t="str">
        <x:v>Bontható szürke háttérpanel</x:v>
      </x:c>
      <x:c r="C92" s="16" t="n">
        <x:v>678</x:v>
      </x:c>
      <x:c r="D92" s="16" t="n">
        <x:v>2305</x:v>
      </x:c>
      <x:c r="E92" s="16" t="n">
        <x:v>18</x:v>
      </x:c>
      <x:c r="F92" s="1" t="str">
        <x:v>M04</x:v>
      </x:c>
      <x:c r="G92" s="1" t="str">
        <x:v>U01</x:v>
      </x:c>
      <x:c r="H92" s="1" t="str">
        <x:v>V függőleges</x:v>
      </x:c>
      <x:c r="I92" s="1" t="str">
        <x:v>Műhelyre vár</x:v>
      </x:c>
      <x:c r="J92" s="1" t="str">
        <x:v>Műhelyre vár</x:v>
      </x:c>
      <x:c r="K92" s="1"/>
      <x:c r="L92" s="14" t="str">
        <x:v>3 mm valós függőleges hézag. 20 mm felfelé emelést nem igénylő előre oldható kapocs. Panelt TV levétele után lehet bontani.</x:v>
      </x:c>
      <x:c r="M92" s="1"/>
      <x:c r="N92" s="1"/>
      <x:c r="O92" s="1"/>
    </x:row>
    <x:row r="93" ht="24" customHeight="1">
      <x:c r="A93" s="1" t="str">
        <x:v>BG-2</x:v>
      </x:c>
      <x:c r="B93" s="1" t="str">
        <x:v>Bontható szürke háttérpanel</x:v>
      </x:c>
      <x:c r="C93" s="16" t="n">
        <x:v>679.5</x:v>
      </x:c>
      <x:c r="D93" s="16" t="n">
        <x:v>2305</x:v>
      </x:c>
      <x:c r="E93" s="16" t="n">
        <x:v>18</x:v>
      </x:c>
      <x:c r="F93" s="1" t="str">
        <x:v>M04</x:v>
      </x:c>
      <x:c r="G93" s="1" t="str">
        <x:v>U01</x:v>
      </x:c>
      <x:c r="H93" s="1" t="str">
        <x:v>V függőleges</x:v>
      </x:c>
      <x:c r="I93" s="1" t="str">
        <x:v>Műhelyre vár</x:v>
      </x:c>
      <x:c r="J93" s="1" t="str">
        <x:v>Műhelyre vár</x:v>
      </x:c>
      <x:c r="K93" s="1"/>
      <x:c r="L93" s="14" t="str">
        <x:v>3 mm valós függőleges hézag. 20 mm felfelé emelést nem igénylő előre oldható kapocs. Panelt TV levétele után lehet bontani.</x:v>
      </x:c>
      <x:c r="M93" s="1"/>
      <x:c r="N93" s="1"/>
      <x:c r="O93" s="1"/>
    </x:row>
    <x:row r="94" ht="24" customHeight="1">
      <x:c r="A94" s="1" t="str">
        <x:v>BG-3</x:v>
      </x:c>
      <x:c r="B94" s="1" t="str">
        <x:v>Bontható szürke háttérpanel</x:v>
      </x:c>
      <x:c r="C94" s="16" t="n">
        <x:v>679.5</x:v>
      </x:c>
      <x:c r="D94" s="16" t="n">
        <x:v>2305</x:v>
      </x:c>
      <x:c r="E94" s="16" t="n">
        <x:v>18</x:v>
      </x:c>
      <x:c r="F94" s="1" t="str">
        <x:v>M04</x:v>
      </x:c>
      <x:c r="G94" s="1" t="str">
        <x:v>U01</x:v>
      </x:c>
      <x:c r="H94" s="1" t="str">
        <x:v>V függőleges</x:v>
      </x:c>
      <x:c r="I94" s="1" t="str">
        <x:v>Műhelyre vár</x:v>
      </x:c>
      <x:c r="J94" s="1" t="str">
        <x:v>Műhelyre vár</x:v>
      </x:c>
      <x:c r="K94" s="1"/>
      <x:c r="L94" s="14" t="str">
        <x:v>3 mm valós függőleges hézag. 20 mm felfelé emelést nem igénylő előre oldható kapocs. Panelt TV levétele után lehet bontani.</x:v>
      </x:c>
      <x:c r="M94" s="1"/>
      <x:c r="N94" s="1"/>
      <x:c r="O94" s="1"/>
    </x:row>
    <x:row r="95" ht="24" customHeight="1">
      <x:c r="A95" s="1" t="str">
        <x:v>BG-4</x:v>
      </x:c>
      <x:c r="B95" s="1" t="str">
        <x:v>Bontható szürke háttérpanel</x:v>
      </x:c>
      <x:c r="C95" s="16" t="n">
        <x:v>678</x:v>
      </x:c>
      <x:c r="D95" s="16" t="n">
        <x:v>2305</x:v>
      </x:c>
      <x:c r="E95" s="16" t="n">
        <x:v>18</x:v>
      </x:c>
      <x:c r="F95" s="1" t="str">
        <x:v>M04</x:v>
      </x:c>
      <x:c r="G95" s="1" t="str">
        <x:v>U01</x:v>
      </x:c>
      <x:c r="H95" s="1" t="str">
        <x:v>V függőleges</x:v>
      </x:c>
      <x:c r="I95" s="1" t="str">
        <x:v>Műhelyre vár</x:v>
      </x:c>
      <x:c r="J95" s="1" t="str">
        <x:v>Műhelyre vár</x:v>
      </x:c>
      <x:c r="K95" s="1"/>
      <x:c r="L95" s="14" t="str">
        <x:v>3 mm valós függőleges hézag. 20 mm felfelé emelést nem igénylő előre oldható kapocs. Panelt TV levétele után lehet bontani.</x:v>
      </x:c>
      <x:c r="M95" s="1"/>
      <x:c r="N95" s="1"/>
      <x:c r="O95" s="1"/>
    </x:row>
    <x:row r="96" ht="24" customHeight="1">
      <x:c r="A96" s="1" t="str">
        <x:v>BATTEN-1</x:v>
      </x:c>
      <x:c r="B96" s="1" t="str">
        <x:v>Háttér falsín</x:v>
      </x:c>
      <x:c r="C96" s="16" t="n">
        <x:v>40</x:v>
      </x:c>
      <x:c r="D96" s="16" t="n">
        <x:v>2235</x:v>
      </x:c>
      <x:c r="E96" s="16" t="n">
        <x:v>40</x:v>
      </x:c>
      <x:c r="F96" s="1" t="str">
        <x:v>M01</x:v>
      </x:c>
      <x:c r="G96" s="1" t="str">
        <x:v>F02</x:v>
      </x:c>
      <x:c r="H96" s="1" t="str">
        <x:v>nincs</x:v>
      </x:c>
      <x:c r="I96" s="1" t="str">
        <x:v>Műhelyre vár</x:v>
      </x:c>
      <x:c r="J96" s="1" t="str">
        <x:v>Műhelyre vár</x:v>
      </x:c>
      <x:c r="K96" s="1"/>
      <x:c r="L96" s="14" t="str">
        <x:v>Falméret és horgony méretezés után rögzíthető. 20 mm előrefelé oldható kapocstér y40..60.</x:v>
      </x:c>
      <x:c r="M96" s="1"/>
      <x:c r="N96" s="1"/>
      <x:c r="O96" s="1"/>
    </x:row>
    <x:row r="97" ht="24" customHeight="1">
      <x:c r="A97" s="1" t="str">
        <x:v>BATTEN-2</x:v>
      </x:c>
      <x:c r="B97" s="1" t="str">
        <x:v>Háttér falsín</x:v>
      </x:c>
      <x:c r="C97" s="16" t="n">
        <x:v>40</x:v>
      </x:c>
      <x:c r="D97" s="16" t="n">
        <x:v>2235</x:v>
      </x:c>
      <x:c r="E97" s="16" t="n">
        <x:v>40</x:v>
      </x:c>
      <x:c r="F97" s="1" t="str">
        <x:v>M01</x:v>
      </x:c>
      <x:c r="G97" s="1" t="str">
        <x:v>F02</x:v>
      </x:c>
      <x:c r="H97" s="1" t="str">
        <x:v>nincs</x:v>
      </x:c>
      <x:c r="I97" s="1" t="str">
        <x:v>Műhelyre vár</x:v>
      </x:c>
      <x:c r="J97" s="1" t="str">
        <x:v>Műhelyre vár</x:v>
      </x:c>
      <x:c r="K97" s="1"/>
      <x:c r="L97" s="14" t="str">
        <x:v>Falméret és horgony méretezés után rögzíthető. 20 mm előrefelé oldható kapocstér y40..60.</x:v>
      </x:c>
      <x:c r="M97" s="1"/>
      <x:c r="N97" s="1"/>
      <x:c r="O97" s="1"/>
    </x:row>
    <x:row r="98" ht="24" customHeight="1">
      <x:c r="A98" s="1" t="str">
        <x:v>BATTEN-3</x:v>
      </x:c>
      <x:c r="B98" s="1" t="str">
        <x:v>Háttér falsín</x:v>
      </x:c>
      <x:c r="C98" s="16" t="n">
        <x:v>40</x:v>
      </x:c>
      <x:c r="D98" s="16" t="n">
        <x:v>2235</x:v>
      </x:c>
      <x:c r="E98" s="16" t="n">
        <x:v>40</x:v>
      </x:c>
      <x:c r="F98" s="1" t="str">
        <x:v>M01</x:v>
      </x:c>
      <x:c r="G98" s="1" t="str">
        <x:v>F02</x:v>
      </x:c>
      <x:c r="H98" s="1" t="str">
        <x:v>nincs</x:v>
      </x:c>
      <x:c r="I98" s="1" t="str">
        <x:v>Műhelyre vár</x:v>
      </x:c>
      <x:c r="J98" s="1" t="str">
        <x:v>Műhelyre vár</x:v>
      </x:c>
      <x:c r="K98" s="1"/>
      <x:c r="L98" s="14" t="str">
        <x:v>Falméret és horgony méretezés után rögzíthető. 20 mm előrefelé oldható kapocstér y40..60.</x:v>
      </x:c>
      <x:c r="M98" s="1"/>
      <x:c r="N98" s="1"/>
      <x:c r="O98" s="1"/>
    </x:row>
    <x:row r="99" ht="24" customHeight="1">
      <x:c r="A99" s="1" t="str">
        <x:v>BATTEN-4</x:v>
      </x:c>
      <x:c r="B99" s="1" t="str">
        <x:v>Háttér falsín</x:v>
      </x:c>
      <x:c r="C99" s="16" t="n">
        <x:v>40</x:v>
      </x:c>
      <x:c r="D99" s="16" t="n">
        <x:v>2235</x:v>
      </x:c>
      <x:c r="E99" s="16" t="n">
        <x:v>40</x:v>
      </x:c>
      <x:c r="F99" s="1" t="str">
        <x:v>M01</x:v>
      </x:c>
      <x:c r="G99" s="1" t="str">
        <x:v>F02</x:v>
      </x:c>
      <x:c r="H99" s="1" t="str">
        <x:v>nincs</x:v>
      </x:c>
      <x:c r="I99" s="1" t="str">
        <x:v>Műhelyre vár</x:v>
      </x:c>
      <x:c r="J99" s="1" t="str">
        <x:v>Műhelyre vár</x:v>
      </x:c>
      <x:c r="K99" s="1"/>
      <x:c r="L99" s="14" t="str">
        <x:v>Falméret és horgony méretezés után rögzíthető. 20 mm előrefelé oldható kapocstér y40..60.</x:v>
      </x:c>
      <x:c r="M99" s="1"/>
      <x:c r="N99" s="1"/>
      <x:c r="O99" s="1"/>
    </x:row>
    <x:row r="100" ht="24" customHeight="1">
      <x:c r="A100" s="1" t="str">
        <x:v>BATTEN-5</x:v>
      </x:c>
      <x:c r="B100" s="1" t="str">
        <x:v>Háttér falsín</x:v>
      </x:c>
      <x:c r="C100" s="16" t="n">
        <x:v>40</x:v>
      </x:c>
      <x:c r="D100" s="16" t="n">
        <x:v>2235</x:v>
      </x:c>
      <x:c r="E100" s="16" t="n">
        <x:v>40</x:v>
      </x:c>
      <x:c r="F100" s="1" t="str">
        <x:v>M01</x:v>
      </x:c>
      <x:c r="G100" s="1" t="str">
        <x:v>F02</x:v>
      </x:c>
      <x:c r="H100" s="1" t="str">
        <x:v>nincs</x:v>
      </x:c>
      <x:c r="I100" s="1" t="str">
        <x:v>Műhelyre vár</x:v>
      </x:c>
      <x:c r="J100" s="1" t="str">
        <x:v>Műhelyre vár</x:v>
      </x:c>
      <x:c r="K100" s="1"/>
      <x:c r="L100" s="14" t="str">
        <x:v>Falméret és horgony méretezés után rögzíthető. 20 mm előrefelé oldható kapocstér y40..60.</x:v>
      </x:c>
      <x:c r="M100" s="1"/>
      <x:c r="N100" s="1"/>
      <x:c r="O100" s="1"/>
    </x:row>
    <x:row r="101" ht="24" customHeight="1">
      <x:c r="A101" s="1" t="str">
        <x:v>CURVE-T-TOP</x:v>
      </x:c>
      <x:c r="B101" s="1" t="str">
        <x:v>R100 rétegelt, íves toronysapka</x:v>
      </x:c>
      <x:c r="C101" s="16" t="n">
        <x:v>870</x:v>
      </x:c>
      <x:c r="D101" s="16" t="n">
        <x:v>100</x:v>
      </x:c>
      <x:c r="E101" s="16" t="n">
        <x:v>337</x:v>
      </x:c>
      <x:c r="F101" s="1" t="str">
        <x:v>M02</x:v>
      </x:c>
      <x:c r="G101" s="1" t="str">
        <x:v>U05</x:v>
      </x:c>
      <x:c r="H101" s="1" t="str">
        <x:v>nincs</x:v>
      </x:c>
      <x:c r="I101" s="1" t="str">
        <x:v>Műhelyre vár</x:v>
      </x:c>
      <x:c r="J101" s="1" t="str">
        <x:v>Műhelyre vár</x:v>
      </x:c>
      <x:c r="K101" s="1"/>
      <x:c r="L101" s="14" t="str">
        <x:v>BEFOGLALÓ; íves héj18mm vastag. Nem tömör lap.</x:v>
      </x:c>
      <x:c r="M101" s="1"/>
      <x:c r="N101" s="1"/>
      <x:c r="O101" s="1"/>
    </x:row>
    <x:row r="102" ht="24" customHeight="1">
      <x:c r="A102" s="1" t="str">
        <x:v>FRAME-T-TOP</x:v>
      </x:c>
      <x:c r="B102" s="1" t="str">
        <x:v>R100 frontkeret záróelem</x:v>
      </x:c>
      <x:c r="C102" s="16" t="n">
        <x:v>870</x:v>
      </x:c>
      <x:c r="D102" s="16" t="n">
        <x:v>100</x:v>
      </x:c>
      <x:c r="E102" s="16" t="n">
        <x:v>18</x:v>
      </x:c>
      <x:c r="F102" s="1" t="str">
        <x:v>M02</x:v>
      </x:c>
      <x:c r="G102" s="1" t="str">
        <x:v>U05</x:v>
      </x:c>
      <x:c r="H102" s="1" t="str">
        <x:v>nincs</x:v>
      </x:c>
      <x:c r="I102" s="1" t="str">
        <x:v>Műhelyre vár</x:v>
      </x:c>
      <x:c r="J102" s="1" t="str">
        <x:v>Műhelyre vár</x:v>
      </x:c>
      <x:c r="K102" s="1"/>
      <x:c r="L102" s="14" t="str"/>
      <x:c r="M102" s="1"/>
      <x:c r="N102" s="1"/>
      <x:c r="O102" s="1"/>
    </x:row>
    <x:row r="103" ht="24" customHeight="1">
      <x:c r="A103" s="1" t="str">
        <x:v>CURVE-T-BOT</x:v>
      </x:c>
      <x:c r="B103" s="1" t="str">
        <x:v>R100 rétegelt, íves toronysapka</x:v>
      </x:c>
      <x:c r="C103" s="16" t="n">
        <x:v>870</x:v>
      </x:c>
      <x:c r="D103" s="16" t="n">
        <x:v>100</x:v>
      </x:c>
      <x:c r="E103" s="16" t="n">
        <x:v>337</x:v>
      </x:c>
      <x:c r="F103" s="1" t="str">
        <x:v>M02</x:v>
      </x:c>
      <x:c r="G103" s="1" t="str">
        <x:v>U05</x:v>
      </x:c>
      <x:c r="H103" s="1" t="str">
        <x:v>nincs</x:v>
      </x:c>
      <x:c r="I103" s="1" t="str">
        <x:v>Műhelyre vár</x:v>
      </x:c>
      <x:c r="J103" s="1" t="str">
        <x:v>Műhelyre vár</x:v>
      </x:c>
      <x:c r="K103" s="1"/>
      <x:c r="L103" s="14" t="str">
        <x:v>BEFOGLALÓ; íves héj18mm vastag. Nem tömör lap.</x:v>
      </x:c>
      <x:c r="M103" s="1"/>
      <x:c r="N103" s="1"/>
      <x:c r="O103" s="1"/>
    </x:row>
    <x:row r="104" ht="24" customHeight="1">
      <x:c r="A104" s="1" t="str">
        <x:v>FRAME-T-BOT</x:v>
      </x:c>
      <x:c r="B104" s="1" t="str">
        <x:v>R100 frontkeret záróelem</x:v>
      </x:c>
      <x:c r="C104" s="16" t="n">
        <x:v>870</x:v>
      </x:c>
      <x:c r="D104" s="16" t="n">
        <x:v>100</x:v>
      </x:c>
      <x:c r="E104" s="16" t="n">
        <x:v>18</x:v>
      </x:c>
      <x:c r="F104" s="1" t="str">
        <x:v>M02</x:v>
      </x:c>
      <x:c r="G104" s="1" t="str">
        <x:v>U05</x:v>
      </x:c>
      <x:c r="H104" s="1" t="str">
        <x:v>nincs</x:v>
      </x:c>
      <x:c r="I104" s="1" t="str">
        <x:v>Műhelyre vár</x:v>
      </x:c>
      <x:c r="J104" s="1" t="str">
        <x:v>Műhelyre vár</x:v>
      </x:c>
      <x:c r="K104" s="1"/>
      <x:c r="L104" s="14" t="str"/>
      <x:c r="M104" s="1"/>
      <x:c r="N104" s="1"/>
      <x:c r="O104" s="1"/>
    </x:row>
    <x:row r="105" ht="24" customHeight="1">
      <x:c r="A105" s="1" t="str">
        <x:v>FRAME-T-L</x:v>
      </x:c>
      <x:c r="B105" s="1" t="str">
        <x:v>Torony fix függőleges keret</x:v>
      </x:c>
      <x:c r="C105" s="16" t="n">
        <x:v>18</x:v>
      </x:c>
      <x:c r="D105" s="16" t="n">
        <x:v>2525</x:v>
      </x:c>
      <x:c r="E105" s="16" t="n">
        <x:v>18</x:v>
      </x:c>
      <x:c r="F105" s="1" t="str">
        <x:v>M02</x:v>
      </x:c>
      <x:c r="G105" s="1" t="str">
        <x:v>U05</x:v>
      </x:c>
      <x:c r="H105" s="1" t="str">
        <x:v>nincs</x:v>
      </x:c>
      <x:c r="I105" s="1" t="str">
        <x:v>Műhelyre vár</x:v>
      </x:c>
      <x:c r="J105" s="1" t="str">
        <x:v>Műhelyre vár</x:v>
      </x:c>
      <x:c r="K105" s="1"/>
      <x:c r="L105" s="14" t="str"/>
      <x:c r="M105" s="1"/>
      <x:c r="N105" s="1"/>
      <x:c r="O105" s="1"/>
    </x:row>
    <x:row r="106" ht="24" customHeight="1">
      <x:c r="A106" s="1" t="str">
        <x:v>FRAME-T-R</x:v>
      </x:c>
      <x:c r="B106" s="1" t="str">
        <x:v>Torony fix függőleges keret</x:v>
      </x:c>
      <x:c r="C106" s="16" t="n">
        <x:v>18</x:v>
      </x:c>
      <x:c r="D106" s="16" t="n">
        <x:v>2205</x:v>
      </x:c>
      <x:c r="E106" s="16" t="n">
        <x:v>18</x:v>
      </x:c>
      <x:c r="F106" s="1" t="str">
        <x:v>M02</x:v>
      </x:c>
      <x:c r="G106" s="1" t="str">
        <x:v>U05</x:v>
      </x:c>
      <x:c r="H106" s="1" t="str">
        <x:v>nincs</x:v>
      </x:c>
      <x:c r="I106" s="1" t="str">
        <x:v>Műhelyre vár</x:v>
      </x:c>
      <x:c r="J106" s="1" t="str">
        <x:v>Műhelyre vár</x:v>
      </x:c>
      <x:c r="K106" s="1"/>
      <x:c r="L106" s="14" t="str"/>
      <x:c r="M106" s="1"/>
      <x:c r="N106" s="1"/>
      <x:c r="O106" s="1"/>
    </x:row>
    <x:row r="107" ht="24" customHeight="1">
      <x:c r="A107" s="1" t="str">
        <x:v>FRAME-T-MID</x:v>
      </x:c>
      <x:c r="B107" s="1" t="str">
        <x:v>Torony fiók feletti fix osztó</x:v>
      </x:c>
      <x:c r="C107" s="16" t="n">
        <x:v>433.5</x:v>
      </x:c>
      <x:c r="D107" s="16" t="n">
        <x:v>18</x:v>
      </x:c>
      <x:c r="E107" s="16" t="n">
        <x:v>18</x:v>
      </x:c>
      <x:c r="F107" s="1" t="str">
        <x:v>M02</x:v>
      </x:c>
      <x:c r="G107" s="1" t="str">
        <x:v>U05</x:v>
      </x:c>
      <x:c r="H107" s="1" t="str">
        <x:v>nincs</x:v>
      </x:c>
      <x:c r="I107" s="1" t="str">
        <x:v>Műhelyre vár</x:v>
      </x:c>
      <x:c r="J107" s="1" t="str">
        <x:v>Műhelyre vár</x:v>
      </x:c>
      <x:c r="K107" s="1"/>
      <x:c r="L107" s="14" t="str"/>
      <x:c r="M107" s="1"/>
      <x:c r="N107" s="1"/>
      <x:c r="O107" s="1"/>
    </x:row>
    <x:row r="108" ht="24" customHeight="1">
      <x:c r="A108" s="1" t="str">
        <x:v>FRAME-B-LOW-1</x:v>
      </x:c>
      <x:c r="B108" s="1" t="str">
        <x:v>Alsó fix keret, jobb végén R80</x:v>
      </x:c>
      <x:c r="C108" s="16" t="n">
        <x:v>850</x:v>
      </x:c>
      <x:c r="D108" s="16" t="n">
        <x:v>18</x:v>
      </x:c>
      <x:c r="E108" s="16" t="n">
        <x:v>18</x:v>
      </x:c>
      <x:c r="F108" s="1" t="str">
        <x:v>M02</x:v>
      </x:c>
      <x:c r="G108" s="1" t="str">
        <x:v>U05</x:v>
      </x:c>
      <x:c r="H108" s="1" t="str">
        <x:v>nincs</x:v>
      </x:c>
      <x:c r="I108" s="1" t="str">
        <x:v>Műhelyre vár</x:v>
      </x:c>
      <x:c r="J108" s="1" t="str">
        <x:v>Műhelyre vár</x:v>
      </x:c>
      <x:c r="K108" s="1"/>
      <x:c r="L108" s="14" t="str"/>
      <x:c r="M108" s="1"/>
      <x:c r="N108" s="1"/>
      <x:c r="O108" s="1"/>
    </x:row>
    <x:row r="109" ht="24" customHeight="1">
      <x:c r="A109" s="1" t="str">
        <x:v>FRAME-B-LOW-2</x:v>
      </x:c>
      <x:c r="B109" s="1" t="str">
        <x:v>Alsó fix keret, jobb végén R80</x:v>
      </x:c>
      <x:c r="C109" s="16" t="n">
        <x:v>1030</x:v>
      </x:c>
      <x:c r="D109" s="16" t="n">
        <x:v>18</x:v>
      </x:c>
      <x:c r="E109" s="16" t="n">
        <x:v>18</x:v>
      </x:c>
      <x:c r="F109" s="1" t="str">
        <x:v>M02</x:v>
      </x:c>
      <x:c r="G109" s="1" t="str">
        <x:v>U05</x:v>
      </x:c>
      <x:c r="H109" s="1" t="str">
        <x:v>nincs</x:v>
      </x:c>
      <x:c r="I109" s="1" t="str">
        <x:v>Műhelyre vár</x:v>
      </x:c>
      <x:c r="J109" s="1" t="str">
        <x:v>Műhelyre vár</x:v>
      </x:c>
      <x:c r="K109" s="1"/>
      <x:c r="L109" s="14" t="str"/>
      <x:c r="M109" s="1"/>
      <x:c r="N109" s="1"/>
      <x:c r="O109" s="1"/>
    </x:row>
    <x:row r="110" ht="24" customHeight="1">
      <x:c r="A110" s="1" t="str">
        <x:v>FRAME-B-LOW-3</x:v>
      </x:c>
      <x:c r="B110" s="1" t="str">
        <x:v>Alsó fix keret, jobb végén R80</x:v>
      </x:c>
      <x:c r="C110" s="16" t="n">
        <x:v>770</x:v>
      </x:c>
      <x:c r="D110" s="16" t="n">
        <x:v>18</x:v>
      </x:c>
      <x:c r="E110" s="16" t="n">
        <x:v>18</x:v>
      </x:c>
      <x:c r="F110" s="1" t="str">
        <x:v>M02</x:v>
      </x:c>
      <x:c r="G110" s="1" t="str">
        <x:v>U05</x:v>
      </x:c>
      <x:c r="H110" s="1" t="str">
        <x:v>nincs</x:v>
      </x:c>
      <x:c r="I110" s="1" t="str">
        <x:v>Műhelyre vár</x:v>
      </x:c>
      <x:c r="J110" s="1" t="str">
        <x:v>Műhelyre vár</x:v>
      </x:c>
      <x:c r="K110" s="1"/>
      <x:c r="L110" s="14" t="str"/>
      <x:c r="M110" s="1"/>
      <x:c r="N110" s="1"/>
      <x:c r="O110" s="1"/>
    </x:row>
    <x:row r="111" ht="24" customHeight="1">
      <x:c r="A111" s="1" t="str">
        <x:v>FRAME-B-HIGH-1</x:v>
      </x:c>
      <x:c r="B111" s="1" t="str">
        <x:v>Alsó fix keret, jobb végén R80</x:v>
      </x:c>
      <x:c r="C111" s="16" t="n">
        <x:v>850</x:v>
      </x:c>
      <x:c r="D111" s="16" t="n">
        <x:v>18</x:v>
      </x:c>
      <x:c r="E111" s="16" t="n">
        <x:v>18</x:v>
      </x:c>
      <x:c r="F111" s="1" t="str">
        <x:v>M02</x:v>
      </x:c>
      <x:c r="G111" s="1" t="str">
        <x:v>U05</x:v>
      </x:c>
      <x:c r="H111" s="1" t="str">
        <x:v>nincs</x:v>
      </x:c>
      <x:c r="I111" s="1" t="str">
        <x:v>Műhelyre vár</x:v>
      </x:c>
      <x:c r="J111" s="1" t="str">
        <x:v>Műhelyre vár</x:v>
      </x:c>
      <x:c r="K111" s="1"/>
      <x:c r="L111" s="14" t="str"/>
      <x:c r="M111" s="1"/>
      <x:c r="N111" s="1"/>
      <x:c r="O111" s="1"/>
    </x:row>
    <x:row r="112" ht="24" customHeight="1">
      <x:c r="A112" s="1" t="str">
        <x:v>FRAME-B-HIGH-2</x:v>
      </x:c>
      <x:c r="B112" s="1" t="str">
        <x:v>Alsó fix keret, jobb végén R80</x:v>
      </x:c>
      <x:c r="C112" s="16" t="n">
        <x:v>1030</x:v>
      </x:c>
      <x:c r="D112" s="16" t="n">
        <x:v>18</x:v>
      </x:c>
      <x:c r="E112" s="16" t="n">
        <x:v>18</x:v>
      </x:c>
      <x:c r="F112" s="1" t="str">
        <x:v>M02</x:v>
      </x:c>
      <x:c r="G112" s="1" t="str">
        <x:v>U05</x:v>
      </x:c>
      <x:c r="H112" s="1" t="str">
        <x:v>nincs</x:v>
      </x:c>
      <x:c r="I112" s="1" t="str">
        <x:v>Műhelyre vár</x:v>
      </x:c>
      <x:c r="J112" s="1" t="str">
        <x:v>Műhelyre vár</x:v>
      </x:c>
      <x:c r="K112" s="1"/>
      <x:c r="L112" s="14" t="str"/>
      <x:c r="M112" s="1"/>
      <x:c r="N112" s="1"/>
      <x:c r="O112" s="1"/>
    </x:row>
    <x:row r="113" ht="24" customHeight="1">
      <x:c r="A113" s="1" t="str">
        <x:v>FRAME-B-HIGH-3</x:v>
      </x:c>
      <x:c r="B113" s="1" t="str">
        <x:v>Alsó fix keret, jobb végén R80</x:v>
      </x:c>
      <x:c r="C113" s="16" t="n">
        <x:v>770</x:v>
      </x:c>
      <x:c r="D113" s="16" t="n">
        <x:v>18</x:v>
      </x:c>
      <x:c r="E113" s="16" t="n">
        <x:v>18</x:v>
      </x:c>
      <x:c r="F113" s="1" t="str">
        <x:v>M02</x:v>
      </x:c>
      <x:c r="G113" s="1" t="str">
        <x:v>U05</x:v>
      </x:c>
      <x:c r="H113" s="1" t="str">
        <x:v>nincs</x:v>
      </x:c>
      <x:c r="I113" s="1" t="str">
        <x:v>Műhelyre vár</x:v>
      </x:c>
      <x:c r="J113" s="1" t="str">
        <x:v>Műhelyre vár</x:v>
      </x:c>
      <x:c r="K113" s="1"/>
      <x:c r="L113" s="14" t="str"/>
      <x:c r="M113" s="1"/>
      <x:c r="N113" s="1"/>
      <x:c r="O113" s="1"/>
    </x:row>
    <x:row r="114" ht="24" customHeight="1">
      <x:c r="A114" s="1" t="str">
        <x:v>FRAME-B-TOP</x:v>
      </x:c>
      <x:c r="B114" s="1" t="str">
        <x:v>R80 alsó jobb sarok</x:v>
      </x:c>
      <x:c r="C114" s="16" t="n">
        <x:v>80</x:v>
      </x:c>
      <x:c r="D114" s="16" t="n">
        <x:v>80</x:v>
      </x:c>
      <x:c r="E114" s="16" t="n">
        <x:v>18</x:v>
      </x:c>
      <x:c r="F114" s="1" t="str">
        <x:v>M02</x:v>
      </x:c>
      <x:c r="G114" s="1" t="str">
        <x:v>U05</x:v>
      </x:c>
      <x:c r="H114" s="1" t="str">
        <x:v>nincs</x:v>
      </x:c>
      <x:c r="I114" s="1" t="str">
        <x:v>Műhelyre vár</x:v>
      </x:c>
      <x:c r="J114" s="1" t="str">
        <x:v>Műhelyre vár</x:v>
      </x:c>
      <x:c r="K114" s="1"/>
      <x:c r="L114" s="14" t="str"/>
      <x:c r="M114" s="1"/>
      <x:c r="N114" s="1"/>
      <x:c r="O114" s="1"/>
    </x:row>
    <x:row r="115" ht="24" customHeight="1">
      <x:c r="A115" s="1" t="str">
        <x:v>CURVE-B-TOP</x:v>
      </x:c>
      <x:c r="B115" s="1" t="str">
        <x:v>R80 laminált alsó jobb sarok</x:v>
      </x:c>
      <x:c r="C115" s="16" t="n">
        <x:v>80</x:v>
      </x:c>
      <x:c r="D115" s="16" t="n">
        <x:v>80</x:v>
      </x:c>
      <x:c r="E115" s="16" t="n">
        <x:v>337</x:v>
      </x:c>
      <x:c r="F115" s="1" t="str">
        <x:v>M02</x:v>
      </x:c>
      <x:c r="G115" s="1" t="str">
        <x:v>U05</x:v>
      </x:c>
      <x:c r="H115" s="1" t="str">
        <x:v>nincs</x:v>
      </x:c>
      <x:c r="I115" s="1" t="str">
        <x:v>Műhelyre vár</x:v>
      </x:c>
      <x:c r="J115" s="1" t="str">
        <x:v>Műhelyre vár</x:v>
      </x:c>
      <x:c r="K115" s="1"/>
      <x:c r="L115" s="14" t="str">
        <x:v>BEFOGLALÓ; íves héj18mm vastag. Nem tömör lap.</x:v>
      </x:c>
      <x:c r="M115" s="1"/>
      <x:c r="N115" s="1"/>
      <x:c r="O115" s="1"/>
    </x:row>
    <x:row r="116" ht="24" customHeight="1">
      <x:c r="A116" s="1" t="str">
        <x:v>FRAME-B-BOT</x:v>
      </x:c>
      <x:c r="B116" s="1" t="str">
        <x:v>R80 alsó jobb sarok</x:v>
      </x:c>
      <x:c r="C116" s="16" t="n">
        <x:v>80</x:v>
      </x:c>
      <x:c r="D116" s="16" t="n">
        <x:v>80</x:v>
      </x:c>
      <x:c r="E116" s="16" t="n">
        <x:v>18</x:v>
      </x:c>
      <x:c r="F116" s="1" t="str">
        <x:v>M02</x:v>
      </x:c>
      <x:c r="G116" s="1" t="str">
        <x:v>U05</x:v>
      </x:c>
      <x:c r="H116" s="1" t="str">
        <x:v>nincs</x:v>
      </x:c>
      <x:c r="I116" s="1" t="str">
        <x:v>Műhelyre vár</x:v>
      </x:c>
      <x:c r="J116" s="1" t="str">
        <x:v>Műhelyre vár</x:v>
      </x:c>
      <x:c r="K116" s="1"/>
      <x:c r="L116" s="14" t="str"/>
      <x:c r="M116" s="1"/>
      <x:c r="N116" s="1"/>
      <x:c r="O116" s="1"/>
    </x:row>
    <x:row r="117" ht="24" customHeight="1">
      <x:c r="A117" s="1" t="str">
        <x:v>CURVE-B-BOT</x:v>
      </x:c>
      <x:c r="B117" s="1" t="str">
        <x:v>R80 laminált alsó jobb sarok</x:v>
      </x:c>
      <x:c r="C117" s="16" t="n">
        <x:v>80</x:v>
      </x:c>
      <x:c r="D117" s="16" t="n">
        <x:v>80</x:v>
      </x:c>
      <x:c r="E117" s="16" t="n">
        <x:v>337</x:v>
      </x:c>
      <x:c r="F117" s="1" t="str">
        <x:v>M02</x:v>
      </x:c>
      <x:c r="G117" s="1" t="str">
        <x:v>U05</x:v>
      </x:c>
      <x:c r="H117" s="1" t="str">
        <x:v>nincs</x:v>
      </x:c>
      <x:c r="I117" s="1" t="str">
        <x:v>Műhelyre vár</x:v>
      </x:c>
      <x:c r="J117" s="1" t="str">
        <x:v>Műhelyre vár</x:v>
      </x:c>
      <x:c r="K117" s="1"/>
      <x:c r="L117" s="14" t="str">
        <x:v>BEFOGLALÓ; íves héj18mm vastag. Nem tömör lap.</x:v>
      </x:c>
      <x:c r="M117" s="1"/>
      <x:c r="N117" s="1"/>
      <x:c r="O117" s="1"/>
    </x:row>
    <x:row r="118" ht="24" customHeight="1">
      <x:c r="A118" s="1" t="str">
        <x:v>FRAME-B-R</x:v>
      </x:c>
      <x:c r="B118" s="1" t="str">
        <x:v>Alsó jobb fix keret</x:v>
      </x:c>
      <x:c r="C118" s="16" t="n">
        <x:v>18</x:v>
      </x:c>
      <x:c r="D118" s="16" t="n">
        <x:v>260</x:v>
      </x:c>
      <x:c r="E118" s="16" t="n">
        <x:v>18</x:v>
      </x:c>
      <x:c r="F118" s="1" t="str">
        <x:v>M02</x:v>
      </x:c>
      <x:c r="G118" s="1" t="str">
        <x:v>U05</x:v>
      </x:c>
      <x:c r="H118" s="1" t="str">
        <x:v>nincs</x:v>
      </x:c>
      <x:c r="I118" s="1" t="str">
        <x:v>Műhelyre vár</x:v>
      </x:c>
      <x:c r="J118" s="1" t="str">
        <x:v>Műhelyre vár</x:v>
      </x:c>
      <x:c r="K118" s="1"/>
      <x:c r="L118" s="14" t="str"/>
      <x:c r="M118" s="1"/>
      <x:c r="N118" s="1"/>
      <x:c r="O118" s="1"/>
    </x:row>
    <x:row r="119" ht="24" customHeight="1">
      <x:c r="A119" s="1" t="str">
        <x:v>TV-LINK</x:v>
      </x:c>
      <x:c r="B119" s="1" t="str">
        <x:v>Folytonos íves TV-réteg LINK</x:v>
      </x:c>
      <x:c r="C119" s="16" t="n">
        <x:v>628.5</x:v>
      </x:c>
      <x:c r="D119" s="16" t="n">
        <x:v>1580</x:v>
      </x:c>
      <x:c r="E119" s="16" t="n">
        <x:v>18</x:v>
      </x:c>
      <x:c r="F119" s="1" t="str">
        <x:v>M03</x:v>
      </x:c>
      <x:c r="G119" s="1" t="str">
        <x:v>U06</x:v>
      </x:c>
      <x:c r="H119" s="1" t="str">
        <x:v>V függőleges</x:v>
      </x:c>
      <x:c r="I119" s="1" t="str">
        <x:v>Műhelyre vár</x:v>
      </x:c>
      <x:c r="J119" s="1" t="str">
        <x:v>Műhelyre vár</x:v>
      </x:c>
      <x:c r="K119" s="1"/>
      <x:c r="L119" s="14" t="str">
        <x:v>A kontúr a toronyhoz csatlakozik és az alsó fedlapig fut. Nem külön lebegő téglalap. R160 homorú felkanyarodás/R140 felső átfordulás/R100 jobb sarok.3mm panelhézag; bal csatlakozás takart szerelési hézaga a torony mögött.</x:v>
      </x:c>
      <x:c r="M119" s="1"/>
      <x:c r="N119" s="1"/>
      <x:c r="O119" s="1"/>
    </x:row>
    <x:row r="120" ht="24" customHeight="1">
      <x:c r="A120" s="1" t="str">
        <x:v>TV-MID</x:v>
      </x:c>
      <x:c r="B120" s="1" t="str">
        <x:v>Folytonos íves TV-réteg MID</x:v>
      </x:c>
      <x:c r="C120" s="16" t="n">
        <x:v>1047</x:v>
      </x:c>
      <x:c r="D120" s="16" t="n">
        <x:v>1580</x:v>
      </x:c>
      <x:c r="E120" s="16" t="n">
        <x:v>18</x:v>
      </x:c>
      <x:c r="F120" s="1" t="str">
        <x:v>M03</x:v>
      </x:c>
      <x:c r="G120" s="1" t="str">
        <x:v>U06</x:v>
      </x:c>
      <x:c r="H120" s="1" t="str">
        <x:v>V függőleges</x:v>
      </x:c>
      <x:c r="I120" s="1" t="str">
        <x:v>Műhelyre vár</x:v>
      </x:c>
      <x:c r="J120" s="1" t="str">
        <x:v>Műhelyre vár</x:v>
      </x:c>
      <x:c r="K120" s="1"/>
      <x:c r="L120" s="14" t="str">
        <x:v>A kontúr a toronyhoz csatlakozik és az alsó fedlapig fut. Nem külön lebegő téglalap. R160 homorú felkanyarodás/R140 felső átfordulás/R100 jobb sarok.3mm panelhézag; bal csatlakozás takart szerelési hézaga a torony mögött.</x:v>
      </x:c>
      <x:c r="M120" s="1"/>
      <x:c r="N120" s="1"/>
      <x:c r="O120" s="1"/>
    </x:row>
    <x:row r="121" ht="24" customHeight="1">
      <x:c r="A121" s="1" t="str">
        <x:v>TV-END</x:v>
      </x:c>
      <x:c r="B121" s="1" t="str">
        <x:v>Folytonos íves TV-réteg END</x:v>
      </x:c>
      <x:c r="C121" s="16" t="n">
        <x:v>948.5</x:v>
      </x:c>
      <x:c r="D121" s="16" t="n">
        <x:v>1580</x:v>
      </x:c>
      <x:c r="E121" s="16" t="n">
        <x:v>18</x:v>
      </x:c>
      <x:c r="F121" s="1" t="str">
        <x:v>M03</x:v>
      </x:c>
      <x:c r="G121" s="1" t="str">
        <x:v>U06</x:v>
      </x:c>
      <x:c r="H121" s="1" t="str">
        <x:v>V függőleges</x:v>
      </x:c>
      <x:c r="I121" s="1" t="str">
        <x:v>Műhelyre vár</x:v>
      </x:c>
      <x:c r="J121" s="1" t="str">
        <x:v>Műhelyre vár</x:v>
      </x:c>
      <x:c r="K121" s="1"/>
      <x:c r="L121" s="14" t="str">
        <x:v>A kontúr a toronyhoz csatlakozik és az alsó fedlapig fut. Nem külön lebegő téglalap. R160 homorú felkanyarodás/R140 felső átfordulás/R100 jobb sarok.3mm panelhézag; bal csatlakozás takart szerelési hézaga a torony mögött.</x:v>
      </x:c>
      <x:c r="M121" s="1"/>
      <x:c r="N121" s="1"/>
      <x:c r="O121" s="1"/>
    </x:row>
    <x:row r="122" ht="24" customHeight="1">
      <x:c r="A122" s="1" t="str">
        <x:v>TV-SPACER-1</x:v>
      </x:c>
      <x:c r="B122" s="1" t="str">
        <x:v>TV réteg távtartó</x:v>
      </x:c>
      <x:c r="C122" s="16" t="n">
        <x:v>2530</x:v>
      </x:c>
      <x:c r="D122" s="16" t="n">
        <x:v>30</x:v>
      </x:c>
      <x:c r="E122" s="16" t="n">
        <x:v>17</x:v>
      </x:c>
      <x:c r="F122" s="1" t="str">
        <x:v>M02</x:v>
      </x:c>
      <x:c r="G122" s="1" t="str">
        <x:v>U06</x:v>
      </x:c>
      <x:c r="H122" s="1" t="str">
        <x:v>nincs</x:v>
      </x:c>
      <x:c r="I122" s="1" t="str">
        <x:v>Műhelyre vár</x:v>
      </x:c>
      <x:c r="J122" s="1" t="str">
        <x:v>Műhelyre vár</x:v>
      </x:c>
      <x:c r="K122" s="1"/>
      <x:c r="L122" s="14" t="str">
        <x:v>Felső sín csak a panel által takart részen: LINK bal felső kivágásánál helyszíni rövidítés!</x:v>
      </x:c>
      <x:c r="M122" s="1"/>
      <x:c r="N122" s="1"/>
      <x:c r="O122" s="1"/>
    </x:row>
    <x:row r="123" ht="24" customHeight="1">
      <x:c r="A123" s="1" t="str">
        <x:v>TV-SPACER-2</x:v>
      </x:c>
      <x:c r="B123" s="1" t="str">
        <x:v>TV réteg távtartó</x:v>
      </x:c>
      <x:c r="C123" s="16" t="n">
        <x:v>2020</x:v>
      </x:c>
      <x:c r="D123" s="16" t="n">
        <x:v>30</x:v>
      </x:c>
      <x:c r="E123" s="16" t="n">
        <x:v>17</x:v>
      </x:c>
      <x:c r="F123" s="1" t="str">
        <x:v>M02</x:v>
      </x:c>
      <x:c r="G123" s="1" t="str">
        <x:v>U06</x:v>
      </x:c>
      <x:c r="H123" s="1" t="str">
        <x:v>nincs</x:v>
      </x:c>
      <x:c r="I123" s="1" t="str">
        <x:v>Műhelyre vár</x:v>
      </x:c>
      <x:c r="J123" s="1" t="str">
        <x:v>Műhelyre vár</x:v>
      </x:c>
      <x:c r="K123" s="1"/>
      <x:c r="L123" s="14" t="str">
        <x:v>Felső sín csak a panel által takart részen: LINK bal felső kivágásánál helyszíni rövidítés!</x:v>
      </x:c>
      <x:c r="M123" s="1"/>
      <x:c r="N123" s="1"/>
      <x:c r="O123" s="1"/>
    </x:row>
    <x:row r="124" ht="24" customHeight="1">
      <x:c r="A124" s="1" t="str">
        <x:v>T-LOW-DIV</x:v>
      </x:c>
      <x:c r="B124" s="1" t="str">
        <x:v>Bal alsó rekesz jobb oldala</x:v>
      </x:c>
      <x:c r="C124" s="16" t="n">
        <x:v>337</x:v>
      </x:c>
      <x:c r="D124" s="16" t="n">
        <x:v>402</x:v>
      </x:c>
      <x:c r="E124" s="16" t="n">
        <x:v>18</x:v>
      </x:c>
      <x:c r="F124" s="1" t="str">
        <x:v>M01</x:v>
      </x:c>
      <x:c r="G124" s="1" t="str">
        <x:v>U03</x:v>
      </x:c>
      <x:c r="H124" s="1" t="str">
        <x:v>nincs</x:v>
      </x:c>
      <x:c r="I124" s="1" t="str">
        <x:v>Műhelyre vár</x:v>
      </x:c>
      <x:c r="J124" s="1" t="str">
        <x:v>Műhelyre vár</x:v>
      </x:c>
      <x:c r="K124" s="1"/>
      <x:c r="L124" s="14" t="str"/>
      <x:c r="M124" s="1"/>
      <x:c r="N124" s="1"/>
      <x:c r="O124" s="1"/>
    </x:row>
    <x:row r="125" ht="24" customHeight="1">
      <x:c r="A125" s="1" t="str">
        <x:v>T-LOW-BACK</x:v>
      </x:c>
      <x:c r="B125" s="1" t="str">
        <x:v>Bal alsó rekesz bontható háta</x:v>
      </x:c>
      <x:c r="C125" s="16" t="n">
        <x:v>399</x:v>
      </x:c>
      <x:c r="D125" s="16" t="n">
        <x:v>402</x:v>
      </x:c>
      <x:c r="E125" s="16" t="n">
        <x:v>8</x:v>
      </x:c>
      <x:c r="F125" s="1" t="str">
        <x:v>M08</x:v>
      </x:c>
      <x:c r="G125" s="1" t="str">
        <x:v>U03</x:v>
      </x:c>
      <x:c r="H125" s="1" t="str">
        <x:v>nincs</x:v>
      </x:c>
      <x:c r="I125" s="1" t="str">
        <x:v>Műhelyre vár</x:v>
      </x:c>
      <x:c r="J125" s="1" t="str">
        <x:v>Műhelyre vár</x:v>
      </x:c>
      <x:c r="K125" s="1"/>
      <x:c r="L125" s="14" t="str">
        <x:v>A teljes magas bal ajtó mögött; nincs fiók. Alsó bal R82 illesztés.</x:v>
      </x:c>
      <x:c r="M125" s="1"/>
      <x:c r="N125" s="1"/>
      <x:c r="O125" s="1"/>
    </x:row>
    <x:row r="126" ht="24" customHeight="1">
      <x:c r="A126" s="1"/>
      <x:c r="B126" s="1"/>
      <x:c r="C126" s="16"/>
      <x:c r="D126" s="16"/>
      <x:c r="E126" s="16"/>
      <x:c r="F126" s="1"/>
      <x:c r="G126" s="1"/>
      <x:c r="H126" s="1"/>
      <x:c r="I126" s="1"/>
      <x:c r="J126" s="1"/>
      <x:c r="K126" s="1"/>
      <x:c r="L126" s="14"/>
      <x:c r="M126" s="1"/>
      <x:c r="N126" s="1"/>
      <x:c r="O126" s="1"/>
    </x:row>
    <x:row r="127" ht="24" customHeight="1">
      <x:c r="A127" s="1"/>
      <x:c r="B127" s="1"/>
      <x:c r="C127" s="16"/>
      <x:c r="D127" s="16"/>
      <x:c r="E127" s="16"/>
      <x:c r="F127" s="1"/>
      <x:c r="G127" s="1"/>
      <x:c r="H127" s="1"/>
      <x:c r="I127" s="1"/>
      <x:c r="J127" s="1"/>
      <x:c r="K127" s="1"/>
      <x:c r="L127" s="14"/>
      <x:c r="M127" s="1"/>
      <x:c r="N127" s="1"/>
      <x:c r="O127" s="1"/>
    </x:row>
    <x:row r="128" ht="24" customHeight="1">
      <x:c r="A128" s="1"/>
      <x:c r="B128" s="1"/>
      <x:c r="C128" s="16"/>
      <x:c r="D128" s="16"/>
      <x:c r="E128" s="16"/>
      <x:c r="F128" s="1"/>
      <x:c r="G128" s="1"/>
      <x:c r="H128" s="1"/>
      <x:c r="I128" s="1"/>
      <x:c r="J128" s="1"/>
      <x:c r="K128" s="1"/>
      <x:c r="L128" s="14"/>
      <x:c r="M128" s="1"/>
      <x:c r="N128" s="1"/>
      <x:c r="O128" s="1"/>
    </x:row>
    <x:row r="129" ht="24" customHeight="1">
      <x:c r="A129" s="1"/>
      <x:c r="B129" s="1"/>
      <x:c r="C129" s="16"/>
      <x:c r="D129" s="16"/>
      <x:c r="E129" s="16"/>
      <x:c r="F129" s="1"/>
      <x:c r="G129" s="1"/>
      <x:c r="H129" s="1"/>
      <x:c r="I129" s="1"/>
      <x:c r="J129" s="1"/>
      <x:c r="K129" s="1"/>
      <x:c r="L129" s="14"/>
      <x:c r="M129" s="1"/>
      <x:c r="N129" s="1"/>
      <x:c r="O129" s="1"/>
    </x:row>
    <x:row r="130" ht="24" customHeight="1">
      <x:c r="A130" s="1"/>
      <x:c r="B130" s="1"/>
      <x:c r="C130" s="16"/>
      <x:c r="D130" s="16"/>
      <x:c r="E130" s="16"/>
      <x:c r="F130" s="1"/>
      <x:c r="G130" s="1"/>
      <x:c r="H130" s="1"/>
      <x:c r="I130" s="1"/>
      <x:c r="J130" s="1"/>
      <x:c r="K130" s="1"/>
      <x:c r="L130" s="14"/>
      <x:c r="M130" s="1"/>
      <x:c r="N130" s="1"/>
      <x:c r="O130" s="1"/>
    </x:row>
    <x:row r="131" ht="24" customHeight="1">
      <x:c r="A131" s="1"/>
      <x:c r="B131" s="1"/>
      <x:c r="C131" s="16"/>
      <x:c r="D131" s="16"/>
      <x:c r="E131" s="16"/>
      <x:c r="F131" s="1"/>
      <x:c r="G131" s="1"/>
      <x:c r="H131" s="1"/>
      <x:c r="I131" s="1"/>
      <x:c r="J131" s="1"/>
      <x:c r="K131" s="1"/>
      <x:c r="L131" s="14"/>
      <x:c r="M131" s="1"/>
      <x:c r="N131" s="1"/>
      <x:c r="O131" s="1"/>
    </x:row>
    <x:row r="132" ht="24" customHeight="1">
      <x:c r="A132" s="1"/>
      <x:c r="B132" s="1"/>
      <x:c r="C132" s="16"/>
      <x:c r="D132" s="16"/>
      <x:c r="E132" s="16"/>
      <x:c r="F132" s="1"/>
      <x:c r="G132" s="1"/>
      <x:c r="H132" s="1"/>
      <x:c r="I132" s="1"/>
      <x:c r="J132" s="1"/>
      <x:c r="K132" s="1"/>
      <x:c r="L132" s="14"/>
      <x:c r="M132" s="1"/>
      <x:c r="N132" s="1"/>
      <x:c r="O132" s="1"/>
    </x:row>
    <x:row r="133" ht="24" customHeight="1">
      <x:c r="A133" s="1"/>
      <x:c r="B133" s="1"/>
      <x:c r="C133" s="16"/>
      <x:c r="D133" s="16"/>
      <x:c r="E133" s="16"/>
      <x:c r="F133" s="1"/>
      <x:c r="G133" s="1"/>
      <x:c r="H133" s="1"/>
      <x:c r="I133" s="1"/>
      <x:c r="J133" s="1"/>
      <x:c r="K133" s="1"/>
      <x:c r="L133" s="14"/>
      <x:c r="M133" s="1"/>
      <x:c r="N133" s="1"/>
      <x:c r="O133" s="1"/>
    </x:row>
    <x:row r="134" ht="24" customHeight="1">
      <x:c r="A134" s="1"/>
      <x:c r="B134" s="1"/>
      <x:c r="C134" s="16"/>
      <x:c r="D134" s="16"/>
      <x:c r="E134" s="16"/>
      <x:c r="F134" s="1"/>
      <x:c r="G134" s="1"/>
      <x:c r="H134" s="1"/>
      <x:c r="I134" s="1"/>
      <x:c r="J134" s="1"/>
      <x:c r="K134" s="1"/>
      <x:c r="L134" s="14"/>
      <x:c r="M134" s="1"/>
      <x:c r="N134" s="1"/>
      <x:c r="O134" s="1"/>
    </x:row>
    <x:row r="135" ht="24" customHeight="1">
      <x:c r="A135" s="1"/>
      <x:c r="B135" s="1"/>
      <x:c r="C135" s="16"/>
      <x:c r="D135" s="16"/>
      <x:c r="E135" s="16"/>
      <x:c r="F135" s="1"/>
      <x:c r="G135" s="1"/>
      <x:c r="H135" s="1"/>
      <x:c r="I135" s="1"/>
      <x:c r="J135" s="1"/>
      <x:c r="K135" s="1"/>
      <x:c r="L135" s="14"/>
      <x:c r="M135" s="1"/>
      <x:c r="N135" s="1"/>
      <x:c r="O135" s="1"/>
    </x:row>
    <x:row r="136" ht="24" customHeight="1">
      <x:c r="A136" s="1"/>
      <x:c r="B136" s="1"/>
      <x:c r="C136" s="16"/>
      <x:c r="D136" s="16"/>
      <x:c r="E136" s="16"/>
      <x:c r="F136" s="1"/>
      <x:c r="G136" s="1"/>
      <x:c r="H136" s="1"/>
      <x:c r="I136" s="1"/>
      <x:c r="J136" s="1"/>
      <x:c r="K136" s="1"/>
      <x:c r="L136" s="14"/>
      <x:c r="M136" s="1"/>
      <x:c r="N136" s="1"/>
      <x:c r="O136" s="1"/>
    </x:row>
    <x:row r="137" ht="24" customHeight="1">
      <x:c r="A137" s="1"/>
      <x:c r="B137" s="1"/>
      <x:c r="C137" s="16"/>
      <x:c r="D137" s="16"/>
      <x:c r="E137" s="16"/>
      <x:c r="F137" s="1"/>
      <x:c r="G137" s="1"/>
      <x:c r="H137" s="1"/>
      <x:c r="I137" s="1"/>
      <x:c r="J137" s="1"/>
      <x:c r="K137" s="1"/>
      <x:c r="L137" s="14"/>
      <x:c r="M137" s="1"/>
      <x:c r="N137" s="1"/>
      <x:c r="O137" s="1"/>
    </x:row>
    <x:row r="138" ht="24" customHeight="1">
      <x:c r="A138" s="1"/>
      <x:c r="B138" s="1"/>
      <x:c r="C138" s="16"/>
      <x:c r="D138" s="16"/>
      <x:c r="E138" s="16"/>
      <x:c r="F138" s="1"/>
      <x:c r="G138" s="1"/>
      <x:c r="H138" s="1"/>
      <x:c r="I138" s="1"/>
      <x:c r="J138" s="1"/>
      <x:c r="K138" s="1"/>
      <x:c r="L138" s="14"/>
      <x:c r="M138" s="1"/>
      <x:c r="N138" s="1"/>
      <x:c r="O138" s="1"/>
    </x:row>
    <x:row r="139" ht="24" customHeight="1">
      <x:c r="A139" s="1"/>
      <x:c r="B139" s="1"/>
      <x:c r="C139" s="16"/>
      <x:c r="D139" s="16"/>
      <x:c r="E139" s="16"/>
      <x:c r="F139" s="1"/>
      <x:c r="G139" s="1"/>
      <x:c r="H139" s="1"/>
      <x:c r="I139" s="1"/>
      <x:c r="J139" s="1"/>
      <x:c r="K139" s="1"/>
      <x:c r="L139" s="14"/>
      <x:c r="M139" s="1"/>
      <x:c r="N139" s="1"/>
      <x:c r="O139" s="1"/>
    </x:row>
    <x:row r="140" ht="24" customHeight="1">
      <x:c r="A140" s="1"/>
      <x:c r="B140" s="1"/>
      <x:c r="C140" s="16"/>
      <x:c r="D140" s="16"/>
      <x:c r="E140" s="16"/>
      <x:c r="F140" s="1"/>
      <x:c r="G140" s="1"/>
      <x:c r="H140" s="1"/>
      <x:c r="I140" s="1"/>
      <x:c r="J140" s="1"/>
      <x:c r="K140" s="1"/>
      <x:c r="L140" s="14"/>
      <x:c r="M140" s="1"/>
      <x:c r="N140" s="1"/>
      <x:c r="O140" s="1"/>
    </x:row>
    <x:row r="141" ht="24" customHeight="1">
      <x:c r="A141" s="1"/>
      <x:c r="B141" s="1"/>
      <x:c r="C141" s="16"/>
      <x:c r="D141" s="16"/>
      <x:c r="E141" s="16"/>
      <x:c r="F141" s="1"/>
      <x:c r="G141" s="1"/>
      <x:c r="H141" s="1"/>
      <x:c r="I141" s="1"/>
      <x:c r="J141" s="1"/>
      <x:c r="K141" s="1"/>
      <x:c r="L141" s="14"/>
      <x:c r="M141" s="1"/>
      <x:c r="N141" s="1"/>
      <x:c r="O141" s="1"/>
    </x:row>
    <x:row r="142" ht="24" customHeight="1">
      <x:c r="A142" s="1"/>
      <x:c r="B142" s="1"/>
      <x:c r="C142" s="16"/>
      <x:c r="D142" s="16"/>
      <x:c r="E142" s="16"/>
      <x:c r="F142" s="1"/>
      <x:c r="G142" s="1"/>
      <x:c r="H142" s="1"/>
      <x:c r="I142" s="1"/>
      <x:c r="J142" s="1"/>
      <x:c r="K142" s="1"/>
      <x:c r="L142" s="14"/>
      <x:c r="M142" s="1"/>
      <x:c r="N142" s="1"/>
      <x:c r="O142" s="1"/>
    </x:row>
    <x:row r="143" ht="24" customHeight="1">
      <x:c r="A143" s="1"/>
      <x:c r="B143" s="1"/>
      <x:c r="C143" s="16"/>
      <x:c r="D143" s="16"/>
      <x:c r="E143" s="16"/>
      <x:c r="F143" s="1"/>
      <x:c r="G143" s="1"/>
      <x:c r="H143" s="1"/>
      <x:c r="I143" s="1"/>
      <x:c r="J143" s="1"/>
      <x:c r="K143" s="1"/>
      <x:c r="L143" s="14"/>
      <x:c r="M143" s="1"/>
      <x:c r="N143" s="1"/>
      <x:c r="O143" s="1"/>
    </x:row>
    <x:row r="144" ht="24" customHeight="1">
      <x:c r="A144" s="1"/>
      <x:c r="B144" s="1"/>
      <x:c r="C144" s="16"/>
      <x:c r="D144" s="16"/>
      <x:c r="E144" s="16"/>
      <x:c r="F144" s="1"/>
      <x:c r="G144" s="1"/>
      <x:c r="H144" s="1"/>
      <x:c r="I144" s="1"/>
      <x:c r="J144" s="1"/>
      <x:c r="K144" s="1"/>
      <x:c r="L144" s="14"/>
      <x:c r="M144" s="1"/>
      <x:c r="N144" s="1"/>
      <x:c r="O144" s="1"/>
    </x:row>
    <x:row r="145" ht="24" customHeight="1">
      <x:c r="A145" s="1"/>
      <x:c r="B145" s="1"/>
      <x:c r="C145" s="16"/>
      <x:c r="D145" s="16"/>
      <x:c r="E145" s="16"/>
      <x:c r="F145" s="1"/>
      <x:c r="G145" s="1"/>
      <x:c r="H145" s="1"/>
      <x:c r="I145" s="1"/>
      <x:c r="J145" s="1"/>
      <x:c r="K145" s="1"/>
      <x:c r="L145" s="14"/>
      <x:c r="M145" s="1"/>
      <x:c r="N145" s="1"/>
      <x:c r="O145" s="1"/>
    </x:row>
    <x:row r="146" ht="24" customHeight="1">
      <x:c r="A146" s="1"/>
      <x:c r="B146" s="1"/>
      <x:c r="C146" s="16"/>
      <x:c r="D146" s="16"/>
      <x:c r="E146" s="16"/>
      <x:c r="F146" s="1"/>
      <x:c r="G146" s="1"/>
      <x:c r="H146" s="1"/>
      <x:c r="I146" s="1"/>
      <x:c r="J146" s="1"/>
      <x:c r="K146" s="1"/>
      <x:c r="L146" s="14"/>
      <x:c r="M146" s="1"/>
      <x:c r="N146" s="1"/>
      <x:c r="O146" s="1"/>
    </x:row>
    <x:row r="147" ht="24" customHeight="1">
      <x:c r="A147" s="1"/>
      <x:c r="B147" s="1"/>
      <x:c r="C147" s="16"/>
      <x:c r="D147" s="16"/>
      <x:c r="E147" s="16"/>
      <x:c r="F147" s="1"/>
      <x:c r="G147" s="1"/>
      <x:c r="H147" s="1"/>
      <x:c r="I147" s="1"/>
      <x:c r="J147" s="1"/>
      <x:c r="K147" s="1"/>
      <x:c r="L147" s="14"/>
      <x:c r="M147" s="1"/>
      <x:c r="N147" s="1"/>
      <x:c r="O147" s="1"/>
    </x:row>
    <x:row r="148" ht="24" customHeight="1">
      <x:c r="A148" s="1"/>
      <x:c r="B148" s="1"/>
      <x:c r="C148" s="16"/>
      <x:c r="D148" s="16"/>
      <x:c r="E148" s="16"/>
      <x:c r="F148" s="1"/>
      <x:c r="G148" s="1"/>
      <x:c r="H148" s="1"/>
      <x:c r="I148" s="1"/>
      <x:c r="J148" s="1"/>
      <x:c r="K148" s="1"/>
      <x:c r="L148" s="14"/>
      <x:c r="M148" s="1"/>
      <x:c r="N148" s="1"/>
      <x:c r="O148" s="1"/>
    </x:row>
    <x:row r="149" ht="24" customHeight="1">
      <x:c r="A149" s="1"/>
      <x:c r="B149" s="1"/>
      <x:c r="C149" s="16"/>
      <x:c r="D149" s="16"/>
      <x:c r="E149" s="16"/>
      <x:c r="F149" s="1"/>
      <x:c r="G149" s="1"/>
      <x:c r="H149" s="1"/>
      <x:c r="I149" s="1"/>
      <x:c r="J149" s="1"/>
      <x:c r="K149" s="1"/>
      <x:c r="L149" s="14"/>
      <x:c r="M149" s="1"/>
      <x:c r="N149" s="1"/>
      <x:c r="O149" s="1"/>
    </x:row>
    <x:row r="150" ht="24" customHeight="1">
      <x:c r="A150" s="1"/>
      <x:c r="B150" s="1"/>
      <x:c r="C150" s="16"/>
      <x:c r="D150" s="16"/>
      <x:c r="E150" s="16"/>
      <x:c r="F150" s="1"/>
      <x:c r="G150" s="1"/>
      <x:c r="H150" s="1"/>
      <x:c r="I150" s="1"/>
      <x:c r="J150" s="1"/>
      <x:c r="K150" s="1"/>
      <x:c r="L150" s="14"/>
      <x:c r="M150" s="1"/>
      <x:c r="N150" s="1"/>
      <x:c r="O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5" hidden="0" customWidth="1"/>
    <x:col min="3" max="3" width="25" hidden="0" customWidth="1"/>
    <x:col min="4" max="4" width="23" hidden="0" customWidth="1"/>
    <x:col min="5" max="5" width="30" hidden="0" customWidth="1"/>
    <x:col min="6" max="6" width="15" hidden="0" customWidth="1"/>
    <x:col min="7" max="7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S16 R05 fényutak és teljesítmény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 t="str">
        <x:v>24 V DC. Öt külső CCT fényút + nyolc független belső érzékelő. Nem Philips Lightstrip Plus készlet.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5" t="str">
        <x:v>Ág</x:v>
      </x:c>
      <x:c r="B5" s="5" t="str">
        <x:v>Hossz mm</x:v>
      </x:c>
      <x:c r="C5" s="5" t="str">
        <x:v>W/m</x:v>
      </x:c>
      <x:c r="D5" s="5" t="str">
        <x:v>Teljesítmény W</x:v>
      </x:c>
      <x:c r="E5" s="5" t="str">
        <x:v>Táp/vezérlés</x:v>
      </x:c>
      <x:c r="F5" s="5" t="str">
        <x:v>Áram A</x:v>
      </x:c>
      <x:c r="G5" s="5" t="str">
        <x:v>Feszültség V</x:v>
      </x:c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1" t="str">
        <x:v>A1-OUTER-UP</x:v>
      </x:c>
      <x:c r="B6" s="16" t="n">
        <x:v>8791.371669411541</x:v>
      </x:c>
      <x:c r="C6" s="1" t="n">
        <x:v>10</x:v>
      </x:c>
      <x:c r="D6" s="17" t="n">
        <x:f>B6/1000*C6</x:f>
        <x:v>87.91371669411541</x:v>
      </x:c>
      <x:c r="E6" s="17" t="str">
        <x:v>PS1/Z1</x:v>
      </x:c>
      <x:c r="F6" s="17" t="n">
        <x:f>D6/G6</x:f>
        <x:v>3.6630715289214755</x:v>
      </x:c>
      <x:c r="G6" s="1" t="n">
        <x:v>24</x:v>
      </x:c>
      <x:c r="H6" s="1"/>
      <x:c r="I6" s="1"/>
      <x:c r="J6" s="1"/>
      <x:c r="K6" s="1"/>
      <x:c r="L6" s="1"/>
      <x:c r="M6" s="1"/>
      <x:c r="N6" s="1"/>
      <x:c r="O6" s="1"/>
    </x:row>
    <x:row r="7" ht="24" customHeight="1">
      <x:c r="A7" s="1" t="str">
        <x:v>A2-OUTER-LOW</x:v>
      </x:c>
      <x:c r="B7" s="16" t="n">
        <x:v>3671.3274122871835</x:v>
      </x:c>
      <x:c r="C7" s="1" t="n">
        <x:v>10</x:v>
      </x:c>
      <x:c r="D7" s="17" t="n">
        <x:f>B7/1000*C7</x:f>
        <x:v>36.71327412287183</x:v>
      </x:c>
      <x:c r="E7" s="17" t="str">
        <x:v>PS2/Z2</x:v>
      </x:c>
      <x:c r="F7" s="17" t="n">
        <x:f>D7/G7</x:f>
        <x:v>1.5297197551196595</x:v>
      </x:c>
      <x:c r="G7" s="1" t="n">
        <x:v>24</x:v>
      </x:c>
      <x:c r="H7" s="1"/>
      <x:c r="I7" s="1"/>
      <x:c r="J7" s="1"/>
      <x:c r="K7" s="1"/>
      <x:c r="L7" s="1"/>
      <x:c r="M7" s="1"/>
      <x:c r="N7" s="1"/>
      <x:c r="O7" s="1"/>
    </x:row>
    <x:row r="8" ht="24" customHeight="1">
      <x:c r="A8" s="1" t="str">
        <x:v>A3-TV-CONTOUR</x:v>
      </x:c>
      <x:c r="B8" s="16" t="n">
        <x:v>5238.318530717958</x:v>
      </x:c>
      <x:c r="C8" s="1" t="n">
        <x:v>10</x:v>
      </x:c>
      <x:c r="D8" s="17" t="n">
        <x:f>B8/1000*C8</x:f>
        <x:v>52.38318530717958</x:v>
      </x:c>
      <x:c r="E8" s="17" t="str">
        <x:v>PS2/Z3</x:v>
      </x:c>
      <x:c r="F8" s="17" t="n">
        <x:f>D8/G8</x:f>
        <x:v>2.1826327211324825</x:v>
      </x:c>
      <x:c r="G8" s="1" t="n">
        <x:v>24</x:v>
      </x:c>
      <x:c r="H8" s="1"/>
      <x:c r="I8" s="1"/>
      <x:c r="J8" s="1"/>
      <x:c r="K8" s="1"/>
      <x:c r="L8" s="1"/>
      <x:c r="M8" s="1"/>
      <x:c r="N8" s="1"/>
      <x:c r="O8" s="1"/>
    </x:row>
    <x:row r="9" ht="24" customHeight="1">
      <x:c r="A9" s="1" t="str">
        <x:v>A4-TEXTILE-LOOP</x:v>
      </x:c>
      <x:c r="B9" s="16" t="n">
        <x:v>5678.407044966673</x:v>
      </x:c>
      <x:c r="C9" s="1" t="n">
        <x:v>10</x:v>
      </x:c>
      <x:c r="D9" s="17" t="n">
        <x:f>B9/1000*C9</x:f>
        <x:v>56.78407044966673</x:v>
      </x:c>
      <x:c r="E9" s="17" t="str">
        <x:v>PS1/Z4</x:v>
      </x:c>
      <x:c r="F9" s="17" t="n">
        <x:f>D9/G9</x:f>
        <x:v>2.3660029354027805</x:v>
      </x:c>
      <x:c r="G9" s="1" t="n">
        <x:v>24</x:v>
      </x:c>
      <x:c r="H9" s="1"/>
      <x:c r="I9" s="1"/>
      <x:c r="J9" s="1"/>
      <x:c r="K9" s="1"/>
      <x:c r="L9" s="1"/>
      <x:c r="M9" s="1"/>
      <x:c r="N9" s="1"/>
      <x:c r="O9" s="1"/>
    </x:row>
    <x:row r="10" ht="24" customHeight="1">
      <x:c r="A10" s="1" t="str">
        <x:v>A5-DECK</x:v>
      </x:c>
      <x:c r="B10" s="16" t="n">
        <x:v>2670</x:v>
      </x:c>
      <x:c r="C10" s="1" t="n">
        <x:v>10</x:v>
      </x:c>
      <x:c r="D10" s="17" t="n">
        <x:f>B10/1000*C10</x:f>
        <x:v>26.7</x:v>
      </x:c>
      <x:c r="E10" s="17" t="str">
        <x:v>PS2/Z5</x:v>
      </x:c>
      <x:c r="F10" s="17" t="n">
        <x:f>D10/G10</x:f>
        <x:v>1.1125</x:v>
      </x:c>
      <x:c r="G10" s="1" t="n">
        <x:v>24</x:v>
      </x:c>
      <x:c r="H10" s="1"/>
      <x:c r="I10" s="1"/>
      <x:c r="J10" s="1"/>
      <x:c r="K10" s="1"/>
      <x:c r="L10" s="1"/>
      <x:c r="M10" s="1"/>
      <x:c r="N10" s="1"/>
      <x:c r="O10" s="1"/>
    </x:row>
    <x:row r="11" ht="24" customHeight="1">
      <x:c r="A11" s="1" t="str">
        <x:v>I-D1</x:v>
      </x:c>
      <x:c r="B11" s="16" t="n">
        <x:v>320</x:v>
      </x:c>
      <x:c r="C11" s="1" t="n">
        <x:v>4.8</x:v>
      </x:c>
      <x:c r="D11" s="17" t="n">
        <x:f>B11/1000*C11</x:f>
        <x:v>1.536</x:v>
      </x:c>
      <x:c r="E11" s="17" t="str">
        <x:v>PS3/S-D1</x:v>
      </x:c>
      <x:c r="F11" s="17" t="n">
        <x:f>D11/G11</x:f>
        <x:v>0.064</x:v>
      </x:c>
      <x:c r="G11" s="1" t="n">
        <x:v>24</x:v>
      </x:c>
      <x:c r="H11" s="1"/>
      <x:c r="I11" s="1"/>
      <x:c r="J11" s="1"/>
      <x:c r="K11" s="1"/>
      <x:c r="L11" s="1"/>
      <x:c r="M11" s="1"/>
      <x:c r="N11" s="1"/>
      <x:c r="O11" s="1"/>
    </x:row>
    <x:row r="12" ht="24" customHeight="1">
      <x:c r="A12" s="1" t="str">
        <x:v>I-D2</x:v>
      </x:c>
      <x:c r="B12" s="16" t="n">
        <x:v>280</x:v>
      </x:c>
      <x:c r="C12" s="1" t="n">
        <x:v>4.8</x:v>
      </x:c>
      <x:c r="D12" s="17" t="n">
        <x:f>B12/1000*C12</x:f>
        <x:v>1.344</x:v>
      </x:c>
      <x:c r="E12" s="17" t="str">
        <x:v>PS3/S-D2</x:v>
      </x:c>
      <x:c r="F12" s="17" t="n">
        <x:f>D12/G12</x:f>
        <x:v>0.056</x:v>
      </x:c>
      <x:c r="G12" s="1" t="n">
        <x:v>24</x:v>
      </x:c>
      <x:c r="H12" s="1"/>
      <x:c r="I12" s="1"/>
      <x:c r="J12" s="1"/>
      <x:c r="K12" s="1"/>
      <x:c r="L12" s="1"/>
      <x:c r="M12" s="1"/>
      <x:c r="N12" s="1"/>
      <x:c r="O12" s="1"/>
    </x:row>
    <x:row r="13" ht="24" customHeight="1">
      <x:c r="A13" s="1" t="str">
        <x:v>I-D3</x:v>
      </x:c>
      <x:c r="B13" s="16" t="n">
        <x:v>280</x:v>
      </x:c>
      <x:c r="C13" s="1" t="n">
        <x:v>4.8</x:v>
      </x:c>
      <x:c r="D13" s="17" t="n">
        <x:f>B13/1000*C13</x:f>
        <x:v>1.344</x:v>
      </x:c>
      <x:c r="E13" s="17" t="str">
        <x:v>PS3/S-D3</x:v>
      </x:c>
      <x:c r="F13" s="17" t="n">
        <x:f>D13/G13</x:f>
        <x:v>0.056</x:v>
      </x:c>
      <x:c r="G13" s="1" t="n">
        <x:v>24</x:v>
      </x:c>
      <x:c r="H13" s="1"/>
      <x:c r="I13" s="1"/>
      <x:c r="J13" s="1"/>
      <x:c r="K13" s="1"/>
      <x:c r="L13" s="1"/>
      <x:c r="M13" s="1"/>
      <x:c r="N13" s="1"/>
      <x:c r="O13" s="1"/>
    </x:row>
    <x:row r="14" ht="24" customHeight="1">
      <x:c r="A14" s="1" t="str">
        <x:v>I-D4</x:v>
      </x:c>
      <x:c r="B14" s="16" t="n">
        <x:v>900</x:v>
      </x:c>
      <x:c r="C14" s="1" t="n">
        <x:v>4.8</x:v>
      </x:c>
      <x:c r="D14" s="17" t="n">
        <x:f>B14/1000*C14</x:f>
        <x:v>4.32</x:v>
      </x:c>
      <x:c r="E14" s="17" t="str">
        <x:v>PS3/S-D4</x:v>
      </x:c>
      <x:c r="F14" s="17" t="n">
        <x:f>D14/G14</x:f>
        <x:v>0.18000000000000002</x:v>
      </x:c>
      <x:c r="G14" s="1" t="n">
        <x:v>24</x:v>
      </x:c>
      <x:c r="H14" s="1"/>
      <x:c r="I14" s="1"/>
      <x:c r="J14" s="1"/>
      <x:c r="K14" s="1"/>
      <x:c r="L14" s="1"/>
      <x:c r="M14" s="1"/>
      <x:c r="N14" s="1"/>
      <x:c r="O14" s="1"/>
    </x:row>
    <x:row r="15" ht="24" customHeight="1">
      <x:c r="A15" s="1" t="str">
        <x:v>I-D5</x:v>
      </x:c>
      <x:c r="B15" s="16" t="n">
        <x:v>280</x:v>
      </x:c>
      <x:c r="C15" s="1" t="n">
        <x:v>4.8</x:v>
      </x:c>
      <x:c r="D15" s="17" t="n">
        <x:f>B15/1000*C15</x:f>
        <x:v>1.344</x:v>
      </x:c>
      <x:c r="E15" s="17" t="str">
        <x:v>PS3/S-D5</x:v>
      </x:c>
      <x:c r="F15" s="17" t="n">
        <x:f>D15/G15</x:f>
        <x:v>0.056</x:v>
      </x:c>
      <x:c r="G15" s="1" t="n">
        <x:v>24</x:v>
      </x:c>
      <x:c r="H15" s="1"/>
      <x:c r="I15" s="1"/>
      <x:c r="J15" s="1"/>
      <x:c r="K15" s="1"/>
      <x:c r="L15" s="1"/>
      <x:c r="M15" s="1"/>
      <x:c r="N15" s="1"/>
      <x:c r="O15" s="1"/>
    </x:row>
    <x:row r="16" ht="24" customHeight="1">
      <x:c r="A16" s="1" t="str">
        <x:v>I-D6</x:v>
      </x:c>
      <x:c r="B16" s="16" t="n">
        <x:v>280</x:v>
      </x:c>
      <x:c r="C16" s="1" t="n">
        <x:v>4.8</x:v>
      </x:c>
      <x:c r="D16" s="17" t="n">
        <x:f>B16/1000*C16</x:f>
        <x:v>1.344</x:v>
      </x:c>
      <x:c r="E16" s="17" t="str">
        <x:v>PS3/S-D6</x:v>
      </x:c>
      <x:c r="F16" s="17" t="n">
        <x:f>D16/G16</x:f>
        <x:v>0.056</x:v>
      </x:c>
      <x:c r="G16" s="1" t="n">
        <x:v>24</x:v>
      </x:c>
      <x:c r="H16" s="1"/>
      <x:c r="I16" s="1"/>
      <x:c r="J16" s="1"/>
      <x:c r="K16" s="1"/>
      <x:c r="L16" s="1"/>
      <x:c r="M16" s="1"/>
      <x:c r="N16" s="1"/>
      <x:c r="O16" s="1"/>
    </x:row>
    <x:row r="17" ht="24" customHeight="1">
      <x:c r="A17" s="1" t="str">
        <x:v>I-TL</x:v>
      </x:c>
      <x:c r="B17" s="16" t="n">
        <x:v>2245</x:v>
      </x:c>
      <x:c r="C17" s="1" t="n">
        <x:v>4.8</x:v>
      </x:c>
      <x:c r="D17" s="17" t="n">
        <x:f>B17/1000*C17</x:f>
        <x:v>10.776</x:v>
      </x:c>
      <x:c r="E17" s="17" t="str">
        <x:v>PS3/S-TL</x:v>
      </x:c>
      <x:c r="F17" s="17" t="n">
        <x:f>D17/G17</x:f>
        <x:v>0.449</x:v>
      </x:c>
      <x:c r="G17" s="1" t="n">
        <x:v>24</x:v>
      </x:c>
      <x:c r="H17" s="1"/>
      <x:c r="I17" s="1"/>
      <x:c r="J17" s="1"/>
      <x:c r="K17" s="1"/>
      <x:c r="L17" s="1"/>
      <x:c r="M17" s="1"/>
      <x:c r="N17" s="1"/>
      <x:c r="O17" s="1"/>
    </x:row>
    <x:row r="18" ht="24" customHeight="1">
      <x:c r="A18" s="1" t="str">
        <x:v>I-TR</x:v>
      </x:c>
      <x:c r="B18" s="16" t="n">
        <x:v>2245</x:v>
      </x:c>
      <x:c r="C18" s="1" t="n">
        <x:v>4.8</x:v>
      </x:c>
      <x:c r="D18" s="17" t="n">
        <x:f>B18/1000*C18</x:f>
        <x:v>10.776</x:v>
      </x:c>
      <x:c r="E18" s="17" t="str">
        <x:v>PS3/S-TR</x:v>
      </x:c>
      <x:c r="F18" s="17" t="n">
        <x:f>D18/G18</x:f>
        <x:v>0.449</x:v>
      </x:c>
      <x:c r="G18" s="1" t="n">
        <x:v>24</x:v>
      </x:c>
      <x:c r="H18" s="1"/>
      <x:c r="I18" s="1"/>
      <x:c r="J18" s="1"/>
      <x:c r="K18" s="1"/>
      <x:c r="L18" s="1"/>
      <x:c r="M18" s="1"/>
      <x:c r="N18" s="1"/>
      <x:c r="O18" s="1"/>
    </x:row>
    <x:row r="19" ht="24" customHeight="1">
      <x:c r="A19" s="1"/>
      <x:c r="B19" s="1"/>
      <x:c r="C19" s="1"/>
      <x:c r="D19" s="17"/>
      <x:c r="E19" s="17"/>
      <x:c r="F19" s="17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4" customHeight="1">
      <x:c r="A20" s="1" t="str">
        <x:v>Összes teljesítmény</x:v>
      </x:c>
      <x:c r="B20" s="1"/>
      <x:c r="C20" s="1"/>
      <x:c r="D20" s="17" t="n">
        <x:f>SUM(D6:D18)</x:f>
        <x:v>293.27824657383354</x:v>
      </x:c>
      <x:c r="E20" s="17"/>
      <x:c r="F20" s="17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32" customHeight="1">
      <x:c r="A23" s="5" t="str">
        <x:v>Táp</x:v>
      </x:c>
      <x:c r="B23" s="5" t="str">
        <x:v>Névleges W</x:v>
      </x:c>
      <x:c r="C23" s="5" t="str">
        <x:v>Számított terhelés W</x:v>
      </x:c>
      <x:c r="D23" s="5" t="str">
        <x:v>Terhelés %</x:v>
      </x:c>
      <x:c r="E23" s="5" t="str">
        <x:v>Státusz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4" customHeight="1">
      <x:c r="A24" s="1" t="str">
        <x:v>PS1</x:v>
      </x:c>
      <x:c r="B24" s="1" t="n">
        <x:v>200</x:v>
      </x:c>
      <x:c r="C24" s="17" t="n">
        <x:f>SUM(D6,D9)</x:f>
        <x:v>144.69778714378214</x:v>
      </x:c>
      <x:c r="D24" s="15" t="n">
        <x:f>C24/B24</x:f>
        <x:v>0.7234889357189107</x:v>
      </x:c>
      <x:c r="E24" s="1" t="str">
        <x:v>Hőpróba szükséges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4" customHeight="1">
      <x:c r="A25" s="1" t="str">
        <x:v>PS2</x:v>
      </x:c>
      <x:c r="B25" s="1" t="n">
        <x:v>200</x:v>
      </x:c>
      <x:c r="C25" s="17" t="n">
        <x:f>SUM(D7,D8,D10)</x:f>
        <x:v>115.79645943005141</x:v>
      </x:c>
      <x:c r="D25" s="15" t="n">
        <x:f>C25/B25</x:f>
        <x:v>0.5789822971502571</x:v>
      </x:c>
      <x:c r="E25" s="1" t="str">
        <x:v>Hőpróba szükséges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4" customHeight="1">
      <x:c r="A26" s="1" t="str">
        <x:v>PS3</x:v>
      </x:c>
      <x:c r="B26" s="1" t="n">
        <x:v>60</x:v>
      </x:c>
      <x:c r="C26" s="17" t="n">
        <x:f>SUM(D11,D12,D13,D14,D15,D16,D17,D18)</x:f>
        <x:v>32.784</x:v>
      </x:c>
      <x:c r="D26" s="15" t="n">
        <x:f>C26/B26</x:f>
        <x:v>0.5464</x:v>
      </x:c>
      <x:c r="E26" s="1" t="str">
        <x:v>Hőpróba szükséges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4" customHeight="1">
      <x:c r="A28" s="1" t="str">
        <x:v>Külső aktív hossz (m)</x:v>
      </x:c>
      <x:c r="B28" s="17" t="n">
        <x:f>SUM(B6:B10)/1000</x:f>
        <x:v>26.049424657383355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4" customHeight="1">
      <x:c r="A29" s="1" t="str">
        <x:v>Belső aktív hossz (m)</x:v>
      </x:c>
      <x:c r="B29" s="17" t="n">
        <x:f>SUM(B11:B18)/1000</x:f>
        <x:v>6.83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4" customHeight="1">
      <x:c r="A31" s="1" t="str">
        <x:v>A beszerzési30m +10m tartalékot és vágásveszteséget is tartalmaz.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4" customHeight="1">
      <x:c r="A32" s="1" t="str">
        <x:v>Sunricher CV variáns, LED és Loox csatlakozók pontos SKU-ja, Hue párosítás és ágvédelem lezárásra vár.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31" hidden="0" customWidth="1"/>
    <x:col min="4" max="4" width="90" hidden="0" customWidth="1"/>
    <x:col min="5" max="5" width="30" hidden="0" customWidth="1"/>
    <x:col min="6" max="6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S16 R05 nyitott felmérési és műhelyi pontok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5" t="str">
        <x:v>Kód</x:v>
      </x:c>
      <x:c r="B5" s="5" t="str">
        <x:v>Nyitott adat</x:v>
      </x:c>
      <x:c r="C5" s="5" t="str">
        <x:v>Felelős</x:v>
      </x:c>
      <x:c r="D5" s="5" t="str">
        <x:v>Elfogadás / bizonyíték</x:v>
      </x:c>
      <x:c r="E5" s="5" t="str">
        <x:v>Mikor</x:v>
      </x:c>
      <x:c r="F5" s="5" t="str">
        <x:v>Állapot</x:v>
      </x:c>
      <x:c r="G5" s="1"/>
      <x:c r="H5" s="1"/>
      <x:c r="I5" s="1"/>
      <x:c r="J5" s="1"/>
      <x:c r="K5" s="1"/>
      <x:c r="L5" s="1"/>
      <x:c r="M5" s="1"/>
      <x:c r="N5" s="1"/>
      <x:c r="O5" s="1"/>
    </x:row>
    <x:row r="6" ht="76" customHeight="1">
      <x:c r="A6" s="14" t="str">
        <x:v>G01</x:v>
      </x:c>
      <x:c r="B6" s="14" t="str">
        <x:v>Felmérési minimumok és falsík</x:v>
      </x:c>
      <x:c r="C6" s="14" t="str">
        <x:v>Asztalos felmérő</x:v>
      </x:c>
      <x:c r="D6" s="14" t="str">
        <x:v>3 magasságban szélesség, 5 ponton magasság, átlók, faleltérés, szegő/függöny; közös XYZ fotóval</x:v>
      </x:c>
      <x:c r="E6" s="14" t="str">
        <x:v>Gyártási méretkiadás előtt</x:v>
      </x:c>
      <x:c r="F6" s="20" t="str">
        <x:v>NYITOTT</x:v>
      </x:c>
      <x:c r="G6" s="1"/>
      <x:c r="H6" s="1"/>
      <x:c r="I6" s="1"/>
      <x:c r="J6" s="1"/>
      <x:c r="K6" s="1"/>
      <x:c r="L6" s="1"/>
      <x:c r="M6" s="1"/>
      <x:c r="N6" s="1"/>
      <x:c r="O6" s="1"/>
    </x:row>
    <x:row r="7" ht="76" customHeight="1">
      <x:c r="A7" s="14" t="str">
        <x:v>G02</x:v>
      </x:c>
      <x:c r="B7" s="14" t="str">
        <x:v>3600-as új frontosztás és870-es torony</x:v>
      </x:c>
      <x:c r="C7" s="14" t="str">
        <x:v>Péter + tervező</x:v>
      </x:c>
      <x:c r="D7" s="14" t="str">
        <x:v>Célkép és R05 homlokzat összevetése; hatfiókos funkció elfogadása</x:v>
      </x:c>
      <x:c r="E7" s="14" t="str">
        <x:v>Árajánlat véglegesítése előtt</x:v>
      </x:c>
      <x:c r="F7" s="20" t="str">
        <x:v>NYITOTT</x:v>
      </x:c>
      <x:c r="G7" s="1"/>
      <x:c r="H7" s="1"/>
      <x:c r="I7" s="1"/>
      <x:c r="J7" s="1"/>
      <x:c r="K7" s="1"/>
      <x:c r="L7" s="1"/>
      <x:c r="M7" s="1"/>
      <x:c r="N7" s="1"/>
      <x:c r="O7" s="1"/>
    </x:row>
    <x:row r="8" ht="76" customHeight="1">
      <x:c r="A8" s="14" t="str">
        <x:v>G03</x:v>
      </x:c>
      <x:c r="B8" s="14" t="str">
        <x:v>Fal és függesztés</x:v>
      </x:c>
      <x:c r="C8" s="14" t="str">
        <x:v>Asztalos + illetékes szakember</x:v>
      </x:c>
      <x:c r="D8" s="14" t="str">
        <x:v>Falanyag/vezetékkeresés, terhek és horgony gyári méretezése, kihúzási teherpróba ha indokolt</x:v>
      </x:c>
      <x:c r="E8" s="14" t="str">
        <x:v>Fúrás előtt</x:v>
      </x:c>
      <x:c r="F8" s="20" t="str">
        <x:v>NYITOTT</x:v>
      </x:c>
      <x:c r="G8" s="1"/>
      <x:c r="H8" s="1"/>
      <x:c r="I8" s="1"/>
      <x:c r="J8" s="1"/>
      <x:c r="K8" s="1"/>
      <x:c r="L8" s="1"/>
      <x:c r="M8" s="1"/>
      <x:c r="N8" s="1"/>
      <x:c r="O8" s="1"/>
    </x:row>
    <x:row r="9" ht="76" customHeight="1">
      <x:c r="A9" s="14" t="str">
        <x:v>G04</x:v>
      </x:c>
      <x:c r="B9" s="14" t="str">
        <x:v>Fiók működés és tömeg</x:v>
      </x:c>
      <x:c r="C9" s="14" t="str">
        <x:v>Műhely + Blum szaktanácsadó</x:v>
      </x:c>
      <x:c r="D9" s="14" t="str">
        <x:v>S0/S1 össztömeg; sablonfurat, min3mm rés; széles/rövid D4 stabilitás, egy teljes elsődarab</x:v>
      </x:c>
      <x:c r="E9" s="14" t="str">
        <x:v>Sorozatgyártás előtt</x:v>
      </x:c>
      <x:c r="F9" s="20" t="str">
        <x:v>NYITOTT</x:v>
      </x:c>
      <x:c r="G9" s="1"/>
      <x:c r="H9" s="1"/>
      <x:c r="I9" s="1"/>
      <x:c r="J9" s="1"/>
      <x:c r="K9" s="1"/>
      <x:c r="L9" s="1"/>
      <x:c r="M9" s="1"/>
      <x:c r="N9" s="1"/>
      <x:c r="O9" s="1"/>
    </x:row>
    <x:row r="10" ht="76" customHeight="1">
      <x:c r="A10" s="14" t="str">
        <x:v>G05</x:v>
      </x:c>
      <x:c r="B10" s="14" t="str">
        <x:v>Ajtó/textil tömeg és nyitás</x:v>
      </x:c>
      <x:c r="C10" s="14" t="str">
        <x:v>Műhely</x:v>
      </x:c>
      <x:c r="D10" s="14" t="str">
        <x:v>Inset rugó nélküli pánt/talp/TIP-ON pontos SKU; bal6/jobb5pánt előirányzat terhelési igazolás; 90° mozgáspróba</x:v>
      </x:c>
      <x:c r="E10" s="14" t="str">
        <x:v>Furatkiadás előtt</x:v>
      </x:c>
      <x:c r="F10" s="20" t="str">
        <x:v>NYITOTT</x:v>
      </x:c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76" customHeight="1">
      <x:c r="A11" s="14" t="str">
        <x:v>G06</x:v>
      </x:c>
      <x:c r="B11" s="14" t="str">
        <x:v>Szín és rétegrend</x:v>
      </x:c>
      <x:c r="C11" s="14" t="str">
        <x:v>Péter + asztalos/kárpitos</x:v>
      </x:c>
      <x:c r="D11" s="14" t="str">
        <x:v>A3 együttminta nappali/2700K; él, ragasztó, lakk és textil</x:v>
      </x:c>
      <x:c r="E11" s="14" t="str">
        <x:v>Felületgyártás előtt</x:v>
      </x:c>
      <x:c r="F11" s="20" t="str">
        <x:v>NYITOTT</x:v>
      </x:c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76" customHeight="1">
      <x:c r="A12" s="14" t="str">
        <x:v>G07</x:v>
      </x:c>
      <x:c r="B12" s="14" t="str">
        <x:v>Fény és szerviz</x:v>
      </x:c>
      <x:c r="C12" s="14" t="str">
        <x:v>Villanyszerelő</x:v>
      </x:c>
      <x:c r="D12" s="14" t="str">
        <x:v>D16 kapacitás; végleges LED/profil/SKU/kapcsolás; Hue próba, teljes terhelésű hőpróba; vezeték/ágvédelem</x:v>
      </x:c>
      <x:c r="E12" s="14" t="str">
        <x:v>Villamos kivitelezés előtt</x:v>
      </x:c>
      <x:c r="F12" s="20" t="str">
        <x:v>NYITOTT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76" customHeight="1">
      <x:c r="A13" s="14" t="str">
        <x:v>G08</x:v>
      </x:c>
      <x:c r="B13" s="14" t="str">
        <x:v>TV és kiállások</x:v>
      </x:c>
      <x:c r="C13" s="14" t="str">
        <x:v>Felmérő + TV szerelő</x:v>
      </x:c>
      <x:c r="D13" s="14" t="str">
        <x:v>Készülék/VESA magasság, csatlakozóhajlítás, feloldók, hűtés és D16–18/G pontok sablonja</x:v>
      </x:c>
      <x:c r="E13" s="14" t="str">
        <x:v>TV-panelek kivágása előtt</x:v>
      </x:c>
      <x:c r="F13" s="20" t="str">
        <x:v>NYITOTT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76" customHeight="1">
      <x:c r="A14" s="14" t="str">
        <x:v>G09</x:v>
      </x:c>
      <x:c r="B14" s="14" t="str">
        <x:v>Szállítás, panelbontás</x:v>
      </x:c>
      <x:c r="C14" s="14" t="str">
        <x:v>Asztalos/logisztika</x:v>
      </x:c>
      <x:c r="D14" s="14" t="str">
        <x:v>Lift/ajtó/forduló mérés; helyszíni korpuszépítés; előrefelé oldható kapocs próbája 25mm mennyezeti résnél</x:v>
      </x:c>
      <x:c r="E14" s="14" t="str">
        <x:v>Gyártás előtt</x:v>
      </x:c>
      <x:c r="F14" s="20" t="str">
        <x:v>NYITOTT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76" customHeight="1">
      <x:c r="A15" s="14" t="str">
        <x:v>G10</x:v>
      </x:c>
      <x:c r="B15" s="14" t="str">
        <x:v>Szobai használat és asztal</x:v>
      </x:c>
      <x:c r="C15" s="14" t="str">
        <x:v>Péter + tervező</x:v>
      </x:c>
      <x:c r="D15" s="14" t="str">
        <x:v>300mm fiókút után legalább600mm használati sáv cél; asztal tényleges helye, JÄTTEBO kézállás és nyíló teraszszárny</x:v>
      </x:c>
      <x:c r="E15" s="14" t="str">
        <x:v>Végső elrendezés előtt</x:v>
      </x:c>
      <x:c r="F15" s="20" t="str">
        <x:v>NYITOTT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76" customHeight="1">
      <x:c r="A16" s="14" t="str">
        <x:v>G11</x:v>
      </x:c>
      <x:c r="B16" s="14" t="str">
        <x:v>Ajánlati átfedés és keret</x:v>
      </x:c>
      <x:c r="C16" s="14" t="str">
        <x:v>Péter + ajánlatadó</x:v>
      </x:c>
      <x:c r="D16" s="14" t="str">
        <x:v>F01/C05/U09 és KI-014; L08/KI-106; szállítás KI-151 és daruzás KI-137 egyeztetése</x:v>
      </x:c>
      <x:c r="E16" s="14" t="str">
        <x:v>Rendelés előtt</x:v>
      </x:c>
      <x:c r="F16" s="20" t="str">
        <x:v>NYITOTT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76" customHeight="1">
      <x:c r="A17" s="14" t="str">
        <x:v>G12</x:v>
      </x:c>
      <x:c r="B17" s="14" t="str">
        <x:v>Műhelyi gép és gyártáskiadás</x:v>
      </x:c>
      <x:c r="C17" s="14" t="str">
        <x:v>Műhely/gépkezelő</x:v>
      </x:c>
      <x:c r="D17" s="14" t="str">
        <x:v>WOF211 megnevezés helyett adattábla, szerszám és befogás; sablonok/elsődarab. CNC-program nincs kiadva.</x:v>
      </x:c>
      <x:c r="E17" s="14" t="str">
        <x:v>Gyártásra jóváhagyás előtt</x:v>
      </x:c>
      <x:c r="F17" s="20" t="str">
        <x:v>NYITOTT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 ht="24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 ht="24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 ht="24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 ht="24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 ht="24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 ht="24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 ht="24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 ht="24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 ht="24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 ht="24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 ht="24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 ht="24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 ht="24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 ht="24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 ht="24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 ht="24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 ht="24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 ht="24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 ht="24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 ht="24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 ht="24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 ht="24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 ht="24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 ht="24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 ht="24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 ht="24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 ht="24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 ht="24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 ht="24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 ht="24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 ht="24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 ht="24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</x:sheetData>
  <x:dataValidations count="1">
    <x:dataValidation type="list" sqref="F6:F17">
      <x:formula1>"NYITOTT,FOLYAMATBAN,IGAZOLT"</x:formula1>
    </x:dataValidation>
  </x:dataValidations>
  <x:pageMargins left="0.7" right="0.7" top="0.75" bottom="0.75" header="0.3" footer="0.3"/>
</x:worksheet>
</file>