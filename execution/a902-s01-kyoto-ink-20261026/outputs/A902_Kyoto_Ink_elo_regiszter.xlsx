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6327424e7143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iemelt termékek" sheetId="1" r:id="R36f923b2bd5c428b"/>
    <x:sheet xmlns:r="http://schemas.openxmlformats.org/officeDocument/2006/relationships" name="Összesítő" sheetId="2" r:id="R5a663db2597c42b2"/>
    <x:sheet xmlns:r="http://schemas.openxmlformats.org/officeDocument/2006/relationships" name="Elemregiszter" sheetId="3" r:id="R6a5dbed989eb4e2f"/>
    <x:sheet xmlns:r="http://schemas.openxmlformats.org/officeDocument/2006/relationships" name="Baseline egyeztetés" sheetId="4" r:id="R00bc4a9d73304419"/>
    <x:sheet xmlns:r="http://schemas.openxmlformats.org/officeDocument/2006/relationships" name="Lefedettség" sheetId="5" r:id="Re2eddac4a63c4d23"/>
    <x:sheet xmlns:r="http://schemas.openxmlformats.org/officeDocument/2006/relationships" name="Világítás" sheetId="6" r:id="Rad3f698ce8b344e6"/>
    <x:sheet xmlns:r="http://schemas.openxmlformats.org/officeDocument/2006/relationships" name="Felületi mennyiségek" sheetId="7" r:id="R247f37bcf5b84807"/>
    <x:sheet xmlns:r="http://schemas.openxmlformats.org/officeDocument/2006/relationships" name="Textilmennyiségek" sheetId="8" r:id="R788bc37c0d80435d"/>
    <x:sheet xmlns:r="http://schemas.openxmlformats.org/officeDocument/2006/relationships" name="Nyitott döntések" sheetId="9" r:id="R918c68f7a6924c54"/>
    <x:sheet xmlns:r="http://schemas.openxmlformats.org/officeDocument/2006/relationships" name="Ütemterv" sheetId="10" r:id="R33b845d9132045c7"/>
    <x:sheet xmlns:r="http://schemas.openxmlformats.org/officeDocument/2006/relationships" name="További termékek" sheetId="11" r:id="R66fe7959d04545b5"/>
    <x:sheet xmlns:r="http://schemas.openxmlformats.org/officeDocument/2006/relationships" name="CP1a eltérések" sheetId="12" r:id="Rc87a2cb0bbaa418e"/>
    <x:sheet xmlns:r="http://schemas.openxmlformats.org/officeDocument/2006/relationships" name="Vizuális eltérések" sheetId="13" r:id="Ra2d833928f994d7f"/>
    <x:sheet xmlns:r="http://schemas.openxmlformats.org/officeDocument/2006/relationships" name="Előzetes szabáslista" sheetId="14" r:id="R916d3c7ce21648d4"/>
    <x:sheet xmlns:r="http://schemas.openxmlformats.org/officeDocument/2006/relationships" name="05.2 alternatíva" sheetId="15" r:id="R90cba8e611bb4c83"/>
    <x:sheet xmlns:r="http://schemas.openxmlformats.org/officeDocument/2006/relationships" name="CP3 rekeszek" sheetId="16" r:id="R2c972e89bad4460d"/>
    <x:sheet xmlns:r="http://schemas.openxmlformats.org/officeDocument/2006/relationships" name="CP3 belső fény" sheetId="17" r:id="Recea1fd0f1f8420e"/>
    <x:sheet xmlns:r="http://schemas.openxmlformats.org/officeDocument/2006/relationships" name="CP3 tápegységek" sheetId="18" r:id="R62314806f80b4a54"/>
    <x:sheet xmlns:r="http://schemas.openxmlformats.org/officeDocument/2006/relationships" name="CP3 vasalat" sheetId="19" r:id="Rd089dc3f38fd44f9"/>
    <x:sheet xmlns:r="http://schemas.openxmlformats.org/officeDocument/2006/relationships" name="CP3 eltérések" sheetId="20" r:id="R9ce53e5c38804796"/>
    <x:sheet xmlns:r="http://schemas.openxmlformats.org/officeDocument/2006/relationships" name="R05 anyagok" sheetId="21" r:id="R7744d4f00a18492d"/>
    <x:sheet xmlns:r="http://schemas.openxmlformats.org/officeDocument/2006/relationships" name="R05 változások" sheetId="22" r:id="R11c0036e45f64e82"/>
    <x:sheet xmlns:r="http://schemas.openxmlformats.org/officeDocument/2006/relationships" name="R05 kapacitás" sheetId="23" r:id="Rcd609916148c4f66"/>
    <x:sheet xmlns:r="http://schemas.openxmlformats.org/officeDocument/2006/relationships" name="R06 változások" sheetId="24" r:id="Refa2a637b72244b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;(#,##0);&quot;–&quot;"/>
    <x:numFmt numFmtId="201" formatCode="#,##0"/>
    <x:numFmt numFmtId="202" formatCode="0.000"/>
    <x:numFmt numFmtId="203" formatCode="0%"/>
    <x:numFmt numFmtId="204" formatCode="0.0%"/>
  </x:numFmts>
  <x:fonts count="12">
    <x:font>
      <x:sz val="11"/>
      <x:name val="Carlito"/>
    </x:font>
    <x:font>
      <x:sz val="11"/>
      <x:color rgb="FFFFFFFF"/>
      <x:name val="Carlito"/>
    </x:font>
    <x:font>
      <x:sz val="10"/>
      <x:color rgb="FFFFFFFF"/>
      <x:name val="Carlito"/>
    </x:font>
    <x:font>
      <x:sz val="10"/>
      <x:name val="Carlito"/>
    </x:font>
    <x:font>
      <x:sz val="11"/>
      <x:color rgb="FF0000FF"/>
      <x:name val="Carlito"/>
    </x:font>
    <x:font>
      <x:sz val="11"/>
      <x:name val="Arial"/>
    </x:font>
    <x:font>
      <x:sz val="10"/>
      <x:name val="Arial"/>
    </x:font>
    <x:font>
      <x:sz val="11"/>
      <x:color rgb="FF0000FF"/>
      <x:name val="Arial"/>
    </x:font>
    <x:font>
      <x:sz val="10"/>
      <x:color rgb="FF0000FF"/>
      <x:name val="Arial"/>
    </x:font>
    <x:font>
      <x:b/>
      <x:sz val="10"/>
      <x:color rgb="FFFFFFFF"/>
      <x:name val="Arial"/>
    </x:font>
    <x:font>
      <x:sz val="16"/>
      <x:name val="Arial"/>
    </x:font>
    <x:font>
      <x:sz val="10"/>
      <x:color rgb="FFFFFFFF"/>
      <x:name val="Arial"/>
    </x:font>
  </x:fonts>
  <x:fills count="16">
    <x:fill>
      <x:patternFill patternType="none"/>
    </x:fill>
    <x:fill>
      <x:patternFill patternType="gray125"/>
    </x:fill>
    <x:fill>
      <x:patternFill patternType="solid">
        <x:fgColor rgb="FF303E3C"/>
      </x:patternFill>
    </x:fill>
    <x:fill>
      <x:patternFill patternType="solid">
        <x:fgColor rgb="FF303C3B"/>
      </x:patternFill>
    </x:fill>
    <x:fill>
      <x:patternFill patternType="solid">
        <x:fgColor rgb="FF303C3B"/>
      </x:patternFill>
    </x:fill>
    <x:fill>
      <x:patternFill patternType="solid">
        <x:fgColor rgb="FF303C3B"/>
      </x:patternFill>
    </x:fill>
    <x:fill>
      <x:patternFill patternType="solid">
        <x:fgColor rgb="FF303C3B"/>
      </x:patternFill>
    </x:fill>
    <x:fill>
      <x:patternFill patternType="solid">
        <x:fgColor rgb="FF303C3B"/>
      </x:patternFill>
    </x:fill>
    <x:fill>
      <x:patternFill patternType="solid">
        <x:fgColor rgb="FF303C3B"/>
      </x:patternFill>
    </x:fill>
    <x:fill>
      <x:patternFill patternType="solid">
        <x:fgColor rgb="FF303C3B"/>
      </x:patternFill>
    </x:fill>
    <x:fill>
      <x:patternFill patternType="solid">
        <x:fgColor rgb="FF303C3B"/>
      </x:patternFill>
    </x:fill>
    <x:fill>
      <x:patternFill patternType="solid">
        <x:fgColor rgb="FF303C3B"/>
      </x:patternFill>
    </x:fill>
    <x:fill>
      <x:patternFill patternType="solid">
        <x:fgColor rgb="FF303C3B"/>
      </x:patternFill>
    </x:fill>
    <x:fill>
      <x:patternFill patternType="solid">
        <x:fgColor rgb="FF303C3B"/>
      </x:patternFill>
    </x:fill>
    <x:fill>
      <x:patternFill patternType="solid">
        <x:fgColor rgb="FF303C3B"/>
      </x:patternFill>
    </x:fill>
    <x:fill>
      <x:patternFill patternType="solid">
        <x:fgColor rgb="FF303C3B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4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vertical="center"/>
    </x:xf>
    <x:xf numFmtId="200" fontId="7" fillId="0" borderId="0" xfId="0" applyNumberFormat="1" applyFont="1" applyFill="1" applyBorder="1"/>
    <x:xf numFmtId="200" fontId="5" fillId="0" borderId="0" xfId="0" applyNumberFormat="1" applyFont="1" applyFill="1" applyBorder="1"/>
    <x:xf numFmtId="200" fontId="8" fillId="0" borderId="0" xfId="0" applyNumberFormat="1" applyFont="1" applyFill="1" applyBorder="1"/>
    <x:xf numFmtId="200" fontId="6" fillId="0" borderId="0" xfId="0" applyNumberFormat="1" applyFont="1" applyFill="1" applyBorder="1"/>
    <x:xf numFmtId="200" fontId="8" fillId="0" borderId="0" xfId="0" applyNumberFormat="1" applyFont="1" applyFill="1" applyBorder="1" applyAlignment="1">
      <x:alignment vertical="center"/>
    </x:xf>
    <x:xf numFmtId="200" fontId="6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 wrapText="1"/>
    </x:xf>
    <x:xf numFmtId="200" fontId="8" fillId="0" borderId="0" xfId="0" applyNumberFormat="1" applyFont="1" applyFill="1" applyBorder="1" applyAlignment="1">
      <x:alignment vertical="center" wrapText="1"/>
    </x:xf>
    <x:xf numFmtId="200" fontId="6" fillId="0" borderId="0" xfId="0" applyNumberFormat="1" applyFont="1" applyFill="1" applyBorder="1" applyAlignment="1">
      <x:alignment vertical="center" wrapText="1"/>
    </x:xf>
    <x:xf numFmtId="0" fontId="6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 wrapText="1"/>
    </x:xf>
    <x:xf numFmtId="0" fontId="9" fillId="3" borderId="0" xfId="0" applyNumberFormat="1" applyFont="1" applyFill="1" applyBorder="1" applyAlignment="1">
      <x:alignment vertical="center"/>
    </x:xf>
    <x:xf numFmtId="0" fontId="9" fillId="3" borderId="0" xfId="0" applyNumberFormat="1" applyFont="1" applyFill="1" applyBorder="1" applyAlignment="1">
      <x:alignment vertical="center" wrapText="1"/>
    </x:xf>
    <x:xf numFmtId="0" fontId="10" fillId="0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4" borderId="0" xfId="0" applyNumberFormat="1" applyFont="1" applyFill="1" applyBorder="1" applyAlignment="1">
      <x:alignment vertical="center" wrapText="1"/>
    </x:xf>
    <x:xf numFmtId="0" fontId="11" fillId="4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wrapText="1"/>
    </x:xf>
    <x:xf numFmtId="0" fontId="11" fillId="3" borderId="0" xfId="0" applyNumberFormat="1" applyFont="1" applyFill="1" applyBorder="1" applyAlignment="1">
      <x:alignment vertical="center" wrapText="1"/>
    </x:xf>
    <x:xf numFmtId="0" fontId="11" fillId="5" borderId="0" xfId="0" applyNumberFormat="1" applyFont="1" applyFill="1" applyBorder="1" applyAlignment="1">
      <x:alignment vertical="center" wrapText="1"/>
    </x:xf>
    <x:xf numFmtId="0" fontId="6" fillId="5" borderId="0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wrapText="1"/>
    </x:xf>
    <x:xf numFmtId="0" fontId="11" fillId="6" borderId="0" xfId="0" applyNumberFormat="1" applyFont="1" applyFill="1" applyBorder="1" applyAlignment="1">
      <x:alignment vertical="center" wrapText="1"/>
    </x:xf>
    <x:xf numFmtId="0" fontId="1" fillId="7" borderId="0" xfId="0" applyNumberFormat="1" applyFont="1" applyFill="1" applyBorder="1" applyAlignment="1">
      <x:alignment wrapText="1"/>
    </x:xf>
    <x:xf numFmtId="0" fontId="11" fillId="7" borderId="0" xfId="0" applyNumberFormat="1" applyFont="1" applyFill="1" applyBorder="1" applyAlignment="1">
      <x:alignment vertical="center" wrapText="1"/>
    </x:xf>
    <x:xf numFmtId="0" fontId="6" fillId="7" borderId="0" xfId="0" applyNumberFormat="1" applyFont="1" applyFill="1" applyBorder="1" applyAlignment="1">
      <x:alignment vertical="center" wrapText="1"/>
    </x:xf>
    <x:xf numFmtId="0" fontId="6" fillId="8" borderId="0" xfId="0" applyNumberFormat="1" applyFont="1" applyFill="1" applyBorder="1" applyAlignment="1">
      <x:alignment wrapText="1"/>
    </x:xf>
    <x:xf numFmtId="0" fontId="11" fillId="8" borderId="0" xfId="0" applyNumberFormat="1" applyFont="1" applyFill="1" applyBorder="1" applyAlignment="1">
      <x:alignment wrapText="1"/>
    </x:xf>
    <x:xf numFmtId="202" fontId="6" fillId="0" borderId="0" xfId="0" applyNumberFormat="1" applyFont="1" applyFill="1" applyBorder="1" applyAlignment="1">
      <x:alignment wrapText="1"/>
    </x:xf>
    <x:xf numFmtId="203" fontId="6" fillId="0" borderId="0" xfId="0" applyNumberFormat="1" applyFont="1" applyFill="1" applyBorder="1" applyAlignment="1">
      <x:alignment wrapText="1"/>
    </x:xf>
    <x:xf numFmtId="204" fontId="6" fillId="0" borderId="0" xfId="0" applyNumberFormat="1" applyFont="1" applyFill="1" applyBorder="1" applyAlignment="1">
      <x:alignment wrapText="1"/>
    </x:xf>
    <x:xf numFmtId="201" fontId="6" fillId="0" borderId="0" xfId="0" applyNumberFormat="1" applyFont="1" applyFill="1" applyBorder="1" applyAlignment="1">
      <x:alignment wrapText="1"/>
    </x:xf>
    <x:xf numFmtId="0" fontId="11" fillId="3" borderId="0" xfId="0" applyNumberFormat="1" applyFont="1" applyFill="1" applyBorder="1" applyAlignment="1">
      <x:alignment wrapText="1"/>
    </x:xf>
    <x:xf numFmtId="202" fontId="6" fillId="0" borderId="0" xfId="0" applyNumberFormat="1" applyFont="1" applyFill="1" applyBorder="1" applyAlignment="1">
      <x:alignment vertical="center" wrapText="1"/>
    </x:xf>
    <x:xf numFmtId="203" fontId="6" fillId="0" borderId="0" xfId="0" applyNumberFormat="1" applyFont="1" applyFill="1" applyBorder="1" applyAlignment="1">
      <x:alignment vertical="center" wrapText="1"/>
    </x:xf>
    <x:xf numFmtId="0" fontId="11" fillId="9" borderId="0" xfId="0" applyNumberFormat="1" applyFont="1" applyFill="1" applyBorder="1" applyAlignment="1">
      <x:alignment vertical="center" wrapText="1"/>
    </x:xf>
    <x:xf numFmtId="204" fontId="6" fillId="0" borderId="0" xfId="0" applyNumberFormat="1" applyFont="1" applyFill="1" applyBorder="1" applyAlignment="1">
      <x:alignment vertical="center" wrapText="1"/>
    </x:xf>
    <x:xf numFmtId="201" fontId="6" fillId="0" borderId="0" xfId="0" applyNumberFormat="1" applyFont="1" applyFill="1" applyBorder="1" applyAlignment="1">
      <x:alignment vertical="center" wrapText="1"/>
    </x:xf>
    <x:xf numFmtId="0" fontId="11" fillId="10" borderId="0" xfId="0" applyNumberFormat="1" applyFont="1" applyFill="1" applyBorder="1" applyAlignment="1">
      <x:alignment vertical="center" wrapText="1"/>
    </x:xf>
    <x:xf numFmtId="0" fontId="11" fillId="11" borderId="0" xfId="0" applyNumberFormat="1" applyFont="1" applyFill="1" applyBorder="1" applyAlignment="1">
      <x:alignment vertical="center" wrapText="1"/>
    </x:xf>
    <x:xf numFmtId="0" fontId="6" fillId="12" borderId="0" xfId="0" applyNumberFormat="1" applyFont="1" applyFill="1" applyBorder="1" applyAlignment="1">
      <x:alignment vertical="center" wrapText="1"/>
    </x:xf>
    <x:xf numFmtId="0" fontId="11" fillId="12" borderId="0" xfId="0" applyNumberFormat="1" applyFont="1" applyFill="1" applyBorder="1" applyAlignment="1">
      <x:alignment vertical="center" wrapText="1"/>
    </x:xf>
    <x:xf numFmtId="0" fontId="11" fillId="13" borderId="0" xfId="0" applyNumberFormat="1" applyFont="1" applyFill="1" applyBorder="1" applyAlignment="1">
      <x:alignment vertical="center" wrapText="1"/>
    </x:xf>
    <x:xf numFmtId="0" fontId="11" fillId="14" borderId="0" xfId="0" applyNumberFormat="1" applyFont="1" applyFill="1" applyBorder="1" applyAlignment="1">
      <x:alignment vertical="center" wrapText="1"/>
    </x:xf>
    <x:xf numFmtId="0" fontId="0" fillId="15" borderId="0" xfId="0" applyNumberFormat="1" applyFont="1" applyFill="1" applyBorder="1" applyAlignment="1">
      <x:alignment wrapText="1"/>
    </x:xf>
    <x:xf numFmtId="0" fontId="1" fillId="1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04ac82bfa54d10" /><Relationship Type="http://schemas.openxmlformats.org/officeDocument/2006/relationships/theme" Target="/xl/theme/theme1.xml" Id="R13d57ba72f154d0f" /><Relationship Type="http://schemas.openxmlformats.org/officeDocument/2006/relationships/sharedStrings" Target="/xl/sharedStrings.xml" Id="R26f689b848dc4101" /><Relationship Type="http://schemas.openxmlformats.org/officeDocument/2006/relationships/worksheet" Target="/xl/worksheets/sheet1.xml" Id="R36f923b2bd5c428b" /><Relationship Type="http://schemas.openxmlformats.org/officeDocument/2006/relationships/worksheet" Target="/xl/worksheets/sheet2.xml" Id="R5a663db2597c42b2" /><Relationship Type="http://schemas.openxmlformats.org/officeDocument/2006/relationships/worksheet" Target="/xl/worksheets/sheet3.xml" Id="R6a5dbed989eb4e2f" /><Relationship Type="http://schemas.openxmlformats.org/officeDocument/2006/relationships/worksheet" Target="/xl/worksheets/sheet4.xml" Id="R00bc4a9d73304419" /><Relationship Type="http://schemas.openxmlformats.org/officeDocument/2006/relationships/worksheet" Target="/xl/worksheets/sheet5.xml" Id="Re2eddac4a63c4d23" /><Relationship Type="http://schemas.openxmlformats.org/officeDocument/2006/relationships/worksheet" Target="/xl/worksheets/sheet6.xml" Id="Rad3f698ce8b344e6" /><Relationship Type="http://schemas.openxmlformats.org/officeDocument/2006/relationships/worksheet" Target="/xl/worksheets/sheet7.xml" Id="R247f37bcf5b84807" /><Relationship Type="http://schemas.openxmlformats.org/officeDocument/2006/relationships/worksheet" Target="/xl/worksheets/sheet8.xml" Id="R788bc37c0d80435d" /><Relationship Type="http://schemas.openxmlformats.org/officeDocument/2006/relationships/worksheet" Target="/xl/worksheets/sheet9.xml" Id="R918c68f7a6924c54" /><Relationship Type="http://schemas.openxmlformats.org/officeDocument/2006/relationships/worksheet" Target="/xl/worksheets/sheet10.xml" Id="R33b845d9132045c7" /><Relationship Type="http://schemas.openxmlformats.org/officeDocument/2006/relationships/worksheet" Target="/xl/worksheets/sheet11.xml" Id="R66fe7959d04545b5" /><Relationship Type="http://schemas.openxmlformats.org/officeDocument/2006/relationships/worksheet" Target="/xl/worksheets/sheet12.xml" Id="Rc87a2cb0bbaa418e" /><Relationship Type="http://schemas.openxmlformats.org/officeDocument/2006/relationships/worksheet" Target="/xl/worksheets/sheet13.xml" Id="Ra2d833928f994d7f" /><Relationship Type="http://schemas.openxmlformats.org/officeDocument/2006/relationships/worksheet" Target="/xl/worksheets/sheet14.xml" Id="R916d3c7ce21648d4" /><Relationship Type="http://schemas.openxmlformats.org/officeDocument/2006/relationships/worksheet" Target="/xl/worksheets/sheet15.xml" Id="R90cba8e611bb4c83" /><Relationship Type="http://schemas.openxmlformats.org/officeDocument/2006/relationships/worksheet" Target="/xl/worksheets/sheet16.xml" Id="R2c972e89bad4460d" /><Relationship Type="http://schemas.openxmlformats.org/officeDocument/2006/relationships/worksheet" Target="/xl/worksheets/sheet17.xml" Id="Recea1fd0f1f8420e" /><Relationship Type="http://schemas.openxmlformats.org/officeDocument/2006/relationships/worksheet" Target="/xl/worksheets/sheet18.xml" Id="R62314806f80b4a54" /><Relationship Type="http://schemas.openxmlformats.org/officeDocument/2006/relationships/worksheet" Target="/xl/worksheets/sheet19.xml" Id="Rd089dc3f38fd44f9" /><Relationship Type="http://schemas.openxmlformats.org/officeDocument/2006/relationships/worksheet" Target="/xl/worksheets/sheet20.xml" Id="R9ce53e5c38804796" /><Relationship Type="http://schemas.openxmlformats.org/officeDocument/2006/relationships/worksheet" Target="/xl/worksheets/sheet21.xml" Id="R7744d4f00a18492d" /><Relationship Type="http://schemas.openxmlformats.org/officeDocument/2006/relationships/worksheet" Target="/xl/worksheets/sheet22.xml" Id="R11c0036e45f64e82" /><Relationship Type="http://schemas.openxmlformats.org/officeDocument/2006/relationships/worksheet" Target="/xl/worksheets/sheet23.xml" Id="Rcd609916148c4f66" /><Relationship Type="http://schemas.openxmlformats.org/officeDocument/2006/relationships/worksheet" Target="/xl/worksheets/sheet24.xml" Id="Refa2a637b72244b3" /></Relationships>
</file>

<file path=xl/tables/table1.xml><?xml version="1.0" encoding="utf-8"?>
<x:table xmlns:x="http://schemas.openxmlformats.org/spreadsheetml/2006/main" id="1" name="Elemek" displayName="Elemek" ref="A1:AM160" headerRowCount="1" totalsRowCount="0" totalsRowShown="0">
  <x:tableColumns count="39">
    <x:tableColumn id="1" name="Lakás"/>
    <x:tableColumn id="2" name="Helyiség"/>
    <x:tableColumn id="3" name="Elemkód"/>
    <x:tableColumn id="4" name="Render"/>
    <x:tableColumn id="5" name="Baseline sor"/>
    <x:tableColumn id="6" name="Fix / stílus"/>
    <x:tableColumn id="7" name="Szakma"/>
    <x:tableColumn id="8" name="Termék / munka"/>
    <x:tableColumn id="9" name="Márka"/>
    <x:tableColumn id="10" name="SKU"/>
    <x:tableColumn id="11" name="Terméklink"/>
    <x:tableColumn id="12" name="Méret"/>
    <x:tableColumn id="13" name="Szín"/>
    <x:tableColumn id="14" name="Anyag"/>
    <x:tableColumn id="15" name="Mennyiség"/>
    <x:tableColumn id="16" name="Egység"/>
    <x:tableColumn id="17" name="Bruttó egységár Ft"/>
    <x:tableColumn id="18" name="Szállítás Ft"/>
    <x:tableColumn id="19" name="Szerelés Ft"/>
    <x:tableColumn id="20" name="Egyéb Ft"/>
    <x:tableColumn id="21" name="Teljes bruttó Ft"/>
    <x:tableColumn id="22" name="Árstátusz"/>
    <x:tableColumn id="23" name="Árforrás"/>
    <x:tableColumn id="24" name="Ellenőrzés dátuma"/>
    <x:tableColumn id="25" name="Átfutás"/>
    <x:tableColumn id="26" name="A/B/C"/>
    <x:tableColumn id="27" name="Render egyezés"/>
    <x:tableColumn id="28" name="Jóváhagyás"/>
    <x:tableColumn id="29" name="Megrendelés"/>
    <x:tableColumn id="30" name="Felelős"/>
    <x:tableColumn id="31" name="Szakmai ellenőrzés"/>
    <x:tableColumn id="32" name="Megjegyzés"/>
    <x:tableColumn id="33" name="Gazdaságos egységár Ft"/>
    <x:tableColumn id="34" name="Gazdaságos teljes Ft"/>
    <x:tableColumn id="35" name="Gazdaságos változtatás"/>
    <x:tableColumn id="36" name="Garancia"/>
    <x:tableColumn id="37" name="HU szállítás / készlet"/>
    <x:tableColumn id="38" name="Alternatíva 1"/>
    <x:tableColumn id="39" name="Alternatíva 2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e1a3955fcbed43fb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38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60" hidden="0" customWidth="1"/>
    <x:col min="11" max="11" width="60" hidden="0" customWidth="1"/>
    <x:col min="12" max="12" width="60" hidden="0" customWidth="1"/>
    <x:col min="13" max="13" width="24" hidden="0" customWidth="1"/>
    <x:col min="14" max="14" width="24" hidden="0" customWidth="1"/>
    <x:col min="15" max="15" width="24" hidden="0" customWidth="1"/>
  </x:cols>
  <x:sheetData>
    <x:row r="1">
      <x:c r="A1" s="6" t="str">
        <x:v>ID</x:v>
      </x:c>
      <x:c r="B1" s="6" t="str">
        <x:v>Regisztersor</x:v>
      </x:c>
      <x:c r="C1" s="6" t="str">
        <x:v>Termék</x:v>
      </x:c>
      <x:c r="D1" s="6" t="str">
        <x:v>SKU</x:v>
      </x:c>
      <x:c r="E1" s="6" t="str">
        <x:v>Méret cm</x:v>
      </x:c>
      <x:c r="F1" s="6" t="str">
        <x:v>Szín</x:v>
      </x:c>
      <x:c r="G1" s="6" t="str">
        <x:v>Anyag</x:v>
      </x:c>
      <x:c r="H1" s="6" t="str">
        <x:v>Ár</x:v>
      </x:c>
      <x:c r="I1" s="6" t="str">
        <x:v>Árstátusz</x:v>
      </x:c>
      <x:c r="J1" s="6" t="str">
        <x:v>Terméklink</x:v>
      </x:c>
      <x:c r="K1" s="6" t="str">
        <x:v>Rendereltérés</x:v>
      </x:c>
      <x:c r="L1" s="6" t="str">
        <x:v>Nyitott kapu</x:v>
      </x:c>
      <x:c r="M1" s="6" t="str">
        <x:v>Szállítás</x:v>
      </x:c>
      <x:c r="N1" s="6" t="str">
        <x:v>Szerep</x:v>
      </x:c>
      <x:c r="O1" s="6" t="str">
        <x:v>Ellenőrzés</x:v>
      </x:c>
    </x:row>
    <x:row r="2" ht="110" customHeight="1">
      <x:c r="A2" s="7" t="str">
        <x:v>P01</x:v>
      </x:c>
      <x:c r="B2" s="7" t="str">
        <x:v>KI-036</x:v>
      </x:c>
      <x:c r="C2" s="7" t="str">
        <x:v>Westwing Lennon, jobb L, 3 személyes</x:v>
      </x:c>
      <x:c r="D2" s="7" t="str">
        <x:v>DEQ21WES12329-168260</x:v>
      </x:c>
      <x:c r="E2" s="7" t="str">
        <x:v>238×180×68; ülésmagasság 43</x:v>
      </x:c>
      <x:c r="F2" s="7" t="str">
        <x:v>szürkésbarna, szövött</x:v>
      </x:c>
      <x:c r="G2" s="7" t="str">
        <x:v>szövet; örökölt poliészter-adat újraellenőrzendő</x:v>
      </x:c>
      <x:c r="H2" s="7" t="str">
        <x:v>800000 HUF</x:v>
      </x:c>
      <x:c r="I2" s="7" t="str">
        <x:v>friss böngészős HU ár</x:v>
      </x:c>
      <x:c r="J2" s="7" t="str">
        <x:v>https://www.westwing.hu/lennon-modularis-sarokkanape-hu-21wes12329.html?simple=DEQ21WES12329-168260</x:v>
      </x:c>
      <x:c r="K2" s="7" t="str">
        <x:v>A prompt főhorgonya; a render lágyabb párnatagolását és taupe tónusát nem tekintjük gyári pontosságúnak. A jobb L irány a termékfotó szerinti, helyiségbe forgatva ellenőrizendő.</x:v>
      </x:c>
      <x:c r="L2" s="7" t="str">
        <x:v>Szövetminta; üveg előtti sáv; 2 nagy csomag felhordása (183×123×66 és 123×123×66 cm).</x:v>
      </x:c>
      <x:c r="M2" s="7" t="str">
        <x:v>8–9 hét; szállítás feláras; 10 év gyártói garancia az oldalon</x:v>
      </x:c>
      <x:c r="N2" s="7" t="str">
        <x:v>főjelölt</x:v>
      </x:c>
      <x:c r="O2" s="7" t="str">
        <x:v>2026-10-26</x:v>
      </x:c>
    </x:row>
    <x:row r="3" ht="110" customHeight="1">
      <x:c r="A3" s="7" t="str">
        <x:v>P02</x:v>
      </x:c>
      <x:c r="B3" s="7" t="str">
        <x:v>KI-028</x:v>
      </x:c>
      <x:c r="C3" s="7" t="str">
        <x:v>Westwing Toni ovális 160</x:v>
      </x:c>
      <x:c r="D3" s="7" t="str">
        <x:v>DEQ19WES60483-225182</x:v>
      </x:c>
      <x:c r="E3" s="7" t="str">
        <x:v>160×90×75; lap 2,5</x:v>
      </x:c>
      <x:c r="F3" s="7" t="str">
        <x:v>világos tölgy</x:v>
      </x:c>
      <x:c r="G3" s="7" t="str">
        <x:v>tölgy furnéros MDF, örökölt anyagspecifikáció</x:v>
      </x:c>
      <x:c r="H3" s="7" t="str">
        <x:v>259990 HUF</x:v>
      </x:c>
      <x:c r="I3" s="7" t="str">
        <x:v>friss böngészős HU ár</x:v>
      </x:c>
      <x:c r="J3" s="7" t="str">
        <x:v>https://www.westwing.hu/toni-ovalis-alaku-fa-etkezoasztal-200-x-90-cm-hu-19wes60483.html?simple=DEQ19WES60483-225182</x:v>
      </x:c>
      <x:c r="K3" s="7" t="str">
        <x:v>Az URL 200 cm-et tartalmaz, de a kiválasztott SKU 160-as. A render hosszabb asztalbenyomása nem írja felül a 160-as befoglalót.</x:v>
      </x:c>
      <x:c r="L3" s="7" t="str">
        <x:v>6 székkel kihúzási próba; ajtónyitás; ML04 12 cm excentricitás.</x:v>
      </x:c>
      <x:c r="M3" s="7" t="str">
        <x:v>9–11 munkanap; feláras szállítás; 10 év gyártói garancia</x:v>
      </x:c>
      <x:c r="N3" s="7" t="str">
        <x:v>főjelölt</x:v>
      </x:c>
      <x:c r="O3" s="7" t="str">
        <x:v>2026-10-26</x:v>
      </x:c>
    </x:row>
    <x:row r="4" ht="110" customHeight="1">
      <x:c r="A4" s="7" t="str">
        <x:v>P03</x:v>
      </x:c>
      <x:c r="B4" s="7" t="str">
        <x:v>KI-029</x:v>
      </x:c>
      <x:c r="C4" s="7" t="str">
        <x:v>Kave Home Eamy étkezőszék</x:v>
      </x:c>
      <x:c r="D4" s="7" t="str">
        <x:v>C0100003HE12</x:v>
      </x:c>
      <x:c r="E4" s="7" t="str">
        <x:v>55×53×75; ülésmagasság46; ±2cm</x:v>
      </x:c>
      <x:c r="F4" s="7" t="str">
        <x:v>világosszürke chenille, natúr kőris, fekete láb</x:v>
      </x:c>
      <x:c r="G4" s="7" t="str">
        <x:v>chenille, kőrisfurnér, fém</x:v>
      </x:c>
      <x:c r="H4" s="7" t="str">
        <x:v>179 EUR/db; 6 db 1074 EUR</x:v>
      </x:c>
      <x:c r="I4" s="7" t="str">
        <x:v>friss böngészős HU piac, EUR</x:v>
      </x:c>
      <x:c r="J4" s="7" t="str">
        <x:v>https://kavehome.com/hu/en/p/eamy-chair-light-grey-chenille-and-ash-wood-veneer-with-a-natural-finish-and-black-metal</x:v>
      </x:c>
      <x:c r="K4" s="7" t="str">
        <x:v>A fa hátív és fekete láb jó irány; a render kárpitozottabbnak mutatja a hátat. Nem teljesen azonos székrajz.</x:v>
      </x:c>
      <x:c r="L4" s="7" t="str">
        <x:v>6 db együtt 451080 Ft 420-as tervezési árfolyamon; mintázat és 2+2+1+1 próba.</x:v>
      </x:c>
      <x:c r="M4" s="7" t="str">
        <x:v>Oldal: készleten, november10–16; cím és 6 db együtt nem visszaigazolt</x:v>
      </x:c>
      <x:c r="N4" s="7" t="str">
        <x:v>főjelölt</x:v>
      </x:c>
      <x:c r="O4" s="7" t="str">
        <x:v>2026-10-26</x:v>
      </x:c>
    </x:row>
    <x:row r="5" ht="110" customHeight="1">
      <x:c r="A5" s="7" t="str">
        <x:v>P04</x:v>
      </x:c>
      <x:c r="B5" s="7" t="str">
        <x:v>KI-109</x:v>
      </x:c>
      <x:c r="C5" s="7" t="str">
        <x:v>Kave Home Somar függeszték Ø76</x:v>
      </x:c>
      <x:c r="D5" s="7" t="str">
        <x:v>L00148FA05</x:v>
      </x:c>
      <x:c r="E5" s="7" t="str">
        <x:v>76×76×300 teljes; búratest magassága külön igazolandó</x:v>
      </x:c>
      <x:c r="F5" s="7" t="str">
        <x:v>fehér</x:v>
      </x:c>
      <x:c r="G5" s="7" t="str">
        <x:v>szintetikus rost, acélpálca</x:v>
      </x:c>
      <x:c r="H5" s="7" t="str">
        <x:v>579 EUR, 2026-10-25 örökölt HU megfigyelés</x:v>
      </x:c>
      <x:c r="I5" s="7" t="str">
        <x:v>mai HU lekérés 429; ár nem frissen igazolt</x:v>
      </x:c>
      <x:c r="J5" s="7" t="str">
        <x:v>https://kavehome.com/hu/en/p/somar-ceiling-lamp-made-with-synthetic-fibres-and-steel-rods-o76cm</x:v>
      </x:c>
      <x:c r="K5" s="7" t="str">
        <x:v>A render papírszerű, lágy lanternahatása közeli, a valós anyag szintetikus rost. Ø75/76 forrásellentmondás.</x:v>
      </x:c>
      <x:c r="L5" s="7" t="str">
        <x:v>E27 Hue fizikai beférés; függesztési magasság; max40W korábbi adat, szerb oldal25W: gyártói címke dönt. Nincs automatikus kompatibilitás.</x:v>
      </x:c>
      <x:c r="M5" s="7" t="str">
        <x:v>PENDING</x:v>
      </x:c>
      <x:c r="N5" s="7" t="str">
        <x:v>főjelölt</x:v>
      </x:c>
      <x:c r="O5" s="7" t="str">
        <x:v>2026-10-26</x:v>
      </x:c>
    </x:row>
    <x:row r="6" ht="110" customHeight="1">
      <x:c r="A6" s="7" t="str">
        <x:v>P05</x:v>
      </x:c>
      <x:c r="B6" s="7" t="str">
        <x:v>KI-109 alternatíva</x:v>
      </x:c>
      <x:c r="C6" s="7" t="str">
        <x:v>Kave Home Brisia, egygömbös Ø50</x:v>
      </x:c>
      <x:c r="D6" s="7" t="str">
        <x:v>L00152CR05</x:v>
      </x:c>
      <x:c r="E6" s="7" t="str">
        <x:v>50×50×153; kábel250</x:v>
      </x:c>
      <x:c r="F6" s="7" t="str">
        <x:v>opálfehér, szálcsiszolt sárgaréz</x:v>
      </x:c>
      <x:c r="G6" s="7" t="str">
        <x:v>üveg, fém</x:v>
      </x:c>
      <x:c r="H6" s="7" t="str">
        <x:v>287.10 EUR akció /319 EUR, 2026-10-25 megfigyelés</x:v>
      </x:c>
      <x:c r="I6" s="7" t="str">
        <x:v>mai gyártói SKU/méret igazolt; aktuális ár nem látható</x:v>
      </x:c>
      <x:c r="J6" s="7" t="str">
        <x:v>https://kavehome.com/hu/en/p/brisia-metal-ceiling-lamp-with-brushed-brass-finish-and-1-frosted-glass-ball-o50cm</x:v>
      </x:c>
      <x:c r="K6" s="7" t="str">
        <x:v>Sima gömb, kisebb sziluett, fémes részlet: jelentős eltérés a Somar papírhatásához. Csak tulajdonosi alternatíva.</x:v>
      </x:c>
      <x:c r="L6" s="7" t="str">
        <x:v>E27 max25W, izzó külön; korábbi Ø97mm nyílás ellenőrzendő Hue izzóval.</x:v>
      </x:c>
      <x:c r="M6" s="7" t="str">
        <x:v>PENDING</x:v>
      </x:c>
      <x:c r="N6" s="7" t="str">
        <x:v>alternatíva, nem plusz lámpa</x:v>
      </x:c>
      <x:c r="O6" s="7" t="str">
        <x:v>2026-10-26</x:v>
      </x:c>
    </x:row>
    <x:row r="7" ht="110" customHeight="1">
      <x:c r="A7" s="7" t="str">
        <x:v>P06</x:v>
      </x:c>
      <x:c r="B7" s="7" t="str">
        <x:v>KI-043</x:v>
      </x:c>
      <x:c r="C7" s="7" t="str">
        <x:v>IKEA NORDLI tárolós ágy, 180×200</x:v>
      </x:c>
      <x:c r="D7" s="7" t="str">
        <x:v>203.498.53</x:v>
      </x:c>
      <x:c r="E7" s="7" t="str">
        <x:v>külső180×202×30</x:v>
      </x:c>
      <x:c r="F7" s="7" t="str">
        <x:v>fehér</x:v>
      </x:c>
      <x:c r="G7" s="7" t="str">
        <x:v>festett faalapú lapok; fenyőlécek</x:v>
      </x:c>
      <x:c r="H7" s="7" t="str">
        <x:v>189900 HUF</x:v>
      </x:c>
      <x:c r="I7" s="7" t="str">
        <x:v>HU termékoldalon ellenőrzött</x:v>
      </x:c>
      <x:c r="J7" s="7" t="str">
        <x:v>https://www.ikea.com/hu/hu/p/nordli-agykeret-taroloval-feher-20349853/</x:v>
      </x:c>
      <x:c r="K7" s="7" t="str">
        <x:v>A fehér fiókos doboz nem a render puha, szürke ágyoldala. Egyedi fejvég külön; esetleges kárpitborítás nem része az árnak és nem gátolhatja a fiókokat.</x:v>
      </x:c>
      <x:c r="L7" s="7" t="str">
        <x:v>Matrac külön; fióknyitás, éjjeli ütközés, 202cm külső hossz ellenőrzése.</x:v>
      </x:c>
      <x:c r="M7" s="7" t="str">
        <x:v>HU készlet/címfüggő szállítás PENDING</x:v>
      </x:c>
      <x:c r="N7" s="7" t="str">
        <x:v>főjelölt</x:v>
      </x:c>
      <x:c r="O7" s="7" t="str">
        <x:v>2026-10-26</x:v>
      </x:c>
    </x:row>
    <x:row r="8" ht="110" customHeight="1">
      <x:c r="A8" s="7" t="str">
        <x:v>P07</x:v>
      </x:c>
      <x:c r="B8" s="7" t="str">
        <x:v>KI-048</x:v>
      </x:c>
      <x:c r="C8" s="7" t="str">
        <x:v>IKEA PAX északi gardrób korpuszjelölt</x:v>
      </x:c>
      <x:c r="D8" s="7" t="str">
        <x:v>502.145.60</x:v>
      </x:c>
      <x:c r="E8" s="7" t="str">
        <x:v>99,8×58×236,4</x:v>
      </x:c>
      <x:c r="F8" s="7" t="str">
        <x:v>fehér</x:v>
      </x:c>
      <x:c r="G8" s="7" t="str">
        <x:v>forgácslap/farostlemez/papírfólia</x:v>
      </x:c>
      <x:c r="H8" s="7" t="str">
        <x:v>45000 HUF/db; 3 db135000 HUF</x:v>
      </x:c>
      <x:c r="I8" s="7" t="str">
        <x:v>HU termékoldalon ellenőrzött, korpuszár</x:v>
      </x:c>
      <x:c r="J8" s="7" t="str">
        <x:v>https://www.ikea.com/hu/hu/p/pax-gardrobvaz-feher-50214560/</x:v>
      </x:c>
      <x:c r="K8" s="7" t="str">
        <x:v>Önmagában nem renderazonos: hiányzik grafikus front és 290cm-ig kitöltés. 3 váz299,4cm; 302cm névleges fülkében csak2,6cm összes oldaltartalék, nem igazolt szerelhetőség.</x:v>
      </x:c>
      <x:c r="L8" s="7" t="str">
        <x:v>Helyszíni falferdeség/pillér; frontok, pántok/belsők/takarók külön KI-050–052. Déli 242cm sáv más kiosztás.</x:v>
      </x:c>
      <x:c r="M8" s="7" t="str">
        <x:v>Készlet PENDING; 10 év feltételes garancia; 245cm csomag felhordás</x:v>
      </x:c>
      <x:c r="N8" s="7" t="str">
        <x:v>főjelölt</x:v>
      </x:c>
      <x:c r="O8" s="7" t="str">
        <x:v>2026-10-26</x:v>
      </x:c>
    </x:row>
    <x:row r="9" ht="110" customHeight="1">
      <x:c r="A9" s="7" t="str">
        <x:v>P08</x:v>
      </x:c>
      <x:c r="B9" s="7" t="str">
        <x:v>KI-053 alternatíva</x:v>
      </x:c>
      <x:c r="C9" s="7" t="str">
        <x:v>IKEA STORKLINTA éjjeli üveglappal</x:v>
      </x:c>
      <x:c r="D9" s="7" t="str">
        <x:v>696.548.65; váz606.314.11+üveg806.275.21</x:v>
      </x:c>
      <x:c r="E9" s="7" t="str">
        <x:v>40×50×53,4</x:v>
      </x:c>
      <x:c r="F9" s="7" t="str">
        <x:v>sötétbarna tölgyhatás</x:v>
      </x:c>
      <x:c r="G9" s="7" t="str">
        <x:v>fóliázott lap, edzett üveg</x:v>
      </x:c>
      <x:c r="H9" s="7" t="str">
        <x:v>22990 HUF/db; pár45980 HUF</x:v>
      </x:c>
      <x:c r="I9" s="7" t="str">
        <x:v>HU termékoldalon ellenőrzött</x:v>
      </x:c>
      <x:c r="J9" s="7" t="str">
        <x:v>https://www.ikea.com/hu/hu/p/storklinta-ejjeliszekreny-ueveglappal-soetetbarna-toelgyfa-hatasu-ueveglappal-s69654865/</x:v>
      </x:c>
      <x:c r="K9" s="7" t="str">
        <x:v>Két fiók és tömbforma rokon; szín, erezet, fényes üvegtető eltér a matt grafittól. A tervezett30×30×42-hez képest szélesebb10, mélyebb20, magasabb11,4cm.</x:v>
      </x:c>
      <x:c r="L9" s="7" t="str">
        <x:v>Nem elfogadott kiváltás; fejvég/ágyfiók/dugalj próba. Az oldal HAUGA szövegrészei hibásnak látszanak; a SKU-komponensek ellenőrizendők.</x:v>
      </x:c>
      <x:c r="M9" s="7" t="str">
        <x:v>HU készlet PENDING</x:v>
      </x:c>
      <x:c r="N9" s="7" t="str">
        <x:v>vizsgált, főtervbe nem emelt alternatíva</x:v>
      </x:c>
      <x:c r="O9" s="7" t="str">
        <x:v>2026-10-26</x:v>
      </x:c>
    </x:row>
    <x:row r="10" ht="110" customHeight="1">
      <x:c r="A10" s="7" t="str">
        <x:v>P09</x:v>
      </x:c>
      <x:c r="B10" s="7" t="str">
        <x:v>KI-113; KI-116</x:v>
      </x:c>
      <x:c r="C10" s="7" t="str">
        <x:v>Philips Hue Enrave M fehér</x:v>
      </x:c>
      <x:c r="D10" s="7" t="str">
        <x:v>4115931P6; EAN8718696176436</x:v>
      </x:c>
      <x:c r="E10" s="7" t="str">
        <x:v>Ø38,1×8,4</x:v>
      </x:c>
      <x:c r="F10" s="7" t="str">
        <x:v>fehér</x:v>
      </x:c>
      <x:c r="G10" s="7" t="str">
        <x:v>fém/szintetikus, beépített LED</x:v>
      </x:c>
      <x:c r="H10" s="7" t="str">
        <x:v>86190 HUF/db; 2 db172380 HUF</x:v>
      </x:c>
      <x:c r="I10" s="7" t="str">
        <x:v>HU konkrét termékoldal; kereső/kategória eltérő ára helyett</x:v>
      </x:c>
      <x:c r="J10" s="7" t="str">
        <x:v>https://www.alkonylampa.hu/enrave-hue-m-led-mennyezeti-lampa-feher-philips-87</x:v>
      </x:c>
      <x:c r="K10" s="7" t="str">
        <x:v>Visszafogott fehér korong, közeli funkcionális irány. Render mennyezeti fényhatás nem gyári fotometria. White Ambiance, nem RGB.</x:v>
      </x:c>
      <x:c r="L10" s="7" t="str">
        <x:v>Gyártói Signify katalógus: IP20,19,2W,2200–6500K. HF-rögzítés és kapcsolás villanyszerelői kapu.</x:v>
      </x:c>
      <x:c r="M10" s="7" t="str">
        <x:v>8–14 munkanap; oldal2év magyar jótállás</x:v>
      </x:c>
      <x:c r="N10" s="7" t="str">
        <x:v>főjelölt</x:v>
      </x:c>
      <x:c r="O10" s="7" t="str">
        <x:v>2026-10-26</x:v>
      </x:c>
    </x:row>
    <x:row r="11" ht="110" customHeight="1">
      <x:c r="A11" s="7" t="str">
        <x:v>P10</x:v>
      </x:c>
      <x:c r="B11" s="7" t="str">
        <x:v>KI-117 alternatíva</x:v>
      </x:c>
      <x:c r="C11" s="7" t="str">
        <x:v>Philips Hue Go V2 EU akcentuslámpa</x:v>
      </x:c>
      <x:c r="D11" s="7" t="str">
        <x:v>7602031P7 /915005821901; EAN8718696173992</x:v>
      </x:c>
      <x:c r="E11" s="7" t="str">
        <x:v>15×15×7,9</x:v>
      </x:c>
      <x:c r="F11" s="7" t="str">
        <x:v>fehér</x:v>
      </x:c>
      <x:c r="G11" s="7" t="str">
        <x:v>műanyag, integrált LED</x:v>
      </x:c>
      <x:c r="H11" s="7" t="str">
        <x:v>44999 HUF/db (OBI4285656), 2 db89998 HUF</x:v>
      </x:c>
      <x:c r="I11" s="7" t="str">
        <x:v>HU kereskedőár; EAN egyeztetés még szükséges</x:v>
      </x:c>
      <x:c r="J11" s="7" t="str">
        <x:v>https://www.obi.hu/philips-hue-lampak/philips-hue-go-hordozhato-led-es-asztali-lampa-akkumulatorral/p/4285656</x:v>
      </x:c>
      <x:c r="K11" s="7" t="str">
        <x:v>Tál/félgömb, nem a render kis teljes opálgömbje. Erős formai eltérés; a 35cm-es új Hue Go asztali változat sem ugyanaz.</x:v>
      </x:c>
      <x:c r="L11" s="7" t="str">
        <x:v>Gyártói DE oldal méret megerősíti; OBI tengelymegnevezés eltér. A főtervben gömb+Hue marad kutatandó.</x:v>
      </x:c>
      <x:c r="M11" s="7" t="str">
        <x:v>OBI2–3munkanap jelzés, cím/EAN PENDING</x:v>
      </x:c>
      <x:c r="N11" s="7" t="str">
        <x:v>eltérés miatt nem főjelölt</x:v>
      </x:c>
      <x:c r="O11" s="7" t="str">
        <x:v>2026-10-26</x:v>
      </x:c>
    </x:row>
    <x:row r="12" ht="110" customHeight="1">
      <x:c r="A12" s="7" t="str">
        <x:v>P11</x:v>
      </x:c>
      <x:c r="B12" s="7" t="str">
        <x:v>KI-037 alternatíva</x:v>
      </x:c>
      <x:c r="C12" s="7" t="str">
        <x:v>DELIFE Edge Rund Minas Melange / Conis Titan</x:v>
      </x:c>
      <x:c r="D12" s="7" t="str">
        <x:v>42715; konfigurálható795-parent</x:v>
      </x:c>
      <x:c r="E12" s="7" t="str">
        <x:v>90×90×33; lap1</x:v>
      </x:c>
      <x:c r="F12" s="7" t="str">
        <x:v>fehér-bézs lap, titán talp</x:v>
      </x:c>
      <x:c r="G12" s="7" t="str">
        <x:v>polírozott kerámia biztonsági üvegen, fém</x:v>
      </x:c>
      <x:c r="H12" s="7" t="str">
        <x:v>399.90 EUR</x:v>
      </x:c>
      <x:c r="I12" s="7" t="str">
        <x:v>DE termékoldal; HU végár nem igazolt</x:v>
      </x:c>
      <x:c r="J12" s="7" t="str">
        <x:v>https://www.delife.de/couchtisch-edge-90x90cm-keramik/a-795-parent</x:v>
      </x:c>
      <x:c r="K12" s="7" t="str">
        <x:v>A kerek alacsony arány rokon, de világos mintás fényes felület és fém talp jelentősen eltér a grafit tömbtől. Ebben a változatban elutasított kiváltás.</x:v>
      </x:c>
      <x:c r="L12" s="7" t="str">
        <x:v>Ne emeljük főtervbe; sötét matt konfiguráció vagy egyedi asztalos kivitel a folytatásban. HU áfa/szállítás külön.</x:v>
      </x:c>
      <x:c r="M12" s="7" t="str">
        <x:v>Oldal: feladás kb.2026-11-20; HU szállítás PENDING</x:v>
      </x:c>
      <x:c r="N12" s="7" t="str">
        <x:v>vizsgált, elutasított alternatíva</x:v>
      </x:c>
      <x:c r="O12" s="7" t="str">
        <x:v>2026-10-26</x:v>
      </x:c>
    </x:row>
    <x:row r="13" ht="110" customHeight="1">
      <x:c r="A13" s="7" t="str">
        <x:v>P12</x:v>
      </x:c>
      <x:c r="B13" s="7" t="str">
        <x:v>KI-039</x:v>
      </x:c>
      <x:c r="C13" s="7" t="str">
        <x:v>Kave Home Nifelia szőnyeg 200×300</x:v>
      </x:c>
      <x:c r="D13" s="7" t="str">
        <x:v>X0100244JJ12</x:v>
      </x:c>
      <x:c r="E13" s="7" t="str">
        <x:v>200×300×1; ±5cm</x:v>
      </x:c>
      <x:c r="F13" s="7" t="str">
        <x:v>bézs</x:v>
      </x:c>
      <x:c r="G13" s="7" t="str">
        <x:v>85%gyapjú/15%pamut</x:v>
      </x:c>
      <x:c r="H13" s="7" t="str">
        <x:v>439 EUR, 2026-10-24 örökölt HU ár</x:v>
      </x:c>
      <x:c r="I13" s="7" t="str">
        <x:v>HU429; gyártói HR specifikáció igazolt, HU ár nyitott</x:v>
      </x:c>
      <x:c r="J13" s="7" t="str">
        <x:v>https://kavehome.com/hu/en/p/nifelia-beige-wool-jacquard-rug-200-x-300-cm</x:v>
      </x:c>
      <x:c r="K13" s="7" t="str">
        <x:v>A render nyugodtabb, homogénebb szőnyegéhez képest halszálkás jacquard. A nagy bézs tömeg megfelelő, színminta szükséges.</x:v>
      </x:c>
      <x:c r="L13" s="7" t="str">
        <x:v>Csúszásgátló külön; padlóhő/ajtóütközés, fotó alapján szín nem véglegesíthető.</x:v>
      </x:c>
      <x:c r="M13" s="7" t="str">
        <x:v>PENDING</x:v>
      </x:c>
      <x:c r="N13" s="7" t="str">
        <x:v>főjelölt</x:v>
      </x:c>
      <x:c r="O13" s="7" t="str">
        <x:v>2026-10-26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5" hidden="0" customWidth="1"/>
    <x:col min="2" max="2" width="22" hidden="0" customWidth="1"/>
    <x:col min="3" max="3" width="90" hidden="0" customWidth="1"/>
  </x:cols>
  <x:sheetData>
    <x:row r="2" ht="30" customHeight="1">
      <x:c r="A2" s="26" t="str">
        <x:v>Kyoto Ink S01 – költség és döntések</x:v>
      </x:c>
      <x:c r="B2" s="12"/>
      <x:c r="C2" s="12"/>
    </x:row>
    <x:row r="3" ht="30" customHeight="1">
      <x:c r="A3" s="12"/>
      <x:c r="B3" s="12"/>
      <x:c r="C3" s="12"/>
    </x:row>
    <x:row r="4" ht="30" customHeight="1">
      <x:c r="A4" s="24" t="str">
        <x:v>Mutató</x:v>
      </x:c>
      <x:c r="B4" s="24" t="str">
        <x:v>Ft / darab</x:v>
      </x:c>
      <x:c r="C4" s="24" t="str">
        <x:v>Értelmezés</x:v>
      </x:c>
    </x:row>
    <x:row r="5" ht="30" customHeight="1">
      <x:c r="A5" s="12" t="str">
        <x:v>Alapkeret</x:v>
      </x:c>
      <x:c r="B5" s="17" t="n">
        <x:v>18000000</x:v>
      </x:c>
      <x:c r="C5" s="18" t="str">
        <x:v>Bruttó, tervezhető</x:v>
      </x:c>
    </x:row>
    <x:row r="6" ht="30" customHeight="1">
      <x:c r="A6" s="12" t="str">
        <x:v>Külön tartalék</x:v>
      </x:c>
      <x:c r="B6" s="17" t="n">
        <x:v>2000000</x:v>
      </x:c>
      <x:c r="C6" s="18" t="str">
        <x:v>Érintetlen; az előrejelzés nem ebből finanszírozott</x:v>
      </x:c>
    </x:row>
    <x:row r="7" ht="30" customHeight="1">
      <x:c r="A7" s="12" t="str">
        <x:v>Fő előrejelzés</x:v>
      </x:c>
      <x:c r="B7" s="18" t="n">
        <x:f>SUM('Elemregiszter'!U2:U178)</x:f>
        <x:v>24482890</x:v>
      </x:c>
      <x:c r="C7" s="18" t="str">
        <x:v>R06: hét új célkép; pontos termékformák, grafikapróbák, magas gardróbfrontok és T07 kiegészítések. Nem rendelési engedély.</x:v>
      </x:c>
    </x:row>
    <x:row r="8" ht="30" customHeight="1">
      <x:c r="A8" s="12" t="str">
        <x:v>Gazdaságos javaslat</x:v>
      </x:c>
      <x:c r="B8" s="18" t="n">
        <x:f>SUM('Elemregiszter'!AH2:AH178)</x:f>
        <x:v>24229890</x:v>
      </x:c>
      <x:c r="C8" s="18" t="str">
        <x:v>Összehasonlítható takarékos változat:253000Ft dokumentált megtakarítás;18M továbbra sem igazolt.</x:v>
      </x:c>
    </x:row>
    <x:row r="9" ht="30" customHeight="1">
      <x:c r="A9" s="12" t="str">
        <x:v>Fő eltérés a kerettől</x:v>
      </x:c>
      <x:c r="B9" s="18" t="n">
        <x:f>B7-B5</x:f>
        <x:v>6482890</x:v>
      </x:c>
      <x:c r="C9" s="18" t="str">
        <x:v>Pozitív = túllépés</x:v>
      </x:c>
    </x:row>
    <x:row r="10" ht="30" customHeight="1">
      <x:c r="A10" s="12" t="str">
        <x:v>Gazdaságos eltérés</x:v>
      </x:c>
      <x:c r="B10" s="18" t="n">
        <x:f>B8-B5</x:f>
        <x:v>6229890</x:v>
      </x:c>
      <x:c r="C10" s="18" t="str">
        <x:v>Pozitív = túllépés</x:v>
      </x:c>
    </x:row>
    <x:row r="11" ht="30" customHeight="1">
      <x:c r="A11" s="12" t="str">
        <x:v>Ellenőrzött webshopár rész</x:v>
      </x:c>
      <x:c r="B11" s="18" t="n">
        <x:f>SUMIFS('Elemregiszter'!U2:U178,'Elemregiszter'!V2:V178,"ellenőrzött webshopár")</x:f>
        <x:v>2142440</x:v>
      </x:c>
      <x:c r="C11" s="18" t="str">
        <x:v>Termékérték; szállítás/szerelés becslése külön maradhat</x:v>
      </x:c>
    </x:row>
    <x:row r="12" ht="30" customHeight="1">
      <x:c r="A12" s="12" t="str">
        <x:v>Beszállítói ajánlat rész</x:v>
      </x:c>
      <x:c r="B12" s="18" t="n">
        <x:f>SUMIFS('Elemregiszter'!U2:U178,'Elemregiszter'!V2:V178,"beszállítói ajánlat")</x:f>
        <x:v>0</x:v>
      </x:c>
      <x:c r="C12" s="18" t="str">
        <x:v>Csak valódi beérkezett ajánlat</x:v>
      </x:c>
    </x:row>
    <x:row r="13" ht="30" customHeight="1">
      <x:c r="A13" s="12" t="str">
        <x:v>Még becsült rész</x:v>
      </x:c>
      <x:c r="B13" s="18" t="n">
        <x:f>B7-B11-B12</x:f>
        <x:v>22340450</x:v>
      </x:c>
      <x:c r="C13" s="18" t="str">
        <x:v>Minden nem igazolt ár</x:v>
      </x:c>
    </x:row>
    <x:row r="14" ht="30" customHeight="1">
      <x:c r="A14" s="12" t="str">
        <x:v>Megrendelt érték</x:v>
      </x:c>
      <x:c r="B14" s="18" t="n">
        <x:f>SUMIFS('Elemregiszter'!U2:U178,'Elemregiszter'!AC2:AC178,"megrendelt")</x:f>
        <x:v>0</x:v>
      </x:c>
      <x:c r="C14" s="18" t="str">
        <x:v>Jelenleg rendelés nincs</x:v>
      </x:c>
    </x:row>
    <x:row r="15" ht="30" customHeight="1">
      <x:c r="A15" s="12" t="str">
        <x:v>Tételszám</x:v>
      </x:c>
      <x:c r="B15" s="18" t="n">
        <x:f>COUNTA('Elemregiszter'!C2:C178)</x:f>
        <x:v>177</x:v>
      </x:c>
      <x:c r="C15" s="18" t="str">
        <x:v>177 költségsor; a külön2M tartalékból0Ft felhasználva.</x:v>
      </x:c>
    </x:row>
    <x:row r="16" ht="30" customHeight="1">
      <x:c r="A16" s="12"/>
      <x:c r="B16" s="18"/>
      <x:c r="C16" s="18"/>
    </x:row>
    <x:row r="17" ht="30" customHeight="1">
      <x:c r="A17" s="12" t="str">
        <x:v>Adatállapot</x:v>
      </x:c>
      <x:c r="B17" s="18" t="str">
        <x:v>2026-10-27</x:v>
      </x:c>
      <x:c r="C17" s="18" t="str">
        <x:v>18M cél marad. A 23,79M megengedő visszajelzés nem költési keretjóváhagyás.</x:v>
      </x:c>
    </x:row>
    <x:row r="18" ht="30" customHeight="1">
      <x:c r="A18" s="12" t="str">
        <x:v>Használat</x:v>
      </x:c>
      <x:c r="B18" s="18" t="str">
        <x:v>Kék számok szerkeszthetők</x:v>
      </x:c>
      <x:c r="C18" s="18" t="str">
        <x:v>Az Elemregiszter az élő árforrás. A CP3 nevű tároló- és fénylapok korábbi revíziók; aktuális R05 kapacitás külön lapon.</x:v>
      </x:c>
    </x:row>
    <x:row r="19" ht="30" customHeight="1">
      <x:c r="A19" s="12"/>
      <x:c r="B19" s="18"/>
      <x:c r="C19" s="18"/>
    </x:row>
    <x:row r="20" ht="30" customHeight="1">
      <x:c r="A20" s="12"/>
      <x:c r="B20" s="18"/>
      <x:c r="C20" s="18"/>
    </x:row>
    <x:row r="21" ht="30" customHeight="1">
      <x:c r="A21" s="12" t="str">
        <x:v>Helyiségenként</x:v>
      </x:c>
      <x:c r="B21" s="18" t="str">
        <x:v>Fő Ft</x:v>
      </x:c>
      <x:c r="C21" s="18" t="str">
        <x:v>Gazdaságos Ft</x:v>
      </x:c>
    </x:row>
    <x:row r="22" ht="30" customHeight="1">
      <x:c r="A22" s="12" t="str">
        <x:v>teljes lakás</x:v>
      </x:c>
      <x:c r="B22" s="18" t="n">
        <x:f>SUMIFS('Elemregiszter'!$U$2:$U$178,'Elemregiszter'!$B$2:$B$178,A22)</x:f>
        <x:v>1953790</x:v>
      </x:c>
      <x:c r="C22" s="18" t="n">
        <x:f>SUMIFS('Elemregiszter'!$AH$2:$AH$178,'Elemregiszter'!$B$2:$B$178,A22)</x:f>
        <x:v>1953790</x:v>
      </x:c>
    </x:row>
    <x:row r="23" ht="30" customHeight="1">
      <x:c r="A23" s="12" t="str">
        <x:v>02</x:v>
      </x:c>
      <x:c r="B23" s="18" t="n">
        <x:f>SUMIFS('Elemregiszter'!$U$2:$U$178,'Elemregiszter'!$B$2:$B$178,A23)</x:f>
        <x:v>3287990</x:v>
      </x:c>
      <x:c r="C23" s="18" t="n">
        <x:f>SUMIFS('Elemregiszter'!$AH$2:$AH$178,'Elemregiszter'!$B$2:$B$178,A23)</x:f>
        <x:v>3287990</x:v>
      </x:c>
    </x:row>
    <x:row r="24" ht="30" customHeight="1">
      <x:c r="A24" s="12" t="str">
        <x:v>03</x:v>
      </x:c>
      <x:c r="B24" s="18" t="n">
        <x:f>SUMIFS('Elemregiszter'!$U$2:$U$178,'Elemregiszter'!$B$2:$B$178,A24)</x:f>
        <x:v>971070</x:v>
      </x:c>
      <x:c r="C24" s="18" t="n">
        <x:f>SUMIFS('Elemregiszter'!$AH$2:$AH$178,'Elemregiszter'!$B$2:$B$178,A24)</x:f>
        <x:v>971070</x:v>
      </x:c>
    </x:row>
    <x:row r="25" ht="30" customHeight="1">
      <x:c r="A25" s="12" t="str">
        <x:v>04</x:v>
      </x:c>
      <x:c r="B25" s="18" t="n">
        <x:f>SUMIFS('Elemregiszter'!$U$2:$U$178,'Elemregiszter'!$B$2:$B$178,A25)</x:f>
        <x:v>3742190</x:v>
      </x:c>
      <x:c r="C25" s="18" t="n">
        <x:f>SUMIFS('Elemregiszter'!$AH$2:$AH$178,'Elemregiszter'!$B$2:$B$178,A25)</x:f>
        <x:v>3594190</x:v>
      </x:c>
    </x:row>
    <x:row r="26" ht="30" customHeight="1">
      <x:c r="A26" s="12" t="str">
        <x:v>05.1</x:v>
      </x:c>
      <x:c r="B26" s="18" t="n">
        <x:f>SUMIFS('Elemregiszter'!$U$2:$U$178,'Elemregiszter'!$B$2:$B$178,A26)</x:f>
        <x:v>3805500</x:v>
      </x:c>
      <x:c r="C26" s="18" t="n">
        <x:f>SUMIFS('Elemregiszter'!$AH$2:$AH$178,'Elemregiszter'!$B$2:$B$178,A26)</x:f>
        <x:v>3805500</x:v>
      </x:c>
    </x:row>
    <x:row r="27" ht="30" customHeight="1">
      <x:c r="A27" s="12" t="str">
        <x:v>05.2</x:v>
      </x:c>
      <x:c r="B27" s="18" t="n">
        <x:f>SUMIFS('Elemregiszter'!$U$2:$U$178,'Elemregiszter'!$B$2:$B$178,A27)</x:f>
        <x:v>1179980</x:v>
      </x:c>
      <x:c r="C27" s="18" t="n">
        <x:f>SUMIFS('Elemregiszter'!$AH$2:$AH$178,'Elemregiszter'!$B$2:$B$178,A27)</x:f>
        <x:v>1179980</x:v>
      </x:c>
    </x:row>
    <x:row r="28" ht="30" customHeight="1">
      <x:c r="A28" s="12" t="str">
        <x:v>05.3</x:v>
      </x:c>
      <x:c r="B28" s="18" t="n">
        <x:f>SUMIFS('Elemregiszter'!$U$2:$U$178,'Elemregiszter'!$B$2:$B$178,A28)</x:f>
        <x:v>1157380</x:v>
      </x:c>
      <x:c r="C28" s="18" t="n">
        <x:f>SUMIFS('Elemregiszter'!$AH$2:$AH$178,'Elemregiszter'!$B$2:$B$178,A28)</x:f>
        <x:v>1157380</x:v>
      </x:c>
    </x:row>
    <x:row r="29" ht="30" customHeight="1">
      <x:c r="A29" s="12" t="str">
        <x:v>01</x:v>
      </x:c>
      <x:c r="B29" s="18" t="n">
        <x:f>SUMIFS('Elemregiszter'!$U$2:$U$178,'Elemregiszter'!$B$2:$B$178,A29)</x:f>
        <x:v>440000</x:v>
      </x:c>
      <x:c r="C29" s="18" t="n">
        <x:f>SUMIFS('Elemregiszter'!$AH$2:$AH$178,'Elemregiszter'!$B$2:$B$178,A29)</x:f>
        <x:v>440000</x:v>
      </x:c>
    </x:row>
    <x:row r="30" ht="30" customHeight="1">
      <x:c r="A30" s="12" t="str">
        <x:v>07</x:v>
      </x:c>
      <x:c r="B30" s="18" t="n">
        <x:f>SUMIFS('Elemregiszter'!$U$2:$U$178,'Elemregiszter'!$B$2:$B$178,A30)</x:f>
        <x:v>40000</x:v>
      </x:c>
      <x:c r="C30" s="18" t="n">
        <x:f>SUMIFS('Elemregiszter'!$AH$2:$AH$178,'Elemregiszter'!$B$2:$B$178,A30)</x:f>
        <x:v>40000</x:v>
      </x:c>
    </x:row>
    <x:row r="31" ht="30" customHeight="1">
      <x:c r="A31" s="12" t="str">
        <x:v>06.1 / elhelyezés PENDING</x:v>
      </x:c>
      <x:c r="B31" s="18" t="n">
        <x:f>SUMIFS('Elemregiszter'!$U$2:$U$178,'Elemregiszter'!$B$2:$B$178,A31)</x:f>
        <x:v>485000</x:v>
      </x:c>
      <x:c r="C31" s="18" t="n">
        <x:f>SUMIFS('Elemregiszter'!$AH$2:$AH$178,'Elemregiszter'!$B$2:$B$178,A31)</x:f>
        <x:v>485000</x:v>
      </x:c>
    </x:row>
    <x:row r="32" ht="30" customHeight="1">
      <x:c r="A32" s="12" t="str">
        <x:v>06.2</x:v>
      </x:c>
      <x:c r="B32" s="18" t="n">
        <x:f>SUMIFS('Elemregiszter'!$U$2:$U$178,'Elemregiszter'!$B$2:$B$178,A32)</x:f>
        <x:v>1385000</x:v>
      </x:c>
      <x:c r="C32" s="18" t="n">
        <x:f>SUMIFS('Elemregiszter'!$AH$2:$AH$178,'Elemregiszter'!$B$2:$B$178,A32)</x:f>
        <x:v>1280000</x:v>
      </x:c>
    </x:row>
    <x:row r="33" ht="30" customHeight="1">
      <x:c r="A33" s="12" t="str">
        <x:v>06.1</x:v>
      </x:c>
      <x:c r="B33" s="18" t="n">
        <x:f>SUMIFS('Elemregiszter'!$U$2:$U$178,'Elemregiszter'!$B$2:$B$178,A33)</x:f>
        <x:v>255000</x:v>
      </x:c>
      <x:c r="C33" s="18" t="n">
        <x:f>SUMIFS('Elemregiszter'!$AH$2:$AH$178,'Elemregiszter'!$B$2:$B$178,A33)</x:f>
        <x:v>255000</x:v>
      </x:c>
    </x:row>
    <x:row r="34" ht="30" customHeight="1">
      <x:c r="A34" s="12" t="str">
        <x:v>08</x:v>
      </x:c>
      <x:c r="B34" s="18" t="n">
        <x:f>SUMIFS('Elemregiszter'!$U$2:$U$178,'Elemregiszter'!$B$2:$B$178,A34)</x:f>
        <x:v>75000</x:v>
      </x:c>
      <x:c r="C34" s="18" t="n">
        <x:f>SUMIFS('Elemregiszter'!$AH$2:$AH$178,'Elemregiszter'!$B$2:$B$178,A34)</x:f>
        <x:v>75000</x:v>
      </x:c>
    </x:row>
    <x:row r="35" ht="30" customHeight="1">
      <x:c r="A35" s="12" t="str">
        <x:v>06.1 / 06.2 / 08</x:v>
      </x:c>
      <x:c r="B35" s="18" t="n">
        <x:f>SUMIFS('Elemregiszter'!$U$2:$U$178,'Elemregiszter'!$B$2:$B$178,A35)</x:f>
        <x:v>35000</x:v>
      </x:c>
      <x:c r="C35" s="18" t="n">
        <x:f>SUMIFS('Elemregiszter'!$AH$2:$AH$178,'Elemregiszter'!$B$2:$B$178,A35)</x:f>
        <x:v>35000</x:v>
      </x:c>
    </x:row>
    <x:row r="36" ht="30" customHeight="1">
      <x:c r="A36" s="12" t="str">
        <x:v>01 / 07 / 08</x:v>
      </x:c>
      <x:c r="B36" s="18" t="n">
        <x:f>SUMIFS('Elemregiszter'!$U$2:$U$178,'Elemregiszter'!$B$2:$B$178,A36)</x:f>
        <x:v>130000</x:v>
      </x:c>
      <x:c r="C36" s="18" t="n">
        <x:f>SUMIFS('Elemregiszter'!$AH$2:$AH$178,'Elemregiszter'!$B$2:$B$178,A36)</x:f>
        <x:v>130000</x:v>
      </x:c>
    </x:row>
    <x:row r="37" ht="30" customHeight="1">
      <x:c r="A37" s="12" t="str">
        <x:v>06.1 / 06.2</x:v>
      </x:c>
      <x:c r="B37" s="18" t="n">
        <x:f>SUMIFS('Elemregiszter'!$U$2:$U$178,'Elemregiszter'!$B$2:$B$178,A37)</x:f>
        <x:v>340000</x:v>
      </x:c>
      <x:c r="C37" s="18" t="n">
        <x:f>SUMIFS('Elemregiszter'!$AH$2:$AH$178,'Elemregiszter'!$B$2:$B$178,A37)</x:f>
        <x:v>340000</x:v>
      </x:c>
    </x:row>
    <x:row r="38" ht="30" customHeight="1">
      <x:c r="A38" s="12" t="str">
        <x:v>04 / 07</x:v>
      </x:c>
      <x:c r="B38" s="18" t="n">
        <x:f>SUMIFS('Elemregiszter'!$U$2:$U$178,'Elemregiszter'!$B$2:$B$178,A38)</x:f>
        <x:v>315000</x:v>
      </x:c>
      <x:c r="C38" s="18" t="n">
        <x:f>SUMIFS('Elemregiszter'!$AH$2:$AH$178,'Elemregiszter'!$B$2:$B$178,A38)</x:f>
        <x:v>315000</x:v>
      </x:c>
    </x:row>
    <x:row r="39" ht="30" customHeight="1">
      <x:c r="A39" s="12" t="str">
        <x:v>09 terasz Ny</x:v>
      </x:c>
      <x:c r="B39" s="18" t="n">
        <x:f>SUMIFS('Elemregiszter'!$U$2:$U$178,'Elemregiszter'!$B$2:$B$178,A39)</x:f>
        <x:v>2000000</x:v>
      </x:c>
      <x:c r="C39" s="18" t="n">
        <x:f>SUMIFS('Elemregiszter'!$AH$2:$AH$178,'Elemregiszter'!$B$2:$B$178,A39)</x:f>
        <x:v>2000000</x:v>
      </x:c>
    </x:row>
    <x:row r="40" ht="30" customHeight="1">
      <x:c r="A40" s="12" t="str">
        <x:v>10 terasz K</x:v>
      </x:c>
      <x:c r="B40" s="18" t="n">
        <x:f>SUMIFS('Elemregiszter'!$U$2:$U$178,'Elemregiszter'!$B$2:$B$178,A40)</x:f>
        <x:v>1150000</x:v>
      </x:c>
      <x:c r="C40" s="18" t="n">
        <x:f>SUMIFS('Elemregiszter'!$AH$2:$AH$178,'Elemregiszter'!$B$2:$B$178,A40)</x:f>
        <x:v>1150000</x:v>
      </x:c>
    </x:row>
    <x:row r="41" ht="30" customHeight="1">
      <x:c r="A41" s="12" t="str">
        <x:v>09 / 10 / 11 / 12 / 13 kültér</x:v>
      </x:c>
      <x:c r="B41" s="18" t="n">
        <x:f>SUMIFS('Elemregiszter'!$U$2:$U$178,'Elemregiszter'!$B$2:$B$178,A41)</x:f>
        <x:v>590000</x:v>
      </x:c>
      <x:c r="C41" s="18" t="n">
        <x:f>SUMIFS('Elemregiszter'!$AH$2:$AH$178,'Elemregiszter'!$B$2:$B$178,A41)</x:f>
        <x:v>590000</x:v>
      </x:c>
    </x:row>
    <x:row r="42" ht="30" customHeight="1">
      <x:c r="A42" s="12" t="str">
        <x:v>01 / 04</x:v>
      </x:c>
      <x:c r="B42" s="18" t="n">
        <x:f>SUMIFS('Elemregiszter'!$U$2:$U$178,'Elemregiszter'!$B$2:$B$178,A42)</x:f>
        <x:v>360000</x:v>
      </x:c>
      <x:c r="C42" s="18" t="n">
        <x:f>SUMIFS('Elemregiszter'!$AH$2:$AH$178,'Elemregiszter'!$B$2:$B$178,A42)</x:f>
        <x:v>360000</x:v>
      </x:c>
    </x:row>
    <x:row r="43" ht="30" customHeight="1">
      <x:c r="A43" s="12"/>
      <x:c r="B43" s="18"/>
      <x:c r="C43" s="18"/>
    </x:row>
    <x:row r="44" ht="30" customHeight="1">
      <x:c r="A44" s="12"/>
      <x:c r="B44" s="18"/>
      <x:c r="C44" s="18"/>
    </x:row>
    <x:row r="45" ht="30" customHeight="1">
      <x:c r="A45" s="12" t="str">
        <x:v>Szakmánként</x:v>
      </x:c>
      <x:c r="B45" s="18" t="str">
        <x:v>Fő Ft</x:v>
      </x:c>
      <x:c r="C45" s="18" t="str">
        <x:v>Gazdaságos Ft</x:v>
      </x:c>
    </x:row>
    <x:row r="46" ht="30" customHeight="1">
      <x:c r="A46" s="12" t="str">
        <x:v>Tervezés</x:v>
      </x:c>
      <x:c r="B46" s="18" t="n">
        <x:f>SUMIFS('Elemregiszter'!$U$2:$U$178,'Elemregiszter'!$G$2:$G$178,A46)</x:f>
        <x:v>420000</x:v>
      </x:c>
      <x:c r="C46" s="18" t="n">
        <x:f>SUMIFS('Elemregiszter'!$AH$2:$AH$178,'Elemregiszter'!$G$2:$G$178,A46)</x:f>
        <x:v>420000</x:v>
      </x:c>
    </x:row>
    <x:row r="47" ht="30" customHeight="1">
      <x:c r="A47" s="12" t="str">
        <x:v>Asztalos</x:v>
      </x:c>
      <x:c r="B47" s="18" t="n">
        <x:f>SUMIFS('Elemregiszter'!$U$2:$U$178,'Elemregiszter'!$G$2:$G$178,A47)</x:f>
        <x:v>6216000</x:v>
      </x:c>
      <x:c r="C47" s="18" t="n">
        <x:f>SUMIFS('Elemregiszter'!$AH$2:$AH$178,'Elemregiszter'!$G$2:$G$178,A47)</x:f>
        <x:v>6116000</x:v>
      </x:c>
    </x:row>
    <x:row r="48" ht="30" customHeight="1">
      <x:c r="A48" s="12" t="str">
        <x:v>Gépek</x:v>
      </x:c>
      <x:c r="B48" s="18" t="n">
        <x:f>SUMIFS('Elemregiszter'!$U$2:$U$178,'Elemregiszter'!$G$2:$G$178,A48)</x:f>
        <x:v>1770000</x:v>
      </x:c>
      <x:c r="C48" s="18" t="n">
        <x:f>SUMIFS('Elemregiszter'!$AH$2:$AH$178,'Elemregiszter'!$G$2:$G$178,A48)</x:f>
        <x:v>1770000</x:v>
      </x:c>
    </x:row>
    <x:row r="49" ht="30" customHeight="1">
      <x:c r="A49" s="12" t="str">
        <x:v>Vízszerelés</x:v>
      </x:c>
      <x:c r="B49" s="18" t="n">
        <x:f>SUMIFS('Elemregiszter'!$U$2:$U$178,'Elemregiszter'!$G$2:$G$178,A49)</x:f>
        <x:v>412990</x:v>
      </x:c>
      <x:c r="C49" s="18" t="n">
        <x:f>SUMIFS('Elemregiszter'!$AH$2:$AH$178,'Elemregiszter'!$G$2:$G$178,A49)</x:f>
        <x:v>412990</x:v>
      </x:c>
    </x:row>
    <x:row r="50" ht="30" customHeight="1">
      <x:c r="A50" s="12" t="str">
        <x:v>Bútor</x:v>
      </x:c>
      <x:c r="B50" s="18" t="n">
        <x:f>SUMIFS('Elemregiszter'!$U$2:$U$178,'Elemregiszter'!$G$2:$G$178,A50)</x:f>
        <x:v>4928330</x:v>
      </x:c>
      <x:c r="C50" s="18" t="n">
        <x:f>SUMIFS('Elemregiszter'!$AH$2:$AH$178,'Elemregiszter'!$G$2:$G$178,A50)</x:f>
        <x:v>4928330</x:v>
      </x:c>
    </x:row>
    <x:row r="51" ht="30" customHeight="1">
      <x:c r="A51" s="12" t="str">
        <x:v>Elektronika</x:v>
      </x:c>
      <x:c r="B51" s="18" t="n">
        <x:f>SUMIFS('Elemregiszter'!$U$2:$U$178,'Elemregiszter'!$G$2:$G$178,A51)</x:f>
        <x:v>680000</x:v>
      </x:c>
      <x:c r="C51" s="18" t="n">
        <x:f>SUMIFS('Elemregiszter'!$AH$2:$AH$178,'Elemregiszter'!$G$2:$G$178,A51)</x:f>
        <x:v>680000</x:v>
      </x:c>
    </x:row>
    <x:row r="52" ht="30" customHeight="1">
      <x:c r="A52" s="12" t="str">
        <x:v>Textil</x:v>
      </x:c>
      <x:c r="B52" s="18" t="n">
        <x:f>SUMIFS('Elemregiszter'!$U$2:$U$178,'Elemregiszter'!$G$2:$G$178,A52)</x:f>
        <x:v>1330000</x:v>
      </x:c>
      <x:c r="C52" s="18" t="n">
        <x:f>SUMIFS('Elemregiszter'!$AH$2:$AH$178,'Elemregiszter'!$G$2:$G$178,A52)</x:f>
        <x:v>1330000</x:v>
      </x:c>
    </x:row>
    <x:row r="53" ht="30" customHeight="1">
      <x:c r="A53" s="12" t="str">
        <x:v>Művészet</x:v>
      </x:c>
      <x:c r="B53" s="18" t="n">
        <x:f>SUMIFS('Elemregiszter'!$U$2:$U$178,'Elemregiszter'!$G$2:$G$178,A53)</x:f>
        <x:v>611000</x:v>
      </x:c>
      <x:c r="C53" s="18" t="n">
        <x:f>SUMIFS('Elemregiszter'!$AH$2:$AH$178,'Elemregiszter'!$G$2:$G$178,A53)</x:f>
        <x:v>563000</x:v>
      </x:c>
    </x:row>
    <x:row r="54" ht="30" customHeight="1">
      <x:c r="A54" s="12" t="str">
        <x:v>Villamos</x:v>
      </x:c>
      <x:c r="B54" s="18" t="n">
        <x:f>SUMIFS('Elemregiszter'!$U$2:$U$178,'Elemregiszter'!$G$2:$G$178,A54)</x:f>
        <x:v>2200360</x:v>
      </x:c>
      <x:c r="C54" s="18" t="n">
        <x:f>SUMIFS('Elemregiszter'!$AH$2:$AH$178,'Elemregiszter'!$G$2:$G$178,A54)</x:f>
        <x:v>2200360</x:v>
      </x:c>
    </x:row>
    <x:row r="55" ht="30" customHeight="1">
      <x:c r="A55" s="12" t="str">
        <x:v>Üveges</x:v>
      </x:c>
      <x:c r="B55" s="18" t="n">
        <x:f>SUMIFS('Elemregiszter'!$U$2:$U$178,'Elemregiszter'!$G$2:$G$178,A55)</x:f>
        <x:v>180000</x:v>
      </x:c>
      <x:c r="C55" s="18" t="n">
        <x:f>SUMIFS('Elemregiszter'!$AH$2:$AH$178,'Elemregiszter'!$G$2:$G$178,A55)</x:f>
        <x:v>180000</x:v>
      </x:c>
    </x:row>
    <x:row r="56" ht="30" customHeight="1">
      <x:c r="A56" s="12" t="str">
        <x:v>Kiegészítők</x:v>
      </x:c>
      <x:c r="B56" s="18" t="n">
        <x:f>SUMIFS('Elemregiszter'!$U$2:$U$178,'Elemregiszter'!$G$2:$G$178,A56)</x:f>
        <x:v>250000</x:v>
      </x:c>
      <x:c r="C56" s="18" t="n">
        <x:f>SUMIFS('Elemregiszter'!$AH$2:$AH$178,'Elemregiszter'!$G$2:$G$178,A56)</x:f>
        <x:v>250000</x:v>
      </x:c>
    </x:row>
    <x:row r="57" ht="30" customHeight="1">
      <x:c r="A57" s="12" t="str">
        <x:v>Falfelület</x:v>
      </x:c>
      <x:c r="B57" s="18" t="n">
        <x:f>SUMIFS('Elemregiszter'!$U$2:$U$178,'Elemregiszter'!$G$2:$G$178,A57)</x:f>
        <x:v>405000</x:v>
      </x:c>
      <x:c r="C57" s="18" t="n">
        <x:f>SUMIFS('Elemregiszter'!$AH$2:$AH$178,'Elemregiszter'!$G$2:$G$178,A57)</x:f>
        <x:v>405000</x:v>
      </x:c>
    </x:row>
    <x:row r="58" ht="30" customHeight="1">
      <x:c r="A58" s="12" t="str">
        <x:v>Kert és terasz</x:v>
      </x:c>
      <x:c r="B58" s="18" t="n">
        <x:f>SUMIFS('Elemregiszter'!$U$2:$U$178,'Elemregiszter'!$G$2:$G$178,A58)</x:f>
        <x:v>2590000</x:v>
      </x:c>
      <x:c r="C58" s="18" t="n">
        <x:f>SUMIFS('Elemregiszter'!$AH$2:$AH$178,'Elemregiszter'!$G$2:$G$178,A58)</x:f>
        <x:v>2590000</x:v>
      </x:c>
    </x:row>
    <x:row r="59" ht="30" customHeight="1">
      <x:c r="A59" s="12" t="str">
        <x:v>Logisztika</x:v>
      </x:c>
      <x:c r="B59" s="18" t="n">
        <x:f>SUMIFS('Elemregiszter'!$U$2:$U$178,'Elemregiszter'!$G$2:$G$178,A59)</x:f>
        <x:v>510000</x:v>
      </x:c>
      <x:c r="C59" s="18" t="n">
        <x:f>SUMIFS('Elemregiszter'!$AH$2:$AH$178,'Elemregiszter'!$G$2:$G$178,A59)</x:f>
        <x:v>510000</x:v>
      </x:c>
    </x:row>
    <x:row r="60" ht="30" customHeight="1">
      <x:c r="A60" s="12"/>
      <x:c r="B60" s="18"/>
      <x:c r="C60" s="18"/>
    </x:row>
    <x:row r="61" ht="30" customHeight="1">
      <x:c r="A61" s="12"/>
      <x:c r="B61" s="18"/>
      <x:c r="C61" s="18"/>
    </x:row>
    <x:row r="62" ht="30" customHeight="1">
      <x:c r="A62" s="12" t="str">
        <x:v>Fix / stílus</x:v>
      </x:c>
      <x:c r="B62" s="18" t="str">
        <x:v>Fő Ft</x:v>
      </x:c>
      <x:c r="C62" s="18" t="str">
        <x:v>Gazdaságos Ft</x:v>
      </x:c>
    </x:row>
    <x:row r="63" ht="30" customHeight="1">
      <x:c r="A63" s="12" t="str">
        <x:v>FIX</x:v>
      </x:c>
      <x:c r="B63" s="18" t="n">
        <x:f>SUMIFS('Elemregiszter'!$U$2:$U$178,'Elemregiszter'!$F$2:$F$178,A63)</x:f>
        <x:v>9510350</x:v>
      </x:c>
      <x:c r="C63" s="18" t="n">
        <x:f>SUMIFS('Elemregiszter'!$AH$2:$AH$178,'Elemregiszter'!$F$2:$F$178,A63)</x:f>
        <x:v>9510350</x:v>
      </x:c>
    </x:row>
    <x:row r="64" ht="30" customHeight="1">
      <x:c r="A64" s="12" t="str">
        <x:v>STÍLUS</x:v>
      </x:c>
      <x:c r="B64" s="18" t="n">
        <x:f>SUMIFS('Elemregiszter'!$U$2:$U$178,'Elemregiszter'!$F$2:$F$178,A64)</x:f>
        <x:v>12993330</x:v>
      </x:c>
      <x:c r="C64" s="18" t="n">
        <x:f>SUMIFS('Elemregiszter'!$AH$2:$AH$178,'Elemregiszter'!$F$2:$F$178,A64)</x:f>
        <x:v>12845330</x:v>
      </x:c>
    </x:row>
    <x:row r="65" ht="30" customHeight="1">
      <x:c r="A65" s="12"/>
      <x:c r="B65" s="18"/>
      <x:c r="C65" s="18"/>
    </x:row>
    <x:row r="66" ht="30" customHeight="1">
      <x:c r="A66" s="12"/>
      <x:c r="B66" s="18"/>
      <x:c r="C66" s="18"/>
    </x:row>
    <x:row r="67" ht="30" customHeight="1">
      <x:c r="A67" s="12" t="str">
        <x:v>Megrendelés</x:v>
      </x:c>
      <x:c r="B67" s="18" t="str">
        <x:v>Fő Ft</x:v>
      </x:c>
      <x:c r="C67" s="18" t="str">
        <x:v>Gazdaságos Ft</x:v>
      </x:c>
    </x:row>
    <x:row r="68" ht="30" customHeight="1">
      <x:c r="A68" s="12" t="str">
        <x:v>nem megrendelt</x:v>
      </x:c>
      <x:c r="B68" s="18" t="n">
        <x:f>SUMIFS('Elemregiszter'!$U$2:$U$178,'Elemregiszter'!$AC$2:$AC$178,A68)</x:f>
        <x:v>22503680</x:v>
      </x:c>
      <x:c r="C68" s="18" t="n">
        <x:f>SUMIFS('Elemregiszter'!$AH$2:$AH$178,'Elemregiszter'!$AC$2:$AC$178,A68)</x:f>
        <x:v>22355680</x:v>
      </x:c>
    </x:row>
    <x:row r="69">
      <x:c r="B69" s="8"/>
      <x:c r="C69" s="8"/>
    </x:row>
    <x:row r="70">
      <x:c r="B70" s="8"/>
      <x:c r="C70" s="8"/>
    </x:row>
    <x:row r="71">
      <x:c r="B71" s="8"/>
      <x:c r="C71" s="8"/>
    </x:row>
    <x:row r="73">
      <x:c r="A73" t="str">
        <x:v>Bizonytalanság</x:v>
      </x:c>
      <x:c r="B73" t="str">
        <x:v>Ft</x:v>
      </x:c>
      <x:c r="C73" t="str">
        <x:v>Indikatív sáv, nem statisztikai intervallum</x:v>
      </x:c>
    </x:row>
    <x:row r="74">
      <x:c r="A74" t="str">
        <x:v>Alsó sáv</x:v>
      </x:c>
      <x:c r="B74" s="30" t="n">
        <x:f>SUM('Elemregiszter'!BA2:BA178)</x:f>
        <x:v>20841595</x:v>
      </x:c>
      <x:c r="C74" t="str">
        <x:v>Sorok alsó feltételezéseinek összege</x:v>
      </x:c>
    </x:row>
    <x:row r="75">
      <x:c r="A75" t="str">
        <x:v>Felső sáv</x:v>
      </x:c>
      <x:c r="B75" s="30" t="n">
        <x:f>SUM('Elemregiszter'!BB2:BB178)</x:f>
        <x:v>32952998</x:v>
      </x:c>
      <x:c r="C75" t="str">
        <x:v>Sorok felső feltételezéseinek összege</x:v>
      </x:c>
    </x:row>
    <x:row r="76">
      <x:c r="A76" t="str">
        <x:v>Tartalék felhasználva</x:v>
      </x:c>
      <x:c r="B76" s="30" t="n">
        <x:v>0</x:v>
      </x:c>
      <x:c r="C76" t="str">
        <x:v>A 2 M Ft továbbra is külön marad</x:v>
      </x:c>
    </x:row>
    <x:row r="77">
      <x:c r="A77" t="str">
        <x:v>Gazdaságos megtakarítás</x:v>
      </x:c>
      <x:c r="B77" s="30" t="n">
        <x:f>B7-B8</x:f>
        <x:v>253000</x:v>
      </x:c>
      <x:c r="C77" t="str">
        <x:v>Bruttó projektkülönbség, változatlan közös logisztikával</x:v>
      </x:c>
    </x:row>
    <x:row r="79">
      <x:c r="A79" t="str">
        <x:v>CP3 külön kimutatás</x:v>
      </x:c>
      <x:c r="B79" t="str">
        <x:v>Fő Ft</x:v>
      </x:c>
      <x:c r="C79" t="str">
        <x:v>Megjegyzés</x:v>
      </x:c>
    </x:row>
    <x:row r="80">
      <x:c r="A80" t="str">
        <x:v>AT8-01</x:v>
      </x:c>
      <x:c r="B80" s="30" t="n">
        <x:f>SUMIFS('Elemregiszter'!$U$2:$U$178,'Elemregiszter'!$B$2:$B$178,A80)</x:f>
        <x:v>380990</x:v>
      </x:c>
      <x:c r="C80" t="str">
        <x:v>Fagyasztóval, polcokkal; közös szerelés külön</x:v>
      </x:c>
    </x:row>
    <x:row r="81">
      <x:c r="A81" t="str">
        <x:v>T-0-26</x:v>
      </x:c>
      <x:c r="B81" s="30" t="n">
        <x:f>SUMIFS('Elemregiszter'!$U$2:$U$178,'Elemregiszter'!$B$2:$B$178,A81)</x:f>
        <x:v>165000</x:v>
      </x:c>
      <x:c r="C81" t="str">
        <x:v>Polcok; közös szerelés külön</x:v>
      </x:c>
    </x:row>
    <x:row r="82">
      <x:c r="A82" t="str">
        <x:v>AT8-01 / T-0-26</x:v>
      </x:c>
      <x:c r="B82" s="30" t="n">
        <x:f>SUMIFS('Elemregiszter'!$U$2:$U$178,'Elemregiszter'!$B$2:$B$178,A82)</x:f>
        <x:v>174000</x:v>
      </x:c>
      <x:c r="C82" t="str">
        <x:v>Közös szállítás, rögzítés és dobozok</x:v>
      </x:c>
    </x:row>
    <x:row r="83">
      <x:c r="A83" t="str">
        <x:v>Fagyasztó és kapcsolódó munka</x:v>
      </x:c>
      <x:c r="B83" s="30" t="n">
        <x:f>SUMIFS('Elemregiszter'!$U$2:$U$178,'Elemregiszter'!$C$2:$C$178,"KI-CP3-F01")+SUMIFS('Elemregiszter'!$U$2:$U$178,'Elemregiszter'!$C$2:$C$178,"KI-CP3-F02")</x:f>
        <x:v>334990</x:v>
      </x:c>
      <x:c r="C83" t="str">
        <x:v>Opcionális beszerzés; a bemutatott fő változat tartalmazza</x:v>
      </x:c>
    </x:row>
    <x:row r="84">
      <x:c r="A84" t="str">
        <x:v>Fő változat fagyasztó nélkül</x:v>
      </x:c>
      <x:c r="B84" s="30" t="n">
        <x:f>B7-B83</x:f>
        <x:v>24147900</x:v>
      </x:c>
      <x:c r="C84" t="str">
        <x:v>Nem automatikusan kiválasztott megtakarítás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42" hidden="0" customWidth="1"/>
    <x:col min="9" max="9" width="42" hidden="0" customWidth="1"/>
    <x:col min="10" max="10" width="42" hidden="0" customWidth="1"/>
    <x:col min="11" max="11" width="42" hidden="0" customWidth="1"/>
    <x:col min="12" max="12" width="42" hidden="0" customWidth="1"/>
    <x:col min="13" max="13" width="42" hidden="0" customWidth="1"/>
    <x:col min="14" max="14" width="4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  <x:col min="21" max="21" width="22" hidden="0" customWidth="1"/>
    <x:col min="22" max="22" width="22" hidden="0" customWidth="1"/>
    <x:col min="23" max="23" width="42" hidden="0" customWidth="1"/>
    <x:col min="24" max="24" width="42" hidden="0" customWidth="1"/>
    <x:col min="25" max="25" width="42" hidden="0" customWidth="1"/>
    <x:col min="26" max="26" width="42" hidden="0" customWidth="1"/>
    <x:col min="27" max="27" width="42" hidden="0" customWidth="1"/>
    <x:col min="28" max="28" width="42" hidden="0" customWidth="1"/>
    <x:col min="29" max="29" width="42" hidden="0" customWidth="1"/>
    <x:col min="30" max="30" width="42" hidden="0" customWidth="1"/>
    <x:col min="31" max="31" width="42" hidden="0" customWidth="1"/>
    <x:col min="32" max="32" width="42" hidden="0" customWidth="1"/>
    <x:col min="33" max="33" width="42" hidden="0" customWidth="1"/>
    <x:col min="34" max="34" width="42" hidden="0" customWidth="1"/>
    <x:col min="35" max="35" width="42" hidden="0" customWidth="1"/>
    <x:col min="36" max="36" width="42" hidden="0" customWidth="1"/>
    <x:col min="37" max="37" width="42" hidden="0" customWidth="1"/>
    <x:col min="38" max="38" width="42" hidden="0" customWidth="1"/>
    <x:col min="39" max="39" width="42" hidden="0" customWidth="1"/>
    <x:col min="40" max="40" width="30" hidden="0" customWidth="1"/>
    <x:col min="41" max="41" width="30" hidden="0" customWidth="1"/>
    <x:col min="42" max="42" width="30" hidden="0" customWidth="1"/>
    <x:col min="43" max="43" width="30" hidden="0" customWidth="1"/>
    <x:col min="44" max="44" width="30" hidden="0" customWidth="1"/>
    <x:col min="45" max="45" width="30" hidden="0" customWidth="1"/>
    <x:col min="46" max="46" width="30" hidden="0" customWidth="1"/>
    <x:col min="47" max="47" width="30" hidden="0" customWidth="1"/>
    <x:col min="48" max="48" width="30" hidden="0" customWidth="1"/>
    <x:col min="49" max="49" width="30" hidden="0" customWidth="1"/>
    <x:col min="50" max="50" width="30" hidden="0" customWidth="1"/>
    <x:col min="51" max="51" width="30" hidden="0" customWidth="1"/>
    <x:col min="52" max="52" width="30" hidden="0" customWidth="1"/>
    <x:col min="53" max="53" width="30" hidden="0" customWidth="1"/>
    <x:col min="54" max="54" width="30" hidden="0" customWidth="1"/>
  </x:cols>
  <x:sheetData>
    <x:row r="1" ht="45" customHeight="1">
      <x:c r="A1" s="25" t="str">
        <x:v>Lakás</x:v>
      </x:c>
      <x:c r="B1" s="25" t="str">
        <x:v>Helyiség</x:v>
      </x:c>
      <x:c r="C1" s="25" t="str">
        <x:v>Elemkód</x:v>
      </x:c>
      <x:c r="D1" s="25" t="str">
        <x:v>Render</x:v>
      </x:c>
      <x:c r="E1" s="25" t="str">
        <x:v>Baseline sor</x:v>
      </x:c>
      <x:c r="F1" s="25" t="str">
        <x:v>Fix / stílus</x:v>
      </x:c>
      <x:c r="G1" s="25" t="str">
        <x:v>Szakma</x:v>
      </x:c>
      <x:c r="H1" s="25" t="str">
        <x:v>Termék / munka</x:v>
      </x:c>
      <x:c r="I1" s="25" t="str">
        <x:v>Márka</x:v>
      </x:c>
      <x:c r="J1" s="25" t="str">
        <x:v>SKU</x:v>
      </x:c>
      <x:c r="K1" s="25" t="str">
        <x:v>Terméklink</x:v>
      </x:c>
      <x:c r="L1" s="25" t="str">
        <x:v>Méret</x:v>
      </x:c>
      <x:c r="M1" s="25" t="str">
        <x:v>Szín</x:v>
      </x:c>
      <x:c r="N1" s="25" t="str">
        <x:v>Anyag</x:v>
      </x:c>
      <x:c r="O1" s="25" t="str">
        <x:v>Mennyiség</x:v>
      </x:c>
      <x:c r="P1" s="25" t="str">
        <x:v>Egység</x:v>
      </x:c>
      <x:c r="Q1" s="25" t="str">
        <x:v>Bruttó egységár Ft</x:v>
      </x:c>
      <x:c r="R1" s="25" t="str">
        <x:v>Szállítás Ft</x:v>
      </x:c>
      <x:c r="S1" s="25" t="str">
        <x:v>Szerelés Ft</x:v>
      </x:c>
      <x:c r="T1" s="25" t="str">
        <x:v>Egyéb Ft</x:v>
      </x:c>
      <x:c r="U1" s="25" t="str">
        <x:v>Teljes bruttó Ft</x:v>
      </x:c>
      <x:c r="V1" s="25" t="str">
        <x:v>Árstátusz</x:v>
      </x:c>
      <x:c r="W1" s="25" t="str">
        <x:v>Árforrás</x:v>
      </x:c>
      <x:c r="X1" s="25" t="str">
        <x:v>Ellenőrzés dátuma</x:v>
      </x:c>
      <x:c r="Y1" s="25" t="str">
        <x:v>Átfutás</x:v>
      </x:c>
      <x:c r="Z1" s="25" t="str">
        <x:v>A/B/C</x:v>
      </x:c>
      <x:c r="AA1" s="25" t="str">
        <x:v>Render egyezés</x:v>
      </x:c>
      <x:c r="AB1" s="25" t="str">
        <x:v>Jóváhagyás</x:v>
      </x:c>
      <x:c r="AC1" s="25" t="str">
        <x:v>Megrendelés</x:v>
      </x:c>
      <x:c r="AD1" s="25" t="str">
        <x:v>Felelős</x:v>
      </x:c>
      <x:c r="AE1" s="25" t="str">
        <x:v>Szakmai ellenőrzés</x:v>
      </x:c>
      <x:c r="AF1" s="25" t="str">
        <x:v>Megjegyzés</x:v>
      </x:c>
      <x:c r="AG1" s="25" t="str">
        <x:v>Gazdaságos egységár Ft</x:v>
      </x:c>
      <x:c r="AH1" s="25" t="str">
        <x:v>Gazdaságos teljes Ft</x:v>
      </x:c>
      <x:c r="AI1" s="25" t="str">
        <x:v>Gazdaságos változtatás</x:v>
      </x:c>
      <x:c r="AJ1" s="25" t="str">
        <x:v>Garancia</x:v>
      </x:c>
      <x:c r="AK1" s="25" t="str">
        <x:v>HU szállítás / készlet</x:v>
      </x:c>
      <x:c r="AL1" s="25" t="str">
        <x:v>Alternatíva 1</x:v>
      </x:c>
      <x:c r="AM1" s="25" t="str">
        <x:v>Alternatíva 2</x:v>
      </x:c>
      <x:c r="AN1" s="41" t="str">
        <x:v>Szerkezet</x:v>
      </x:c>
      <x:c r="AO1" s="41" t="str">
        <x:v>Rajz</x:v>
      </x:c>
      <x:c r="AP1" s="41" t="str">
        <x:v>Blender objektum</x:v>
      </x:c>
      <x:c r="AQ1" s="41" t="str">
        <x:v>Kész / egyedi</x:v>
      </x:c>
      <x:c r="AR1" s="41" t="str">
        <x:v>Méretbizonyíték</x:v>
      </x:c>
      <x:c r="AS1" s="41" t="str">
        <x:v>Pénznem</x:v>
      </x:c>
      <x:c r="AT1" s="41" t="str">
        <x:v>Árfolyam</x:v>
      </x:c>
      <x:c r="AU1" s="41" t="str">
        <x:v>Árérrvényesség</x:v>
      </x:c>
      <x:c r="AV1" s="41" t="str">
        <x:v>Felhordás</x:v>
      </x:c>
      <x:c r="AW1" s="41" t="str">
        <x:v>Segédanyag hivatkozás</x:v>
      </x:c>
      <x:c r="AX1" s="41" t="str">
        <x:v>Döntési hét T0-tól</x:v>
      </x:c>
      <x:c r="AY1" s="41" t="str">
        <x:v>Alsó szorzó</x:v>
      </x:c>
      <x:c r="AZ1" s="41" t="str">
        <x:v>Felső szorzó</x:v>
      </x:c>
      <x:c r="BA1" s="41" t="str">
        <x:v>Alsó sáv Ft</x:v>
      </x:c>
      <x:c r="BB1" s="41" t="str">
        <x:v>Felső sáv Ft</x:v>
      </x:c>
    </x:row>
    <x:row r="2" ht="72" customHeight="1">
      <x:c r="A2" s="12" t="str">
        <x:v>A-902</x:v>
      </x:c>
      <x:c r="B2" s="12" t="str">
        <x:v>teljes lakás</x:v>
      </x:c>
      <x:c r="C2" s="12" t="str">
        <x:v>KI-001</x:v>
      </x:c>
      <x:c r="D2" s="12" t="str">
        <x:v>NEM RENDERELT</x:v>
      </x:c>
      <x:c r="E2" s="12" t="str">
        <x:v>01</x:v>
      </x:c>
      <x:c r="F2" s="12" t="str">
        <x:v>FIX</x:v>
      </x:c>
      <x:c r="G2" s="12" t="str">
        <x:v>Tervezés</x:v>
      </x:c>
      <x:c r="H2" s="19" t="str">
        <x:v>Helyszíni teljes felmérés és kiállásegyeztetés</x:v>
      </x:c>
      <x:c r="I2" s="19" t="str">
        <x:v>UNKNOWN</x:v>
      </x:c>
      <x:c r="J2" s="19" t="str">
        <x:v>UNKNOWN</x:v>
      </x:c>
      <x:c r="K2" s="19" t="str">
        <x:v>UNKNOWN</x:v>
      </x:c>
      <x:c r="L2" s="19" t="str">
        <x:v>UNKNOWN – felmérés/gyári adat kell</x:v>
      </x:c>
      <x:c r="M2" s="19" t="str">
        <x:v>Kyoto Ink: grafit / füstszürke / taupe</x:v>
      </x:c>
      <x:c r="N2" s="19" t="str">
        <x:v>PENDING – műszaki specifikáció szerint</x:v>
      </x:c>
      <x:c r="O2" s="19" t="n">
        <x:v>1</x:v>
      </x:c>
      <x:c r="P2" s="19" t="str">
        <x:v>csomag</x:v>
      </x:c>
      <x:c r="Q2" s="20" t="n">
        <x:v>100000</x:v>
      </x:c>
      <x:c r="R2" s="20" t="n">
        <x:v>0</x:v>
      </x:c>
      <x:c r="S2" s="20" t="n">
        <x:v>0</x:v>
      </x:c>
      <x:c r="T2" s="20" t="n">
        <x:v>0</x:v>
      </x:c>
      <x:c r="U2" s="21" t="n">
        <x:f>O2*Q2+SUM(R2:T2)</x:f>
        <x:v>100000</x:v>
      </x:c>
      <x:c r="V2" s="19" t="str">
        <x:v>előzetes becslés</x:v>
      </x:c>
      <x:c r="W2" s="19" t="str">
        <x:v>CP0 tervezői előirányzat, nem webshopár; baseline 01</x:v>
      </x:c>
      <x:c r="X2" s="19" t="str">
        <x:v>2026-10-26</x:v>
      </x:c>
      <x:c r="Y2" s="19" t="str">
        <x:v>UNKNOWN – ajánlatban visszaigazolandó</x:v>
      </x:c>
      <x:c r="Z2" s="19" t="str">
        <x:v>B</x:v>
      </x:c>
      <x:c r="AA2" s="19" t="str">
        <x:v>PENDING</x:v>
      </x:c>
      <x:c r="AB2" s="19" t="str">
        <x:v>PENDING</x:v>
      </x:c>
      <x:c r="AC2" s="19" t="str">
        <x:v>nem megrendelt</x:v>
      </x:c>
      <x:c r="AD2" s="19" t="str">
        <x:v>Belsőépítész / projektvezető</x:v>
      </x:c>
      <x:c r="AE2" s="19" t="str">
        <x:v>PENDING – méret, csatlakozás, anyagminta, teljes bekerülés</x:v>
      </x:c>
      <x:c r="AF2" s="19" t="str">
        <x:v>CP0 becslési csomag: segédanyag és munkadíj a megnevezett tartalom szerint; külön szállítás a 14 sorban. Nem ingyenes szállítás.</x:v>
      </x:c>
      <x:c r="AG2" s="20" t="n">
        <x:v>100000</x:v>
      </x:c>
      <x:c r="AH2" s="21" t="n">
        <x:f>O2*AG2+SUM(R2:T2)</x:f>
        <x:v>100000</x:v>
      </x:c>
      <x:c r="AI2" s="19" t="str">
        <x:v>PENDING</x:v>
      </x:c>
      <x:c r="AJ2" s="19" t="str">
        <x:v>PENDING</x:v>
      </x:c>
      <x:c r="AK2" s="19" t="str">
        <x:v>PENDING</x:v>
      </x:c>
      <x:c r="AL2" s="19" t="str">
        <x:v>PENDING</x:v>
      </x:c>
      <x:c r="AM2" s="19" t="str">
        <x:v>PENDING</x:v>
      </x:c>
      <x:c r="AN2" s="1" t="str">
        <x:v>KI-001</x:v>
      </x:c>
      <x:c r="AO2" s="1" t="str">
        <x:v>drawings/P-01_alaprajz.pdf</x:v>
      </x:c>
      <x:c r="AP2" s="1" t="str">
        <x:v>NINCS MODELL / nem térbeli költségsor; szakági kapcsolat igazolandó</x:v>
      </x:c>
      <x:c r="AQ2" s="1" t="str">
        <x:v>késztermék / szakági munka</x:v>
      </x:c>
      <x:c r="AR2" s="1" t="str">
        <x:v>felmérés/gyártói rajz szükséges</x:v>
      </x:c>
      <x:c r="AS2" s="1" t="str">
        <x:v>HUF</x:v>
      </x:c>
      <x:c r="AT2" s="1" t="n">
        <x:v>1</x:v>
      </x:c>
      <x:c r="AU2" s="1" t="str">
        <x:v>nincs visszaigazolt ajánlati érvényesség</x:v>
      </x:c>
      <x:c r="AV2" s="1" t="str">
        <x:v>KI-151 központi keret; daruzás KI-137</x:v>
      </x:c>
      <x:c r="AW2" s="1" t="str">
        <x:v>KI-014 asztalos / KI-106 villamos / KI-026 és KI-096 víz / KI-127 fal</x:v>
      </x:c>
      <x:c r="AX2" s="1" t="n">
        <x:v>6</x:v>
      </x:c>
      <x:c r="AY2" s="1" t="n">
        <x:v>0.85</x:v>
      </x:c>
      <x:c r="AZ2" s="1" t="n">
        <x:v>1.3</x:v>
      </x:c>
      <x:c r="BA2" s="29" t="n">
        <x:f>ROUND(U2*AY2,0)</x:f>
        <x:v>85000</x:v>
      </x:c>
      <x:c r="BB2" s="29" t="n">
        <x:f>ROUND(U2*AZ2,0)</x:f>
        <x:v>130000</x:v>
      </x:c>
    </x:row>
    <x:row r="3" ht="72" customHeight="1">
      <x:c r="A3" s="12" t="str">
        <x:v>A-902</x:v>
      </x:c>
      <x:c r="B3" s="12" t="str">
        <x:v>teljes lakás</x:v>
      </x:c>
      <x:c r="C3" s="12" t="str">
        <x:v>KI-002</x:v>
      </x:c>
      <x:c r="D3" s="12" t="str">
        <x:v>NEM RENDERELT</x:v>
      </x:c>
      <x:c r="E3" s="12" t="str">
        <x:v>01</x:v>
      </x:c>
      <x:c r="F3" s="12" t="str">
        <x:v>FIX</x:v>
      </x:c>
      <x:c r="G3" s="12" t="str">
        <x:v>Tervezés</x:v>
      </x:c>
      <x:c r="H3" s="19" t="str">
        <x:v>Asztalos ajánlatkérési rajzok és modulkiosztás</x:v>
      </x:c>
      <x:c r="I3" s="19" t="str">
        <x:v>UNKNOWN</x:v>
      </x:c>
      <x:c r="J3" s="19" t="str">
        <x:v>UNKNOWN</x:v>
      </x:c>
      <x:c r="K3" s="19" t="str">
        <x:v>UNKNOWN</x:v>
      </x:c>
      <x:c r="L3" s="19" t="str">
        <x:v>UNKNOWN – felmérés/gyári adat kell</x:v>
      </x:c>
      <x:c r="M3" s="19" t="str">
        <x:v>Kyoto Ink: grafit / füstszürke / taupe</x:v>
      </x:c>
      <x:c r="N3" s="19" t="str">
        <x:v>PENDING – műszaki specifikáció szerint</x:v>
      </x:c>
      <x:c r="O3" s="19" t="n">
        <x:v>1</x:v>
      </x:c>
      <x:c r="P3" s="19" t="str">
        <x:v>csomag</x:v>
      </x:c>
      <x:c r="Q3" s="20" t="n">
        <x:v>100000</x:v>
      </x:c>
      <x:c r="R3" s="20" t="n">
        <x:v>0</x:v>
      </x:c>
      <x:c r="S3" s="20" t="n">
        <x:v>0</x:v>
      </x:c>
      <x:c r="T3" s="20" t="n">
        <x:v>0</x:v>
      </x:c>
      <x:c r="U3" s="21" t="n">
        <x:f>O3*Q3+SUM(R3:T3)</x:f>
        <x:v>100000</x:v>
      </x:c>
      <x:c r="V3" s="19" t="str">
        <x:v>előzetes becslés</x:v>
      </x:c>
      <x:c r="W3" s="19" t="str">
        <x:v>CP0 tervezői előirányzat, nem webshopár; baseline 01</x:v>
      </x:c>
      <x:c r="X3" s="19" t="str">
        <x:v>2026-10-26</x:v>
      </x:c>
      <x:c r="Y3" s="19" t="str">
        <x:v>UNKNOWN – ajánlatban visszaigazolandó</x:v>
      </x:c>
      <x:c r="Z3" s="19" t="str">
        <x:v>B</x:v>
      </x:c>
      <x:c r="AA3" s="19" t="str">
        <x:v>PENDING</x:v>
      </x:c>
      <x:c r="AB3" s="19" t="str">
        <x:v>PENDING</x:v>
      </x:c>
      <x:c r="AC3" s="19" t="str">
        <x:v>nem megrendelt</x:v>
      </x:c>
      <x:c r="AD3" s="19" t="str">
        <x:v>Belsőépítész / projektvezető</x:v>
      </x:c>
      <x:c r="AE3" s="19" t="str">
        <x:v>PENDING – méret, csatlakozás, anyagminta, teljes bekerülés</x:v>
      </x:c>
      <x:c r="AF3" s="19" t="str">
        <x:v>CP0 becslési csomag: segédanyag és munkadíj a megnevezett tartalom szerint; külön szállítás a 14 sorban. Nem ingyenes szállítás.</x:v>
      </x:c>
      <x:c r="AG3" s="20" t="n">
        <x:v>100000</x:v>
      </x:c>
      <x:c r="AH3" s="21" t="n">
        <x:f>O3*AG3+SUM(R3:T3)</x:f>
        <x:v>100000</x:v>
      </x:c>
      <x:c r="AI3" s="19" t="str">
        <x:v>PENDING</x:v>
      </x:c>
      <x:c r="AJ3" s="19" t="str">
        <x:v>PENDING</x:v>
      </x:c>
      <x:c r="AK3" s="19" t="str">
        <x:v>PENDING</x:v>
      </x:c>
      <x:c r="AL3" s="19" t="str">
        <x:v>PENDING</x:v>
      </x:c>
      <x:c r="AM3" s="19" t="str">
        <x:v>PENDING</x:v>
      </x:c>
      <x:c r="AN3" s="1" t="str">
        <x:v>KI-002</x:v>
      </x:c>
      <x:c r="AO3" s="1" t="str">
        <x:v>drawings/P-01_alaprajz.pdf</x:v>
      </x:c>
      <x:c r="AP3" s="1" t="str">
        <x:v>NINCS MODELL / nem térbeli költségsor; szakági kapcsolat igazolandó</x:v>
      </x:c>
      <x:c r="AQ3" s="1" t="str">
        <x:v>késztermék / szakági munka</x:v>
      </x:c>
      <x:c r="AR3" s="1" t="str">
        <x:v>felmérés/gyártói rajz szükséges</x:v>
      </x:c>
      <x:c r="AS3" s="1" t="str">
        <x:v>HUF</x:v>
      </x:c>
      <x:c r="AT3" s="1" t="n">
        <x:v>1</x:v>
      </x:c>
      <x:c r="AU3" s="1" t="str">
        <x:v>nincs visszaigazolt ajánlati érvényesség</x:v>
      </x:c>
      <x:c r="AV3" s="1" t="str">
        <x:v>KI-151 központi keret; daruzás KI-137</x:v>
      </x:c>
      <x:c r="AW3" s="1" t="str">
        <x:v>KI-014 asztalos / KI-106 villamos / KI-026 és KI-096 víz / KI-127 fal</x:v>
      </x:c>
      <x:c r="AX3" s="1" t="n">
        <x:v>6</x:v>
      </x:c>
      <x:c r="AY3" s="1" t="n">
        <x:v>0.85</x:v>
      </x:c>
      <x:c r="AZ3" s="1" t="n">
        <x:v>1.3</x:v>
      </x:c>
      <x:c r="BA3" s="29" t="n">
        <x:f>ROUND(U3*AY3,0)</x:f>
        <x:v>85000</x:v>
      </x:c>
      <x:c r="BB3" s="29" t="n">
        <x:f>ROUND(U3*AZ3,0)</x:f>
        <x:v>130000</x:v>
      </x:c>
    </x:row>
    <x:row r="4" ht="72" customHeight="1">
      <x:c r="A4" s="12" t="str">
        <x:v>A-902</x:v>
      </x:c>
      <x:c r="B4" s="12" t="str">
        <x:v>teljes lakás</x:v>
      </x:c>
      <x:c r="C4" s="12" t="str">
        <x:v>KI-003</x:v>
      </x:c>
      <x:c r="D4" s="12" t="str">
        <x:v>NEM RENDERELT</x:v>
      </x:c>
      <x:c r="E4" s="12" t="str">
        <x:v>01</x:v>
      </x:c>
      <x:c r="F4" s="12" t="str">
        <x:v>FIX</x:v>
      </x:c>
      <x:c r="G4" s="12" t="str">
        <x:v>Tervezés</x:v>
      </x:c>
      <x:c r="H4" s="19" t="str">
        <x:v>Villamos szakági ellenőrzés és mérési terv</x:v>
      </x:c>
      <x:c r="I4" s="19" t="str">
        <x:v>UNKNOWN</x:v>
      </x:c>
      <x:c r="J4" s="19" t="str">
        <x:v>UNKNOWN</x:v>
      </x:c>
      <x:c r="K4" s="19" t="str">
        <x:v>UNKNOWN</x:v>
      </x:c>
      <x:c r="L4" s="19" t="str">
        <x:v>UNKNOWN – felmérés/gyári adat kell</x:v>
      </x:c>
      <x:c r="M4" s="19" t="str">
        <x:v>Kyoto Ink: grafit / füstszürke / taupe</x:v>
      </x:c>
      <x:c r="N4" s="19" t="str">
        <x:v>PENDING – műszaki specifikáció szerint</x:v>
      </x:c>
      <x:c r="O4" s="19" t="n">
        <x:v>1</x:v>
      </x:c>
      <x:c r="P4" s="19" t="str">
        <x:v>csomag</x:v>
      </x:c>
      <x:c r="Q4" s="20" t="n">
        <x:v>80000</x:v>
      </x:c>
      <x:c r="R4" s="20" t="n">
        <x:v>0</x:v>
      </x:c>
      <x:c r="S4" s="20" t="n">
        <x:v>0</x:v>
      </x:c>
      <x:c r="T4" s="20" t="n">
        <x:v>0</x:v>
      </x:c>
      <x:c r="U4" s="21" t="n">
        <x:f>O4*Q4+SUM(R4:T4)</x:f>
        <x:v>80000</x:v>
      </x:c>
      <x:c r="V4" s="19" t="str">
        <x:v>előzetes becslés</x:v>
      </x:c>
      <x:c r="W4" s="19" t="str">
        <x:v>CP0 tervezői előirányzat, nem webshopár; baseline 01</x:v>
      </x:c>
      <x:c r="X4" s="19" t="str">
        <x:v>2026-10-26</x:v>
      </x:c>
      <x:c r="Y4" s="19" t="str">
        <x:v>UNKNOWN – ajánlatban visszaigazolandó</x:v>
      </x:c>
      <x:c r="Z4" s="19" t="str">
        <x:v>B</x:v>
      </x:c>
      <x:c r="AA4" s="19" t="str">
        <x:v>PENDING</x:v>
      </x:c>
      <x:c r="AB4" s="19" t="str">
        <x:v>PENDING</x:v>
      </x:c>
      <x:c r="AC4" s="19" t="str">
        <x:v>nem megrendelt</x:v>
      </x:c>
      <x:c r="AD4" s="19" t="str">
        <x:v>Belsőépítész / projektvezető</x:v>
      </x:c>
      <x:c r="AE4" s="19" t="str">
        <x:v>PENDING – méret, csatlakozás, anyagminta, teljes bekerülés</x:v>
      </x:c>
      <x:c r="AF4" s="19" t="str">
        <x:v>CP0 becslési csomag: segédanyag és munkadíj a megnevezett tartalom szerint; külön szállítás a 14 sorban. Nem ingyenes szállítás.</x:v>
      </x:c>
      <x:c r="AG4" s="20" t="n">
        <x:v>80000</x:v>
      </x:c>
      <x:c r="AH4" s="21" t="n">
        <x:f>O4*AG4+SUM(R4:T4)</x:f>
        <x:v>80000</x:v>
      </x:c>
      <x:c r="AI4" s="19" t="str">
        <x:v>PENDING</x:v>
      </x:c>
      <x:c r="AJ4" s="19" t="str">
        <x:v>PENDING</x:v>
      </x:c>
      <x:c r="AK4" s="19" t="str">
        <x:v>PENDING</x:v>
      </x:c>
      <x:c r="AL4" s="19" t="str">
        <x:v>PENDING</x:v>
      </x:c>
      <x:c r="AM4" s="19" t="str">
        <x:v>PENDING</x:v>
      </x:c>
      <x:c r="AN4" s="1" t="str">
        <x:v>KI-003</x:v>
      </x:c>
      <x:c r="AO4" s="1" t="str">
        <x:v>drawings/P-01_alaprajz.pdf</x:v>
      </x:c>
      <x:c r="AP4" s="1" t="str">
        <x:v>NINCS MODELL / nem térbeli költségsor; szakági kapcsolat igazolandó</x:v>
      </x:c>
      <x:c r="AQ4" s="1" t="str">
        <x:v>késztermék / szakági munka</x:v>
      </x:c>
      <x:c r="AR4" s="1" t="str">
        <x:v>felmérés/gyártói rajz szükséges</x:v>
      </x:c>
      <x:c r="AS4" s="1" t="str">
        <x:v>HUF</x:v>
      </x:c>
      <x:c r="AT4" s="1" t="n">
        <x:v>1</x:v>
      </x:c>
      <x:c r="AU4" s="1" t="str">
        <x:v>nincs visszaigazolt ajánlati érvényesség</x:v>
      </x:c>
      <x:c r="AV4" s="1" t="str">
        <x:v>KI-151 központi keret; daruzás KI-137</x:v>
      </x:c>
      <x:c r="AW4" s="1" t="str">
        <x:v>KI-014 asztalos / KI-106 villamos / KI-026 és KI-096 víz / KI-127 fal</x:v>
      </x:c>
      <x:c r="AX4" s="1" t="n">
        <x:v>6</x:v>
      </x:c>
      <x:c r="AY4" s="1" t="n">
        <x:v>0.85</x:v>
      </x:c>
      <x:c r="AZ4" s="1" t="n">
        <x:v>1.3</x:v>
      </x:c>
      <x:c r="BA4" s="29" t="n">
        <x:f>ROUND(U4*AY4,0)</x:f>
        <x:v>68000</x:v>
      </x:c>
      <x:c r="BB4" s="29" t="n">
        <x:f>ROUND(U4*AZ4,0)</x:f>
        <x:v>104000</x:v>
      </x:c>
    </x:row>
    <x:row r="5" ht="72" customHeight="1">
      <x:c r="A5" s="12" t="str">
        <x:v>A-902</x:v>
      </x:c>
      <x:c r="B5" s="12" t="str">
        <x:v>teljes lakás</x:v>
      </x:c>
      <x:c r="C5" s="12" t="str">
        <x:v>KI-004</x:v>
      </x:c>
      <x:c r="D5" s="12" t="str">
        <x:v>NEM RENDERELT</x:v>
      </x:c>
      <x:c r="E5" s="12" t="str">
        <x:v>01</x:v>
      </x:c>
      <x:c r="F5" s="12" t="str">
        <x:v>FIX</x:v>
      </x:c>
      <x:c r="G5" s="12" t="str">
        <x:v>Tervezés</x:v>
      </x:c>
      <x:c r="H5" s="19" t="str">
        <x:v>Terasz teherbírás és vízszigetelési/rögzítési ellenőrzés</x:v>
      </x:c>
      <x:c r="I5" s="19" t="str">
        <x:v>UNKNOWN</x:v>
      </x:c>
      <x:c r="J5" s="19" t="str">
        <x:v>UNKNOWN</x:v>
      </x:c>
      <x:c r="K5" s="19" t="str">
        <x:v>UNKNOWN</x:v>
      </x:c>
      <x:c r="L5" s="19" t="str">
        <x:v>UNKNOWN – felmérés/gyári adat kell</x:v>
      </x:c>
      <x:c r="M5" s="19" t="str">
        <x:v>Kyoto Ink: grafit / füstszürke / taupe</x:v>
      </x:c>
      <x:c r="N5" s="19" t="str">
        <x:v>PENDING – műszaki specifikáció szerint</x:v>
      </x:c>
      <x:c r="O5" s="19" t="n">
        <x:v>1</x:v>
      </x:c>
      <x:c r="P5" s="19" t="str">
        <x:v>csomag</x:v>
      </x:c>
      <x:c r="Q5" s="20" t="n">
        <x:v>80000</x:v>
      </x:c>
      <x:c r="R5" s="20" t="n">
        <x:v>0</x:v>
      </x:c>
      <x:c r="S5" s="20" t="n">
        <x:v>0</x:v>
      </x:c>
      <x:c r="T5" s="20" t="n">
        <x:v>0</x:v>
      </x:c>
      <x:c r="U5" s="21" t="n">
        <x:f>O5*Q5+SUM(R5:T5)</x:f>
        <x:v>80000</x:v>
      </x:c>
      <x:c r="V5" s="19" t="str">
        <x:v>előzetes becslés</x:v>
      </x:c>
      <x:c r="W5" s="19" t="str">
        <x:v>CP0 tervezői előirányzat, nem webshopár; baseline 01</x:v>
      </x:c>
      <x:c r="X5" s="19" t="str">
        <x:v>2026-10-26</x:v>
      </x:c>
      <x:c r="Y5" s="19" t="str">
        <x:v>UNKNOWN – ajánlatban visszaigazolandó</x:v>
      </x:c>
      <x:c r="Z5" s="19" t="str">
        <x:v>B</x:v>
      </x:c>
      <x:c r="AA5" s="19" t="str">
        <x:v>PENDING</x:v>
      </x:c>
      <x:c r="AB5" s="19" t="str">
        <x:v>PENDING</x:v>
      </x:c>
      <x:c r="AC5" s="19" t="str">
        <x:v>nem megrendelt</x:v>
      </x:c>
      <x:c r="AD5" s="19" t="str">
        <x:v>Belsőépítész / projektvezető</x:v>
      </x:c>
      <x:c r="AE5" s="19" t="str">
        <x:v>PENDING – méret, csatlakozás, anyagminta, teljes bekerülés</x:v>
      </x:c>
      <x:c r="AF5" s="19" t="str">
        <x:v>CP0 becslési csomag: segédanyag és munkadíj a megnevezett tartalom szerint; külön szállítás a 14 sorban. Nem ingyenes szállítás.</x:v>
      </x:c>
      <x:c r="AG5" s="20" t="n">
        <x:v>80000</x:v>
      </x:c>
      <x:c r="AH5" s="21" t="n">
        <x:f>O5*AG5+SUM(R5:T5)</x:f>
        <x:v>80000</x:v>
      </x:c>
      <x:c r="AI5" s="19" t="str">
        <x:v>PENDING</x:v>
      </x:c>
      <x:c r="AJ5" s="19" t="str">
        <x:v>PENDING</x:v>
      </x:c>
      <x:c r="AK5" s="19" t="str">
        <x:v>PENDING</x:v>
      </x:c>
      <x:c r="AL5" s="19" t="str">
        <x:v>PENDING</x:v>
      </x:c>
      <x:c r="AM5" s="19" t="str">
        <x:v>PENDING</x:v>
      </x:c>
      <x:c r="AN5" s="1" t="str">
        <x:v>KI-004</x:v>
      </x:c>
      <x:c r="AO5" s="1" t="str">
        <x:v>drawings/P-01_alaprajz.pdf</x:v>
      </x:c>
      <x:c r="AP5" s="1" t="str">
        <x:v>NINCS MODELL / nem térbeli költségsor; szakági kapcsolat igazolandó</x:v>
      </x:c>
      <x:c r="AQ5" s="1" t="str">
        <x:v>késztermék / szakági munka</x:v>
      </x:c>
      <x:c r="AR5" s="1" t="str">
        <x:v>felmérés/gyártói rajz szükséges</x:v>
      </x:c>
      <x:c r="AS5" s="1" t="str">
        <x:v>HUF</x:v>
      </x:c>
      <x:c r="AT5" s="1" t="n">
        <x:v>1</x:v>
      </x:c>
      <x:c r="AU5" s="1" t="str">
        <x:v>nincs visszaigazolt ajánlati érvényesség</x:v>
      </x:c>
      <x:c r="AV5" s="1" t="str">
        <x:v>KI-151 központi keret; daruzás KI-137</x:v>
      </x:c>
      <x:c r="AW5" s="1" t="str">
        <x:v>KI-014 asztalos / KI-106 villamos / KI-026 és KI-096 víz / KI-127 fal</x:v>
      </x:c>
      <x:c r="AX5" s="1" t="n">
        <x:v>6</x:v>
      </x:c>
      <x:c r="AY5" s="1" t="n">
        <x:v>0.85</x:v>
      </x:c>
      <x:c r="AZ5" s="1" t="n">
        <x:v>1.3</x:v>
      </x:c>
      <x:c r="BA5" s="29" t="n">
        <x:f>ROUND(U5*AY5,0)</x:f>
        <x:v>68000</x:v>
      </x:c>
      <x:c r="BB5" s="29" t="n">
        <x:f>ROUND(U5*AZ5,0)</x:f>
        <x:v>104000</x:v>
      </x:c>
    </x:row>
    <x:row r="6" ht="72" customHeight="1">
      <x:c r="A6" s="12" t="str">
        <x:v>A-902</x:v>
      </x:c>
      <x:c r="B6" s="12" t="str">
        <x:v>teljes lakás</x:v>
      </x:c>
      <x:c r="C6" s="12" t="str">
        <x:v>KI-005</x:v>
      </x:c>
      <x:c r="D6" s="12" t="str">
        <x:v>NEM RENDERELT</x:v>
      </x:c>
      <x:c r="E6" s="12" t="str">
        <x:v>01</x:v>
      </x:c>
      <x:c r="F6" s="12" t="str">
        <x:v>FIX</x:v>
      </x:c>
      <x:c r="G6" s="12" t="str">
        <x:v>Tervezés</x:v>
      </x:c>
      <x:c r="H6" s="19" t="str">
        <x:v>Anyag- és kárpitminták, próbanyomat, próbagyártás</x:v>
      </x:c>
      <x:c r="I6" s="19" t="str">
        <x:v>UNKNOWN</x:v>
      </x:c>
      <x:c r="J6" s="19" t="str">
        <x:v>UNKNOWN</x:v>
      </x:c>
      <x:c r="K6" s="19" t="str">
        <x:v>UNKNOWN</x:v>
      </x:c>
      <x:c r="L6" s="19" t="str">
        <x:v>UNKNOWN – felmérés/gyári adat kell</x:v>
      </x:c>
      <x:c r="M6" s="19" t="str">
        <x:v>Kyoto Ink: grafit / füstszürke / taupe</x:v>
      </x:c>
      <x:c r="N6" s="19" t="str">
        <x:v>PENDING – műszaki specifikáció szerint</x:v>
      </x:c>
      <x:c r="O6" s="19" t="n">
        <x:v>1</x:v>
      </x:c>
      <x:c r="P6" s="19" t="str">
        <x:v>csomag</x:v>
      </x:c>
      <x:c r="Q6" s="20" t="n">
        <x:v>60000</x:v>
      </x:c>
      <x:c r="R6" s="20" t="n">
        <x:v>0</x:v>
      </x:c>
      <x:c r="S6" s="20" t="n">
        <x:v>0</x:v>
      </x:c>
      <x:c r="T6" s="20" t="n">
        <x:v>0</x:v>
      </x:c>
      <x:c r="U6" s="21" t="n">
        <x:f>O6*Q6+SUM(R6:T6)</x:f>
        <x:v>60000</x:v>
      </x:c>
      <x:c r="V6" s="19" t="str">
        <x:v>előzetes becslés</x:v>
      </x:c>
      <x:c r="W6" s="19" t="str">
        <x:v>CP0 tervezői előirányzat, nem webshopár; baseline 01</x:v>
      </x:c>
      <x:c r="X6" s="19" t="str">
        <x:v>2026-10-26</x:v>
      </x:c>
      <x:c r="Y6" s="19" t="str">
        <x:v>UNKNOWN – ajánlatban visszaigazolandó</x:v>
      </x:c>
      <x:c r="Z6" s="19" t="str">
        <x:v>B</x:v>
      </x:c>
      <x:c r="AA6" s="19" t="str">
        <x:v>PENDING</x:v>
      </x:c>
      <x:c r="AB6" s="19" t="str">
        <x:v>PENDING</x:v>
      </x:c>
      <x:c r="AC6" s="19" t="str">
        <x:v>nem megrendelt</x:v>
      </x:c>
      <x:c r="AD6" s="19" t="str">
        <x:v>Belsőépítész / projektvezető</x:v>
      </x:c>
      <x:c r="AE6" s="19" t="str">
        <x:v>PENDING – méret, csatlakozás, anyagminta, teljes bekerülés</x:v>
      </x:c>
      <x:c r="AF6" s="19" t="str">
        <x:v>CP0 becslési csomag: segédanyag és munkadíj a megnevezett tartalom szerint; külön szállítás a 14 sorban. Nem ingyenes szállítás.</x:v>
      </x:c>
      <x:c r="AG6" s="20" t="n">
        <x:v>60000</x:v>
      </x:c>
      <x:c r="AH6" s="21" t="n">
        <x:f>O6*AG6+SUM(R6:T6)</x:f>
        <x:v>60000</x:v>
      </x:c>
      <x:c r="AI6" s="19" t="str">
        <x:v>PENDING</x:v>
      </x:c>
      <x:c r="AJ6" s="19" t="str">
        <x:v>PENDING</x:v>
      </x:c>
      <x:c r="AK6" s="19" t="str">
        <x:v>PENDING</x:v>
      </x:c>
      <x:c r="AL6" s="19" t="str">
        <x:v>PENDING</x:v>
      </x:c>
      <x:c r="AM6" s="19" t="str">
        <x:v>PENDING</x:v>
      </x:c>
      <x:c r="AN6" s="1" t="str">
        <x:v>KI-005</x:v>
      </x:c>
      <x:c r="AO6" s="1" t="str">
        <x:v>drawings/P-01_alaprajz.pdf</x:v>
      </x:c>
      <x:c r="AP6" s="1" t="str">
        <x:v>NINCS MODELL / nem térbeli költségsor; szakági kapcsolat igazolandó</x:v>
      </x:c>
      <x:c r="AQ6" s="1" t="str">
        <x:v>késztermék / szakági munka</x:v>
      </x:c>
      <x:c r="AR6" s="1" t="str">
        <x:v>felmérés/gyártói rajz szükséges</x:v>
      </x:c>
      <x:c r="AS6" s="1" t="str">
        <x:v>HUF</x:v>
      </x:c>
      <x:c r="AT6" s="1" t="n">
        <x:v>1</x:v>
      </x:c>
      <x:c r="AU6" s="1" t="str">
        <x:v>nincs visszaigazolt ajánlati érvényesség</x:v>
      </x:c>
      <x:c r="AV6" s="1" t="str">
        <x:v>KI-151 központi keret; daruzás KI-137</x:v>
      </x:c>
      <x:c r="AW6" s="1" t="str">
        <x:v>KI-014 asztalos / KI-106 villamos / KI-026 és KI-096 víz / KI-127 fal</x:v>
      </x:c>
      <x:c r="AX6" s="1" t="n">
        <x:v>6</x:v>
      </x:c>
      <x:c r="AY6" s="1" t="n">
        <x:v>0.85</x:v>
      </x:c>
      <x:c r="AZ6" s="1" t="n">
        <x:v>1.3</x:v>
      </x:c>
      <x:c r="BA6" s="29" t="n">
        <x:f>ROUND(U6*AY6,0)</x:f>
        <x:v>51000</x:v>
      </x:c>
      <x:c r="BB6" s="29" t="n">
        <x:f>ROUND(U6*AZ6,0)</x:f>
        <x:v>78000</x:v>
      </x:c>
    </x:row>
    <x:row r="7" ht="72" customHeight="1">
      <x:c r="A7" s="12" t="str">
        <x:v>A-902</x:v>
      </x:c>
      <x:c r="B7" s="12" t="str">
        <x:v>02</x:v>
      </x:c>
      <x:c r="C7" s="12" t="str">
        <x:v>KI-006</x:v>
      </x:c>
      <x:c r="D7" s="12" t="str">
        <x:v>CP3/render_handoff/manifest_CP3.json</x:v>
      </x:c>
      <x:c r="E7" s="12" t="str">
        <x:v>02a</x:v>
      </x:c>
      <x:c r="F7" s="12" t="str">
        <x:v>STÍLUS</x:v>
      </x:c>
      <x:c r="G7" s="12" t="str">
        <x:v>Asztalos</x:v>
      </x:c>
      <x:c r="H7" s="19" t="str">
        <x:v>Alsó konyhakorpuszok és lábak</x:v>
      </x:c>
      <x:c r="I7" s="19" t="str">
        <x:v>UNKNOWN</x:v>
      </x:c>
      <x:c r="J7" s="19" t="str">
        <x:v>UNKNOWN</x:v>
      </x:c>
      <x:c r="K7" s="19" t="str">
        <x:v>UNKNOWN</x:v>
      </x:c>
      <x:c r="L7" s="19" t="str">
        <x:v>K-03: 800×620×900 mm; K-04: 600×620×900 mm; K-05: 600×620×900 mm; K-06: 1000×620×900 mm</x:v>
      </x:c>
      <x:c r="M7" s="19" t="str">
        <x:v>Kyoto Ink: grafit / füstszürke / taupe</x:v>
      </x:c>
      <x:c r="N7" s="19" t="str">
        <x:v>PENDING – műszaki specifikáció szerint</x:v>
      </x:c>
      <x:c r="O7" s="19" t="n">
        <x:v>1</x:v>
      </x:c>
      <x:c r="P7" s="19" t="str">
        <x:v>csomag</x:v>
      </x:c>
      <x:c r="Q7" s="20" t="n">
        <x:v>180000</x:v>
      </x:c>
      <x:c r="R7" s="20" t="n">
        <x:v>0</x:v>
      </x:c>
      <x:c r="S7" s="20" t="n">
        <x:v>0</x:v>
      </x:c>
      <x:c r="T7" s="20" t="n">
        <x:v>0</x:v>
      </x:c>
      <x:c r="U7" s="21" t="n">
        <x:f>O7*Q7+SUM(R7:T7)</x:f>
        <x:v>180000</x:v>
      </x:c>
      <x:c r="V7" s="19" t="str">
        <x:v>előzetes becslés</x:v>
      </x:c>
      <x:c r="W7" s="19" t="str">
        <x:v>CP0 tervezői előirányzat, nem webshopár; baseline 02a</x:v>
      </x:c>
      <x:c r="X7" s="19" t="str">
        <x:v>2026-10-26</x:v>
      </x:c>
      <x:c r="Y7" s="19" t="str">
        <x:v>UNKNOWN – ajánlatban visszaigazolandó</x:v>
      </x:c>
      <x:c r="Z7" s="19" t="str">
        <x:v>B</x:v>
      </x:c>
      <x:c r="AA7" s="19" t="str">
        <x:v>PENDING</x:v>
      </x:c>
      <x:c r="AB7" s="19" t="str">
        <x:v>PENDING</x:v>
      </x:c>
      <x:c r="AC7" s="19" t="str">
        <x:v>nem megrendelt</x:v>
      </x:c>
      <x:c r="AD7" s="19" t="str">
        <x:v>Asztalos és belsőépítész</x:v>
      </x:c>
      <x:c r="AE7" s="19" t="str">
        <x:v>PENDING – méret, csatlakozás, anyagminta, teljes bekerülés</x:v>
      </x:c>
      <x:c r="AF7" s="19" t="str">
        <x:v>CP0 becslési csomag: segédanyag és munkadíj a megnevezett tartalom szerint; külön szállítás a 14 sorban. Nem ingyenes szállítás.</x:v>
      </x:c>
      <x:c r="AG7" s="20" t="n">
        <x:v>180000</x:v>
      </x:c>
      <x:c r="AH7" s="21" t="n">
        <x:f>O7*AG7+SUM(R7:T7)</x:f>
        <x:v>180000</x:v>
      </x:c>
      <x:c r="AI7" s="19" t="str">
        <x:v>PENDING</x:v>
      </x:c>
      <x:c r="AJ7" s="19" t="str">
        <x:v>PENDING</x:v>
      </x:c>
      <x:c r="AK7" s="19" t="str">
        <x:v>PENDING</x:v>
      </x:c>
      <x:c r="AL7" s="19" t="str">
        <x:v>PENDING</x:v>
      </x:c>
      <x:c r="AM7" s="19" t="str">
        <x:v>PENDING</x:v>
      </x:c>
      <x:c r="AN7" s="1" t="str">
        <x:v>K-03; K-04; K-05; K-06</x:v>
      </x:c>
      <x:c r="AO7" s="1" t="str">
        <x:v>CP3/drawings/K-03_CP3.pdf; CP3/drawings/K-04_CP3.pdf; CP3/drawings/K-05_CP3.pdf; CP3/drawings/K-06_CP3.pdf</x:v>
      </x:c>
      <x:c r="AP7" s="1" t="str">
        <x:v>CP3_K-03; CP3_K-04; CP3_K-05; CP3_K-06</x:v>
      </x:c>
      <x:c r="AQ7" s="1" t="str">
        <x:v>egyedi gyártás</x:v>
      </x:c>
      <x:c r="AR7" s="1" t="str">
        <x:v>R02 méretezett ajánlati terv; nem helyszíni méret</x:v>
      </x:c>
      <x:c r="AS7" s="1" t="str">
        <x:v>HUF</x:v>
      </x:c>
      <x:c r="AT7" s="1" t="n">
        <x:v>1</x:v>
      </x:c>
      <x:c r="AU7" s="1" t="str">
        <x:v>nincs visszaigazolt ajánlati érvényesség</x:v>
      </x:c>
      <x:c r="AV7" s="1" t="str">
        <x:v>KI-151 központi keret; daruzás KI-137</x:v>
      </x:c>
      <x:c r="AW7" s="1" t="str">
        <x:v>KI-014 asztalos / KI-106 villamos / KI-026 és KI-096 víz / KI-127 fal</x:v>
      </x:c>
      <x:c r="AX7" s="1" t="n">
        <x:v>4</x:v>
      </x:c>
      <x:c r="AY7" s="1" t="n">
        <x:v>0.85</x:v>
      </x:c>
      <x:c r="AZ7" s="1" t="n">
        <x:v>1.3</x:v>
      </x:c>
      <x:c r="BA7" s="29" t="n">
        <x:f>ROUND(U7*AY7,0)</x:f>
        <x:v>153000</x:v>
      </x:c>
      <x:c r="BB7" s="29" t="n">
        <x:f>ROUND(U7*AZ7,0)</x:f>
        <x:v>234000</x:v>
      </x:c>
    </x:row>
    <x:row r="8" ht="72" customHeight="1">
      <x:c r="A8" s="12" t="str">
        <x:v>A-902</x:v>
      </x:c>
      <x:c r="B8" s="12" t="str">
        <x:v>02</x:v>
      </x:c>
      <x:c r="C8" s="12" t="str">
        <x:v>KI-007</x:v>
      </x:c>
      <x:c r="D8" s="12" t="str">
        <x:v>CP3/render_handoff/manifest_CP3.json</x:v>
      </x:c>
      <x:c r="E8" s="12" t="str">
        <x:v>02a</x:v>
      </x:c>
      <x:c r="F8" s="12" t="str">
        <x:v>STÍLUS</x:v>
      </x:c>
      <x:c r="G8" s="12" t="str">
        <x:v>Asztalos</x:v>
      </x:c>
      <x:c r="H8" s="19" t="str">
        <x:v>Felső korpuszok és felfüggesztők</x:v>
      </x:c>
      <x:c r="I8" s="19" t="str">
        <x:v>UNKNOWN</x:v>
      </x:c>
      <x:c r="J8" s="19" t="str">
        <x:v>UNKNOWN</x:v>
      </x:c>
      <x:c r="K8" s="19" t="str">
        <x:v>UNKNOWN</x:v>
      </x:c>
      <x:c r="L8" s="19" t="str">
        <x:v>K-07: 1400×350×900 mm</x:v>
      </x:c>
      <x:c r="M8" s="19" t="str">
        <x:v>Kyoto Ink: grafit / füstszürke / taupe</x:v>
      </x:c>
      <x:c r="N8" s="19" t="str">
        <x:v>PENDING – műszaki specifikáció szerint</x:v>
      </x:c>
      <x:c r="O8" s="19" t="n">
        <x:v>1</x:v>
      </x:c>
      <x:c r="P8" s="19" t="str">
        <x:v>csomag</x:v>
      </x:c>
      <x:c r="Q8" s="20" t="n">
        <x:v>120000</x:v>
      </x:c>
      <x:c r="R8" s="20" t="n">
        <x:v>0</x:v>
      </x:c>
      <x:c r="S8" s="20" t="n">
        <x:v>0</x:v>
      </x:c>
      <x:c r="T8" s="20" t="n">
        <x:v>0</x:v>
      </x:c>
      <x:c r="U8" s="21" t="n">
        <x:f>O8*Q8+SUM(R8:T8)</x:f>
        <x:v>120000</x:v>
      </x:c>
      <x:c r="V8" s="19" t="str">
        <x:v>előzetes becslés</x:v>
      </x:c>
      <x:c r="W8" s="19" t="str">
        <x:v>CP0 tervezői előirányzat, nem webshopár; baseline 02a</x:v>
      </x:c>
      <x:c r="X8" s="19" t="str">
        <x:v>2026-10-26</x:v>
      </x:c>
      <x:c r="Y8" s="19" t="str">
        <x:v>UNKNOWN – ajánlatban visszaigazolandó</x:v>
      </x:c>
      <x:c r="Z8" s="19" t="str">
        <x:v>B</x:v>
      </x:c>
      <x:c r="AA8" s="19" t="str">
        <x:v>PENDING</x:v>
      </x:c>
      <x:c r="AB8" s="19" t="str">
        <x:v>PENDING</x:v>
      </x:c>
      <x:c r="AC8" s="19" t="str">
        <x:v>nem megrendelt</x:v>
      </x:c>
      <x:c r="AD8" s="19" t="str">
        <x:v>Asztalos és belsőépítész</x:v>
      </x:c>
      <x:c r="AE8" s="19" t="str">
        <x:v>PENDING – méret, csatlakozás, anyagminta, teljes bekerülés</x:v>
      </x:c>
      <x:c r="AF8" s="19" t="str">
        <x:v>CP0 becslési csomag: segédanyag és munkadíj a megnevezett tartalom szerint; külön szállítás a 14 sorban. Nem ingyenes szállítás.</x:v>
      </x:c>
      <x:c r="AG8" s="20" t="n">
        <x:v>120000</x:v>
      </x:c>
      <x:c r="AH8" s="21" t="n">
        <x:f>O8*AG8+SUM(R8:T8)</x:f>
        <x:v>120000</x:v>
      </x:c>
      <x:c r="AI8" s="19" t="str">
        <x:v>PENDING</x:v>
      </x:c>
      <x:c r="AJ8" s="19" t="str">
        <x:v>PENDING</x:v>
      </x:c>
      <x:c r="AK8" s="19" t="str">
        <x:v>PENDING</x:v>
      </x:c>
      <x:c r="AL8" s="19" t="str">
        <x:v>PENDING</x:v>
      </x:c>
      <x:c r="AM8" s="19" t="str">
        <x:v>PENDING</x:v>
      </x:c>
      <x:c r="AN8" s="1" t="str">
        <x:v>K-07</x:v>
      </x:c>
      <x:c r="AO8" s="1" t="str">
        <x:v>CP3/drawings/K-07_CP3.pdf</x:v>
      </x:c>
      <x:c r="AP8" s="1" t="str">
        <x:v>CP3_K-07</x:v>
      </x:c>
      <x:c r="AQ8" s="1" t="str">
        <x:v>egyedi gyártás</x:v>
      </x:c>
      <x:c r="AR8" s="1" t="str">
        <x:v>R02 méretezett ajánlati terv; nem helyszíni méret</x:v>
      </x:c>
      <x:c r="AS8" s="1" t="str">
        <x:v>HUF</x:v>
      </x:c>
      <x:c r="AT8" s="1" t="n">
        <x:v>1</x:v>
      </x:c>
      <x:c r="AU8" s="1" t="str">
        <x:v>nincs visszaigazolt ajánlati érvényesség</x:v>
      </x:c>
      <x:c r="AV8" s="1" t="str">
        <x:v>KI-151 központi keret; daruzás KI-137</x:v>
      </x:c>
      <x:c r="AW8" s="1" t="str">
        <x:v>KI-014 asztalos / KI-106 villamos / KI-026 és KI-096 víz / KI-127 fal</x:v>
      </x:c>
      <x:c r="AX8" s="1" t="n">
        <x:v>4</x:v>
      </x:c>
      <x:c r="AY8" s="1" t="n">
        <x:v>0.85</x:v>
      </x:c>
      <x:c r="AZ8" s="1" t="n">
        <x:v>1.3</x:v>
      </x:c>
      <x:c r="BA8" s="29" t="n">
        <x:f>ROUND(U8*AY8,0)</x:f>
        <x:v>102000</x:v>
      </x:c>
      <x:c r="BB8" s="29" t="n">
        <x:f>ROUND(U8*AZ8,0)</x:f>
        <x:v>156000</x:v>
      </x:c>
    </x:row>
    <x:row r="9" ht="72" customHeight="1">
      <x:c r="A9" s="12" t="str">
        <x:v>A-902</x:v>
      </x:c>
      <x:c r="B9" s="12" t="str">
        <x:v>02</x:v>
      </x:c>
      <x:c r="C9" s="12" t="str">
        <x:v>KI-008</x:v>
      </x:c>
      <x:c r="D9" s="12" t="str">
        <x:v>CP3/render_handoff/manifest_CP3.json</x:v>
      </x:c>
      <x:c r="E9" s="12" t="str">
        <x:v>02a</x:v>
      </x:c>
      <x:c r="F9" s="12" t="str">
        <x:v>STÍLUS</x:v>
      </x:c>
      <x:c r="G9" s="12" t="str">
        <x:v>Asztalos</x:v>
      </x:c>
      <x:c r="H9" s="19" t="str">
        <x:v>Magas hűtő/sütő/mikró korpuszok</x:v>
      </x:c>
      <x:c r="I9" s="19" t="str">
        <x:v>UNKNOWN</x:v>
      </x:c>
      <x:c r="J9" s="19" t="str">
        <x:v>UNKNOWN</x:v>
      </x:c>
      <x:c r="K9" s="19" t="str">
        <x:v>UNKNOWN</x:v>
      </x:c>
      <x:c r="L9" s="19" t="str">
        <x:v>K-01: 600×600×2400 mm; K-02: 600×620×2400 mm</x:v>
      </x:c>
      <x:c r="M9" s="19" t="str">
        <x:v>Kyoto Ink: grafit / füstszürke / taupe</x:v>
      </x:c>
      <x:c r="N9" s="19" t="str">
        <x:v>PENDING – műszaki specifikáció szerint</x:v>
      </x:c>
      <x:c r="O9" s="19" t="n">
        <x:v>1</x:v>
      </x:c>
      <x:c r="P9" s="19" t="str">
        <x:v>csomag</x:v>
      </x:c>
      <x:c r="Q9" s="20" t="n">
        <x:v>170000</x:v>
      </x:c>
      <x:c r="R9" s="20" t="n">
        <x:v>0</x:v>
      </x:c>
      <x:c r="S9" s="20" t="n">
        <x:v>0</x:v>
      </x:c>
      <x:c r="T9" s="20" t="n">
        <x:v>0</x:v>
      </x:c>
      <x:c r="U9" s="21" t="n">
        <x:f>O9*Q9+SUM(R9:T9)</x:f>
        <x:v>170000</x:v>
      </x:c>
      <x:c r="V9" s="19" t="str">
        <x:v>előzetes becslés</x:v>
      </x:c>
      <x:c r="W9" s="19" t="str">
        <x:v>CP0 tervezői előirányzat, nem webshopár; baseline 02a</x:v>
      </x:c>
      <x:c r="X9" s="19" t="str">
        <x:v>2026-10-26</x:v>
      </x:c>
      <x:c r="Y9" s="19" t="str">
        <x:v>UNKNOWN – ajánlatban visszaigazolandó</x:v>
      </x:c>
      <x:c r="Z9" s="19" t="str">
        <x:v>B</x:v>
      </x:c>
      <x:c r="AA9" s="19" t="str">
        <x:v>PENDING</x:v>
      </x:c>
      <x:c r="AB9" s="19" t="str">
        <x:v>PENDING</x:v>
      </x:c>
      <x:c r="AC9" s="19" t="str">
        <x:v>nem megrendelt</x:v>
      </x:c>
      <x:c r="AD9" s="19" t="str">
        <x:v>Asztalos és belsőépítész</x:v>
      </x:c>
      <x:c r="AE9" s="19" t="str">
        <x:v>PENDING – méret, csatlakozás, anyagminta, teljes bekerülés</x:v>
      </x:c>
      <x:c r="AF9" s="19" t="str">
        <x:v>CP0 becslési csomag: segédanyag és munkadíj a megnevezett tartalom szerint; külön szállítás a 14 sorban. Nem ingyenes szállítás.</x:v>
      </x:c>
      <x:c r="AG9" s="20" t="n">
        <x:v>170000</x:v>
      </x:c>
      <x:c r="AH9" s="21" t="n">
        <x:f>O9*AG9+SUM(R9:T9)</x:f>
        <x:v>170000</x:v>
      </x:c>
      <x:c r="AI9" s="19" t="str">
        <x:v>PENDING</x:v>
      </x:c>
      <x:c r="AJ9" s="19" t="str">
        <x:v>PENDING</x:v>
      </x:c>
      <x:c r="AK9" s="19" t="str">
        <x:v>PENDING</x:v>
      </x:c>
      <x:c r="AL9" s="19" t="str">
        <x:v>PENDING</x:v>
      </x:c>
      <x:c r="AM9" s="19" t="str">
        <x:v>PENDING</x:v>
      </x:c>
      <x:c r="AN9" s="1" t="str">
        <x:v>K-01; K-02</x:v>
      </x:c>
      <x:c r="AO9" s="1" t="str">
        <x:v>CP3/drawings/K-01_CP3.pdf; CP3/drawings/K-02_CP3.pdf</x:v>
      </x:c>
      <x:c r="AP9" s="1" t="str">
        <x:v>CP3_K-01; CP3_K-02</x:v>
      </x:c>
      <x:c r="AQ9" s="1" t="str">
        <x:v>egyedi gyártás</x:v>
      </x:c>
      <x:c r="AR9" s="1" t="str">
        <x:v>R02 méretezett ajánlati terv; nem helyszíni méret</x:v>
      </x:c>
      <x:c r="AS9" s="1" t="str">
        <x:v>HUF</x:v>
      </x:c>
      <x:c r="AT9" s="1" t="n">
        <x:v>1</x:v>
      </x:c>
      <x:c r="AU9" s="1" t="str">
        <x:v>nincs visszaigazolt ajánlati érvényesség</x:v>
      </x:c>
      <x:c r="AV9" s="1" t="str">
        <x:v>KI-151 központi keret; daruzás KI-137</x:v>
      </x:c>
      <x:c r="AW9" s="1" t="str">
        <x:v>KI-014 asztalos / KI-106 villamos / KI-026 és KI-096 víz / KI-127 fal</x:v>
      </x:c>
      <x:c r="AX9" s="1" t="n">
        <x:v>4</x:v>
      </x:c>
      <x:c r="AY9" s="1" t="n">
        <x:v>0.85</x:v>
      </x:c>
      <x:c r="AZ9" s="1" t="n">
        <x:v>1.3</x:v>
      </x:c>
      <x:c r="BA9" s="29" t="n">
        <x:f>ROUND(U9*AY9,0)</x:f>
        <x:v>144500</x:v>
      </x:c>
      <x:c r="BB9" s="29" t="n">
        <x:f>ROUND(U9*AZ9,0)</x:f>
        <x:v>221000</x:v>
      </x:c>
    </x:row>
    <x:row r="10" ht="72" customHeight="1">
      <x:c r="A10" s="12" t="str">
        <x:v>A-902</x:v>
      </x:c>
      <x:c r="B10" s="12" t="str">
        <x:v>02</x:v>
      </x:c>
      <x:c r="C10" s="12" t="str">
        <x:v>KI-009</x:v>
      </x:c>
      <x:c r="D10" s="12" t="str">
        <x:v>CP3/render_handoff/manifest_CP3.json</x:v>
      </x:c>
      <x:c r="E10" s="12" t="str">
        <x:v>02a</x:v>
      </x:c>
      <x:c r="F10" s="12" t="str">
        <x:v>STÍLUS</x:v>
      </x:c>
      <x:c r="G10" s="12" t="str">
        <x:v>Asztalos</x:v>
      </x:c>
      <x:c r="H10" s="19" t="str">
        <x:v>Látható grafit és kréta frontok, fogásprofil</x:v>
      </x:c>
      <x:c r="I10" s="19" t="str">
        <x:v>UNKNOWN</x:v>
      </x:c>
      <x:c r="J10" s="19" t="str">
        <x:v>UNKNOWN</x:v>
      </x:c>
      <x:c r="K10" s="19" t="str">
        <x:v>UNKNOWN</x:v>
      </x:c>
      <x:c r="L10" s="19" t="str">
        <x:v>K-01: 600×600×2400 mm; K-02: 600×620×2400 mm; K-03: 800×620×900 mm; K-04: 600×620×900 mm; K-05: 600×620×900 mm; K-06: 1000×620×900 mm; K-07: 1400×350×900 mm</x:v>
      </x:c>
      <x:c r="M10" s="19" t="str">
        <x:v>Kyoto Ink: grafit / füstszürke / taupe</x:v>
      </x:c>
      <x:c r="N10" s="19" t="str">
        <x:v>MAT-01 / MAT-02</x:v>
      </x:c>
      <x:c r="O10" s="19" t="n">
        <x:v>1</x:v>
      </x:c>
      <x:c r="P10" s="19" t="str">
        <x:v>csomag</x:v>
      </x:c>
      <x:c r="Q10" s="20" t="n">
        <x:v>230000</x:v>
      </x:c>
      <x:c r="R10" s="20" t="n">
        <x:v>0</x:v>
      </x:c>
      <x:c r="S10" s="20" t="n">
        <x:v>0</x:v>
      </x:c>
      <x:c r="T10" s="20" t="n">
        <x:v>0</x:v>
      </x:c>
      <x:c r="U10" s="21" t="n">
        <x:f>O10*Q10+SUM(R10:T10)</x:f>
        <x:v>230000</x:v>
      </x:c>
      <x:c r="V10" s="19" t="str">
        <x:v>előzetes becslés</x:v>
      </x:c>
      <x:c r="W10" s="19" t="str">
        <x:v>CP0 tervezői előirányzat, nem webshopár; baseline 02a</x:v>
      </x:c>
      <x:c r="X10" s="19" t="str">
        <x:v>2026-10-26</x:v>
      </x:c>
      <x:c r="Y10" s="19" t="str">
        <x:v>UNKNOWN – ajánlatban visszaigazolandó</x:v>
      </x:c>
      <x:c r="Z10" s="19" t="str">
        <x:v>B</x:v>
      </x:c>
      <x:c r="AA10" s="19" t="str">
        <x:v>PENDING</x:v>
      </x:c>
      <x:c r="AB10" s="19" t="str">
        <x:v>PENDING</x:v>
      </x:c>
      <x:c r="AC10" s="19" t="str">
        <x:v>nem megrendelt</x:v>
      </x:c>
      <x:c r="AD10" s="19" t="str">
        <x:v>Asztalos és belsőépítész</x:v>
      </x:c>
      <x:c r="AE10" s="19" t="str">
        <x:v>PENDING – méret, csatlakozás, anyagminta, teljes bekerülés</x:v>
      </x:c>
      <x:c r="AF10" s="19" t="str">
        <x:v>CP0 becslési csomag: segédanyag és munkadíj a megnevezett tartalom szerint; külön szállítás a 14 sorban. Nem ingyenes szállítás.</x:v>
      </x:c>
      <x:c r="AG10" s="20" t="n">
        <x:v>230000</x:v>
      </x:c>
      <x:c r="AH10" s="21" t="n">
        <x:f>O10*AG10+SUM(R10:T10)</x:f>
        <x:v>230000</x:v>
      </x:c>
      <x:c r="AI10" s="19" t="str">
        <x:v>R05 főváltozat tartalma; korábbi fiók-/aszimmetria-elhagyás nincs automatikusan kiválasztva.</x:v>
      </x:c>
      <x:c r="AJ10" s="19" t="str">
        <x:v>PENDING</x:v>
      </x:c>
      <x:c r="AK10" s="19" t="str">
        <x:v>PENDING</x:v>
      </x:c>
      <x:c r="AL10" s="19" t="str">
        <x:v>PENDING</x:v>
      </x:c>
      <x:c r="AM10" s="19" t="str">
        <x:v>PENDING</x:v>
      </x:c>
      <x:c r="AN10" s="1" t="str">
        <x:v>K-01; K-02; K-03; K-04; K-05; K-06; K-07</x:v>
      </x:c>
      <x:c r="AO10" s="1" t="str">
        <x:v>CP3/drawings/K-01_CP3.pdf; CP3/drawings/K-02_CP3.pdf; CP3/drawings/K-03_CP3.pdf; CP3/drawings/K-04_CP3.pdf; CP3/drawings/K-05_CP3.pdf; CP3/drawings/K-06_CP3.pdf; CP3/drawings/K-07_CP3.pdf</x:v>
      </x:c>
      <x:c r="AP10" s="1" t="str">
        <x:v>CP3_K-01; CP3_K-02; CP3_K-03; CP3_K-04; CP3_K-05; CP3_K-06; CP3_K-07</x:v>
      </x:c>
      <x:c r="AQ10" s="1" t="str">
        <x:v>egyedi gyártás</x:v>
      </x:c>
      <x:c r="AR10" s="1" t="str">
        <x:v>R02 méretezett ajánlati terv; nem helyszíni méret</x:v>
      </x:c>
      <x:c r="AS10" s="1" t="str">
        <x:v>HUF</x:v>
      </x:c>
      <x:c r="AT10" s="1" t="n">
        <x:v>1</x:v>
      </x:c>
      <x:c r="AU10" s="1" t="str">
        <x:v>nincs visszaigazolt ajánlati érvényesség</x:v>
      </x:c>
      <x:c r="AV10" s="1" t="str">
        <x:v>KI-151 központi keret; daruzás KI-137</x:v>
      </x:c>
      <x:c r="AW10" s="1" t="str">
        <x:v>KI-014 asztalos / KI-106 villamos / KI-026 és KI-096 víz / KI-127 fal</x:v>
      </x:c>
      <x:c r="AX10" s="1" t="n">
        <x:v>4</x:v>
      </x:c>
      <x:c r="AY10" s="1" t="n">
        <x:v>0.85</x:v>
      </x:c>
      <x:c r="AZ10" s="1" t="n">
        <x:v>1.3</x:v>
      </x:c>
      <x:c r="BA10" s="29" t="n">
        <x:f>ROUND(U10*AY10,0)</x:f>
        <x:v>195500</x:v>
      </x:c>
      <x:c r="BB10" s="29" t="n">
        <x:f>ROUND(U10*AZ10,0)</x:f>
        <x:v>299000</x:v>
      </x:c>
    </x:row>
    <x:row r="11" ht="72" customHeight="1">
      <x:c r="A11" s="12" t="str">
        <x:v>A-902</x:v>
      </x:c>
      <x:c r="B11" s="12" t="str">
        <x:v>02</x:v>
      </x:c>
      <x:c r="C11" s="12" t="str">
        <x:v>KI-010</x:v>
      </x:c>
      <x:c r="D11" s="12" t="str">
        <x:v>CP3/render_handoff/manifest_CP3.json</x:v>
      </x:c>
      <x:c r="E11" s="12" t="str">
        <x:v>02a</x:v>
      </x:c>
      <x:c r="F11" s="12" t="str">
        <x:v>STÍLUS</x:v>
      </x:c>
      <x:c r="G11" s="12" t="str">
        <x:v>Asztalos</x:v>
      </x:c>
      <x:c r="H11" s="19" t="str">
        <x:v>Fiókok, pántok, polcok és belső szerelvények</x:v>
      </x:c>
      <x:c r="I11" s="19" t="str">
        <x:v>UNKNOWN</x:v>
      </x:c>
      <x:c r="J11" s="19" t="str">
        <x:v>UNKNOWN</x:v>
      </x:c>
      <x:c r="K11" s="19" t="str">
        <x:v>UNKNOWN</x:v>
      </x:c>
      <x:c r="L11" s="19" t="str">
        <x:v>K-01: 600×600×2400 mm; K-02: 600×620×2400 mm; K-03: 800×620×900 mm; K-05: 600×620×900 mm; K-06: 1000×620×900 mm; K-07: 1400×350×900 mm</x:v>
      </x:c>
      <x:c r="M11" s="19" t="str">
        <x:v>Kyoto Ink: grafit / füstszürke / taupe</x:v>
      </x:c>
      <x:c r="N11" s="19" t="str">
        <x:v>PENDING – műszaki specifikáció szerint</x:v>
      </x:c>
      <x:c r="O11" s="19" t="n">
        <x:v>1</x:v>
      </x:c>
      <x:c r="P11" s="19" t="str">
        <x:v>csomag</x:v>
      </x:c>
      <x:c r="Q11" s="20" t="n">
        <x:v>180000</x:v>
      </x:c>
      <x:c r="R11" s="20" t="n">
        <x:v>0</x:v>
      </x:c>
      <x:c r="S11" s="20" t="n">
        <x:v>0</x:v>
      </x:c>
      <x:c r="T11" s="20" t="n">
        <x:v>0</x:v>
      </x:c>
      <x:c r="U11" s="21" t="n">
        <x:f>O11*Q11+SUM(R11:T11)</x:f>
        <x:v>180000</x:v>
      </x:c>
      <x:c r="V11" s="19" t="str">
        <x:v>előzetes becslés</x:v>
      </x:c>
      <x:c r="W11" s="19" t="str">
        <x:v>CP0 tervezői előirányzat, nem webshopár; baseline 02a</x:v>
      </x:c>
      <x:c r="X11" s="19" t="str">
        <x:v>2026-10-26</x:v>
      </x:c>
      <x:c r="Y11" s="19" t="str">
        <x:v>UNKNOWN – ajánlatban visszaigazolandó</x:v>
      </x:c>
      <x:c r="Z11" s="19" t="str">
        <x:v>B</x:v>
      </x:c>
      <x:c r="AA11" s="19" t="str">
        <x:v>PENDING</x:v>
      </x:c>
      <x:c r="AB11" s="19" t="str">
        <x:v>PENDING</x:v>
      </x:c>
      <x:c r="AC11" s="19" t="str">
        <x:v>nem megrendelt</x:v>
      </x:c>
      <x:c r="AD11" s="19" t="str">
        <x:v>Asztalos és belsőépítész</x:v>
      </x:c>
      <x:c r="AE11" s="19" t="str">
        <x:v>PENDING – méret, csatlakozás, anyagminta, teljes bekerülés</x:v>
      </x:c>
      <x:c r="AF11" s="19" t="str">
        <x:v>CP0 becslési csomag: segédanyag és munkadíj a megnevezett tartalom szerint; külön szállítás a 14 sorban. Nem ingyenes szállítás.</x:v>
      </x:c>
      <x:c r="AG11" s="20" t="n">
        <x:v>180000</x:v>
      </x:c>
      <x:c r="AH11" s="21" t="n">
        <x:f>O11*AG11+SUM(R11:T11)</x:f>
        <x:v>180000</x:v>
      </x:c>
      <x:c r="AI11" s="19" t="str">
        <x:v>PENDING</x:v>
      </x:c>
      <x:c r="AJ11" s="19" t="str">
        <x:v>PENDING</x:v>
      </x:c>
      <x:c r="AK11" s="19" t="str">
        <x:v>PENDING</x:v>
      </x:c>
      <x:c r="AL11" s="19" t="str">
        <x:v>PENDING</x:v>
      </x:c>
      <x:c r="AM11" s="19" t="str">
        <x:v>PENDING</x:v>
      </x:c>
      <x:c r="AN11" s="1" t="str">
        <x:v>K-01; K-02; K-03; K-05; K-06; K-07</x:v>
      </x:c>
      <x:c r="AO11" s="1" t="str">
        <x:v>CP3/drawings/K-01_CP3.pdf; CP3/drawings/K-02_CP3.pdf; CP3/drawings/K-03_CP3.pdf; CP3/drawings/K-05_CP3.pdf; CP3/drawings/K-06_CP3.pdf; CP3/drawings/K-07_CP3.pdf</x:v>
      </x:c>
      <x:c r="AP11" s="1" t="str">
        <x:v>CP3_K-01; CP3_K-02; CP3_K-03; CP3_K-05; CP3_K-06; CP3_K-07</x:v>
      </x:c>
      <x:c r="AQ11" s="1" t="str">
        <x:v>egyedi gyártás</x:v>
      </x:c>
      <x:c r="AR11" s="1" t="str">
        <x:v>R02 méretezett ajánlati terv; nem helyszíni méret</x:v>
      </x:c>
      <x:c r="AS11" s="1" t="str">
        <x:v>HUF</x:v>
      </x:c>
      <x:c r="AT11" s="1" t="n">
        <x:v>1</x:v>
      </x:c>
      <x:c r="AU11" s="1" t="str">
        <x:v>nincs visszaigazolt ajánlati érvényesség</x:v>
      </x:c>
      <x:c r="AV11" s="1" t="str">
        <x:v>KI-151 központi keret; daruzás KI-137</x:v>
      </x:c>
      <x:c r="AW11" s="1" t="str">
        <x:v>KI-014 asztalos / KI-106 villamos / KI-026 és KI-096 víz / KI-127 fal</x:v>
      </x:c>
      <x:c r="AX11" s="1" t="n">
        <x:v>4</x:v>
      </x:c>
      <x:c r="AY11" s="1" t="n">
        <x:v>0.85</x:v>
      </x:c>
      <x:c r="AZ11" s="1" t="n">
        <x:v>1.3</x:v>
      </x:c>
      <x:c r="BA11" s="29" t="n">
        <x:f>ROUND(U11*AY11,0)</x:f>
        <x:v>153000</x:v>
      </x:c>
      <x:c r="BB11" s="29" t="n">
        <x:f>ROUND(U11*AZ11,0)</x:f>
        <x:v>234000</x:v>
      </x:c>
    </x:row>
    <x:row r="12" ht="72" customHeight="1">
      <x:c r="A12" s="12" t="str">
        <x:v>A-902</x:v>
      </x:c>
      <x:c r="B12" s="12" t="str">
        <x:v>02</x:v>
      </x:c>
      <x:c r="C12" s="12" t="str">
        <x:v>KI-011</x:v>
      </x:c>
      <x:c r="D12" s="12" t="str">
        <x:v>CP3/render_handoff/manifest_CP3.json</x:v>
      </x:c>
      <x:c r="E12" s="12" t="str">
        <x:v>02a</x:v>
      </x:c>
      <x:c r="F12" s="12" t="str">
        <x:v>STÍLUS</x:v>
      </x:c>
      <x:c r="G12" s="12" t="str">
        <x:v>Asztalos</x:v>
      </x:c>
      <x:c r="H12" s="19" t="str">
        <x:v>Munkalap, vízzáró illesztések és kivágások</x:v>
      </x:c>
      <x:c r="I12" s="19" t="str">
        <x:v>UNKNOWN</x:v>
      </x:c>
      <x:c r="J12" s="19" t="str">
        <x:v>EGGER F243 ST76 / 4100×920×38</x:v>
      </x:c>
      <x:c r="K12" s="19" t="str">
        <x:v>https://www.okftfaaruhaz.hu/ML-EGGER-F243-ST76-4100x600x38mm-munkalap</x:v>
      </x:c>
      <x:c r="L12" s="19" t="str">
        <x:v>1460×620 +1600×620 +900×620; 4100×920 nyerslapból</x:v>
      </x:c>
      <x:c r="M12" s="19" t="str">
        <x:v>Kyoto Ink: grafit / füstszürke / taupe</x:v>
      </x:c>
      <x:c r="N12" s="19" t="str">
        <x:v>Világosszürke Candela márvány dekor, laminált forgácslap; nem valódi kő</x:v>
      </x:c>
      <x:c r="O12" s="19" t="n">
        <x:v>1</x:v>
      </x:c>
      <x:c r="P12" s="19" t="str">
        <x:v>csomag</x:v>
      </x:c>
      <x:c r="Q12" s="20" t="n">
        <x:v>150000</x:v>
      </x:c>
      <x:c r="R12" s="20" t="n">
        <x:v>0</x:v>
      </x:c>
      <x:c r="S12" s="20" t="n">
        <x:v>0</x:v>
      </x:c>
      <x:c r="T12" s="20" t="n">
        <x:v>0</x:v>
      </x:c>
      <x:c r="U12" s="21" t="n">
        <x:f>O12*Q12+SUM(R12:T12)</x:f>
        <x:v>150000</x:v>
      </x:c>
      <x:c r="V12" s="19" t="str">
        <x:v>előzetes becslés</x:v>
      </x:c>
      <x:c r="W12" s="19" t="str">
        <x:v>96750Ft széles lap jelzett kereskedői ár +53250Ft szabás/él/kivágás előirányzat; széles SKU véglegesítendő</x:v>
      </x:c>
      <x:c r="X12" s="19" t="str">
        <x:v>2026-10-26</x:v>
      </x:c>
      <x:c r="Y12" s="19" t="str">
        <x:v>UNKNOWN – ajánlatban visszaigazolandó</x:v>
      </x:c>
      <x:c r="Z12" s="19" t="str">
        <x:v>B</x:v>
      </x:c>
      <x:c r="AA12" s="19" t="str">
        <x:v>Képi kőhatás közelítése lamináttal; élek és ismétlődés látszhat. 600mm lap NEM elegendő620mm mélységre.</x:v>
      </x:c>
      <x:c r="AB12" s="19" t="str">
        <x:v>PENDING</x:v>
      </x:c>
      <x:c r="AC12" s="19" t="str">
        <x:v>nem megrendelt</x:v>
      </x:c>
      <x:c r="AD12" s="19" t="str">
        <x:v>Asztalos és belsőépítész</x:v>
      </x:c>
      <x:c r="AE12" s="19" t="str">
        <x:v>PENDING – méret, csatlakozás, anyagminta, teljes bekerülés</x:v>
      </x:c>
      <x:c r="AF12" s="19" t="str">
        <x:v>CP0 becslési csomag: segédanyag és munkadíj a megnevezett tartalom szerint; külön szállítás a 14 sorban. Nem ingyenes szállítás.</x:v>
      </x:c>
      <x:c r="AG12" s="20" t="n">
        <x:v>150000</x:v>
      </x:c>
      <x:c r="AH12" s="21" t="n">
        <x:f>O12*AG12+SUM(R12:T12)</x:f>
        <x:v>150000</x:v>
      </x:c>
      <x:c r="AI12" s="19" t="str">
        <x:v>R05 főváltozat tartalma; korábbi fiók-/aszimmetria-elhagyás nincs automatikusan kiválasztva.</x:v>
      </x:c>
      <x:c r="AJ12" s="19" t="str">
        <x:v>PENDING</x:v>
      </x:c>
      <x:c r="AK12" s="19" t="str">
        <x:v>PENDING</x:v>
      </x:c>
      <x:c r="AL12" s="19" t="str">
        <x:v>PENDING</x:v>
      </x:c>
      <x:c r="AM12" s="19" t="str">
        <x:v>PENDING</x:v>
      </x:c>
      <x:c r="AN12" s="1" t="str">
        <x:v>K-08; K-09</x:v>
      </x:c>
      <x:c r="AO12" s="1" t="str">
        <x:v>CP3/drawings/K-08_CP3.pdf; CP3/drawings/K-09_CP3.pdf</x:v>
      </x:c>
      <x:c r="AP12" s="1" t="str">
        <x:v>CP3_K-08; CP3_K-09</x:v>
      </x:c>
      <x:c r="AQ12" s="1" t="str">
        <x:v>egyedi gyártás</x:v>
      </x:c>
      <x:c r="AR12" s="1" t="str">
        <x:v>R02 méretezett ajánlati terv; nem helyszíni méret</x:v>
      </x:c>
      <x:c r="AS12" s="1" t="str">
        <x:v>HUF</x:v>
      </x:c>
      <x:c r="AT12" s="1" t="n">
        <x:v>1</x:v>
      </x:c>
      <x:c r="AU12" s="1" t="str">
        <x:v>nincs visszaigazolt ajánlati érvényesség</x:v>
      </x:c>
      <x:c r="AV12" s="1" t="str">
        <x:v>KI-151 központi keret; daruzás KI-137</x:v>
      </x:c>
      <x:c r="AW12" s="1" t="str">
        <x:v>KI-014 asztalos / KI-106 villamos / KI-026 és KI-096 víz / KI-127 fal</x:v>
      </x:c>
      <x:c r="AX12" s="1" t="n">
        <x:v>4</x:v>
      </x:c>
      <x:c r="AY12" s="1" t="n">
        <x:v>0.85</x:v>
      </x:c>
      <x:c r="AZ12" s="1" t="n">
        <x:v>1.3</x:v>
      </x:c>
      <x:c r="BA12" s="29" t="n">
        <x:f>ROUND(U12*AY12,0)</x:f>
        <x:v>127500</x:v>
      </x:c>
      <x:c r="BB12" s="29" t="n">
        <x:f>ROUND(U12*AZ12,0)</x:f>
        <x:v>195000</x:v>
      </x:c>
    </x:row>
    <x:row r="13" ht="72" customHeight="1">
      <x:c r="A13" s="12" t="str">
        <x:v>A-902</x:v>
      </x:c>
      <x:c r="B13" s="12" t="str">
        <x:v>02</x:v>
      </x:c>
      <x:c r="C13" s="12" t="str">
        <x:v>KI-012</x:v>
      </x:c>
      <x:c r="D13" s="12" t="str">
        <x:v>CP3/render_handoff/manifest_CP3.json</x:v>
      </x:c>
      <x:c r="E13" s="12" t="str">
        <x:v>02a</x:v>
      </x:c>
      <x:c r="F13" s="12" t="str">
        <x:v>STÍLUS</x:v>
      </x:c>
      <x:c r="G13" s="12" t="str">
        <x:v>Asztalos</x:v>
      </x:c>
      <x:c r="H13" s="19" t="str">
        <x:v>Mosható hátfal és mellvédvégek</x:v>
      </x:c>
      <x:c r="I13" s="19" t="str">
        <x:v>UNKNOWN</x:v>
      </x:c>
      <x:c r="J13" s="19" t="str">
        <x:v>EGGER F243 ST76 hátfal</x:v>
      </x:c>
      <x:c r="K13" s="19" t="str">
        <x:v>UNKNOWN</x:v>
      </x:c>
      <x:c r="L13" s="19" t="str">
        <x:v>K-08: 1460×620×38 mm; K-09: 1600×620×38 mm</x:v>
      </x:c>
      <x:c r="M13" s="19" t="str">
        <x:v>Kyoto Ink: grafit / füstszürke / taupe</x:v>
      </x:c>
      <x:c r="N13" s="19" t="str">
        <x:v>MAT-07</x:v>
      </x:c>
      <x:c r="O13" s="19" t="n">
        <x:v>1</x:v>
      </x:c>
      <x:c r="P13" s="19" t="str">
        <x:v>csomag</x:v>
      </x:c>
      <x:c r="Q13" s="20" t="n">
        <x:v>100000</x:v>
      </x:c>
      <x:c r="R13" s="20" t="n">
        <x:v>0</x:v>
      </x:c>
      <x:c r="S13" s="20" t="n">
        <x:v>0</x:v>
      </x:c>
      <x:c r="T13" s="20" t="n">
        <x:v>0</x:v>
      </x:c>
      <x:c r="U13" s="21" t="n">
        <x:f>O13*Q13+SUM(R13:T13)</x:f>
        <x:v>100000</x:v>
      </x:c>
      <x:c r="V13" s="19" t="str">
        <x:v>előzetes becslés</x:v>
      </x:c>
      <x:c r="W13" s="19" t="str">
        <x:v>4100×640×8 jelzett59445Ft +40555Ft szabás/ragasztás/él előirányzat. Nem dupla munkadíj a KI-014-gyel; ajánlatban bontandó</x:v>
      </x:c>
      <x:c r="X13" s="19" t="str">
        <x:v>2026-10-26</x:v>
      </x:c>
      <x:c r="Y13" s="19" t="str">
        <x:v>UNKNOWN – ajánlatban visszaigazolandó</x:v>
      </x:c>
      <x:c r="Z13" s="19" t="str">
        <x:v>B</x:v>
      </x:c>
      <x:c r="AA13" s="19" t="str">
        <x:v>Azonos dekor az összes konyhanézetben; mosható hátfal, főzőlap gyártói távolságával</x:v>
      </x:c>
      <x:c r="AB13" s="19" t="str">
        <x:v>PENDING</x:v>
      </x:c>
      <x:c r="AC13" s="19" t="str">
        <x:v>nem megrendelt</x:v>
      </x:c>
      <x:c r="AD13" s="19" t="str">
        <x:v>Asztalos és belsőépítész</x:v>
      </x:c>
      <x:c r="AE13" s="19" t="str">
        <x:v>PENDING – méret, csatlakozás, anyagminta, teljes bekerülés</x:v>
      </x:c>
      <x:c r="AF13" s="19" t="str">
        <x:v>CP0 becslési csomag: segédanyag és munkadíj a megnevezett tartalom szerint; külön szállítás a 14 sorban. Nem ingyenes szállítás.</x:v>
      </x:c>
      <x:c r="AG13" s="20" t="n">
        <x:v>100000</x:v>
      </x:c>
      <x:c r="AH13" s="21" t="n">
        <x:f>O13*AG13+SUM(R13:T13)</x:f>
        <x:v>100000</x:v>
      </x:c>
      <x:c r="AI13" s="19" t="str">
        <x:v>R05 főváltozat tartalma; korábbi fiók-/aszimmetria-elhagyás nincs automatikusan kiválasztva.</x:v>
      </x:c>
      <x:c r="AJ13" s="19" t="str">
        <x:v>PENDING</x:v>
      </x:c>
      <x:c r="AK13" s="19" t="str">
        <x:v>PENDING</x:v>
      </x:c>
      <x:c r="AL13" s="19" t="str">
        <x:v>PENDING</x:v>
      </x:c>
      <x:c r="AM13" s="19" t="str">
        <x:v>PENDING</x:v>
      </x:c>
      <x:c r="AN13" s="1" t="str">
        <x:v>K-08; K-09</x:v>
      </x:c>
      <x:c r="AO13" s="1" t="str">
        <x:v>CP3/drawings/K-08_CP3.pdf; CP3/drawings/K-09_CP3.pdf</x:v>
      </x:c>
      <x:c r="AP13" s="1" t="str">
        <x:v>CP3_K-08; CP3_K-09</x:v>
      </x:c>
      <x:c r="AQ13" s="1" t="str">
        <x:v>egyedi gyártás</x:v>
      </x:c>
      <x:c r="AR13" s="1" t="str">
        <x:v>R02 méretezett ajánlati terv; nem helyszíni méret</x:v>
      </x:c>
      <x:c r="AS13" s="1" t="str">
        <x:v>HUF</x:v>
      </x:c>
      <x:c r="AT13" s="1" t="n">
        <x:v>1</x:v>
      </x:c>
      <x:c r="AU13" s="1" t="str">
        <x:v>nincs visszaigazolt ajánlati érvényesség</x:v>
      </x:c>
      <x:c r="AV13" s="1" t="str">
        <x:v>KI-151 központi keret; daruzás KI-137</x:v>
      </x:c>
      <x:c r="AW13" s="1" t="str">
        <x:v>KI-014 asztalos / KI-106 villamos / KI-026 és KI-096 víz / KI-127 fal</x:v>
      </x:c>
      <x:c r="AX13" s="1" t="n">
        <x:v>4</x:v>
      </x:c>
      <x:c r="AY13" s="1" t="n">
        <x:v>0.85</x:v>
      </x:c>
      <x:c r="AZ13" s="1" t="n">
        <x:v>1.3</x:v>
      </x:c>
      <x:c r="BA13" s="29" t="n">
        <x:f>ROUND(U13*AY13,0)</x:f>
        <x:v>85000</x:v>
      </x:c>
      <x:c r="BB13" s="29" t="n">
        <x:f>ROUND(U13*AZ13,0)</x:f>
        <x:v>130000</x:v>
      </x:c>
    </x:row>
    <x:row r="14" ht="72" customHeight="1">
      <x:c r="A14" s="12" t="str">
        <x:v>A-902</x:v>
      </x:c>
      <x:c r="B14" s="12" t="str">
        <x:v>02</x:v>
      </x:c>
      <x:c r="C14" s="12" t="str">
        <x:v>KI-013</x:v>
      </x:c>
      <x:c r="D14" s="12" t="str">
        <x:v>CP3/render_handoff/manifest_CP3.json</x:v>
      </x:c>
      <x:c r="E14" s="12" t="str">
        <x:v>02a</x:v>
      </x:c>
      <x:c r="F14" s="12" t="str">
        <x:v>STÍLUS</x:v>
      </x:c>
      <x:c r="G14" s="12" t="str">
        <x:v>Asztalos</x:v>
      </x:c>
      <x:c r="H14" s="19" t="str">
        <x:v>Lábazat, takarók, zárópanelek és szellőzőrács</x:v>
      </x:c>
      <x:c r="I14" s="19" t="str">
        <x:v>UNKNOWN</x:v>
      </x:c>
      <x:c r="J14" s="19" t="str">
        <x:v>UNKNOWN</x:v>
      </x:c>
      <x:c r="K14" s="19" t="str">
        <x:v>UNKNOWN</x:v>
      </x:c>
      <x:c r="L14" s="19" t="str">
        <x:v>K-01: 600×600×2400 mm; K-02: 600×620×2400 mm; K-04: 600×620×900 mm</x:v>
      </x:c>
      <x:c r="M14" s="19" t="str">
        <x:v>Kyoto Ink: grafit / füstszürke / taupe</x:v>
      </x:c>
      <x:c r="N14" s="19" t="str">
        <x:v>PENDING – műszaki specifikáció szerint</x:v>
      </x:c>
      <x:c r="O14" s="19" t="n">
        <x:v>1</x:v>
      </x:c>
      <x:c r="P14" s="19" t="str">
        <x:v>csomag</x:v>
      </x:c>
      <x:c r="Q14" s="20" t="n">
        <x:v>80000</x:v>
      </x:c>
      <x:c r="R14" s="20" t="n">
        <x:v>0</x:v>
      </x:c>
      <x:c r="S14" s="20" t="n">
        <x:v>0</x:v>
      </x:c>
      <x:c r="T14" s="20" t="n">
        <x:v>0</x:v>
      </x:c>
      <x:c r="U14" s="21" t="n">
        <x:f>O14*Q14+SUM(R14:T14)</x:f>
        <x:v>80000</x:v>
      </x:c>
      <x:c r="V14" s="19" t="str">
        <x:v>előzetes becslés</x:v>
      </x:c>
      <x:c r="W14" s="19" t="str">
        <x:v>CP0 tervezői előirányzat, nem webshopár; baseline 02a</x:v>
      </x:c>
      <x:c r="X14" s="19" t="str">
        <x:v>2026-10-26</x:v>
      </x:c>
      <x:c r="Y14" s="19" t="str">
        <x:v>UNKNOWN – ajánlatban visszaigazolandó</x:v>
      </x:c>
      <x:c r="Z14" s="19" t="str">
        <x:v>B</x:v>
      </x:c>
      <x:c r="AA14" s="19" t="str">
        <x:v>PENDING</x:v>
      </x:c>
      <x:c r="AB14" s="19" t="str">
        <x:v>PENDING</x:v>
      </x:c>
      <x:c r="AC14" s="19" t="str">
        <x:v>nem megrendelt</x:v>
      </x:c>
      <x:c r="AD14" s="19" t="str">
        <x:v>Asztalos és belsőépítész</x:v>
      </x:c>
      <x:c r="AE14" s="19" t="str">
        <x:v>PENDING – méret, csatlakozás, anyagminta, teljes bekerülés</x:v>
      </x:c>
      <x:c r="AF14" s="19" t="str">
        <x:v>CP0 becslési csomag: segédanyag és munkadíj a megnevezett tartalom szerint; külön szállítás a 14 sorban. Nem ingyenes szállítás.</x:v>
      </x:c>
      <x:c r="AG14" s="20" t="n">
        <x:v>80000</x:v>
      </x:c>
      <x:c r="AH14" s="21" t="n">
        <x:f>O14*AG14+SUM(R14:T14)</x:f>
        <x:v>80000</x:v>
      </x:c>
      <x:c r="AI14" s="19" t="str">
        <x:v>PENDING</x:v>
      </x:c>
      <x:c r="AJ14" s="19" t="str">
        <x:v>PENDING</x:v>
      </x:c>
      <x:c r="AK14" s="19" t="str">
        <x:v>PENDING</x:v>
      </x:c>
      <x:c r="AL14" s="19" t="str">
        <x:v>PENDING</x:v>
      </x:c>
      <x:c r="AM14" s="19" t="str">
        <x:v>PENDING</x:v>
      </x:c>
      <x:c r="AN14" s="1" t="str">
        <x:v>K-01; K-02; K-04</x:v>
      </x:c>
      <x:c r="AO14" s="1" t="str">
        <x:v>CP3/drawings/K-01_CP3.pdf; CP3/drawings/K-02_CP3.pdf; CP3/drawings/K-04_CP3.pdf</x:v>
      </x:c>
      <x:c r="AP14" s="1" t="str">
        <x:v>CP3_K-01; CP3_K-02; CP3_K-04</x:v>
      </x:c>
      <x:c r="AQ14" s="1" t="str">
        <x:v>egyedi gyártás</x:v>
      </x:c>
      <x:c r="AR14" s="1" t="str">
        <x:v>R02 méretezett ajánlati terv; nem helyszíni méret</x:v>
      </x:c>
      <x:c r="AS14" s="1" t="str">
        <x:v>HUF</x:v>
      </x:c>
      <x:c r="AT14" s="1" t="n">
        <x:v>1</x:v>
      </x:c>
      <x:c r="AU14" s="1" t="str">
        <x:v>nincs visszaigazolt ajánlati érvényesség</x:v>
      </x:c>
      <x:c r="AV14" s="1" t="str">
        <x:v>KI-151 központi keret; daruzás KI-137</x:v>
      </x:c>
      <x:c r="AW14" s="1" t="str">
        <x:v>KI-014 asztalos / KI-106 villamos / KI-026 és KI-096 víz / KI-127 fal</x:v>
      </x:c>
      <x:c r="AX14" s="1" t="n">
        <x:v>4</x:v>
      </x:c>
      <x:c r="AY14" s="1" t="n">
        <x:v>0.85</x:v>
      </x:c>
      <x:c r="AZ14" s="1" t="n">
        <x:v>1.3</x:v>
      </x:c>
      <x:c r="BA14" s="29" t="n">
        <x:f>ROUND(U14*AY14,0)</x:f>
        <x:v>68000</x:v>
      </x:c>
      <x:c r="BB14" s="29" t="n">
        <x:f>ROUND(U14*AZ14,0)</x:f>
        <x:v>104000</x:v>
      </x:c>
    </x:row>
    <x:row r="15" ht="72" customHeight="1">
      <x:c r="A15" s="12" t="str">
        <x:v>A-902</x:v>
      </x:c>
      <x:c r="B15" s="12" t="str">
        <x:v>02</x:v>
      </x:c>
      <x:c r="C15" s="12" t="str">
        <x:v>KI-014</x:v>
      </x:c>
      <x:c r="D15" s="12" t="str">
        <x:v>CP3/render_handoff/manifest_CP3.json</x:v>
      </x:c>
      <x:c r="E15" s="12" t="str">
        <x:v>02a</x:v>
      </x:c>
      <x:c r="F15" s="12" t="str">
        <x:v>STÍLUS</x:v>
      </x:c>
      <x:c r="G15" s="12" t="str">
        <x:v>Asztalos</x:v>
      </x:c>
      <x:c r="H15" s="19" t="str">
        <x:v>Szabási veszteség, élzárás és segédanyag</x:v>
      </x:c>
      <x:c r="I15" s="19" t="str">
        <x:v>UNKNOWN</x:v>
      </x:c>
      <x:c r="J15" s="19" t="str">
        <x:v>UNKNOWN</x:v>
      </x:c>
      <x:c r="K15" s="19" t="str">
        <x:v>UNKNOWN</x:v>
      </x:c>
      <x:c r="L15" s="19" t="str">
        <x:v>K-08: 1460×620×38 mm; K-09: 1600×620×38 mm</x:v>
      </x:c>
      <x:c r="M15" s="19" t="str">
        <x:v>Kyoto Ink: grafit / füstszürke / taupe</x:v>
      </x:c>
      <x:c r="N15" s="19" t="str">
        <x:v>PENDING – műszaki specifikáció szerint</x:v>
      </x:c>
      <x:c r="O15" s="19" t="n">
        <x:v>1</x:v>
      </x:c>
      <x:c r="P15" s="19" t="str">
        <x:v>csomag</x:v>
      </x:c>
      <x:c r="Q15" s="20" t="n">
        <x:v>60000</x:v>
      </x:c>
      <x:c r="R15" s="20" t="n">
        <x:v>0</x:v>
      </x:c>
      <x:c r="S15" s="20" t="n">
        <x:v>0</x:v>
      </x:c>
      <x:c r="T15" s="20" t="n">
        <x:v>0</x:v>
      </x:c>
      <x:c r="U15" s="21" t="n">
        <x:f>O15*Q15+SUM(R15:T15)</x:f>
        <x:v>60000</x:v>
      </x:c>
      <x:c r="V15" s="19" t="str">
        <x:v>előzetes becslés</x:v>
      </x:c>
      <x:c r="W15" s="19" t="str">
        <x:v>CP0 tervezői előirányzat, nem webshopár; baseline 02a</x:v>
      </x:c>
      <x:c r="X15" s="19" t="str">
        <x:v>2026-10-26</x:v>
      </x:c>
      <x:c r="Y15" s="19" t="str">
        <x:v>UNKNOWN – ajánlatban visszaigazolandó</x:v>
      </x:c>
      <x:c r="Z15" s="19" t="str">
        <x:v>B</x:v>
      </x:c>
      <x:c r="AA15" s="19" t="str">
        <x:v>PENDING</x:v>
      </x:c>
      <x:c r="AB15" s="19" t="str">
        <x:v>PENDING</x:v>
      </x:c>
      <x:c r="AC15" s="19" t="str">
        <x:v>nem megrendelt</x:v>
      </x:c>
      <x:c r="AD15" s="19" t="str">
        <x:v>Asztalos és belsőépítész</x:v>
      </x:c>
      <x:c r="AE15" s="19" t="str">
        <x:v>PENDING – méret, csatlakozás, anyagminta, teljes bekerülés</x:v>
      </x:c>
      <x:c r="AF15" s="19" t="str">
        <x:v>CP0 becslési csomag: segédanyag és munkadíj a megnevezett tartalom szerint; külön szállítás a 14 sorban. Nem ingyenes szállítás.</x:v>
      </x:c>
      <x:c r="AG15" s="20" t="n">
        <x:v>60000</x:v>
      </x:c>
      <x:c r="AH15" s="21" t="n">
        <x:f>O15*AG15+SUM(R15:T15)</x:f>
        <x:v>60000</x:v>
      </x:c>
      <x:c r="AI15" s="19" t="str">
        <x:v>PENDING</x:v>
      </x:c>
      <x:c r="AJ15" s="19" t="str">
        <x:v>PENDING</x:v>
      </x:c>
      <x:c r="AK15" s="19" t="str">
        <x:v>PENDING</x:v>
      </x:c>
      <x:c r="AL15" s="19" t="str">
        <x:v>PENDING</x:v>
      </x:c>
      <x:c r="AM15" s="19" t="str">
        <x:v>PENDING</x:v>
      </x:c>
      <x:c r="AN15" s="1" t="str">
        <x:v>K-08; K-09</x:v>
      </x:c>
      <x:c r="AO15" s="1" t="str">
        <x:v>CP3/drawings/K-08_CP3.pdf; CP3/drawings/K-09_CP3.pdf</x:v>
      </x:c>
      <x:c r="AP15" s="1" t="str">
        <x:v>CP3_K-08; CP3_K-09</x:v>
      </x:c>
      <x:c r="AQ15" s="1" t="str">
        <x:v>egyedi gyártás</x:v>
      </x:c>
      <x:c r="AR15" s="1" t="str">
        <x:v>R02 méretezett ajánlati terv; nem helyszíni méret</x:v>
      </x:c>
      <x:c r="AS15" s="1" t="str">
        <x:v>HUF</x:v>
      </x:c>
      <x:c r="AT15" s="1" t="n">
        <x:v>1</x:v>
      </x:c>
      <x:c r="AU15" s="1" t="str">
        <x:v>nincs visszaigazolt ajánlati érvényesség</x:v>
      </x:c>
      <x:c r="AV15" s="1" t="str">
        <x:v>KI-151 központi keret; daruzás KI-137</x:v>
      </x:c>
      <x:c r="AW15" s="1" t="str">
        <x:v>KI-014 asztalos / KI-106 villamos / KI-026 és KI-096 víz / KI-127 fal</x:v>
      </x:c>
      <x:c r="AX15" s="1" t="n">
        <x:v>4</x:v>
      </x:c>
      <x:c r="AY15" s="1" t="n">
        <x:v>0.85</x:v>
      </x:c>
      <x:c r="AZ15" s="1" t="n">
        <x:v>1.3</x:v>
      </x:c>
      <x:c r="BA15" s="29" t="n">
        <x:f>ROUND(U15*AY15,0)</x:f>
        <x:v>51000</x:v>
      </x:c>
      <x:c r="BB15" s="29" t="n">
        <x:f>ROUND(U15*AZ15,0)</x:f>
        <x:v>78000</x:v>
      </x:c>
    </x:row>
    <x:row r="16" ht="72" customHeight="1">
      <x:c r="A16" s="12" t="str">
        <x:v>A-902</x:v>
      </x:c>
      <x:c r="B16" s="12" t="str">
        <x:v>02</x:v>
      </x:c>
      <x:c r="C16" s="12" t="str">
        <x:v>KI-015</x:v>
      </x:c>
      <x:c r="D16" s="12" t="str">
        <x:v>CP3/render_handoff/manifest_CP3.json</x:v>
      </x:c>
      <x:c r="E16" s="12" t="str">
        <x:v>02a</x:v>
      </x:c>
      <x:c r="F16" s="12" t="str">
        <x:v>STÍLUS</x:v>
      </x:c>
      <x:c r="G16" s="12" t="str">
        <x:v>Asztalos</x:v>
      </x:c>
      <x:c r="H16" s="19" t="str">
        <x:v>Konyha összeszerelés és beépítés</x:v>
      </x:c>
      <x:c r="I16" s="19" t="str">
        <x:v>UNKNOWN</x:v>
      </x:c>
      <x:c r="J16" s="19" t="str">
        <x:v>UNKNOWN</x:v>
      </x:c>
      <x:c r="K16" s="19" t="str">
        <x:v>UNKNOWN</x:v>
      </x:c>
      <x:c r="L16" s="19" t="str">
        <x:v>K-01: 600×600×2400 mm; K-02: 600×620×2400 mm; K-03: 800×620×900 mm; K-04: 600×620×900 mm; K-05: 600×620×900 mm; K-06: 1000×620×900 mm; K-07: 1400×350×900 mm</x:v>
      </x:c>
      <x:c r="M16" s="19" t="str">
        <x:v>Kyoto Ink: grafit / füstszürke / taupe</x:v>
      </x:c>
      <x:c r="N16" s="19" t="str">
        <x:v>PENDING – műszaki specifikáció szerint</x:v>
      </x:c>
      <x:c r="O16" s="19" t="n">
        <x:v>1</x:v>
      </x:c>
      <x:c r="P16" s="19" t="str">
        <x:v>csomag</x:v>
      </x:c>
      <x:c r="Q16" s="20" t="n">
        <x:v>180000</x:v>
      </x:c>
      <x:c r="R16" s="20" t="n">
        <x:v>0</x:v>
      </x:c>
      <x:c r="S16" s="20" t="n">
        <x:v>0</x:v>
      </x:c>
      <x:c r="T16" s="20" t="n">
        <x:v>0</x:v>
      </x:c>
      <x:c r="U16" s="21" t="n">
        <x:f>O16*Q16+SUM(R16:T16)</x:f>
        <x:v>180000</x:v>
      </x:c>
      <x:c r="V16" s="19" t="str">
        <x:v>előzetes becslés</x:v>
      </x:c>
      <x:c r="W16" s="19" t="str">
        <x:v>CP0 tervezői előirányzat, nem webshopár; baseline 02a</x:v>
      </x:c>
      <x:c r="X16" s="19" t="str">
        <x:v>2026-10-26</x:v>
      </x:c>
      <x:c r="Y16" s="19" t="str">
        <x:v>UNKNOWN – ajánlatban visszaigazolandó</x:v>
      </x:c>
      <x:c r="Z16" s="19" t="str">
        <x:v>B</x:v>
      </x:c>
      <x:c r="AA16" s="19" t="str">
        <x:v>PENDING</x:v>
      </x:c>
      <x:c r="AB16" s="19" t="str">
        <x:v>PENDING</x:v>
      </x:c>
      <x:c r="AC16" s="19" t="str">
        <x:v>nem megrendelt</x:v>
      </x:c>
      <x:c r="AD16" s="19" t="str">
        <x:v>Asztalos és belsőépítész</x:v>
      </x:c>
      <x:c r="AE16" s="19" t="str">
        <x:v>PENDING – méret, csatlakozás, anyagminta, teljes bekerülés</x:v>
      </x:c>
      <x:c r="AF16" s="19" t="str">
        <x:v>CP0 becslési csomag: segédanyag és munkadíj a megnevezett tartalom szerint; külön szállítás a 14 sorban. Nem ingyenes szállítás.</x:v>
      </x:c>
      <x:c r="AG16" s="20" t="n">
        <x:v>180000</x:v>
      </x:c>
      <x:c r="AH16" s="21" t="n">
        <x:f>O16*AG16+SUM(R16:T16)</x:f>
        <x:v>180000</x:v>
      </x:c>
      <x:c r="AI16" s="19" t="str">
        <x:v>PENDING</x:v>
      </x:c>
      <x:c r="AJ16" s="19" t="str">
        <x:v>PENDING</x:v>
      </x:c>
      <x:c r="AK16" s="19" t="str">
        <x:v>PENDING</x:v>
      </x:c>
      <x:c r="AL16" s="19" t="str">
        <x:v>PENDING</x:v>
      </x:c>
      <x:c r="AM16" s="19" t="str">
        <x:v>PENDING</x:v>
      </x:c>
      <x:c r="AN16" s="1" t="str">
        <x:v>K-01; K-02; K-03; K-04; K-05; K-06; K-07</x:v>
      </x:c>
      <x:c r="AO16" s="1" t="str">
        <x:v>CP3/drawings/K-01_CP3.pdf; CP3/drawings/K-02_CP3.pdf; CP3/drawings/K-03_CP3.pdf; CP3/drawings/K-04_CP3.pdf; CP3/drawings/K-05_CP3.pdf; CP3/drawings/K-06_CP3.pdf; CP3/drawings/K-07_CP3.pdf</x:v>
      </x:c>
      <x:c r="AP16" s="1" t="str">
        <x:v>CP3_K-01; CP3_K-02; CP3_K-03; CP3_K-04; CP3_K-05; CP3_K-06; CP3_K-07</x:v>
      </x:c>
      <x:c r="AQ16" s="1" t="str">
        <x:v>egyedi gyártás</x:v>
      </x:c>
      <x:c r="AR16" s="1" t="str">
        <x:v>R02 méretezett ajánlati terv; nem helyszíni méret</x:v>
      </x:c>
      <x:c r="AS16" s="1" t="str">
        <x:v>HUF</x:v>
      </x:c>
      <x:c r="AT16" s="1" t="n">
        <x:v>1</x:v>
      </x:c>
      <x:c r="AU16" s="1" t="str">
        <x:v>nincs visszaigazolt ajánlati érvényesség</x:v>
      </x:c>
      <x:c r="AV16" s="1" t="str">
        <x:v>KI-151 központi keret; daruzás KI-137</x:v>
      </x:c>
      <x:c r="AW16" s="1" t="str">
        <x:v>KI-014 asztalos / KI-106 villamos / KI-026 és KI-096 víz / KI-127 fal</x:v>
      </x:c>
      <x:c r="AX16" s="1" t="n">
        <x:v>4</x:v>
      </x:c>
      <x:c r="AY16" s="1" t="n">
        <x:v>0.85</x:v>
      </x:c>
      <x:c r="AZ16" s="1" t="n">
        <x:v>1.3</x:v>
      </x:c>
      <x:c r="BA16" s="29" t="n">
        <x:f>ROUND(U16*AY16,0)</x:f>
        <x:v>153000</x:v>
      </x:c>
      <x:c r="BB16" s="29" t="n">
        <x:f>ROUND(U16*AZ16,0)</x:f>
        <x:v>234000</x:v>
      </x:c>
    </x:row>
    <x:row r="17" ht="72" customHeight="1">
      <x:c r="A17" s="12" t="str">
        <x:v>A-902</x:v>
      </x:c>
      <x:c r="B17" s="12" t="str">
        <x:v>02</x:v>
      </x:c>
      <x:c r="C17" s="12" t="str">
        <x:v>KI-016</x:v>
      </x:c>
      <x:c r="D17" s="12" t="str">
        <x:v>Cam03 v2</x:v>
      </x:c>
      <x:c r="E17" s="12" t="str">
        <x:v>02b</x:v>
      </x:c>
      <x:c r="F17" s="12" t="str">
        <x:v>FIX</x:v>
      </x:c>
      <x:c r="G17" s="12" t="str">
        <x:v>Gépek</x:v>
      </x:c>
      <x:c r="H17" s="19" t="str">
        <x:v>Bosch HBA534EB3 fekete sütő</x:v>
      </x:c>
      <x:c r="I17" s="19" t="str">
        <x:v>Bosch</x:v>
      </x:c>
      <x:c r="J17" s="19" t="str">
        <x:v>HBA534EB3</x:v>
      </x:c>
      <x:c r="K17" s="19" t="str">
        <x:v>https://media3.bsh-group.com/Documents/specsheet/en-MT/HBA534EB3.pdf</x:v>
      </x:c>
      <x:c r="L17" s="19" t="str">
        <x:v>594×548×595 mm; niche 560–568×550×585–595</x:v>
      </x:c>
      <x:c r="M17" s="19" t="str">
        <x:v>Kyoto Ink: grafit / füstszürke / taupe</x:v>
      </x:c>
      <x:c r="N17" s="19" t="str">
        <x:v>PENDING – műszaki specifikáció szerint</x:v>
      </x:c>
      <x:c r="O17" s="19" t="n">
        <x:v>1</x:v>
      </x:c>
      <x:c r="P17" s="19" t="str">
        <x:v>csomag</x:v>
      </x:c>
      <x:c r="Q17" s="20" t="n">
        <x:v>180000</x:v>
      </x:c>
      <x:c r="R17" s="20" t="n">
        <x:v>0</x:v>
      </x:c>
      <x:c r="S17" s="20" t="n">
        <x:v>0</x:v>
      </x:c>
      <x:c r="T17" s="20" t="n">
        <x:v>0</x:v>
      </x:c>
      <x:c r="U17" s="21" t="n">
        <x:f>O17*Q17+SUM(R17:T17)</x:f>
        <x:v>180000</x:v>
      </x:c>
      <x:c r="V17" s="19" t="str">
        <x:v>előzetes becslés</x:v>
      </x:c>
      <x:c r="W17" s="19" t="str">
        <x:v>https://media3.bsh-group.com/Documents/specsheet/en-MT/HBA534EB3.pdf</x:v>
      </x:c>
      <x:c r="X17" s="19" t="str">
        <x:v>2026-10-26</x:v>
      </x:c>
      <x:c r="Y17" s="19" t="str">
        <x:v>UNKNOWN – ajánlatban visszaigazolandó</x:v>
      </x:c>
      <x:c r="Z17" s="19" t="str">
        <x:v>C</x:v>
      </x:c>
      <x:c r="AA17" s="19" t="str">
        <x:v>Fekete üveg az egyeztetett toronyban; pirolízis helyett EcoClean.</x:v>
      </x:c>
      <x:c r="AB17" s="19" t="str">
        <x:v>PENDING</x:v>
      </x:c>
      <x:c r="AC17" s="19" t="str">
        <x:v>nem megrendelt</x:v>
      </x:c>
      <x:c r="AD17" s="19" t="str">
        <x:v>Beszerzési felelős / Péter</x:v>
      </x:c>
      <x:c r="AE17" s="19" t="str">
        <x:v>PENDING – méret, csatlakozás, anyagminta, teljes bekerülés</x:v>
      </x:c>
      <x:c r="AF17" s="19" t="str">
        <x:v>CP0 becslési csomag: segédanyag és munkadíj a megnevezett tartalom szerint; külön szállítás a 14 sorban. Nem ingyenes szállítás.</x:v>
      </x:c>
      <x:c r="AG17" s="20" t="n">
        <x:v>180000</x:v>
      </x:c>
      <x:c r="AH17" s="21" t="n">
        <x:f>O17*AG17+SUM(R17:T17)</x:f>
        <x:v>180000</x:v>
      </x:c>
      <x:c r="AI17" s="19" t="str">
        <x:v>PENDING</x:v>
      </x:c>
      <x:c r="AJ17" s="19" t="str">
        <x:v>PENDING</x:v>
      </x:c>
      <x:c r="AK17" s="19" t="str">
        <x:v>magyar címre és darabszámra nem visszaigazolt</x:v>
      </x:c>
      <x:c r="AL17" s="19" t="str">
        <x:v>PENDING</x:v>
      </x:c>
      <x:c r="AM17" s="19" t="str">
        <x:v>PENDING</x:v>
      </x:c>
      <x:c r="AN17" s="1" t="str">
        <x:v>KI-016</x:v>
      </x:c>
      <x:c r="AO17" s="1" t="str">
        <x:v>drawings/P-01_alaprajz.pdf</x:v>
      </x:c>
      <x:c r="AP17" s="1" t="str">
        <x:v>NINCS MODELL / nem térbeli költségsor; szakági kapcsolat igazolandó</x:v>
      </x:c>
      <x:c r="AQ17" s="1" t="str">
        <x:v>késztermék / szakági munka</x:v>
      </x:c>
      <x:c r="AR17" s="1" t="str">
        <x:v>gyártói termékoldal/adatlap</x:v>
      </x:c>
      <x:c r="AS17" s="1" t="str">
        <x:v>HUF</x:v>
      </x:c>
      <x:c r="AT17" s="1" t="n">
        <x:v>1</x:v>
      </x:c>
      <x:c r="AU17" s="1" t="str">
        <x:v>nincs visszaigazolt ajánlati érvényesség</x:v>
      </x:c>
      <x:c r="AV17" s="1" t="str">
        <x:v>KI-151 központi keret; daruzás KI-137</x:v>
      </x:c>
      <x:c r="AW17" s="1" t="str">
        <x:v>KI-014 asztalos / KI-106 villamos / KI-026 és KI-096 víz / KI-127 fal</x:v>
      </x:c>
      <x:c r="AX17" s="1" t="n">
        <x:v>6</x:v>
      </x:c>
      <x:c r="AY17" s="1" t="n">
        <x:v>0.85</x:v>
      </x:c>
      <x:c r="AZ17" s="1" t="n">
        <x:v>1.3</x:v>
      </x:c>
      <x:c r="BA17" s="29" t="n">
        <x:f>ROUND(U17*AY17,0)</x:f>
        <x:v>153000</x:v>
      </x:c>
      <x:c r="BB17" s="29" t="n">
        <x:f>ROUND(U17*AZ17,0)</x:f>
        <x:v>234000</x:v>
      </x:c>
    </x:row>
    <x:row r="18" ht="72" customHeight="1">
      <x:c r="A18" s="12" t="str">
        <x:v>A-902</x:v>
      </x:c>
      <x:c r="B18" s="12" t="str">
        <x:v>02</x:v>
      </x:c>
      <x:c r="C18" s="12" t="str">
        <x:v>KI-017</x:v>
      </x:c>
      <x:c r="D18" s="12" t="str">
        <x:v>Cam03 v2</x:v>
      </x:c>
      <x:c r="E18" s="12" t="str">
        <x:v>02b</x:v>
      </x:c>
      <x:c r="F18" s="12" t="str">
        <x:v>FIX</x:v>
      </x:c>
      <x:c r="G18" s="12" t="str">
        <x:v>Gépek</x:v>
      </x:c>
      <x:c r="H18" s="19" t="str">
        <x:v>Bosch PUE611BB5E indukciós főzőlap</x:v>
      </x:c>
      <x:c r="I18" s="19" t="str">
        <x:v>Bosch</x:v>
      </x:c>
      <x:c r="J18" s="19" t="str">
        <x:v>PUE611BB5E</x:v>
      </x:c>
      <x:c r="K18" s="19" t="str">
        <x:v>https://media3.bosch-home.com/Documents/specsheet/en-GB/PUE611BB5E.pdf</x:v>
      </x:c>
      <x:c r="L18" s="19" t="str">
        <x:v>592×522×51 mm; kivágás 560×490–500</x:v>
      </x:c>
      <x:c r="M18" s="19" t="str">
        <x:v>Kyoto Ink: grafit / füstszürke / taupe</x:v>
      </x:c>
      <x:c r="N18" s="19" t="str">
        <x:v>PENDING – műszaki specifikáció szerint</x:v>
      </x:c>
      <x:c r="O18" s="19" t="n">
        <x:v>1</x:v>
      </x:c>
      <x:c r="P18" s="19" t="str">
        <x:v>csomag</x:v>
      </x:c>
      <x:c r="Q18" s="20" t="n">
        <x:v>120000</x:v>
      </x:c>
      <x:c r="R18" s="20" t="n">
        <x:v>0</x:v>
      </x:c>
      <x:c r="S18" s="20" t="n">
        <x:v>0</x:v>
      </x:c>
      <x:c r="T18" s="20" t="n">
        <x:v>0</x:v>
      </x:c>
      <x:c r="U18" s="21" t="n">
        <x:f>O18*Q18+SUM(R18:T18)</x:f>
        <x:v>120000</x:v>
      </x:c>
      <x:c r="V18" s="19" t="str">
        <x:v>előzetes becslés</x:v>
      </x:c>
      <x:c r="W18" s="19" t="str">
        <x:v>https://media3.bosch-home.com/Documents/specsheet/en-GB/PUE611BB5E.pdf</x:v>
      </x:c>
      <x:c r="X18" s="19" t="str">
        <x:v>2026-10-26</x:v>
      </x:c>
      <x:c r="Y18" s="19" t="str">
        <x:v>UNKNOWN – ajánlatban visszaigazolandó</x:v>
      </x:c>
      <x:c r="Z18" s="19" t="str">
        <x:v>C</x:v>
      </x:c>
      <x:c r="AA18" s="19" t="str">
        <x:v>Gyári adatlap szerint 4.6 kW; nem a kereskedői 7.2 kW állítás. Villanyszerelő igazolja az áramkört.</x:v>
      </x:c>
      <x:c r="AB18" s="19" t="str">
        <x:v>PENDING</x:v>
      </x:c>
      <x:c r="AC18" s="19" t="str">
        <x:v>nem megrendelt</x:v>
      </x:c>
      <x:c r="AD18" s="19" t="str">
        <x:v>Beszerzési felelős / Péter</x:v>
      </x:c>
      <x:c r="AE18" s="19" t="str">
        <x:v>PENDING – méret, csatlakozás, anyagminta, teljes bekerülés</x:v>
      </x:c>
      <x:c r="AF18" s="19" t="str">
        <x:v>CP0 becslési csomag: segédanyag és munkadíj a megnevezett tartalom szerint; külön szállítás a 14 sorban. Nem ingyenes szállítás.</x:v>
      </x:c>
      <x:c r="AG18" s="20" t="n">
        <x:v>120000</x:v>
      </x:c>
      <x:c r="AH18" s="21" t="n">
        <x:f>O18*AG18+SUM(R18:T18)</x:f>
        <x:v>120000</x:v>
      </x:c>
      <x:c r="AI18" s="19" t="str">
        <x:v>PENDING</x:v>
      </x:c>
      <x:c r="AJ18" s="19" t="str">
        <x:v>PENDING</x:v>
      </x:c>
      <x:c r="AK18" s="19" t="str">
        <x:v>magyar címre és darabszámra nem visszaigazolt</x:v>
      </x:c>
      <x:c r="AL18" s="19" t="str">
        <x:v>PENDING</x:v>
      </x:c>
      <x:c r="AM18" s="19" t="str">
        <x:v>PENDING</x:v>
      </x:c>
      <x:c r="AN18" s="1" t="str">
        <x:v>KI-017</x:v>
      </x:c>
      <x:c r="AO18" s="1" t="str">
        <x:v>drawings/P-01_alaprajz.pdf</x:v>
      </x:c>
      <x:c r="AP18" s="1" t="str">
        <x:v>NINCS MODELL / nem térbeli költségsor; szakági kapcsolat igazolandó</x:v>
      </x:c>
      <x:c r="AQ18" s="1" t="str">
        <x:v>késztermék / szakági munka</x:v>
      </x:c>
      <x:c r="AR18" s="1" t="str">
        <x:v>gyártói termékoldal/adatlap</x:v>
      </x:c>
      <x:c r="AS18" s="1" t="str">
        <x:v>HUF</x:v>
      </x:c>
      <x:c r="AT18" s="1" t="n">
        <x:v>1</x:v>
      </x:c>
      <x:c r="AU18" s="1" t="str">
        <x:v>nincs visszaigazolt ajánlati érvényesség</x:v>
      </x:c>
      <x:c r="AV18" s="1" t="str">
        <x:v>KI-151 központi keret; daruzás KI-137</x:v>
      </x:c>
      <x:c r="AW18" s="1" t="str">
        <x:v>KI-014 asztalos / KI-106 villamos / KI-026 és KI-096 víz / KI-127 fal</x:v>
      </x:c>
      <x:c r="AX18" s="1" t="n">
        <x:v>6</x:v>
      </x:c>
      <x:c r="AY18" s="1" t="n">
        <x:v>0.85</x:v>
      </x:c>
      <x:c r="AZ18" s="1" t="n">
        <x:v>1.3</x:v>
      </x:c>
      <x:c r="BA18" s="29" t="n">
        <x:f>ROUND(U18*AY18,0)</x:f>
        <x:v>102000</x:v>
      </x:c>
      <x:c r="BB18" s="29" t="n">
        <x:f>ROUND(U18*AZ18,0)</x:f>
        <x:v>156000</x:v>
      </x:c>
    </x:row>
    <x:row r="19" ht="72" customHeight="1">
      <x:c r="A19" s="12" t="str">
        <x:v>A-902</x:v>
      </x:c>
      <x:c r="B19" s="12" t="str">
        <x:v>02</x:v>
      </x:c>
      <x:c r="C19" s="12" t="str">
        <x:v>KI-018</x:v>
      </x:c>
      <x:c r="D19" s="12" t="str">
        <x:v>Cam03 v2</x:v>
      </x:c>
      <x:c r="E19" s="12" t="str">
        <x:v>02b</x:v>
      </x:c>
      <x:c r="F19" s="12" t="str">
        <x:v>FIX</x:v>
      </x:c>
      <x:c r="G19" s="12" t="str">
        <x:v>Gépek</x:v>
      </x:c>
      <x:c r="H19" s="19" t="str">
        <x:v>Páraelszívó</x:v>
      </x:c>
      <x:c r="I19" s="19" t="str">
        <x:v>UNKNOWN</x:v>
      </x:c>
      <x:c r="J19" s="19" t="str">
        <x:v>UNKNOWN</x:v>
      </x:c>
      <x:c r="K19" s="19" t="str">
        <x:v>UNKNOWN</x:v>
      </x:c>
      <x:c r="L19" s="19" t="str">
        <x:v>UNKNOWN – felmérés/gyári adat kell</x:v>
      </x:c>
      <x:c r="M19" s="19" t="str">
        <x:v>Kyoto Ink: grafit / füstszürke / taupe</x:v>
      </x:c>
      <x:c r="N19" s="19" t="str">
        <x:v>PENDING – műszaki specifikáció szerint</x:v>
      </x:c>
      <x:c r="O19" s="19" t="n">
        <x:v>1</x:v>
      </x:c>
      <x:c r="P19" s="19" t="str">
        <x:v>csomag</x:v>
      </x:c>
      <x:c r="Q19" s="20" t="n">
        <x:v>140000</x:v>
      </x:c>
      <x:c r="R19" s="20" t="n">
        <x:v>0</x:v>
      </x:c>
      <x:c r="S19" s="20" t="n">
        <x:v>0</x:v>
      </x:c>
      <x:c r="T19" s="20" t="n">
        <x:v>0</x:v>
      </x:c>
      <x:c r="U19" s="21" t="n">
        <x:f>O19*Q19+SUM(R19:T19)</x:f>
        <x:v>140000</x:v>
      </x:c>
      <x:c r="V19" s="19" t="str">
        <x:v>előzetes becslés</x:v>
      </x:c>
      <x:c r="W19" s="19" t="str">
        <x:v>CP0 tervezői előirányzat, nem webshopár; baseline 02b</x:v>
      </x:c>
      <x:c r="X19" s="19" t="str">
        <x:v>2026-10-26</x:v>
      </x:c>
      <x:c r="Y19" s="19" t="str">
        <x:v>UNKNOWN – ajánlatban visszaigazolandó</x:v>
      </x:c>
      <x:c r="Z19" s="19" t="str">
        <x:v>C</x:v>
      </x:c>
      <x:c r="AA19" s="19" t="str">
        <x:v>PENDING</x:v>
      </x:c>
      <x:c r="AB19" s="19" t="str">
        <x:v>PENDING</x:v>
      </x:c>
      <x:c r="AC19" s="19" t="str">
        <x:v>nem megrendelt</x:v>
      </x:c>
      <x:c r="AD19" s="19" t="str">
        <x:v>Beszerzési felelős / Péter</x:v>
      </x:c>
      <x:c r="AE19" s="19" t="str">
        <x:v>PENDING – méret, csatlakozás, anyagminta, teljes bekerülés</x:v>
      </x:c>
      <x:c r="AF19" s="19" t="str">
        <x:v>CP0 becslési csomag: segédanyag és munkadíj a megnevezett tartalom szerint; külön szállítás a 14 sorban. Nem ingyenes szállítás.</x:v>
      </x:c>
      <x:c r="AG19" s="20" t="n">
        <x:v>140000</x:v>
      </x:c>
      <x:c r="AH19" s="21" t="n">
        <x:f>O19*AG19+SUM(R19:T19)</x:f>
        <x:v>140000</x:v>
      </x:c>
      <x:c r="AI19" s="19" t="str">
        <x:v>PENDING</x:v>
      </x:c>
      <x:c r="AJ19" s="19" t="str">
        <x:v>PENDING</x:v>
      </x:c>
      <x:c r="AK19" s="19" t="str">
        <x:v>PENDING</x:v>
      </x:c>
      <x:c r="AL19" s="19" t="str">
        <x:v>PENDING</x:v>
      </x:c>
      <x:c r="AM19" s="19" t="str">
        <x:v>PENDING</x:v>
      </x:c>
      <x:c r="AN19" s="1" t="str">
        <x:v>KI-018</x:v>
      </x:c>
      <x:c r="AO19" s="1" t="str">
        <x:v>drawings/P-01_alaprajz.pdf</x:v>
      </x:c>
      <x:c r="AP19" s="1" t="str">
        <x:v>NINCS MODELL / nem térbeli költségsor; szakági kapcsolat igazolandó</x:v>
      </x:c>
      <x:c r="AQ19" s="1" t="str">
        <x:v>késztermék / szakági munka</x:v>
      </x:c>
      <x:c r="AR19" s="1" t="str">
        <x:v>felmérés/gyártói rajz szükséges</x:v>
      </x:c>
      <x:c r="AS19" s="1" t="str">
        <x:v>HUF</x:v>
      </x:c>
      <x:c r="AT19" s="1" t="n">
        <x:v>1</x:v>
      </x:c>
      <x:c r="AU19" s="1" t="str">
        <x:v>nincs visszaigazolt ajánlati érvényesség</x:v>
      </x:c>
      <x:c r="AV19" s="1" t="str">
        <x:v>KI-151 központi keret; daruzás KI-137</x:v>
      </x:c>
      <x:c r="AW19" s="1" t="str">
        <x:v>KI-014 asztalos / KI-106 villamos / KI-026 és KI-096 víz / KI-127 fal</x:v>
      </x:c>
      <x:c r="AX19" s="1" t="n">
        <x:v>6</x:v>
      </x:c>
      <x:c r="AY19" s="1" t="n">
        <x:v>0.85</x:v>
      </x:c>
      <x:c r="AZ19" s="1" t="n">
        <x:v>1.3</x:v>
      </x:c>
      <x:c r="BA19" s="29" t="n">
        <x:f>ROUND(U19*AY19,0)</x:f>
        <x:v>119000</x:v>
      </x:c>
      <x:c r="BB19" s="29" t="n">
        <x:f>ROUND(U19*AZ19,0)</x:f>
        <x:v>182000</x:v>
      </x:c>
    </x:row>
    <x:row r="20" ht="72" customHeight="1">
      <x:c r="A20" s="12" t="str">
        <x:v>A-902</x:v>
      </x:c>
      <x:c r="B20" s="12" t="str">
        <x:v>02</x:v>
      </x:c>
      <x:c r="C20" s="12" t="str">
        <x:v>KI-019</x:v>
      </x:c>
      <x:c r="D20" s="12" t="str">
        <x:v>Cam03 v2</x:v>
      </x:c>
      <x:c r="E20" s="12" t="str">
        <x:v>02b</x:v>
      </x:c>
      <x:c r="F20" s="12" t="str">
        <x:v>FIX</x:v>
      </x:c>
      <x:c r="G20" s="12" t="str">
        <x:v>Gépek</x:v>
      </x:c>
      <x:c r="H20" s="19" t="str">
        <x:v>Bosch KIN86VSE0 integrált hűtő</x:v>
      </x:c>
      <x:c r="I20" s="19" t="str">
        <x:v>Bosch</x:v>
      </x:c>
      <x:c r="J20" s="19" t="str">
        <x:v>KIN86VSE0</x:v>
      </x:c>
      <x:c r="K20" s="19" t="str">
        <x:v>https://www.bosch-home.fr/fr/product/le-froid/refrigerateurs-combines/combines-avec-congelateurs-en-bas-encastrable/KIN86VSE0</x:v>
      </x:c>
      <x:c r="L20" s="19" t="str">
        <x:v>541×548×1772 mm</x:v>
      </x:c>
      <x:c r="M20" s="19" t="str">
        <x:v>Kyoto Ink: grafit / füstszürke / taupe</x:v>
      </x:c>
      <x:c r="N20" s="19" t="str">
        <x:v>PENDING – műszaki specifikáció szerint</x:v>
      </x:c>
      <x:c r="O20" s="19" t="n">
        <x:v>1</x:v>
      </x:c>
      <x:c r="P20" s="19" t="str">
        <x:v>csomag</x:v>
      </x:c>
      <x:c r="Q20" s="20" t="n">
        <x:v>380000</x:v>
      </x:c>
      <x:c r="R20" s="20" t="n">
        <x:v>0</x:v>
      </x:c>
      <x:c r="S20" s="20" t="n">
        <x:v>0</x:v>
      </x:c>
      <x:c r="T20" s="20" t="n">
        <x:v>0</x:v>
      </x:c>
      <x:c r="U20" s="21" t="n">
        <x:f>O20*Q20+SUM(R20:T20)</x:f>
        <x:v>380000</x:v>
      </x:c>
      <x:c r="V20" s="19" t="str">
        <x:v>előzetes becslés</x:v>
      </x:c>
      <x:c r="W20" s="19" t="str">
        <x:v>https://www.bosch-home.fr/fr/product/le-froid/refrigerateurs-combines/combines-avec-congelateurs-en-bas-encastrable/KIN86VSE0</x:v>
      </x:c>
      <x:c r="X20" s="19" t="str">
        <x:v>2026-10-26</x:v>
      </x:c>
      <x:c r="Y20" s="19" t="str">
        <x:v>UNKNOWN – ajánlatban visszaigazolandó</x:v>
      </x:c>
      <x:c r="Z20" s="19" t="str">
        <x:v>C</x:v>
      </x:c>
      <x:c r="AA20" s="19" t="str">
        <x:v>Chalk bútorfront takarja; 999 EUR francia ár csak támpont, HU ajánlat hiányzik.</x:v>
      </x:c>
      <x:c r="AB20" s="19" t="str">
        <x:v>PENDING</x:v>
      </x:c>
      <x:c r="AC20" s="19" t="str">
        <x:v>nem megrendelt</x:v>
      </x:c>
      <x:c r="AD20" s="19" t="str">
        <x:v>Beszerzési felelős / Péter</x:v>
      </x:c>
      <x:c r="AE20" s="19" t="str">
        <x:v>PENDING – méret, csatlakozás, anyagminta, teljes bekerülés</x:v>
      </x:c>
      <x:c r="AF20" s="19" t="str">
        <x:v>CP0 becslési csomag: segédanyag és munkadíj a megnevezett tartalom szerint; külön szállítás a 14 sorban. Nem ingyenes szállítás.</x:v>
      </x:c>
      <x:c r="AG20" s="20" t="n">
        <x:v>380000</x:v>
      </x:c>
      <x:c r="AH20" s="21" t="n">
        <x:f>O20*AG20+SUM(R20:T20)</x:f>
        <x:v>380000</x:v>
      </x:c>
      <x:c r="AI20" s="19" t="str">
        <x:v>PENDING</x:v>
      </x:c>
      <x:c r="AJ20" s="19" t="str">
        <x:v>PENDING</x:v>
      </x:c>
      <x:c r="AK20" s="19" t="str">
        <x:v>magyar címre és darabszámra nem visszaigazolt</x:v>
      </x:c>
      <x:c r="AL20" s="19" t="str">
        <x:v>PENDING</x:v>
      </x:c>
      <x:c r="AM20" s="19" t="str">
        <x:v>PENDING</x:v>
      </x:c>
      <x:c r="AN20" s="1" t="str">
        <x:v>KI-019</x:v>
      </x:c>
      <x:c r="AO20" s="1" t="str">
        <x:v>drawings/P-01_alaprajz.pdf</x:v>
      </x:c>
      <x:c r="AP20" s="1" t="str">
        <x:v>NINCS MODELL / nem térbeli költségsor; szakági kapcsolat igazolandó</x:v>
      </x:c>
      <x:c r="AQ20" s="1" t="str">
        <x:v>késztermék / szakági munka</x:v>
      </x:c>
      <x:c r="AR20" s="1" t="str">
        <x:v>gyártói termékoldal/adatlap</x:v>
      </x:c>
      <x:c r="AS20" s="1" t="str">
        <x:v>HUF</x:v>
      </x:c>
      <x:c r="AT20" s="1" t="n">
        <x:v>1</x:v>
      </x:c>
      <x:c r="AU20" s="1" t="str">
        <x:v>nincs visszaigazolt ajánlati érvényesség</x:v>
      </x:c>
      <x:c r="AV20" s="1" t="str">
        <x:v>KI-151 központi keret; daruzás KI-137</x:v>
      </x:c>
      <x:c r="AW20" s="1" t="str">
        <x:v>KI-014 asztalos / KI-106 villamos / KI-026 és KI-096 víz / KI-127 fal</x:v>
      </x:c>
      <x:c r="AX20" s="1" t="n">
        <x:v>6</x:v>
      </x:c>
      <x:c r="AY20" s="1" t="n">
        <x:v>0.85</x:v>
      </x:c>
      <x:c r="AZ20" s="1" t="n">
        <x:v>1.3</x:v>
      </x:c>
      <x:c r="BA20" s="29" t="n">
        <x:f>ROUND(U20*AY20,0)</x:f>
        <x:v>323000</x:v>
      </x:c>
      <x:c r="BB20" s="29" t="n">
        <x:f>ROUND(U20*AZ20,0)</x:f>
        <x:v>494000</x:v>
      </x:c>
    </x:row>
    <x:row r="21" ht="72" customHeight="1">
      <x:c r="A21" s="12" t="str">
        <x:v>A-902</x:v>
      </x:c>
      <x:c r="B21" s="12" t="str">
        <x:v>02</x:v>
      </x:c>
      <x:c r="C21" s="12" t="str">
        <x:v>KI-020</x:v>
      </x:c>
      <x:c r="D21" s="12" t="str">
        <x:v>Cam03 v2</x:v>
      </x:c>
      <x:c r="E21" s="12" t="str">
        <x:v>02b</x:v>
      </x:c>
      <x:c r="F21" s="12" t="str">
        <x:v>FIX</x:v>
      </x:c>
      <x:c r="G21" s="12" t="str">
        <x:v>Gépek</x:v>
      </x:c>
      <x:c r="H21" s="19" t="str">
        <x:v>Bosch SMV4EVX00E</x:v>
      </x:c>
      <x:c r="I21" s="19" t="str">
        <x:v>Bosch</x:v>
      </x:c>
      <x:c r="J21" s="19" t="str">
        <x:v>SMV4EVX00E</x:v>
      </x:c>
      <x:c r="K21" s="19" t="str">
        <x:v>https://www.bosch-home.co.uk/supportdetail/product/SMV4EVX00E/69</x:v>
      </x:c>
      <x:c r="L21" s="19" t="str">
        <x:v>598×550×815 mm; nyitva teljes mélység1150 mm</x:v>
      </x:c>
      <x:c r="M21" s="19" t="str">
        <x:v>Kyoto Ink: grafit / füstszürke / taupe</x:v>
      </x:c>
      <x:c r="N21" s="19" t="str">
        <x:v>PENDING – műszaki specifikáció szerint</x:v>
      </x:c>
      <x:c r="O21" s="19" t="n">
        <x:v>1</x:v>
      </x:c>
      <x:c r="P21" s="19" t="str">
        <x:v>csomag</x:v>
      </x:c>
      <x:c r="Q21" s="20" t="n">
        <x:v>220000</x:v>
      </x:c>
      <x:c r="R21" s="20" t="n">
        <x:v>0</x:v>
      </x:c>
      <x:c r="S21" s="20" t="n">
        <x:v>0</x:v>
      </x:c>
      <x:c r="T21" s="20" t="n">
        <x:v>0</x:v>
      </x:c>
      <x:c r="U21" s="21" t="n">
        <x:f>O21*Q21+SUM(R21:T21)</x:f>
        <x:v>220000</x:v>
      </x:c>
      <x:c r="V21" s="19" t="str">
        <x:v>előzetes becslés</x:v>
      </x:c>
      <x:c r="W21" s="19" t="str">
        <x:v>https://www.bosch-home.co.uk/supportdetail/product/SMV4EVX00E/69; ár: CP1a becslés, nincs kereskedői ajánlat</x:v>
      </x:c>
      <x:c r="X21" s="19" t="str">
        <x:v>2026-10-26</x:v>
      </x:c>
      <x:c r="Y21" s="19" t="str">
        <x:v>UNKNOWN – ajánlatban visszaigazolandó</x:v>
      </x:c>
      <x:c r="Z21" s="19" t="str">
        <x:v>C</x:v>
      </x:c>
      <x:c r="AA21" s="19" t="str">
        <x:v>Teljesen integrált; K-04 szabad nyílás600mm. Ajtónyitás szűkíti a konyhai folyosót.</x:v>
      </x:c>
      <x:c r="AB21" s="19" t="str">
        <x:v>PENDING</x:v>
      </x:c>
      <x:c r="AC21" s="19" t="str">
        <x:v>nem megrendelt</x:v>
      </x:c>
      <x:c r="AD21" s="19" t="str">
        <x:v>Beszerzési felelős / Péter</x:v>
      </x:c>
      <x:c r="AE21" s="19" t="str">
        <x:v>Teljesen integrált; K-04 szabad nyílás600mm. Ajtónyitás szűkíti a konyhai folyosót.</x:v>
      </x:c>
      <x:c r="AF21" s="19" t="str">
        <x:v>CP0 becslési csomag: segédanyag és munkadíj a megnevezett tartalom szerint; külön szállítás a 14 sorban. Nem ingyenes szállítás.</x:v>
      </x:c>
      <x:c r="AG21" s="20" t="n">
        <x:v>220000</x:v>
      </x:c>
      <x:c r="AH21" s="21" t="n">
        <x:f>O21*AG21+SUM(R21:T21)</x:f>
        <x:v>220000</x:v>
      </x:c>
      <x:c r="AI21" s="19" t="str">
        <x:v>PENDING</x:v>
      </x:c>
      <x:c r="AJ21" s="19" t="str">
        <x:v>PENDING</x:v>
      </x:c>
      <x:c r="AK21" s="19" t="str">
        <x:v>PENDING</x:v>
      </x:c>
      <x:c r="AL21" s="19" t="str">
        <x:v>PENDING</x:v>
      </x:c>
      <x:c r="AM21" s="19" t="str">
        <x:v>PENDING</x:v>
      </x:c>
      <x:c r="AN21" s="1" t="str">
        <x:v>KI-020</x:v>
      </x:c>
      <x:c r="AO21" s="1" t="str">
        <x:v>drawings/P-01_alaprajz.pdf</x:v>
      </x:c>
      <x:c r="AP21" s="1" t="str">
        <x:v>NINCS MODELL / nem térbeli költségsor; szakági kapcsolat igazolandó</x:v>
      </x:c>
      <x:c r="AQ21" s="1" t="str">
        <x:v>késztermék / szakági munka</x:v>
      </x:c>
      <x:c r="AR21" s="1" t="str">
        <x:v>gyártói adatlap; illesztés még nyitott</x:v>
      </x:c>
      <x:c r="AS21" s="1" t="str">
        <x:v>HUF</x:v>
      </x:c>
      <x:c r="AT21" s="1" t="n">
        <x:v>1</x:v>
      </x:c>
      <x:c r="AU21" s="1" t="str">
        <x:v>nincs visszaigazolt ajánlati érvényesség</x:v>
      </x:c>
      <x:c r="AV21" s="1" t="str">
        <x:v>KI-151 központi keret; daruzás KI-137</x:v>
      </x:c>
      <x:c r="AW21" s="1" t="str">
        <x:v>KI-014 asztalos / KI-106 villamos / KI-026 és KI-096 víz / KI-127 fal</x:v>
      </x:c>
      <x:c r="AX21" s="1" t="n">
        <x:v>6</x:v>
      </x:c>
      <x:c r="AY21" s="1" t="n">
        <x:v>0.85</x:v>
      </x:c>
      <x:c r="AZ21" s="1" t="n">
        <x:v>1.3</x:v>
      </x:c>
      <x:c r="BA21" s="29" t="n">
        <x:f>ROUND(U21*AY21,0)</x:f>
        <x:v>187000</x:v>
      </x:c>
      <x:c r="BB21" s="29" t="n">
        <x:f>ROUND(U21*AZ21,0)</x:f>
        <x:v>286000</x:v>
      </x:c>
    </x:row>
    <x:row r="22" ht="72" customHeight="1">
      <x:c r="A22" s="12" t="str">
        <x:v>A-902</x:v>
      </x:c>
      <x:c r="B22" s="12" t="str">
        <x:v>02</x:v>
      </x:c>
      <x:c r="C22" s="12" t="str">
        <x:v>KI-021</x:v>
      </x:c>
      <x:c r="D22" s="12" t="str">
        <x:v>Cam03 v2</x:v>
      </x:c>
      <x:c r="E22" s="12" t="str">
        <x:v>02b</x:v>
      </x:c>
      <x:c r="F22" s="12" t="str">
        <x:v>FIX</x:v>
      </x:c>
      <x:c r="G22" s="12" t="str">
        <x:v>Gépek</x:v>
      </x:c>
      <x:c r="H22" s="19" t="str">
        <x:v>Bosch BFL524MB0 fekete mikro</x:v>
      </x:c>
      <x:c r="I22" s="19" t="str">
        <x:v>Bosch</x:v>
      </x:c>
      <x:c r="J22" s="19" t="str">
        <x:v>BFL524MB0</x:v>
      </x:c>
      <x:c r="K22" s="19" t="str">
        <x:v>https://media3.bosch-home.com/Documents/specsheet/sk-SK/BFL524MB0.pdf</x:v>
      </x:c>
      <x:c r="L22" s="19" t="str">
        <x:v>594×317×382 mm; niche 560–568×300×362–365</x:v>
      </x:c>
      <x:c r="M22" s="19" t="str">
        <x:v>Kyoto Ink: grafit / füstszürke / taupe</x:v>
      </x:c>
      <x:c r="N22" s="19" t="str">
        <x:v>PENDING – műszaki specifikáció szerint</x:v>
      </x:c>
      <x:c r="O22" s="19" t="n">
        <x:v>1</x:v>
      </x:c>
      <x:c r="P22" s="19" t="str">
        <x:v>csomag</x:v>
      </x:c>
      <x:c r="Q22" s="20" t="n">
        <x:v>145000</x:v>
      </x:c>
      <x:c r="R22" s="20" t="n">
        <x:v>0</x:v>
      </x:c>
      <x:c r="S22" s="20" t="n">
        <x:v>0</x:v>
      </x:c>
      <x:c r="T22" s="20" t="n">
        <x:v>0</x:v>
      </x:c>
      <x:c r="U22" s="21" t="n">
        <x:f>O22*Q22+SUM(R22:T22)</x:f>
        <x:v>145000</x:v>
      </x:c>
      <x:c r="V22" s="19" t="str">
        <x:v>előzetes becslés</x:v>
      </x:c>
      <x:c r="W22" s="19" t="str">
        <x:v>https://media3.bosch-home.com/Documents/specsheet/sk-SK/BFL524MB0.pdf</x:v>
      </x:c>
      <x:c r="X22" s="19" t="str">
        <x:v>2026-10-26</x:v>
      </x:c>
      <x:c r="Y22" s="19" t="str">
        <x:v>UNKNOWN – ajánlatban visszaigazolandó</x:v>
      </x:c>
      <x:c r="Z22" s="19" t="str">
        <x:v>C</x:v>
      </x:c>
      <x:c r="AA22" s="19" t="str">
        <x:v>Sütővel összehangolt fekete front; bal oldali zsanér.</x:v>
      </x:c>
      <x:c r="AB22" s="19" t="str">
        <x:v>PENDING</x:v>
      </x:c>
      <x:c r="AC22" s="19" t="str">
        <x:v>nem megrendelt</x:v>
      </x:c>
      <x:c r="AD22" s="19" t="str">
        <x:v>Beszerzési felelős / Péter</x:v>
      </x:c>
      <x:c r="AE22" s="19" t="str">
        <x:v>PENDING – méret, csatlakozás, anyagminta, teljes bekerülés</x:v>
      </x:c>
      <x:c r="AF22" s="19" t="str">
        <x:v>CP0 becslési csomag: segédanyag és munkadíj a megnevezett tartalom szerint; külön szállítás a 14 sorban. Nem ingyenes szállítás.</x:v>
      </x:c>
      <x:c r="AG22" s="20" t="n">
        <x:v>145000</x:v>
      </x:c>
      <x:c r="AH22" s="21" t="n">
        <x:f>O22*AG22+SUM(R22:T22)</x:f>
        <x:v>145000</x:v>
      </x:c>
      <x:c r="AI22" s="19" t="str">
        <x:v>PENDING</x:v>
      </x:c>
      <x:c r="AJ22" s="19" t="str">
        <x:v>PENDING</x:v>
      </x:c>
      <x:c r="AK22" s="19" t="str">
        <x:v>magyar címre és darabszámra nem visszaigazolt</x:v>
      </x:c>
      <x:c r="AL22" s="19" t="str">
        <x:v>PENDING</x:v>
      </x:c>
      <x:c r="AM22" s="19" t="str">
        <x:v>PENDING</x:v>
      </x:c>
      <x:c r="AN22" s="1" t="str">
        <x:v>KI-021</x:v>
      </x:c>
      <x:c r="AO22" s="1" t="str">
        <x:v>drawings/P-01_alaprajz.pdf</x:v>
      </x:c>
      <x:c r="AP22" s="1" t="str">
        <x:v>NINCS MODELL / nem térbeli költségsor; szakági kapcsolat igazolandó</x:v>
      </x:c>
      <x:c r="AQ22" s="1" t="str">
        <x:v>késztermék / szakági munka</x:v>
      </x:c>
      <x:c r="AR22" s="1" t="str">
        <x:v>gyártói termékoldal/adatlap</x:v>
      </x:c>
      <x:c r="AS22" s="1" t="str">
        <x:v>HUF</x:v>
      </x:c>
      <x:c r="AT22" s="1" t="n">
        <x:v>1</x:v>
      </x:c>
      <x:c r="AU22" s="1" t="str">
        <x:v>nincs visszaigazolt ajánlati érvényesség</x:v>
      </x:c>
      <x:c r="AV22" s="1" t="str">
        <x:v>KI-151 központi keret; daruzás KI-137</x:v>
      </x:c>
      <x:c r="AW22" s="1" t="str">
        <x:v>KI-014 asztalos / KI-106 villamos / KI-026 és KI-096 víz / KI-127 fal</x:v>
      </x:c>
      <x:c r="AX22" s="1" t="n">
        <x:v>6</x:v>
      </x:c>
      <x:c r="AY22" s="1" t="n">
        <x:v>0.85</x:v>
      </x:c>
      <x:c r="AZ22" s="1" t="n">
        <x:v>1.3</x:v>
      </x:c>
      <x:c r="BA22" s="29" t="n">
        <x:f>ROUND(U22*AY22,0)</x:f>
        <x:v>123250</x:v>
      </x:c>
      <x:c r="BB22" s="29" t="n">
        <x:f>ROUND(U22*AZ22,0)</x:f>
        <x:v>188500</x:v>
      </x:c>
    </x:row>
    <x:row r="23" ht="72" customHeight="1">
      <x:c r="A23" s="12" t="str">
        <x:v>A-902</x:v>
      </x:c>
      <x:c r="B23" s="12" t="str">
        <x:v>02</x:v>
      </x:c>
      <x:c r="C23" s="12" t="str">
        <x:v>KI-022</x:v>
      </x:c>
      <x:c r="D23" s="12" t="str">
        <x:v>Cam03 v2</x:v>
      </x:c>
      <x:c r="E23" s="12" t="str">
        <x:v>02b</x:v>
      </x:c>
      <x:c r="F23" s="12" t="str">
        <x:v>FIX</x:v>
      </x:c>
      <x:c r="G23" s="12" t="str">
        <x:v>Gépek</x:v>
      </x:c>
      <x:c r="H23" s="19" t="str">
        <x:v>Elszívó csatorna és visszacsapás</x:v>
      </x:c>
      <x:c r="I23" s="19" t="str">
        <x:v>UNKNOWN</x:v>
      </x:c>
      <x:c r="J23" s="19" t="str">
        <x:v>UNKNOWN</x:v>
      </x:c>
      <x:c r="K23" s="19" t="str">
        <x:v>UNKNOWN</x:v>
      </x:c>
      <x:c r="L23" s="19" t="str">
        <x:v>UNKNOWN – felmérés/gyári adat kell</x:v>
      </x:c>
      <x:c r="M23" s="19" t="str">
        <x:v>Kyoto Ink: grafit / füstszürke / taupe</x:v>
      </x:c>
      <x:c r="N23" s="19" t="str">
        <x:v>PENDING – műszaki specifikáció szerint</x:v>
      </x:c>
      <x:c r="O23" s="19" t="n">
        <x:v>1</x:v>
      </x:c>
      <x:c r="P23" s="19" t="str">
        <x:v>csomag</x:v>
      </x:c>
      <x:c r="Q23" s="20" t="n">
        <x:v>50000</x:v>
      </x:c>
      <x:c r="R23" s="20" t="n">
        <x:v>0</x:v>
      </x:c>
      <x:c r="S23" s="20" t="n">
        <x:v>0</x:v>
      </x:c>
      <x:c r="T23" s="20" t="n">
        <x:v>0</x:v>
      </x:c>
      <x:c r="U23" s="21" t="n">
        <x:f>O23*Q23+SUM(R23:T23)</x:f>
        <x:v>50000</x:v>
      </x:c>
      <x:c r="V23" s="19" t="str">
        <x:v>előzetes becslés</x:v>
      </x:c>
      <x:c r="W23" s="19" t="str">
        <x:v>CP0 tervezői előirányzat, nem webshopár; baseline 02b</x:v>
      </x:c>
      <x:c r="X23" s="19" t="str">
        <x:v>2026-10-26</x:v>
      </x:c>
      <x:c r="Y23" s="19" t="str">
        <x:v>UNKNOWN – ajánlatban visszaigazolandó</x:v>
      </x:c>
      <x:c r="Z23" s="19" t="str">
        <x:v>C</x:v>
      </x:c>
      <x:c r="AA23" s="19" t="str">
        <x:v>PENDING</x:v>
      </x:c>
      <x:c r="AB23" s="19" t="str">
        <x:v>PENDING</x:v>
      </x:c>
      <x:c r="AC23" s="19" t="str">
        <x:v>nem megrendelt</x:v>
      </x:c>
      <x:c r="AD23" s="19" t="str">
        <x:v>Beszerzési felelős / Péter</x:v>
      </x:c>
      <x:c r="AE23" s="19" t="str">
        <x:v>PENDING – méret, csatlakozás, anyagminta, teljes bekerülés</x:v>
      </x:c>
      <x:c r="AF23" s="19" t="str">
        <x:v>CP0 becslési csomag: segédanyag és munkadíj a megnevezett tartalom szerint; külön szállítás a 14 sorban. Nem ingyenes szállítás.</x:v>
      </x:c>
      <x:c r="AG23" s="20" t="n">
        <x:v>50000</x:v>
      </x:c>
      <x:c r="AH23" s="21" t="n">
        <x:f>O23*AG23+SUM(R23:T23)</x:f>
        <x:v>50000</x:v>
      </x:c>
      <x:c r="AI23" s="19" t="str">
        <x:v>PENDING</x:v>
      </x:c>
      <x:c r="AJ23" s="19" t="str">
        <x:v>PENDING</x:v>
      </x:c>
      <x:c r="AK23" s="19" t="str">
        <x:v>PENDING</x:v>
      </x:c>
      <x:c r="AL23" s="19" t="str">
        <x:v>PENDING</x:v>
      </x:c>
      <x:c r="AM23" s="19" t="str">
        <x:v>PENDING</x:v>
      </x:c>
      <x:c r="AN23" s="1" t="str">
        <x:v>KI-022</x:v>
      </x:c>
      <x:c r="AO23" s="1" t="str">
        <x:v>drawings/P-01_alaprajz.pdf</x:v>
      </x:c>
      <x:c r="AP23" s="1" t="str">
        <x:v>NINCS MODELL / nem térbeli költségsor; szakági kapcsolat igazolandó</x:v>
      </x:c>
      <x:c r="AQ23" s="1" t="str">
        <x:v>késztermék / szakági munka</x:v>
      </x:c>
      <x:c r="AR23" s="1" t="str">
        <x:v>felmérés/gyártói rajz szükséges</x:v>
      </x:c>
      <x:c r="AS23" s="1" t="str">
        <x:v>HUF</x:v>
      </x:c>
      <x:c r="AT23" s="1" t="n">
        <x:v>1</x:v>
      </x:c>
      <x:c r="AU23" s="1" t="str">
        <x:v>nincs visszaigazolt ajánlati érvényesség</x:v>
      </x:c>
      <x:c r="AV23" s="1" t="str">
        <x:v>KI-151 központi keret; daruzás KI-137</x:v>
      </x:c>
      <x:c r="AW23" s="1" t="str">
        <x:v>KI-014 asztalos / KI-106 villamos / KI-026 és KI-096 víz / KI-127 fal</x:v>
      </x:c>
      <x:c r="AX23" s="1" t="n">
        <x:v>6</x:v>
      </x:c>
      <x:c r="AY23" s="1" t="n">
        <x:v>0.85</x:v>
      </x:c>
      <x:c r="AZ23" s="1" t="n">
        <x:v>1.3</x:v>
      </x:c>
      <x:c r="BA23" s="29" t="n">
        <x:f>ROUND(U23*AY23,0)</x:f>
        <x:v>42500</x:v>
      </x:c>
      <x:c r="BB23" s="29" t="n">
        <x:f>ROUND(U23*AZ23,0)</x:f>
        <x:v>65000</x:v>
      </x:c>
    </x:row>
    <x:row r="24" ht="72" customHeight="1">
      <x:c r="A24" s="12" t="str">
        <x:v>A-902</x:v>
      </x:c>
      <x:c r="B24" s="12" t="str">
        <x:v>02</x:v>
      </x:c>
      <x:c r="C24" s="12" t="str">
        <x:v>KI-023</x:v>
      </x:c>
      <x:c r="D24" s="12" t="str">
        <x:v>Cam03 v2</x:v>
      </x:c>
      <x:c r="E24" s="12" t="str">
        <x:v>02b</x:v>
      </x:c>
      <x:c r="F24" s="12" t="str">
        <x:v>FIX</x:v>
      </x:c>
      <x:c r="G24" s="12" t="str">
        <x:v>Gépek</x:v>
      </x:c>
      <x:c r="H24" s="19" t="str">
        <x:v>Gépek beüzemelése és bútorfront illesztése</x:v>
      </x:c>
      <x:c r="I24" s="19" t="str">
        <x:v>UNKNOWN</x:v>
      </x:c>
      <x:c r="J24" s="19" t="str">
        <x:v>UNKNOWN</x:v>
      </x:c>
      <x:c r="K24" s="19" t="str">
        <x:v>UNKNOWN</x:v>
      </x:c>
      <x:c r="L24" s="19" t="str">
        <x:v>UNKNOWN – felmérés/gyári adat kell</x:v>
      </x:c>
      <x:c r="M24" s="19" t="str">
        <x:v>Kyoto Ink: grafit / füstszürke / taupe</x:v>
      </x:c>
      <x:c r="N24" s="19" t="str">
        <x:v>PENDING – műszaki specifikáció szerint</x:v>
      </x:c>
      <x:c r="O24" s="19" t="n">
        <x:v>1</x:v>
      </x:c>
      <x:c r="P24" s="19" t="str">
        <x:v>csomag</x:v>
      </x:c>
      <x:c r="Q24" s="20" t="n">
        <x:v>50000</x:v>
      </x:c>
      <x:c r="R24" s="20" t="n">
        <x:v>0</x:v>
      </x:c>
      <x:c r="S24" s="20" t="n">
        <x:v>0</x:v>
      </x:c>
      <x:c r="T24" s="20" t="n">
        <x:v>0</x:v>
      </x:c>
      <x:c r="U24" s="21" t="n">
        <x:f>O24*Q24+SUM(R24:T24)</x:f>
        <x:v>50000</x:v>
      </x:c>
      <x:c r="V24" s="19" t="str">
        <x:v>előzetes becslés</x:v>
      </x:c>
      <x:c r="W24" s="19" t="str">
        <x:v>CP0 tervezői előirányzat, nem webshopár; baseline 02b</x:v>
      </x:c>
      <x:c r="X24" s="19" t="str">
        <x:v>2026-10-26</x:v>
      </x:c>
      <x:c r="Y24" s="19" t="str">
        <x:v>UNKNOWN – ajánlatban visszaigazolandó</x:v>
      </x:c>
      <x:c r="Z24" s="19" t="str">
        <x:v>C</x:v>
      </x:c>
      <x:c r="AA24" s="19" t="str">
        <x:v>PENDING</x:v>
      </x:c>
      <x:c r="AB24" s="19" t="str">
        <x:v>PENDING</x:v>
      </x:c>
      <x:c r="AC24" s="19" t="str">
        <x:v>nem megrendelt</x:v>
      </x:c>
      <x:c r="AD24" s="19" t="str">
        <x:v>Beszerzési felelős / Péter</x:v>
      </x:c>
      <x:c r="AE24" s="19" t="str">
        <x:v>PENDING – méret, csatlakozás, anyagminta, teljes bekerülés</x:v>
      </x:c>
      <x:c r="AF24" s="19" t="str">
        <x:v>CP0 becslési csomag: segédanyag és munkadíj a megnevezett tartalom szerint; külön szállítás a 14 sorban. Nem ingyenes szállítás.</x:v>
      </x:c>
      <x:c r="AG24" s="20" t="n">
        <x:v>50000</x:v>
      </x:c>
      <x:c r="AH24" s="21" t="n">
        <x:f>O24*AG24+SUM(R24:T24)</x:f>
        <x:v>50000</x:v>
      </x:c>
      <x:c r="AI24" s="19" t="str">
        <x:v>PENDING</x:v>
      </x:c>
      <x:c r="AJ24" s="19" t="str">
        <x:v>PENDING</x:v>
      </x:c>
      <x:c r="AK24" s="19" t="str">
        <x:v>PENDING</x:v>
      </x:c>
      <x:c r="AL24" s="19" t="str">
        <x:v>PENDING</x:v>
      </x:c>
      <x:c r="AM24" s="19" t="str">
        <x:v>PENDING</x:v>
      </x:c>
      <x:c r="AN24" s="1" t="str">
        <x:v>KI-023</x:v>
      </x:c>
      <x:c r="AO24" s="1" t="str">
        <x:v>drawings/P-01_alaprajz.pdf</x:v>
      </x:c>
      <x:c r="AP24" s="1" t="str">
        <x:v>NINCS MODELL / nem térbeli költségsor; szakági kapcsolat igazolandó</x:v>
      </x:c>
      <x:c r="AQ24" s="1" t="str">
        <x:v>késztermék / szakági munka</x:v>
      </x:c>
      <x:c r="AR24" s="1" t="str">
        <x:v>felmérés/gyártói rajz szükséges</x:v>
      </x:c>
      <x:c r="AS24" s="1" t="str">
        <x:v>HUF</x:v>
      </x:c>
      <x:c r="AT24" s="1" t="n">
        <x:v>1</x:v>
      </x:c>
      <x:c r="AU24" s="1" t="str">
        <x:v>nincs visszaigazolt ajánlati érvényesség</x:v>
      </x:c>
      <x:c r="AV24" s="1" t="str">
        <x:v>KI-151 központi keret; daruzás KI-137</x:v>
      </x:c>
      <x:c r="AW24" s="1" t="str">
        <x:v>KI-014 asztalos / KI-106 villamos / KI-026 és KI-096 víz / KI-127 fal</x:v>
      </x:c>
      <x:c r="AX24" s="1" t="n">
        <x:v>6</x:v>
      </x:c>
      <x:c r="AY24" s="1" t="n">
        <x:v>0.85</x:v>
      </x:c>
      <x:c r="AZ24" s="1" t="n">
        <x:v>1.3</x:v>
      </x:c>
      <x:c r="BA24" s="29" t="n">
        <x:f>ROUND(U24*AY24,0)</x:f>
        <x:v>42500</x:v>
      </x:c>
      <x:c r="BB24" s="29" t="n">
        <x:f>ROUND(U24*AZ24,0)</x:f>
        <x:v>65000</x:v>
      </x:c>
    </x:row>
    <x:row r="25" ht="72" customHeight="1">
      <x:c r="A25" s="12" t="str">
        <x:v>A-902</x:v>
      </x:c>
      <x:c r="B25" s="12" t="str">
        <x:v>02</x:v>
      </x:c>
      <x:c r="C25" s="12" t="str">
        <x:v>KI-024</x:v>
      </x:c>
      <x:c r="D25" s="12" t="str">
        <x:v>NEM RENDERELT</x:v>
      </x:c>
      <x:c r="E25" s="12" t="str">
        <x:v>02c</x:v>
      </x:c>
      <x:c r="F25" s="12" t="str">
        <x:v>FIX</x:v>
      </x:c>
      <x:c r="G25" s="12" t="str">
        <x:v>Vízszerelés</x:v>
      </x:c>
      <x:c r="H25" s="19" t="str">
        <x:v>Mosogató</x:v>
      </x:c>
      <x:c r="I25" s="19" t="str">
        <x:v>UNKNOWN</x:v>
      </x:c>
      <x:c r="J25" s="19" t="str">
        <x:v>UNKNOWN</x:v>
      </x:c>
      <x:c r="K25" s="19" t="str">
        <x:v>UNKNOWN</x:v>
      </x:c>
      <x:c r="L25" s="19" t="str">
        <x:v>UNKNOWN – felmérés/gyári adat kell</x:v>
      </x:c>
      <x:c r="M25" s="19" t="str">
        <x:v>Kyoto Ink: grafit / füstszürke / taupe</x:v>
      </x:c>
      <x:c r="N25" s="19" t="str">
        <x:v>PENDING – műszaki specifikáció szerint</x:v>
      </x:c>
      <x:c r="O25" s="19" t="n">
        <x:v>1</x:v>
      </x:c>
      <x:c r="P25" s="19" t="str">
        <x:v>csomag</x:v>
      </x:c>
      <x:c r="Q25" s="20" t="n">
        <x:v>110000</x:v>
      </x:c>
      <x:c r="R25" s="20" t="n">
        <x:v>0</x:v>
      </x:c>
      <x:c r="S25" s="20" t="n">
        <x:v>0</x:v>
      </x:c>
      <x:c r="T25" s="20" t="n">
        <x:v>0</x:v>
      </x:c>
      <x:c r="U25" s="21" t="n">
        <x:f>O25*Q25+SUM(R25:T25)</x:f>
        <x:v>110000</x:v>
      </x:c>
      <x:c r="V25" s="19" t="str">
        <x:v>előzetes becslés</x:v>
      </x:c>
      <x:c r="W25" s="19" t="str">
        <x:v>CP0 tervezői előirányzat, nem webshopár; baseline 02c</x:v>
      </x:c>
      <x:c r="X25" s="19" t="str">
        <x:v>2026-10-26</x:v>
      </x:c>
      <x:c r="Y25" s="19" t="str">
        <x:v>UNKNOWN – ajánlatban visszaigazolandó</x:v>
      </x:c>
      <x:c r="Z25" s="19" t="str">
        <x:v>C</x:v>
      </x:c>
      <x:c r="AA25" s="19" t="str">
        <x:v>PENDING</x:v>
      </x:c>
      <x:c r="AB25" s="19" t="str">
        <x:v>PENDING</x:v>
      </x:c>
      <x:c r="AC25" s="19" t="str">
        <x:v>nem megrendelt</x:v>
      </x:c>
      <x:c r="AD25" s="19" t="str">
        <x:v>Vízszerelő</x:v>
      </x:c>
      <x:c r="AE25" s="19" t="str">
        <x:v>PENDING – méret, csatlakozás, anyagminta, teljes bekerülés</x:v>
      </x:c>
      <x:c r="AF25" s="19" t="str">
        <x:v>CP0 becslési csomag: segédanyag és munkadíj a megnevezett tartalom szerint; külön szállítás a 14 sorban. Nem ingyenes szállítás.</x:v>
      </x:c>
      <x:c r="AG25" s="20" t="n">
        <x:v>110000</x:v>
      </x:c>
      <x:c r="AH25" s="21" t="n">
        <x:f>O25*AG25+SUM(R25:T25)</x:f>
        <x:v>110000</x:v>
      </x:c>
      <x:c r="AI25" s="19" t="str">
        <x:v>PENDING</x:v>
      </x:c>
      <x:c r="AJ25" s="19" t="str">
        <x:v>PENDING</x:v>
      </x:c>
      <x:c r="AK25" s="19" t="str">
        <x:v>PENDING</x:v>
      </x:c>
      <x:c r="AL25" s="19" t="str">
        <x:v>PENDING</x:v>
      </x:c>
      <x:c r="AM25" s="19" t="str">
        <x:v>PENDING</x:v>
      </x:c>
      <x:c r="AN25" s="1" t="str">
        <x:v>KI-024</x:v>
      </x:c>
      <x:c r="AO25" s="1" t="str">
        <x:v>drawings/P-01_alaprajz.pdf</x:v>
      </x:c>
      <x:c r="AP25" s="1" t="str">
        <x:v>NINCS MODELL / nem térbeli költségsor; szakági kapcsolat igazolandó</x:v>
      </x:c>
      <x:c r="AQ25" s="1" t="str">
        <x:v>késztermék / szakági munka</x:v>
      </x:c>
      <x:c r="AR25" s="1" t="str">
        <x:v>felmérés/gyártói rajz szükséges</x:v>
      </x:c>
      <x:c r="AS25" s="1" t="str">
        <x:v>HUF</x:v>
      </x:c>
      <x:c r="AT25" s="1" t="n">
        <x:v>1</x:v>
      </x:c>
      <x:c r="AU25" s="1" t="str">
        <x:v>nincs visszaigazolt ajánlati érvényesség</x:v>
      </x:c>
      <x:c r="AV25" s="1" t="str">
        <x:v>KI-151 központi keret; daruzás KI-137</x:v>
      </x:c>
      <x:c r="AW25" s="1" t="str">
        <x:v>KI-014 asztalos / KI-106 villamos / KI-026 és KI-096 víz / KI-127 fal</x:v>
      </x:c>
      <x:c r="AX25" s="1" t="n">
        <x:v>6</x:v>
      </x:c>
      <x:c r="AY25" s="1" t="n">
        <x:v>0.85</x:v>
      </x:c>
      <x:c r="AZ25" s="1" t="n">
        <x:v>1.3</x:v>
      </x:c>
      <x:c r="BA25" s="29" t="n">
        <x:f>ROUND(U25*AY25,0)</x:f>
        <x:v>93500</x:v>
      </x:c>
      <x:c r="BB25" s="29" t="n">
        <x:f>ROUND(U25*AZ25,0)</x:f>
        <x:v>143000</x:v>
      </x:c>
    </x:row>
    <x:row r="26" ht="72" customHeight="1">
      <x:c r="A26" s="12" t="str">
        <x:v>A-902</x:v>
      </x:c>
      <x:c r="B26" s="12" t="str">
        <x:v>02</x:v>
      </x:c>
      <x:c r="C26" s="12" t="str">
        <x:v>KI-025</x:v>
      </x:c>
      <x:c r="D26" s="12" t="str">
        <x:v>NEM RENDERELT</x:v>
      </x:c>
      <x:c r="E26" s="12" t="str">
        <x:v>02c</x:v>
      </x:c>
      <x:c r="F26" s="12" t="str">
        <x:v>FIX</x:v>
      </x:c>
      <x:c r="G26" s="12" t="str">
        <x:v>Vízszerelés</x:v>
      </x:c>
      <x:c r="H26" s="19" t="str">
        <x:v>ÄLMAREN fekete kihúzható konyhai csap</x:v>
      </x:c>
      <x:c r="I26" s="19" t="str">
        <x:v>IKEA</x:v>
      </x:c>
      <x:c r="J26" s="19" t="str">
        <x:v>506.034.99</x:v>
      </x:c>
      <x:c r="K26" s="19" t="str">
        <x:v>https://www.ikea.com/hu/hu/p/aelmaren-konyhai-keverocsap-kihuzhato-veggel-fekete-50603499/</x:v>
      </x:c>
      <x:c r="L26" s="19" t="str">
        <x:v>H360; 35 mm furat; max 50 mm munkalap</x:v>
      </x:c>
      <x:c r="M26" s="19" t="str">
        <x:v>Kyoto Ink: grafit / füstszürke / taupe</x:v>
      </x:c>
      <x:c r="N26" s="19" t="str">
        <x:v>PENDING – műszaki specifikáció szerint</x:v>
      </x:c>
      <x:c r="O26" s="19" t="n">
        <x:v>1</x:v>
      </x:c>
      <x:c r="P26" s="19" t="str">
        <x:v>csomag</x:v>
      </x:c>
      <x:c r="Q26" s="20" t="n">
        <x:v>42990</x:v>
      </x:c>
      <x:c r="R26" s="20" t="n">
        <x:v>0</x:v>
      </x:c>
      <x:c r="S26" s="20" t="n">
        <x:v>0</x:v>
      </x:c>
      <x:c r="T26" s="20" t="n">
        <x:v>0</x:v>
      </x:c>
      <x:c r="U26" s="21" t="n">
        <x:f>O26*Q26+SUM(R26:T26)</x:f>
        <x:v>42990</x:v>
      </x:c>
      <x:c r="V26" s="19" t="str">
        <x:v>ellenőrzött webshopár</x:v>
      </x:c>
      <x:c r="W26" s="19" t="str">
        <x:v>IKEA HU termékoldal; 2026-10-26</x:v>
      </x:c>
      <x:c r="X26" s="19" t="str">
        <x:v>2026-10-27</x:v>
      </x:c>
      <x:c r="Y26" s="19" t="str">
        <x:v>UNKNOWN – ajánlatban visszaigazolandó</x:v>
      </x:c>
      <x:c r="Z26" s="19" t="str">
        <x:v>C</x:v>
      </x:c>
      <x:c r="AA26" s="19" t="str">
        <x:v>PENDING</x:v>
      </x:c>
      <x:c r="AB26" s="19" t="str">
        <x:v>PENDING</x:v>
      </x:c>
      <x:c r="AC26" s="19" t="str">
        <x:v>nem megrendelt</x:v>
      </x:c>
      <x:c r="AD26" s="19" t="str">
        <x:v>Vízszerelő</x:v>
      </x:c>
      <x:c r="AE26" s="19" t="str">
        <x:v>PENDING – méret, csatlakozás, anyagminta, teljes bekerülés</x:v>
      </x:c>
      <x:c r="AF26" s="19" t="str">
        <x:v>IKEA ÄLMAREN fekete kihúzható csap. Íves forma eltér a render szögletes csapjától. Tömlő és hulladéktároló együtt próbálandó. Szerelés KI-027.</x:v>
      </x:c>
      <x:c r="AG26" s="20" t="n">
        <x:v>42990</x:v>
      </x:c>
      <x:c r="AH26" s="21" t="n">
        <x:f>O26*AG26+SUM(R26:T26)</x:f>
        <x:v>42990</x:v>
      </x:c>
      <x:c r="AI26" s="19" t="str">
        <x:v>IKEA ÄLMAREN fekete kihúzható csap. Íves forma eltér a render szögletes csapjától. Tömlő és hulladéktároló együtt próbálandó. Szerelés KI-027.</x:v>
      </x:c>
      <x:c r="AJ26" s="19" t="str">
        <x:v>PENDING</x:v>
      </x:c>
      <x:c r="AK26" s="19" t="str">
        <x:v>PENDING</x:v>
      </x:c>
      <x:c r="AL26" s="19" t="str">
        <x:v>PENDING</x:v>
      </x:c>
      <x:c r="AM26" s="19" t="str">
        <x:v>PENDING</x:v>
      </x:c>
      <x:c r="AN26" s="1" t="str">
        <x:v>KI-025</x:v>
      </x:c>
      <x:c r="AO26" s="1" t="str">
        <x:v>drawings/P-01_alaprajz.pdf</x:v>
      </x:c>
      <x:c r="AP26" s="1" t="str">
        <x:v>NINCS MODELL / nem térbeli költségsor; szakági kapcsolat igazolandó</x:v>
      </x:c>
      <x:c r="AQ26" s="1" t="str">
        <x:v>késztermék / szakági munka</x:v>
      </x:c>
      <x:c r="AR26" s="1" t="str">
        <x:v>felmérés/gyártói rajz szükséges</x:v>
      </x:c>
      <x:c r="AS26" s="1" t="str">
        <x:v>HUF</x:v>
      </x:c>
      <x:c r="AT26" s="1" t="n">
        <x:v>1</x:v>
      </x:c>
      <x:c r="AU26" s="1" t="str">
        <x:v>nincs visszaigazolt ajánlati érvényesség</x:v>
      </x:c>
      <x:c r="AV26" s="1" t="str">
        <x:v>KI-151 központi keret; daruzás KI-137</x:v>
      </x:c>
      <x:c r="AW26" s="1" t="str">
        <x:v>KI-014 asztalos / KI-106 villamos / KI-026 és KI-096 víz / KI-127 fal</x:v>
      </x:c>
      <x:c r="AX26" s="1" t="n">
        <x:v>6</x:v>
      </x:c>
      <x:c r="AY26" s="1" t="n">
        <x:v>0.8</x:v>
      </x:c>
      <x:c r="AZ26" s="1" t="n">
        <x:v>1.4</x:v>
      </x:c>
      <x:c r="BA26" s="29" t="n">
        <x:f>ROUND(U26*AY26,0)</x:f>
        <x:v>34392</x:v>
      </x:c>
      <x:c r="BB26" s="29" t="n">
        <x:f>ROUND(U26*AZ26,0)</x:f>
        <x:v>60186</x:v>
      </x:c>
    </x:row>
    <x:row r="27" ht="72" customHeight="1">
      <x:c r="A27" s="12" t="str">
        <x:v>A-902</x:v>
      </x:c>
      <x:c r="B27" s="12" t="str">
        <x:v>02</x:v>
      </x:c>
      <x:c r="C27" s="12" t="str">
        <x:v>KI-026</x:v>
      </x:c>
      <x:c r="D27" s="12" t="str">
        <x:v>NEM RENDERELT</x:v>
      </x:c>
      <x:c r="E27" s="12" t="str">
        <x:v>02c</x:v>
      </x:c>
      <x:c r="F27" s="12" t="str">
        <x:v>FIX</x:v>
      </x:c>
      <x:c r="G27" s="12" t="str">
        <x:v>Vízszerelés</x:v>
      </x:c>
      <x:c r="H27" s="19" t="str">
        <x:v>Szifon, sarokszelepek, csövek és tömítések</x:v>
      </x:c>
      <x:c r="I27" s="19" t="str">
        <x:v>UNKNOWN</x:v>
      </x:c>
      <x:c r="J27" s="19" t="str">
        <x:v>UNKNOWN</x:v>
      </x:c>
      <x:c r="K27" s="19" t="str">
        <x:v>UNKNOWN</x:v>
      </x:c>
      <x:c r="L27" s="19" t="str">
        <x:v>UNKNOWN – felmérés/gyári adat kell</x:v>
      </x:c>
      <x:c r="M27" s="19" t="str">
        <x:v>Kyoto Ink: grafit / füstszürke / taupe</x:v>
      </x:c>
      <x:c r="N27" s="19" t="str">
        <x:v>PENDING – műszaki specifikáció szerint</x:v>
      </x:c>
      <x:c r="O27" s="19" t="n">
        <x:v>1</x:v>
      </x:c>
      <x:c r="P27" s="19" t="str">
        <x:v>csomag</x:v>
      </x:c>
      <x:c r="Q27" s="20" t="n">
        <x:v>40000</x:v>
      </x:c>
      <x:c r="R27" s="20" t="n">
        <x:v>0</x:v>
      </x:c>
      <x:c r="S27" s="20" t="n">
        <x:v>0</x:v>
      </x:c>
      <x:c r="T27" s="20" t="n">
        <x:v>0</x:v>
      </x:c>
      <x:c r="U27" s="21" t="n">
        <x:f>O27*Q27+SUM(R27:T27)</x:f>
        <x:v>40000</x:v>
      </x:c>
      <x:c r="V27" s="19" t="str">
        <x:v>előzetes becslés</x:v>
      </x:c>
      <x:c r="W27" s="19" t="str">
        <x:v>CP0 tervezői előirányzat, nem webshopár; baseline 02c</x:v>
      </x:c>
      <x:c r="X27" s="19" t="str">
        <x:v>2026-10-26</x:v>
      </x:c>
      <x:c r="Y27" s="19" t="str">
        <x:v>UNKNOWN – ajánlatban visszaigazolandó</x:v>
      </x:c>
      <x:c r="Z27" s="19" t="str">
        <x:v>C</x:v>
      </x:c>
      <x:c r="AA27" s="19" t="str">
        <x:v>PENDING</x:v>
      </x:c>
      <x:c r="AB27" s="19" t="str">
        <x:v>PENDING</x:v>
      </x:c>
      <x:c r="AC27" s="19" t="str">
        <x:v>nem megrendelt</x:v>
      </x:c>
      <x:c r="AD27" s="19" t="str">
        <x:v>Vízszerelő</x:v>
      </x:c>
      <x:c r="AE27" s="19" t="str">
        <x:v>PENDING – méret, csatlakozás, anyagminta, teljes bekerülés</x:v>
      </x:c>
      <x:c r="AF27" s="19" t="str">
        <x:v>CP0 becslési csomag: segédanyag és munkadíj a megnevezett tartalom szerint; külön szállítás a 14 sorban. Nem ingyenes szállítás.</x:v>
      </x:c>
      <x:c r="AG27" s="20" t="n">
        <x:v>40000</x:v>
      </x:c>
      <x:c r="AH27" s="21" t="n">
        <x:f>O27*AG27+SUM(R27:T27)</x:f>
        <x:v>40000</x:v>
      </x:c>
      <x:c r="AI27" s="19" t="str">
        <x:v>PENDING</x:v>
      </x:c>
      <x:c r="AJ27" s="19" t="str">
        <x:v>PENDING</x:v>
      </x:c>
      <x:c r="AK27" s="19" t="str">
        <x:v>PENDING</x:v>
      </x:c>
      <x:c r="AL27" s="19" t="str">
        <x:v>PENDING</x:v>
      </x:c>
      <x:c r="AM27" s="19" t="str">
        <x:v>PENDING</x:v>
      </x:c>
      <x:c r="AN27" s="1" t="str">
        <x:v>KI-026</x:v>
      </x:c>
      <x:c r="AO27" s="1" t="str">
        <x:v>drawings/P-01_alaprajz.pdf</x:v>
      </x:c>
      <x:c r="AP27" s="1" t="str">
        <x:v>NINCS MODELL / nem térbeli költségsor; szakági kapcsolat igazolandó</x:v>
      </x:c>
      <x:c r="AQ27" s="1" t="str">
        <x:v>késztermék / szakági munka</x:v>
      </x:c>
      <x:c r="AR27" s="1" t="str">
        <x:v>felmérés/gyártói rajz szükséges</x:v>
      </x:c>
      <x:c r="AS27" s="1" t="str">
        <x:v>HUF</x:v>
      </x:c>
      <x:c r="AT27" s="1" t="n">
        <x:v>1</x:v>
      </x:c>
      <x:c r="AU27" s="1" t="str">
        <x:v>nincs visszaigazolt ajánlati érvényesség</x:v>
      </x:c>
      <x:c r="AV27" s="1" t="str">
        <x:v>KI-151 központi keret; daruzás KI-137</x:v>
      </x:c>
      <x:c r="AW27" s="1" t="str">
        <x:v>KI-014 asztalos / KI-106 villamos / KI-026 és KI-096 víz / KI-127 fal</x:v>
      </x:c>
      <x:c r="AX27" s="1" t="n">
        <x:v>6</x:v>
      </x:c>
      <x:c r="AY27" s="1" t="n">
        <x:v>0.85</x:v>
      </x:c>
      <x:c r="AZ27" s="1" t="n">
        <x:v>1.3</x:v>
      </x:c>
      <x:c r="BA27" s="29" t="n">
        <x:f>ROUND(U27*AY27,0)</x:f>
        <x:v>34000</x:v>
      </x:c>
      <x:c r="BB27" s="29" t="n">
        <x:f>ROUND(U27*AZ27,0)</x:f>
        <x:v>52000</x:v>
      </x:c>
    </x:row>
    <x:row r="28" ht="72" customHeight="1">
      <x:c r="A28" s="12" t="str">
        <x:v>A-902</x:v>
      </x:c>
      <x:c r="B28" s="12" t="str">
        <x:v>02</x:v>
      </x:c>
      <x:c r="C28" s="12" t="str">
        <x:v>KI-027</x:v>
      </x:c>
      <x:c r="D28" s="12" t="str">
        <x:v>NEM RENDERELT</x:v>
      </x:c>
      <x:c r="E28" s="12" t="str">
        <x:v>02c</x:v>
      </x:c>
      <x:c r="F28" s="12" t="str">
        <x:v>FIX</x:v>
      </x:c>
      <x:c r="G28" s="12" t="str">
        <x:v>Vízszerelés</x:v>
      </x:c>
      <x:c r="H28" s="19" t="str">
        <x:v>Mosogató és mosogatógép vízbekötése</x:v>
      </x:c>
      <x:c r="I28" s="19" t="str">
        <x:v>UNKNOWN</x:v>
      </x:c>
      <x:c r="J28" s="19" t="str">
        <x:v>UNKNOWN</x:v>
      </x:c>
      <x:c r="K28" s="19" t="str">
        <x:v>UNKNOWN</x:v>
      </x:c>
      <x:c r="L28" s="19" t="str">
        <x:v>UNKNOWN – felmérés/gyári adat kell</x:v>
      </x:c>
      <x:c r="M28" s="19" t="str">
        <x:v>Kyoto Ink: grafit / füstszürke / taupe</x:v>
      </x:c>
      <x:c r="N28" s="19" t="str">
        <x:v>PENDING – műszaki specifikáció szerint</x:v>
      </x:c>
      <x:c r="O28" s="19" t="n">
        <x:v>1</x:v>
      </x:c>
      <x:c r="P28" s="19" t="str">
        <x:v>csomag</x:v>
      </x:c>
      <x:c r="Q28" s="20" t="n">
        <x:v>60000</x:v>
      </x:c>
      <x:c r="R28" s="20" t="n">
        <x:v>0</x:v>
      </x:c>
      <x:c r="S28" s="20" t="n">
        <x:v>0</x:v>
      </x:c>
      <x:c r="T28" s="20" t="n">
        <x:v>0</x:v>
      </x:c>
      <x:c r="U28" s="21" t="n">
        <x:f>O28*Q28+SUM(R28:T28)</x:f>
        <x:v>60000</x:v>
      </x:c>
      <x:c r="V28" s="19" t="str">
        <x:v>előzetes becslés</x:v>
      </x:c>
      <x:c r="W28" s="19" t="str">
        <x:v>CP0 tervezői előirányzat, nem webshopár; baseline 02c</x:v>
      </x:c>
      <x:c r="X28" s="19" t="str">
        <x:v>2026-10-26</x:v>
      </x:c>
      <x:c r="Y28" s="19" t="str">
        <x:v>UNKNOWN – ajánlatban visszaigazolandó</x:v>
      </x:c>
      <x:c r="Z28" s="19" t="str">
        <x:v>C</x:v>
      </x:c>
      <x:c r="AA28" s="19" t="str">
        <x:v>PENDING</x:v>
      </x:c>
      <x:c r="AB28" s="19" t="str">
        <x:v>PENDING</x:v>
      </x:c>
      <x:c r="AC28" s="19" t="str">
        <x:v>nem megrendelt</x:v>
      </x:c>
      <x:c r="AD28" s="19" t="str">
        <x:v>Vízszerelő</x:v>
      </x:c>
      <x:c r="AE28" s="19" t="str">
        <x:v>PENDING – méret, csatlakozás, anyagminta, teljes bekerülés</x:v>
      </x:c>
      <x:c r="AF28" s="19" t="str">
        <x:v>CP0 becslési csomag: segédanyag és munkadíj a megnevezett tartalom szerint; külön szállítás a 14 sorban. Nem ingyenes szállítás.</x:v>
      </x:c>
      <x:c r="AG28" s="20" t="n">
        <x:v>60000</x:v>
      </x:c>
      <x:c r="AH28" s="21" t="n">
        <x:f>O28*AG28+SUM(R28:T28)</x:f>
        <x:v>60000</x:v>
      </x:c>
      <x:c r="AI28" s="19" t="str">
        <x:v>PENDING</x:v>
      </x:c>
      <x:c r="AJ28" s="19" t="str">
        <x:v>PENDING</x:v>
      </x:c>
      <x:c r="AK28" s="19" t="str">
        <x:v>PENDING</x:v>
      </x:c>
      <x:c r="AL28" s="19" t="str">
        <x:v>PENDING</x:v>
      </x:c>
      <x:c r="AM28" s="19" t="str">
        <x:v>PENDING</x:v>
      </x:c>
      <x:c r="AN28" s="1" t="str">
        <x:v>KI-027</x:v>
      </x:c>
      <x:c r="AO28" s="1" t="str">
        <x:v>drawings/P-01_alaprajz.pdf</x:v>
      </x:c>
      <x:c r="AP28" s="1" t="str">
        <x:v>NINCS MODELL / nem térbeli költségsor; szakági kapcsolat igazolandó</x:v>
      </x:c>
      <x:c r="AQ28" s="1" t="str">
        <x:v>késztermék / szakági munka</x:v>
      </x:c>
      <x:c r="AR28" s="1" t="str">
        <x:v>felmérés/gyártói rajz szükséges</x:v>
      </x:c>
      <x:c r="AS28" s="1" t="str">
        <x:v>HUF</x:v>
      </x:c>
      <x:c r="AT28" s="1" t="n">
        <x:v>1</x:v>
      </x:c>
      <x:c r="AU28" s="1" t="str">
        <x:v>nincs visszaigazolt ajánlati érvényesség</x:v>
      </x:c>
      <x:c r="AV28" s="1" t="str">
        <x:v>KI-151 központi keret; daruzás KI-137</x:v>
      </x:c>
      <x:c r="AW28" s="1" t="str">
        <x:v>KI-014 asztalos / KI-106 villamos / KI-026 és KI-096 víz / KI-127 fal</x:v>
      </x:c>
      <x:c r="AX28" s="1" t="n">
        <x:v>6</x:v>
      </x:c>
      <x:c r="AY28" s="1" t="n">
        <x:v>0.85</x:v>
      </x:c>
      <x:c r="AZ28" s="1" t="n">
        <x:v>1.3</x:v>
      </x:c>
      <x:c r="BA28" s="29" t="n">
        <x:f>ROUND(U28*AY28,0)</x:f>
        <x:v>51000</x:v>
      </x:c>
      <x:c r="BB28" s="29" t="n">
        <x:f>ROUND(U28*AZ28,0)</x:f>
        <x:v>78000</x:v>
      </x:c>
    </x:row>
    <x:row r="29" ht="72" customHeight="1">
      <x:c r="A29" s="12" t="str">
        <x:v>A-902</x:v>
      </x:c>
      <x:c r="B29" s="12" t="str">
        <x:v>03</x:v>
      </x:c>
      <x:c r="C29" s="12" t="str">
        <x:v>KI-028</x:v>
      </x:c>
      <x:c r="D29" s="12" t="str">
        <x:v>Cam12 v1; Cam03 v2</x:v>
      </x:c>
      <x:c r="E29" s="12" t="str">
        <x:v>03d</x:v>
      </x:c>
      <x:c r="F29" s="12" t="str">
        <x:v>STÍLUS</x:v>
      </x:c>
      <x:c r="G29" s="12" t="str">
        <x:v>Bútor</x:v>
      </x:c>
      <x:c r="H29" s="19" t="str">
        <x:v>Ovális étkezőasztal 160×90 célbefoglaló</x:v>
      </x:c>
      <x:c r="I29" s="19" t="str">
        <x:v>Westwing</x:v>
      </x:c>
      <x:c r="J29" s="19" t="str">
        <x:v>DEQ19WES60483-225182</x:v>
      </x:c>
      <x:c r="K29" s="19" t="str">
        <x:v>https://www.westwing.hu/toni-ovalis-alaku-fa-etkezoasztal-200-x-90-cm-hu-19wes60483.html?simple=DEQ19WES60483-225182</x:v>
      </x:c>
      <x:c r="L29" s="19" t="str">
        <x:v>160×90×75; lap 2,5</x:v>
      </x:c>
      <x:c r="M29" s="19" t="str">
        <x:v>világos tölgy</x:v>
      </x:c>
      <x:c r="N29" s="19" t="str">
        <x:v>tölgy furnéros MDF, örökölt anyagspecifikáció</x:v>
      </x:c>
      <x:c r="O29" s="19" t="n">
        <x:v>1</x:v>
      </x:c>
      <x:c r="P29" s="19" t="str">
        <x:v>db</x:v>
      </x:c>
      <x:c r="Q29" s="20" t="n">
        <x:v>259990</x:v>
      </x:c>
      <x:c r="R29" s="20" t="n">
        <x:v>0</x:v>
      </x:c>
      <x:c r="S29" s="20" t="n">
        <x:v>0</x:v>
      </x:c>
      <x:c r="T29" s="20" t="n">
        <x:v>0</x:v>
      </x:c>
      <x:c r="U29" s="21" t="n">
        <x:f>O29*Q29+SUM(R29:T29)</x:f>
        <x:v>259990</x:v>
      </x:c>
      <x:c r="V29" s="19" t="str">
        <x:v>ellenőrzött webshopár</x:v>
      </x:c>
      <x:c r="W29" s="19" t="str">
        <x:v>Westwing HU SKU160cm259990Ft</x:v>
      </x:c>
      <x:c r="X29" s="19" t="str">
        <x:v>2026-10-27</x:v>
      </x:c>
      <x:c r="Y29" s="19" t="str">
        <x:v>9–11 munkanap; feláras szállítás; 10 év gyártói garancia</x:v>
      </x:c>
      <x:c r="Z29" s="19" t="str">
        <x:v>A</x:v>
      </x:c>
      <x:c r="AA29" s="19" t="str">
        <x:v>160×90 ovális tölgy asztal, két hajlított laplábbal; nem a renderben esetenként megjelenő központi tömb.</x:v>
      </x:c>
      <x:c r="AB29" s="19" t="str">
        <x:v>PENDING</x:v>
      </x:c>
      <x:c r="AC29" s="19" t="str">
        <x:v>nem megrendelt</x:v>
      </x:c>
      <x:c r="AD29" s="19" t="str">
        <x:v>Beszerzési felelős / Péter</x:v>
      </x:c>
      <x:c r="AE29" s="19" t="str">
        <x:v>PENDING – méret, csatlakozás, anyagminta, teljes bekerülés</x:v>
      </x:c>
      <x:c r="AF29" s="19" t="str">
        <x:v>6 székkel kihúzási próba; ajtónyitás; ML04 12 cm excentricitás.</x:v>
      </x:c>
      <x:c r="AG29" s="20" t="n">
        <x:v>259990</x:v>
      </x:c>
      <x:c r="AH29" s="21" t="n">
        <x:f>O29*AG29+SUM(R29:T29)</x:f>
        <x:v>259990</x:v>
      </x:c>
      <x:c r="AI29" s="19" t="str">
        <x:v>PENDING</x:v>
      </x:c>
      <x:c r="AJ29" s="19" t="str">
        <x:v>PENDING</x:v>
      </x:c>
      <x:c r="AK29" s="19" t="str">
        <x:v>9–11 munkanap; feláras szállítás; 10 év gyártói garancia</x:v>
      </x:c>
      <x:c r="AL29" s="19" t="str">
        <x:v>PENDING</x:v>
      </x:c>
      <x:c r="AM29" s="19" t="str">
        <x:v>PENDING</x:v>
      </x:c>
      <x:c r="AN29" s="1" t="str">
        <x:v>KI-028</x:v>
      </x:c>
      <x:c r="AO29" s="1" t="str">
        <x:v>drawings/P-01_alaprajz.pdf</x:v>
      </x:c>
      <x:c r="AP29" s="1" t="str">
        <x:v>R06_Toni*</x:v>
      </x:c>
      <x:c r="AQ29" s="1" t="str">
        <x:v>késztermék / szakági munka</x:v>
      </x:c>
      <x:c r="AR29" s="1" t="str">
        <x:v>felmérés/gyártói rajz szükséges</x:v>
      </x:c>
      <x:c r="AS29" s="1" t="str">
        <x:v>HUF</x:v>
      </x:c>
      <x:c r="AT29" s="1" t="n">
        <x:v>1</x:v>
      </x:c>
      <x:c r="AU29" s="1" t="str">
        <x:v>nincs visszaigazolt ajánlati érvényesség</x:v>
      </x:c>
      <x:c r="AV29" s="1" t="str">
        <x:v>KI-151 központi keret; daruzás KI-137</x:v>
      </x:c>
      <x:c r="AW29" s="1" t="str">
        <x:v>KI-014 asztalos / KI-106 villamos / KI-026 és KI-096 víz / KI-127 fal</x:v>
      </x:c>
      <x:c r="AX29" s="1" t="n">
        <x:v>6</x:v>
      </x:c>
      <x:c r="AY29" s="1" t="n">
        <x:v>1</x:v>
      </x:c>
      <x:c r="AZ29" s="1" t="n">
        <x:v>1.12</x:v>
      </x:c>
      <x:c r="BA29" s="29" t="n">
        <x:f>ROUND(U29*AY29,0)</x:f>
        <x:v>259990</x:v>
      </x:c>
      <x:c r="BB29" s="29" t="n">
        <x:f>ROUND(U29*AZ29,0)</x:f>
        <x:v>291189</x:v>
      </x:c>
    </x:row>
    <x:row r="30" ht="72" customHeight="1">
      <x:c r="A30" s="12" t="str">
        <x:v>A-902</x:v>
      </x:c>
      <x:c r="B30" s="12" t="str">
        <x:v>03</x:v>
      </x:c>
      <x:c r="C30" s="12" t="str">
        <x:v>KI-029</x:v>
      </x:c>
      <x:c r="D30" s="12" t="str">
        <x:v>Cam12 v1; Cam03 v2</x:v>
      </x:c>
      <x:c r="E30" s="12" t="str">
        <x:v>03d</x:v>
      </x:c>
      <x:c r="F30" s="12" t="str">
        <x:v>STÍLUS</x:v>
      </x:c>
      <x:c r="G30" s="12" t="str">
        <x:v>Bútor</x:v>
      </x:c>
      <x:c r="H30" s="19" t="str">
        <x:v>Hat kárpitozott étkezőszék</x:v>
      </x:c>
      <x:c r="I30" s="19" t="str">
        <x:v>Kave</x:v>
      </x:c>
      <x:c r="J30" s="19" t="str">
        <x:v>C0100003HE12</x:v>
      </x:c>
      <x:c r="K30" s="19" t="str">
        <x:v>https://kavehome.com/hu/en/p/eamy-chair-light-grey-chenille-and-ash-wood-veneer-with-a-natural-finish-and-black-metal</x:v>
      </x:c>
      <x:c r="L30" s="19" t="str">
        <x:v>55×53×75; ülésmagasság46; ±2cm</x:v>
      </x:c>
      <x:c r="M30" s="19" t="str">
        <x:v>világosszürke chenille, natúr kőris, fekete láb</x:v>
      </x:c>
      <x:c r="N30" s="19" t="str">
        <x:v>chenille, kőrisfurnér, fém</x:v>
      </x:c>
      <x:c r="O30" s="19" t="n">
        <x:v>6</x:v>
      </x:c>
      <x:c r="P30" s="19" t="str">
        <x:v>db</x:v>
      </x:c>
      <x:c r="Q30" s="20" t="n">
        <x:v>75180</x:v>
      </x:c>
      <x:c r="R30" s="20" t="n">
        <x:v>0</x:v>
      </x:c>
      <x:c r="S30" s="20" t="n">
        <x:v>0</x:v>
      </x:c>
      <x:c r="T30" s="20" t="n">
        <x:v>0</x:v>
      </x:c>
      <x:c r="U30" s="21" t="n">
        <x:f>O30*Q30+SUM(R30:T30)</x:f>
        <x:v>451080</x:v>
      </x:c>
      <x:c r="V30" s="19" t="str">
        <x:v>előzetes becslés</x:v>
      </x:c>
      <x:c r="W30" s="19" t="str">
        <x:v>https://kavehome.com/hu/en/p/eamy-chair-light-grey-chenille-and-ash-wood-veneer-with-a-natural-finish-and-black-metal</x:v>
      </x:c>
      <x:c r="X30" s="19" t="str">
        <x:v>2026-10-26</x:v>
      </x:c>
      <x:c r="Y30" s="19" t="str">
        <x:v>Oldal: készleten, november10–16; cím és 6 db együtt nem visszaigazolt</x:v>
      </x:c>
      <x:c r="Z30" s="19" t="str">
        <x:v>A</x:v>
      </x:c>
      <x:c r="AA30" s="19" t="str">
        <x:v>A fa hátív és fekete láb jó irány; a render kárpitozottabbnak mutatja a hátat. Nem teljesen azonos székrajz.</x:v>
      </x:c>
      <x:c r="AB30" s="19" t="str">
        <x:v>PENDING</x:v>
      </x:c>
      <x:c r="AC30" s="19" t="str">
        <x:v>nem megrendelt</x:v>
      </x:c>
      <x:c r="AD30" s="19" t="str">
        <x:v>Beszerzési felelős / Péter</x:v>
      </x:c>
      <x:c r="AE30" s="19" t="str">
        <x:v>PENDING – méret, csatlakozás, anyagminta, teljes bekerülés</x:v>
      </x:c>
      <x:c r="AF30" s="19" t="str">
        <x:v>6 db együtt 450880 helyett pontosan 451080 Ft 420-as tervezési árfolyamon; mintázat és 2+2+1+1 próba.</x:v>
      </x:c>
      <x:c r="AG30" s="20" t="n">
        <x:v>75180</x:v>
      </x:c>
      <x:c r="AH30" s="21" t="n">
        <x:f>O30*AG30+SUM(R30:T30)</x:f>
        <x:v>451080</x:v>
      </x:c>
      <x:c r="AI30" s="19" t="str">
        <x:v>PENDING</x:v>
      </x:c>
      <x:c r="AJ30" s="19" t="str">
        <x:v>PENDING</x:v>
      </x:c>
      <x:c r="AK30" s="19" t="str">
        <x:v>Oldal: készleten, november10–16; cím és 6 db együtt nem visszaigazolt</x:v>
      </x:c>
      <x:c r="AL30" s="19" t="str">
        <x:v>PENDING</x:v>
      </x:c>
      <x:c r="AM30" s="19" t="str">
        <x:v>PENDING</x:v>
      </x:c>
      <x:c r="AN30" s="1" t="str">
        <x:v>KI-029</x:v>
      </x:c>
      <x:c r="AO30" s="1" t="str">
        <x:v>drawings/P-01_alaprajz.pdf</x:v>
      </x:c>
      <x:c r="AP30" s="1" t="str">
        <x:v>R06_Eamy_*</x:v>
      </x:c>
      <x:c r="AQ30" s="1" t="str">
        <x:v>késztermék / szakági munka</x:v>
      </x:c>
      <x:c r="AR30" s="1" t="str">
        <x:v>Gyártói55×53×75cm, ülés46cm; fotó alapján görbített háttámla rekonstrukció</x:v>
      </x:c>
      <x:c r="AS30" s="1" t="str">
        <x:v>HUF</x:v>
      </x:c>
      <x:c r="AT30" s="1" t="n">
        <x:v>1</x:v>
      </x:c>
      <x:c r="AU30" s="1" t="str">
        <x:v>nincs visszaigazolt ajánlati érvényesség</x:v>
      </x:c>
      <x:c r="AV30" s="1" t="str">
        <x:v>KI-151 központi keret; daruzás KI-137</x:v>
      </x:c>
      <x:c r="AW30" s="1" t="str">
        <x:v>KI-014 asztalos / KI-106 villamos / KI-026 és KI-096 víz / KI-127 fal</x:v>
      </x:c>
      <x:c r="AX30" s="1" t="n">
        <x:v>6</x:v>
      </x:c>
      <x:c r="AY30" s="1" t="n">
        <x:v>0.85</x:v>
      </x:c>
      <x:c r="AZ30" s="1" t="n">
        <x:v>1.3</x:v>
      </x:c>
      <x:c r="BA30" s="29" t="n">
        <x:f>ROUND(U30*AY30,0)</x:f>
        <x:v>383418</x:v>
      </x:c>
      <x:c r="BB30" s="29" t="n">
        <x:f>ROUND(U30*AZ30,0)</x:f>
        <x:v>586404</x:v>
      </x:c>
    </x:row>
    <x:row r="31" ht="72" customHeight="1">
      <x:c r="A31" s="12" t="str">
        <x:v>A-902</x:v>
      </x:c>
      <x:c r="B31" s="12" t="str">
        <x:v>04</x:v>
      </x:c>
      <x:c r="C31" s="12" t="str">
        <x:v>KI-030</x:v>
      </x:c>
      <x:c r="D31" s="12" t="str">
        <x:v>CP3/render_handoff/manifest_CP3.json</x:v>
      </x:c>
      <x:c r="E31" s="12" t="str">
        <x:v>03a</x:v>
      </x:c>
      <x:c r="F31" s="12" t="str">
        <x:v>STÍLUS</x:v>
      </x:c>
      <x:c r="G31" s="12" t="str">
        <x:v>Asztalos</x:v>
      </x:c>
      <x:c r="H31" s="19" t="str">
        <x:v>W01 panelkompozíció és sötét tusgrafikás torony</x:v>
      </x:c>
      <x:c r="I31" s="19" t="str">
        <x:v>UNKNOWN</x:v>
      </x:c>
      <x:c r="J31" s="19" t="str">
        <x:v>UNKNOWN</x:v>
      </x:c>
      <x:c r="K31" s="19" t="str">
        <x:v>UNKNOWN</x:v>
      </x:c>
      <x:c r="L31" s="19" t="str">
        <x:v>TV-01: 700×400×2330 mm; TV-03: 2600×36×2330 mm</x:v>
      </x:c>
      <x:c r="M31" s="19" t="str">
        <x:v>Kyoto Ink: grafit / füstszürke / taupe</x:v>
      </x:c>
      <x:c r="N31" s="19" t="str">
        <x:v>MAT-04</x:v>
      </x:c>
      <x:c r="O31" s="19" t="n">
        <x:v>1</x:v>
      </x:c>
      <x:c r="P31" s="19" t="str">
        <x:v>csomag</x:v>
      </x:c>
      <x:c r="Q31" s="20" t="n">
        <x:v>690000</x:v>
      </x:c>
      <x:c r="R31" s="20" t="n">
        <x:v>0</x:v>
      </x:c>
      <x:c r="S31" s="20" t="n">
        <x:v>0</x:v>
      </x:c>
      <x:c r="T31" s="20" t="n">
        <x:v>0</x:v>
      </x:c>
      <x:c r="U31" s="21" t="n">
        <x:f>O31*Q31+SUM(R31:T31)</x:f>
        <x:v>690000</x:v>
      </x:c>
      <x:c r="V31" s="19" t="str">
        <x:v>előzetes becslés</x:v>
      </x:c>
      <x:c r="W31" s="19" t="str">
        <x:v>V3.3 tervezői előirányzat 2026-10-26; ajánlat szükséges</x:v>
      </x:c>
      <x:c r="X31" s="19" t="str">
        <x:v>2026-10-26</x:v>
      </x:c>
      <x:c r="Y31" s="19" t="str">
        <x:v>UNKNOWN – ajánlatban visszaigazolandó</x:v>
      </x:c>
      <x:c r="Z31" s="19" t="str">
        <x:v>B</x:v>
      </x:c>
      <x:c r="AA31" s="19" t="str">
        <x:v>PENDING</x:v>
      </x:c>
      <x:c r="AB31" s="19" t="str">
        <x:v>PENDING</x:v>
      </x:c>
      <x:c r="AC31" s="19" t="str">
        <x:v>nem megrendelt</x:v>
      </x:c>
      <x:c r="AD31" s="19" t="str">
        <x:v>Asztalos és belsőépítész</x:v>
      </x:c>
      <x:c r="AE31" s="19" t="str">
        <x:v>PENDING – méret, csatlakozás, anyagminta, teljes bekerülés</x:v>
      </x:c>
      <x:c r="AF31" s="19" t="str">
        <x:v>R05: referencia a VISUAL_RESCUE. 450000 eredeti+160000 felület+80000 grafika/minta. Nem külön újra összegezendő.</x:v>
      </x:c>
      <x:c r="AG31" s="20" t="n">
        <x:v>590000</x:v>
      </x:c>
      <x:c r="AH31" s="21" t="n">
        <x:f>O31*AG31+SUM(R31:T31)</x:f>
        <x:v>590000</x:v>
      </x:c>
      <x:c r="AI31" s="19" t="str">
        <x:v>Kézzel texturált mezők helyett sík, gyári szövethatású nyomtatott hordozó;160000 felületi felárból60000 marad. A torony és tuskompozíció változatlan. Eltérés: súrolófényben laposabb felület, nem teljes anyagazonosság; nem jóváhagyott. Nettó projektmegtakarítás 100000 Ft, bruttó költségek különbsége.</x:v>
      </x:c>
      <x:c r="AJ31" s="19" t="str">
        <x:v>PENDING</x:v>
      </x:c>
      <x:c r="AK31" s="19" t="str">
        <x:v>PENDING</x:v>
      </x:c>
      <x:c r="AL31" s="19" t="str">
        <x:v>PENDING</x:v>
      </x:c>
      <x:c r="AM31" s="19" t="str">
        <x:v>PENDING</x:v>
      </x:c>
      <x:c r="AN31" s="1" t="str">
        <x:v>TV-01; TV-03</x:v>
      </x:c>
      <x:c r="AO31" s="1" t="str">
        <x:v>CP3/drawings/TV-01_CP3.pdf; CP3/drawings/TV-03_CP3.pdf</x:v>
      </x:c>
      <x:c r="AP31" s="1" t="str">
        <x:v>CP3_TV-01; CP3_TV-03</x:v>
      </x:c>
      <x:c r="AQ31" s="1" t="str">
        <x:v>egyedi gyártás</x:v>
      </x:c>
      <x:c r="AR31" s="1" t="str">
        <x:v>R02 méretezett ajánlati terv; nem helyszíni méret</x:v>
      </x:c>
      <x:c r="AS31" s="1" t="str">
        <x:v>HUF</x:v>
      </x:c>
      <x:c r="AT31" s="1" t="n">
        <x:v>1</x:v>
      </x:c>
      <x:c r="AU31" s="1" t="str">
        <x:v>nincs visszaigazolt ajánlati érvényesség</x:v>
      </x:c>
      <x:c r="AV31" s="1" t="str">
        <x:v>KI-151 központi keret; daruzás KI-137</x:v>
      </x:c>
      <x:c r="AW31" s="1" t="str">
        <x:v>KI-014 asztalos / KI-106 villamos / KI-026 és KI-096 víz / KI-127 fal</x:v>
      </x:c>
      <x:c r="AX31" s="1" t="n">
        <x:v>4</x:v>
      </x:c>
      <x:c r="AY31" s="1" t="n">
        <x:v>0.8115942028985508</x:v>
      </x:c>
      <x:c r="AZ31" s="1" t="n">
        <x:v>1.3768115942028984</x:v>
      </x:c>
      <x:c r="BA31" s="29" t="n">
        <x:f>ROUND(U31*AY31,0)</x:f>
        <x:v>560000</x:v>
      </x:c>
      <x:c r="BB31" s="29" t="n">
        <x:f>ROUND(U31*AZ31,0)</x:f>
        <x:v>950000</x:v>
      </x:c>
    </x:row>
    <x:row r="32" ht="72" customHeight="1">
      <x:c r="A32" s="12" t="str">
        <x:v>A-902</x:v>
      </x:c>
      <x:c r="B32" s="12" t="str">
        <x:v>04</x:v>
      </x:c>
      <x:c r="C32" s="12" t="str">
        <x:v>KI-031</x:v>
      </x:c>
      <x:c r="D32" s="12" t="str">
        <x:v>CP3/render_handoff/manifest_CP3.json</x:v>
      </x:c>
      <x:c r="E32" s="12" t="str">
        <x:v>03a</x:v>
      </x:c>
      <x:c r="F32" s="12" t="str">
        <x:v>STÍLUS</x:v>
      </x:c>
      <x:c r="G32" s="12" t="str">
        <x:v>Asztalos</x:v>
      </x:c>
      <x:c r="H32" s="19" t="str">
        <x:v>W01 alsó ötfrontos médiabútor; torony felől700+4×650</x:v>
      </x:c>
      <x:c r="I32" s="19" t="str">
        <x:v>UNKNOWN</x:v>
      </x:c>
      <x:c r="J32" s="19" t="str">
        <x:v>UNKNOWN</x:v>
      </x:c>
      <x:c r="K32" s="19" t="str">
        <x:v>UNKNOWN</x:v>
      </x:c>
      <x:c r="L32" s="19" t="str">
        <x:v>TV-02: 3300×400×400 mm</x:v>
      </x:c>
      <x:c r="M32" s="19" t="str">
        <x:v>Kyoto Ink: grafit / füstszürke / taupe</x:v>
      </x:c>
      <x:c r="N32" s="19" t="str">
        <x:v>MAT-02</x:v>
      </x:c>
      <x:c r="O32" s="19" t="n">
        <x:v>1</x:v>
      </x:c>
      <x:c r="P32" s="19" t="str">
        <x:v>csomag</x:v>
      </x:c>
      <x:c r="Q32" s="20" t="n">
        <x:v>320000</x:v>
      </x:c>
      <x:c r="R32" s="20" t="n">
        <x:v>0</x:v>
      </x:c>
      <x:c r="S32" s="20" t="n">
        <x:v>0</x:v>
      </x:c>
      <x:c r="T32" s="20" t="n">
        <x:v>0</x:v>
      </x:c>
      <x:c r="U32" s="21" t="n">
        <x:f>O32*Q32+SUM(R32:T32)</x:f>
        <x:v>320000</x:v>
      </x:c>
      <x:c r="V32" s="19" t="str">
        <x:v>előzetes becslés</x:v>
      </x:c>
      <x:c r="W32" s="19" t="str">
        <x:v>V3.3 tervezői előirányzat 2026-10-26; ajánlat szükséges</x:v>
      </x:c>
      <x:c r="X32" s="19" t="str">
        <x:v>2026-10-26</x:v>
      </x:c>
      <x:c r="Y32" s="19" t="str">
        <x:v>UNKNOWN – ajánlatban visszaigazolandó</x:v>
      </x:c>
      <x:c r="Z32" s="19" t="str">
        <x:v>B</x:v>
      </x:c>
      <x:c r="AA32" s="19" t="str">
        <x:v>PENDING</x:v>
      </x:c>
      <x:c r="AB32" s="19" t="str">
        <x:v>PENDING</x:v>
      </x:c>
      <x:c r="AC32" s="19" t="str">
        <x:v>nem megrendelt</x:v>
      </x:c>
      <x:c r="AD32" s="19" t="str">
        <x:v>Asztalos és belsőépítész</x:v>
      </x:c>
      <x:c r="AE32" s="19" t="str">
        <x:v>PENDING – méret, csatlakozás, anyagminta, teljes bekerülés</x:v>
      </x:c>
      <x:c r="AF32" s="19" t="str">
        <x:v>260000 eredeti+60000 front/illesztés felár. Belső fiókelhagyásból nem számolunk fiktív megtakarítást.</x:v>
      </x:c>
      <x:c r="AG32" s="20" t="n">
        <x:v>320000</x:v>
      </x:c>
      <x:c r="AH32" s="21" t="n">
        <x:f>O32*AG32+SUM(R32:T32)</x:f>
        <x:v>320000</x:v>
      </x:c>
      <x:c r="AI32" s="19" t="str">
        <x:v>R05 főváltozat tartalma; korábbi fiók-/aszimmetria-elhagyás nincs automatikusan kiválasztva.</x:v>
      </x:c>
      <x:c r="AJ32" s="19" t="str">
        <x:v>PENDING</x:v>
      </x:c>
      <x:c r="AK32" s="19" t="str">
        <x:v>PENDING</x:v>
      </x:c>
      <x:c r="AL32" s="19" t="str">
        <x:v>PENDING</x:v>
      </x:c>
      <x:c r="AM32" s="19" t="str">
        <x:v>PENDING</x:v>
      </x:c>
      <x:c r="AN32" s="1" t="str">
        <x:v>TV-02</x:v>
      </x:c>
      <x:c r="AO32" s="1" t="str">
        <x:v>CP3/drawings/TV-02_CP3.pdf</x:v>
      </x:c>
      <x:c r="AP32" s="1" t="str">
        <x:v>CP3_TV-02</x:v>
      </x:c>
      <x:c r="AQ32" s="1" t="str">
        <x:v>egyedi gyártás</x:v>
      </x:c>
      <x:c r="AR32" s="1" t="str">
        <x:v>R02 méretezett ajánlati terv; nem helyszíni méret</x:v>
      </x:c>
      <x:c r="AS32" s="1" t="str">
        <x:v>HUF</x:v>
      </x:c>
      <x:c r="AT32" s="1" t="n">
        <x:v>1</x:v>
      </x:c>
      <x:c r="AU32" s="1" t="str">
        <x:v>nincs visszaigazolt ajánlati érvényesség</x:v>
      </x:c>
      <x:c r="AV32" s="1" t="str">
        <x:v>KI-151 központi keret; daruzás KI-137</x:v>
      </x:c>
      <x:c r="AW32" s="1" t="str">
        <x:v>KI-014 asztalos / KI-106 villamos / KI-026 és KI-096 víz / KI-127 fal</x:v>
      </x:c>
      <x:c r="AX32" s="1" t="n">
        <x:v>4</x:v>
      </x:c>
      <x:c r="AY32" s="1" t="n">
        <x:v>0.8</x:v>
      </x:c>
      <x:c r="AZ32" s="1" t="n">
        <x:v>1.4</x:v>
      </x:c>
      <x:c r="BA32" s="29" t="n">
        <x:f>ROUND(U32*AY32,0)</x:f>
        <x:v>256000</x:v>
      </x:c>
      <x:c r="BB32" s="29" t="n">
        <x:f>ROUND(U32*AZ32,0)</x:f>
        <x:v>448000</x:v>
      </x:c>
    </x:row>
    <x:row r="33" ht="72" customHeight="1">
      <x:c r="A33" s="12" t="str">
        <x:v>A-902</x:v>
      </x:c>
      <x:c r="B33" s="12" t="str">
        <x:v>04</x:v>
      </x:c>
      <x:c r="C33" s="12" t="str">
        <x:v>KI-032</x:v>
      </x:c>
      <x:c r="D33" s="12" t="str">
        <x:v>CP3/render_handoff/manifest_CP3.json</x:v>
      </x:c>
      <x:c r="E33" s="12" t="str">
        <x:v>03a</x:v>
      </x:c>
      <x:c r="F33" s="12" t="str">
        <x:v>STÍLUS</x:v>
      </x:c>
      <x:c r="G33" s="12" t="str">
        <x:v>Asztalos</x:v>
      </x:c>
      <x:c r="H33" s="19" t="str">
        <x:v>W01 rögzítés, szerviznyílás, szerelés</x:v>
      </x:c>
      <x:c r="I33" s="19" t="str">
        <x:v>UNKNOWN</x:v>
      </x:c>
      <x:c r="J33" s="19" t="str">
        <x:v>UNKNOWN</x:v>
      </x:c>
      <x:c r="K33" s="19" t="str">
        <x:v>UNKNOWN</x:v>
      </x:c>
      <x:c r="L33" s="19" t="str">
        <x:v>TV-01: 700×400×2330 mm; TV-02: 3300×400×400 mm; TV-03: 2600×36×2330 mm</x:v>
      </x:c>
      <x:c r="M33" s="19" t="str">
        <x:v>Kyoto Ink: grafit / füstszürke / taupe</x:v>
      </x:c>
      <x:c r="N33" s="19" t="str">
        <x:v>PENDING – műszaki specifikáció szerint</x:v>
      </x:c>
      <x:c r="O33" s="19" t="n">
        <x:v>1</x:v>
      </x:c>
      <x:c r="P33" s="19" t="str">
        <x:v>csomag</x:v>
      </x:c>
      <x:c r="Q33" s="20" t="n">
        <x:v>120000</x:v>
      </x:c>
      <x:c r="R33" s="20" t="n">
        <x:v>0</x:v>
      </x:c>
      <x:c r="S33" s="20" t="n">
        <x:v>0</x:v>
      </x:c>
      <x:c r="T33" s="20" t="n">
        <x:v>0</x:v>
      </x:c>
      <x:c r="U33" s="21" t="n">
        <x:f>O33*Q33+SUM(R33:T33)</x:f>
        <x:v>120000</x:v>
      </x:c>
      <x:c r="V33" s="19" t="str">
        <x:v>előzetes becslés</x:v>
      </x:c>
      <x:c r="W33" s="19" t="str">
        <x:v>CP0 tervezői előirányzat, nem webshopár; baseline 03a</x:v>
      </x:c>
      <x:c r="X33" s="19" t="str">
        <x:v>2026-10-26</x:v>
      </x:c>
      <x:c r="Y33" s="19" t="str">
        <x:v>UNKNOWN – ajánlatban visszaigazolandó</x:v>
      </x:c>
      <x:c r="Z33" s="19" t="str">
        <x:v>B</x:v>
      </x:c>
      <x:c r="AA33" s="19" t="str">
        <x:v>PENDING</x:v>
      </x:c>
      <x:c r="AB33" s="19" t="str">
        <x:v>PENDING</x:v>
      </x:c>
      <x:c r="AC33" s="19" t="str">
        <x:v>nem megrendelt</x:v>
      </x:c>
      <x:c r="AD33" s="19" t="str">
        <x:v>Asztalos és belsőépítész</x:v>
      </x:c>
      <x:c r="AE33" s="19" t="str">
        <x:v>PENDING – méret, csatlakozás, anyagminta, teljes bekerülés</x:v>
      </x:c>
      <x:c r="AF33" s="19" t="str">
        <x:v>CP0 becslési csomag: segédanyag és munkadíj a megnevezett tartalom szerint; külön szállítás a 14 sorban. Nem ingyenes szállítás.</x:v>
      </x:c>
      <x:c r="AG33" s="20" t="n">
        <x:v>120000</x:v>
      </x:c>
      <x:c r="AH33" s="21" t="n">
        <x:f>O33*AG33+SUM(R33:T33)</x:f>
        <x:v>120000</x:v>
      </x:c>
      <x:c r="AI33" s="19" t="str">
        <x:v>PENDING</x:v>
      </x:c>
      <x:c r="AJ33" s="19" t="str">
        <x:v>PENDING</x:v>
      </x:c>
      <x:c r="AK33" s="19" t="str">
        <x:v>PENDING</x:v>
      </x:c>
      <x:c r="AL33" s="19" t="str">
        <x:v>PENDING</x:v>
      </x:c>
      <x:c r="AM33" s="19" t="str">
        <x:v>PENDING</x:v>
      </x:c>
      <x:c r="AN33" s="1" t="str">
        <x:v>TV-01; TV-02; TV-03</x:v>
      </x:c>
      <x:c r="AO33" s="1" t="str">
        <x:v>CP3/drawings/TV-01_CP3.pdf; CP3/drawings/TV-02_CP3.pdf; CP3/drawings/TV-03_CP3.pdf</x:v>
      </x:c>
      <x:c r="AP33" s="1" t="str">
        <x:v>CP3_TV-01; CP3_TV-02; CP3_TV-03</x:v>
      </x:c>
      <x:c r="AQ33" s="1" t="str">
        <x:v>egyedi gyártás</x:v>
      </x:c>
      <x:c r="AR33" s="1" t="str">
        <x:v>R02 méretezett ajánlati terv; nem helyszíni méret</x:v>
      </x:c>
      <x:c r="AS33" s="1" t="str">
        <x:v>HUF</x:v>
      </x:c>
      <x:c r="AT33" s="1" t="n">
        <x:v>1</x:v>
      </x:c>
      <x:c r="AU33" s="1" t="str">
        <x:v>nincs visszaigazolt ajánlati érvényesség</x:v>
      </x:c>
      <x:c r="AV33" s="1" t="str">
        <x:v>KI-151 központi keret; daruzás KI-137</x:v>
      </x:c>
      <x:c r="AW33" s="1" t="str">
        <x:v>KI-014 asztalos / KI-106 villamos / KI-026 és KI-096 víz / KI-127 fal</x:v>
      </x:c>
      <x:c r="AX33" s="1" t="n">
        <x:v>4</x:v>
      </x:c>
      <x:c r="AY33" s="1" t="n">
        <x:v>0.85</x:v>
      </x:c>
      <x:c r="AZ33" s="1" t="n">
        <x:v>1.3</x:v>
      </x:c>
      <x:c r="BA33" s="29" t="n">
        <x:f>ROUND(U33*AY33,0)</x:f>
        <x:v>102000</x:v>
      </x:c>
      <x:c r="BB33" s="29" t="n">
        <x:f>ROUND(U33*AZ33,0)</x:f>
        <x:v>156000</x:v>
      </x:c>
    </x:row>
    <x:row r="34" ht="72" customHeight="1">
      <x:c r="A34" s="12" t="str">
        <x:v>A-902</x:v>
      </x:c>
      <x:c r="B34" s="12" t="str">
        <x:v>04</x:v>
      </x:c>
      <x:c r="C34" s="12" t="str">
        <x:v>KI-033</x:v>
      </x:c>
      <x:c r="D34" s="12" t="str">
        <x:v>Cam02 v1</x:v>
      </x:c>
      <x:c r="E34" s="12" t="str">
        <x:v>03a</x:v>
      </x:c>
      <x:c r="F34" s="12" t="str">
        <x:v>STÍLUS</x:v>
      </x:c>
      <x:c r="G34" s="12" t="str">
        <x:v>Elektronika</x:v>
      </x:c>
      <x:c r="H34" s="19" t="str">
        <x:v>Samsung Q7F 65 col</x:v>
      </x:c>
      <x:c r="I34" s="19" t="str">
        <x:v>Samsung</x:v>
      </x:c>
      <x:c r="J34" s="19" t="str">
        <x:v>QE65Q7FAAUXXH</x:v>
      </x:c>
      <x:c r="K34" s="19" t="str">
        <x:v>https://www.samsung.com/hu/tvs/qled-tv/q7f-65-inch-qled-4k-smart-tv-qe65q7faauxxh/</x:v>
      </x:c>
      <x:c r="L34" s="19" t="str">
        <x:v>1452.9×60.6×834 mm; VESA400×300;16.7kg</x:v>
      </x:c>
      <x:c r="M34" s="19" t="str">
        <x:v>Kyoto Ink: grafit / füstszürke / taupe</x:v>
      </x:c>
      <x:c r="N34" s="19" t="str">
        <x:v>PENDING – műszaki specifikáció szerint</x:v>
      </x:c>
      <x:c r="O34" s="19" t="n">
        <x:v>1</x:v>
      </x:c>
      <x:c r="P34" s="19" t="str">
        <x:v>csomag</x:v>
      </x:c>
      <x:c r="Q34" s="20" t="n">
        <x:v>250000</x:v>
      </x:c>
      <x:c r="R34" s="20" t="n">
        <x:v>0</x:v>
      </x:c>
      <x:c r="S34" s="20" t="n">
        <x:v>0</x:v>
      </x:c>
      <x:c r="T34" s="20" t="n">
        <x:v>0</x:v>
      </x:c>
      <x:c r="U34" s="21" t="n">
        <x:f>O34*Q34+SUM(R34:T34)</x:f>
        <x:v>250000</x:v>
      </x:c>
      <x:c r="V34" s="19" t="str">
        <x:v>előzetes becslés</x:v>
      </x:c>
      <x:c r="W34" s="19" t="str">
        <x:v>https://www.samsung.com/hu/tvs/qled-tv/q7f-65-inch-qled-4k-smart-tv-qe65q7faauxxh/; ár: CP1a becslés, nincs kereskedői ajánlat</x:v>
      </x:c>
      <x:c r="X34" s="19" t="str">
        <x:v>2026-10-26</x:v>
      </x:c>
      <x:c r="Y34" s="19" t="str">
        <x:v>UNKNOWN – ajánlatban visszaigazolandó</x:v>
      </x:c>
      <x:c r="Z34" s="19" t="str">
        <x:v>C</x:v>
      </x:c>
      <x:c r="AA34" s="19" t="str">
        <x:v>Gyári oldal szerint nem eladó közvetlenül; kereskedői beszerezhetőség és ár nyitott. 65col megőrzött, nem55col.</x:v>
      </x:c>
      <x:c r="AB34" s="19" t="str">
        <x:v>PENDING</x:v>
      </x:c>
      <x:c r="AC34" s="19" t="str">
        <x:v>nem megrendelt</x:v>
      </x:c>
      <x:c r="AD34" s="19" t="str">
        <x:v>Beszerzési felelős / Péter</x:v>
      </x:c>
      <x:c r="AE34" s="19" t="str">
        <x:v>Gyári oldal szerint nem eladó közvetlenül; kereskedői beszerezhetőség és ár nyitott. 65col megőrzött, nem55col.</x:v>
      </x:c>
      <x:c r="AF34" s="19" t="str">
        <x:v>CP0 becslési csomag: segédanyag és munkadíj a megnevezett tartalom szerint; külön szállítás a 14 sorban. Nem ingyenes szállítás.</x:v>
      </x:c>
      <x:c r="AG34" s="20" t="n">
        <x:v>250000</x:v>
      </x:c>
      <x:c r="AH34" s="21" t="n">
        <x:f>O34*AG34+SUM(R34:T34)</x:f>
        <x:v>250000</x:v>
      </x:c>
      <x:c r="AI34" s="19" t="str">
        <x:v>PENDING</x:v>
      </x:c>
      <x:c r="AJ34" s="19" t="str">
        <x:v>PENDING</x:v>
      </x:c>
      <x:c r="AK34" s="19" t="str">
        <x:v>PENDING</x:v>
      </x:c>
      <x:c r="AL34" s="19" t="str">
        <x:v>PENDING</x:v>
      </x:c>
      <x:c r="AM34" s="19" t="str">
        <x:v>PENDING</x:v>
      </x:c>
      <x:c r="AN34" s="1" t="str">
        <x:v>KI-033</x:v>
      </x:c>
      <x:c r="AO34" s="1" t="str">
        <x:v>drawings/P-01_alaprajz.pdf</x:v>
      </x:c>
      <x:c r="AP34" s="1" t="str">
        <x:v>KI_KI-033</x:v>
      </x:c>
      <x:c r="AQ34" s="1" t="str">
        <x:v>késztermék / szakági munka</x:v>
      </x:c>
      <x:c r="AR34" s="1" t="str">
        <x:v>gyártói adatlap; illesztés még nyitott</x:v>
      </x:c>
      <x:c r="AS34" s="1" t="str">
        <x:v>HUF</x:v>
      </x:c>
      <x:c r="AT34" s="1" t="n">
        <x:v>1</x:v>
      </x:c>
      <x:c r="AU34" s="1" t="str">
        <x:v>nincs visszaigazolt ajánlati érvényesség</x:v>
      </x:c>
      <x:c r="AV34" s="1" t="str">
        <x:v>KI-151 központi keret; daruzás KI-137</x:v>
      </x:c>
      <x:c r="AW34" s="1" t="str">
        <x:v>KI-014 asztalos / KI-106 villamos / KI-026 és KI-096 víz / KI-127 fal</x:v>
      </x:c>
      <x:c r="AX34" s="1" t="n">
        <x:v>6</x:v>
      </x:c>
      <x:c r="AY34" s="1" t="n">
        <x:v>0.85</x:v>
      </x:c>
      <x:c r="AZ34" s="1" t="n">
        <x:v>1.3</x:v>
      </x:c>
      <x:c r="BA34" s="29" t="n">
        <x:f>ROUND(U34*AY34,0)</x:f>
        <x:v>212500</x:v>
      </x:c>
      <x:c r="BB34" s="29" t="n">
        <x:f>ROUND(U34*AZ34,0)</x:f>
        <x:v>325000</x:v>
      </x:c>
    </x:row>
    <x:row r="35" ht="72" customHeight="1">
      <x:c r="A35" s="12" t="str">
        <x:v>A-902</x:v>
      </x:c>
      <x:c r="B35" s="12" t="str">
        <x:v>04</x:v>
      </x:c>
      <x:c r="C35" s="12" t="str">
        <x:v>KI-034</x:v>
      </x:c>
      <x:c r="D35" s="12" t="str">
        <x:v>CP3/render_handoff/manifest_CP3.json</x:v>
      </x:c>
      <x:c r="E35" s="12" t="str">
        <x:v>03a</x:v>
      </x:c>
      <x:c r="F35" s="12" t="str">
        <x:v>STÍLUS</x:v>
      </x:c>
      <x:c r="G35" s="12" t="str">
        <x:v>Elektronika</x:v>
      </x:c>
      <x:c r="H35" s="19" t="str">
        <x:v>Teherhordó TV-konzol</x:v>
      </x:c>
      <x:c r="I35" s="19" t="str">
        <x:v>UNKNOWN</x:v>
      </x:c>
      <x:c r="J35" s="19" t="str">
        <x:v>UNKNOWN</x:v>
      </x:c>
      <x:c r="K35" s="19" t="str">
        <x:v>UNKNOWN</x:v>
      </x:c>
      <x:c r="L35" s="19" t="str">
        <x:v>TV-03: 2600×36×2330 mm</x:v>
      </x:c>
      <x:c r="M35" s="19" t="str">
        <x:v>Kyoto Ink: grafit / füstszürke / taupe</x:v>
      </x:c>
      <x:c r="N35" s="19" t="str">
        <x:v>PENDING – műszaki specifikáció szerint</x:v>
      </x:c>
      <x:c r="O35" s="19" t="n">
        <x:v>1</x:v>
      </x:c>
      <x:c r="P35" s="19" t="str">
        <x:v>csomag</x:v>
      </x:c>
      <x:c r="Q35" s="20" t="n">
        <x:v>30000</x:v>
      </x:c>
      <x:c r="R35" s="20" t="n">
        <x:v>0</x:v>
      </x:c>
      <x:c r="S35" s="20" t="n">
        <x:v>0</x:v>
      </x:c>
      <x:c r="T35" s="20" t="n">
        <x:v>0</x:v>
      </x:c>
      <x:c r="U35" s="21" t="n">
        <x:f>O35*Q35+SUM(R35:T35)</x:f>
        <x:v>30000</x:v>
      </x:c>
      <x:c r="V35" s="19" t="str">
        <x:v>előzetes becslés</x:v>
      </x:c>
      <x:c r="W35" s="19" t="str">
        <x:v>CP0 tervezői előirányzat, nem webshopár; baseline 03a</x:v>
      </x:c>
      <x:c r="X35" s="19" t="str">
        <x:v>2026-10-26</x:v>
      </x:c>
      <x:c r="Y35" s="19" t="str">
        <x:v>UNKNOWN – ajánlatban visszaigazolandó</x:v>
      </x:c>
      <x:c r="Z35" s="19" t="str">
        <x:v>C</x:v>
      </x:c>
      <x:c r="AA35" s="19" t="str">
        <x:v>PENDING</x:v>
      </x:c>
      <x:c r="AB35" s="19" t="str">
        <x:v>PENDING</x:v>
      </x:c>
      <x:c r="AC35" s="19" t="str">
        <x:v>nem megrendelt</x:v>
      </x:c>
      <x:c r="AD35" s="19" t="str">
        <x:v>Beszerzési felelős / Péter</x:v>
      </x:c>
      <x:c r="AE35" s="19" t="str">
        <x:v>PENDING – méret, csatlakozás, anyagminta, teljes bekerülés</x:v>
      </x:c>
      <x:c r="AF35" s="19" t="str">
        <x:v>CP0 becslési csomag: segédanyag és munkadíj a megnevezett tartalom szerint; külön szállítás a 14 sorban. Nem ingyenes szállítás.</x:v>
      </x:c>
      <x:c r="AG35" s="20" t="n">
        <x:v>30000</x:v>
      </x:c>
      <x:c r="AH35" s="21" t="n">
        <x:f>O35*AG35+SUM(R35:T35)</x:f>
        <x:v>30000</x:v>
      </x:c>
      <x:c r="AI35" s="19" t="str">
        <x:v>PENDING</x:v>
      </x:c>
      <x:c r="AJ35" s="19" t="str">
        <x:v>PENDING</x:v>
      </x:c>
      <x:c r="AK35" s="19" t="str">
        <x:v>PENDING</x:v>
      </x:c>
      <x:c r="AL35" s="19" t="str">
        <x:v>PENDING</x:v>
      </x:c>
      <x:c r="AM35" s="19" t="str">
        <x:v>PENDING</x:v>
      </x:c>
      <x:c r="AN35" s="1" t="str">
        <x:v>TV-03</x:v>
      </x:c>
      <x:c r="AO35" s="1" t="str">
        <x:v>CP3/drawings/TV-03_CP3.pdf</x:v>
      </x:c>
      <x:c r="AP35" s="1" t="str">
        <x:v>CP3_TV-03</x:v>
      </x:c>
      <x:c r="AQ35" s="1" t="str">
        <x:v>egyedi gyártás</x:v>
      </x:c>
      <x:c r="AR35" s="1" t="str">
        <x:v>R02 méretezett ajánlati terv; nem helyszíni méret</x:v>
      </x:c>
      <x:c r="AS35" s="1" t="str">
        <x:v>HUF</x:v>
      </x:c>
      <x:c r="AT35" s="1" t="n">
        <x:v>1</x:v>
      </x:c>
      <x:c r="AU35" s="1" t="str">
        <x:v>nincs visszaigazolt ajánlati érvényesség</x:v>
      </x:c>
      <x:c r="AV35" s="1" t="str">
        <x:v>KI-151 központi keret; daruzás KI-137</x:v>
      </x:c>
      <x:c r="AW35" s="1" t="str">
        <x:v>KI-014 asztalos / KI-106 villamos / KI-026 és KI-096 víz / KI-127 fal</x:v>
      </x:c>
      <x:c r="AX35" s="1" t="n">
        <x:v>4</x:v>
      </x:c>
      <x:c r="AY35" s="1" t="n">
        <x:v>0.85</x:v>
      </x:c>
      <x:c r="AZ35" s="1" t="n">
        <x:v>1.3</x:v>
      </x:c>
      <x:c r="BA35" s="29" t="n">
        <x:f>ROUND(U35*AY35,0)</x:f>
        <x:v>25500</x:v>
      </x:c>
      <x:c r="BB35" s="29" t="n">
        <x:f>ROUND(U35*AZ35,0)</x:f>
        <x:v>39000</x:v>
      </x:c>
    </x:row>
    <x:row r="36" ht="72" customHeight="1">
      <x:c r="A36" s="12" t="str">
        <x:v>A-902</x:v>
      </x:c>
      <x:c r="B36" s="12" t="str">
        <x:v>04</x:v>
      </x:c>
      <x:c r="C36" s="12" t="str">
        <x:v>KI-035</x:v>
      </x:c>
      <x:c r="D36" s="12" t="str">
        <x:v>Cam02 v1</x:v>
      </x:c>
      <x:c r="E36" s="12" t="str">
        <x:v>03a</x:v>
      </x:c>
      <x:c r="F36" s="12" t="str">
        <x:v>STÍLUS</x:v>
      </x:c>
      <x:c r="G36" s="12" t="str">
        <x:v>Elektronika</x:v>
      </x:c>
      <x:c r="H36" s="19" t="str">
        <x:v>HDMI, hálózat, kábelszervezés, audióigény előirányzat</x:v>
      </x:c>
      <x:c r="I36" s="19" t="str">
        <x:v>UNKNOWN</x:v>
      </x:c>
      <x:c r="J36" s="19" t="str">
        <x:v>UNKNOWN</x:v>
      </x:c>
      <x:c r="K36" s="19" t="str">
        <x:v>UNKNOWN</x:v>
      </x:c>
      <x:c r="L36" s="19" t="str">
        <x:v>UNKNOWN – felmérés/gyári adat kell</x:v>
      </x:c>
      <x:c r="M36" s="19" t="str">
        <x:v>Kyoto Ink: grafit / füstszürke / taupe</x:v>
      </x:c>
      <x:c r="N36" s="19" t="str">
        <x:v>PENDING – műszaki specifikáció szerint</x:v>
      </x:c>
      <x:c r="O36" s="19" t="n">
        <x:v>1</x:v>
      </x:c>
      <x:c r="P36" s="19" t="str">
        <x:v>csomag</x:v>
      </x:c>
      <x:c r="Q36" s="20" t="n">
        <x:v>40000</x:v>
      </x:c>
      <x:c r="R36" s="20" t="n">
        <x:v>0</x:v>
      </x:c>
      <x:c r="S36" s="20" t="n">
        <x:v>0</x:v>
      </x:c>
      <x:c r="T36" s="20" t="n">
        <x:v>0</x:v>
      </x:c>
      <x:c r="U36" s="21" t="n">
        <x:f>O36*Q36+SUM(R36:T36)</x:f>
        <x:v>40000</x:v>
      </x:c>
      <x:c r="V36" s="19" t="str">
        <x:v>előzetes becslés</x:v>
      </x:c>
      <x:c r="W36" s="19" t="str">
        <x:v>CP0 tervezői előirányzat, nem webshopár; baseline 03a</x:v>
      </x:c>
      <x:c r="X36" s="19" t="str">
        <x:v>2026-10-26</x:v>
      </x:c>
      <x:c r="Y36" s="19" t="str">
        <x:v>UNKNOWN – ajánlatban visszaigazolandó</x:v>
      </x:c>
      <x:c r="Z36" s="19" t="str">
        <x:v>C</x:v>
      </x:c>
      <x:c r="AA36" s="19" t="str">
        <x:v>PENDING</x:v>
      </x:c>
      <x:c r="AB36" s="19" t="str">
        <x:v>PENDING</x:v>
      </x:c>
      <x:c r="AC36" s="19" t="str">
        <x:v>nem megrendelt</x:v>
      </x:c>
      <x:c r="AD36" s="19" t="str">
        <x:v>Beszerzési felelős / Péter</x:v>
      </x:c>
      <x:c r="AE36" s="19" t="str">
        <x:v>PENDING – méret, csatlakozás, anyagminta, teljes bekerülés</x:v>
      </x:c>
      <x:c r="AF36" s="19" t="str">
        <x:v>CP0 becslési csomag: segédanyag és munkadíj a megnevezett tartalom szerint; külön szállítás a 14 sorban. Nem ingyenes szállítás.</x:v>
      </x:c>
      <x:c r="AG36" s="20" t="n">
        <x:v>40000</x:v>
      </x:c>
      <x:c r="AH36" s="21" t="n">
        <x:f>O36*AG36+SUM(R36:T36)</x:f>
        <x:v>40000</x:v>
      </x:c>
      <x:c r="AI36" s="19" t="str">
        <x:v>PENDING</x:v>
      </x:c>
      <x:c r="AJ36" s="19" t="str">
        <x:v>PENDING</x:v>
      </x:c>
      <x:c r="AK36" s="19" t="str">
        <x:v>PENDING</x:v>
      </x:c>
      <x:c r="AL36" s="19" t="str">
        <x:v>PENDING</x:v>
      </x:c>
      <x:c r="AM36" s="19" t="str">
        <x:v>PENDING</x:v>
      </x:c>
      <x:c r="AN36" s="1" t="str">
        <x:v>KI-035</x:v>
      </x:c>
      <x:c r="AO36" s="1" t="str">
        <x:v>drawings/P-01_alaprajz.pdf</x:v>
      </x:c>
      <x:c r="AP36" s="1" t="str">
        <x:v>NINCS MODELL / nem térbeli költségsor; szakági kapcsolat igazolandó</x:v>
      </x:c>
      <x:c r="AQ36" s="1" t="str">
        <x:v>késztermék / szakági munka</x:v>
      </x:c>
      <x:c r="AR36" s="1" t="str">
        <x:v>felmérés/gyártói rajz szükséges</x:v>
      </x:c>
      <x:c r="AS36" s="1" t="str">
        <x:v>HUF</x:v>
      </x:c>
      <x:c r="AT36" s="1" t="n">
        <x:v>1</x:v>
      </x:c>
      <x:c r="AU36" s="1" t="str">
        <x:v>nincs visszaigazolt ajánlati érvényesség</x:v>
      </x:c>
      <x:c r="AV36" s="1" t="str">
        <x:v>KI-151 központi keret; daruzás KI-137</x:v>
      </x:c>
      <x:c r="AW36" s="1" t="str">
        <x:v>KI-014 asztalos / KI-106 villamos / KI-026 és KI-096 víz / KI-127 fal</x:v>
      </x:c>
      <x:c r="AX36" s="1" t="n">
        <x:v>6</x:v>
      </x:c>
      <x:c r="AY36" s="1" t="n">
        <x:v>0.85</x:v>
      </x:c>
      <x:c r="AZ36" s="1" t="n">
        <x:v>1.3</x:v>
      </x:c>
      <x:c r="BA36" s="29" t="n">
        <x:f>ROUND(U36*AY36,0)</x:f>
        <x:v>34000</x:v>
      </x:c>
      <x:c r="BB36" s="29" t="n">
        <x:f>ROUND(U36*AZ36,0)</x:f>
        <x:v>52000</x:v>
      </x:c>
    </x:row>
    <x:row r="37" ht="72" customHeight="1">
      <x:c r="A37" s="12" t="str">
        <x:v>A-902</x:v>
      </x:c>
      <x:c r="B37" s="12" t="str">
        <x:v>04</x:v>
      </x:c>
      <x:c r="C37" s="12" t="str">
        <x:v>KI-036</x:v>
      </x:c>
      <x:c r="D37" s="12" t="str">
        <x:v>Cam02 v1; Cam12 v1</x:v>
      </x:c>
      <x:c r="E37" s="12" t="str">
        <x:v>03b</x:v>
      </x:c>
      <x:c r="F37" s="12" t="str">
        <x:v>STÍLUS</x:v>
      </x:c>
      <x:c r="G37" s="12" t="str">
        <x:v>Bútor</x:v>
      </x:c>
      <x:c r="H37" s="19" t="str">
        <x:v>L-kanapé teljes konfiguráció</x:v>
      </x:c>
      <x:c r="I37" s="19" t="str">
        <x:v>Westwing</x:v>
      </x:c>
      <x:c r="J37" s="19" t="str">
        <x:v>DEQ21WES12329-168260</x:v>
      </x:c>
      <x:c r="K37" s="19" t="str">
        <x:v>https://www.westwing.hu/lennon-modularis-sarokkanape-hu-21wes12329.html?simple=DEQ21WES12329-168260</x:v>
      </x:c>
      <x:c r="L37" s="19" t="str">
        <x:v>238×180×68; ülésmagasság 43</x:v>
      </x:c>
      <x:c r="M37" s="19" t="str">
        <x:v>szürkésbarna, szövött</x:v>
      </x:c>
      <x:c r="N37" s="19" t="str">
        <x:v>szövet; örökölt poliészter-adat újraellenőrzendő</x:v>
      </x:c>
      <x:c r="O37" s="19" t="n">
        <x:v>1</x:v>
      </x:c>
      <x:c r="P37" s="19" t="str">
        <x:v>db</x:v>
      </x:c>
      <x:c r="Q37" s="20" t="n">
        <x:v>800000</x:v>
      </x:c>
      <x:c r="R37" s="20" t="n">
        <x:v>0</x:v>
      </x:c>
      <x:c r="S37" s="20" t="n">
        <x:v>0</x:v>
      </x:c>
      <x:c r="T37" s="20" t="n">
        <x:v>0</x:v>
      </x:c>
      <x:c r="U37" s="21" t="n">
        <x:f>O37*Q37+SUM(R37:T37)</x:f>
        <x:v>800000</x:v>
      </x:c>
      <x:c r="V37" s="19" t="str">
        <x:v>ellenőrzött webshopár</x:v>
      </x:c>
      <x:c r="W37" s="19" t="str">
        <x:v>Westwing HU pontos SKU JSON-LD:800000Ft; HU szállítás visszaigazolása nincs</x:v>
      </x:c>
      <x:c r="X37" s="19" t="str">
        <x:v>2026-10-27</x:v>
      </x:c>
      <x:c r="Y37" s="19" t="str">
        <x:v>8–9 hét; szállítás feláras; 10 év gyártói garancia az oldalon</x:v>
      </x:c>
      <x:c r="Z37" s="19" t="str">
        <x:v>A</x:v>
      </x:c>
      <x:c r="AA37" s="19" t="str">
        <x:v>Alacsony, széles karú jobb sarokkanapé; a célkép szövete és párnázottsága eltérhet.</x:v>
      </x:c>
      <x:c r="AB37" s="19" t="str">
        <x:v>PENDING</x:v>
      </x:c>
      <x:c r="AC37" s="19" t="str">
        <x:v>nem megrendelt</x:v>
      </x:c>
      <x:c r="AD37" s="19" t="str">
        <x:v>Beszerzési felelős / Péter</x:v>
      </x:c>
      <x:c r="AE37" s="19" t="str">
        <x:v>PENDING – méret, csatlakozás, anyagminta, teljes bekerülés</x:v>
      </x:c>
      <x:c r="AF37" s="19" t="str">
        <x:v>Szövetminta; üveg előtti sáv; 2 nagy csomag felhordása (183×123×66 és 123×123×66 cm).</x:v>
      </x:c>
      <x:c r="AG37" s="20" t="n">
        <x:v>800000</x:v>
      </x:c>
      <x:c r="AH37" s="21" t="n">
        <x:f>O37*AG37+SUM(R37:T37)</x:f>
        <x:v>800000</x:v>
      </x:c>
      <x:c r="AI37" s="19" t="str">
        <x:v>PENDING</x:v>
      </x:c>
      <x:c r="AJ37" s="19" t="str">
        <x:v>PENDING</x:v>
      </x:c>
      <x:c r="AK37" s="19" t="str">
        <x:v>8–9 hét; szállítás feláras; 10 év gyártói garancia az oldalon</x:v>
      </x:c>
      <x:c r="AL37" s="19" t="str">
        <x:v>PENDING</x:v>
      </x:c>
      <x:c r="AM37" s="19" t="str">
        <x:v>PENDING</x:v>
      </x:c>
      <x:c r="AN37" s="1" t="str">
        <x:v>KI-036</x:v>
      </x:c>
      <x:c r="AO37" s="1" t="str">
        <x:v>drawings/P-01_alaprajz.pdf</x:v>
      </x:c>
      <x:c r="AP37" s="1" t="str">
        <x:v>R06_Lennon_*</x:v>
      </x:c>
      <x:c r="AQ37" s="1" t="str">
        <x:v>késztermék / szakági munka</x:v>
      </x:c>
      <x:c r="AR37" s="1" t="str">
        <x:v>Gyártói2380×1800×680; fotó/méret alapján felépített forma, nem gyári3D</x:v>
      </x:c>
      <x:c r="AS37" s="1" t="str">
        <x:v>HUF</x:v>
      </x:c>
      <x:c r="AT37" s="1" t="n">
        <x:v>1</x:v>
      </x:c>
      <x:c r="AU37" s="1" t="str">
        <x:v>nincs visszaigazolt ajánlati érvényesség</x:v>
      </x:c>
      <x:c r="AV37" s="1" t="str">
        <x:v>KI-151 központi keret; daruzás KI-137</x:v>
      </x:c>
      <x:c r="AW37" s="1" t="str">
        <x:v>KI-014 asztalos / KI-106 villamos / KI-026 és KI-096 víz / KI-127 fal</x:v>
      </x:c>
      <x:c r="AX37" s="1" t="n">
        <x:v>6</x:v>
      </x:c>
      <x:c r="AY37" s="1" t="n">
        <x:v>1</x:v>
      </x:c>
      <x:c r="AZ37" s="1" t="n">
        <x:v>1.12</x:v>
      </x:c>
      <x:c r="BA37" s="29" t="n">
        <x:f>ROUND(U37*AY37,0)</x:f>
        <x:v>800000</x:v>
      </x:c>
      <x:c r="BB37" s="29" t="n">
        <x:f>ROUND(U37*AZ37,0)</x:f>
        <x:v>896000</x:v>
      </x:c>
    </x:row>
    <x:row r="38" ht="72" customHeight="1">
      <x:c r="A38" s="12" t="str">
        <x:v>A-902</x:v>
      </x:c>
      <x:c r="B38" s="12" t="str">
        <x:v>04</x:v>
      </x:c>
      <x:c r="C38" s="12" t="str">
        <x:v>KI-037</x:v>
      </x:c>
      <x:c r="D38" s="12" t="str">
        <x:v>CP3/render_handoff/manifest_CP3.json</x:v>
      </x:c>
      <x:c r="E38" s="12" t="str">
        <x:v>03c</x:v>
      </x:c>
      <x:c r="F38" s="12" t="str">
        <x:v>STÍLUS</x:v>
      </x:c>
      <x:c r="G38" s="12" t="str">
        <x:v>Asztalos</x:v>
      </x:c>
      <x:c r="H38" s="19" t="str">
        <x:v>Grafit dohányzóasztal</x:v>
      </x:c>
      <x:c r="I38" s="19" t="str">
        <x:v>UNKNOWN</x:v>
      </x:c>
      <x:c r="J38" s="19" t="str">
        <x:v>UNKNOWN</x:v>
      </x:c>
      <x:c r="K38" s="19" t="str">
        <x:v>UNKNOWN</x:v>
      </x:c>
      <x:c r="L38" s="19" t="str">
        <x:v>CF-01: 700×450×350 mm</x:v>
      </x:c>
      <x:c r="M38" s="19" t="str">
        <x:v>Kyoto Ink: grafit / füstszürke / taupe</x:v>
      </x:c>
      <x:c r="N38" s="19" t="str">
        <x:v>MAT-02</x:v>
      </x:c>
      <x:c r="O38" s="19" t="n">
        <x:v>1</x:v>
      </x:c>
      <x:c r="P38" s="19" t="str">
        <x:v>csomag</x:v>
      </x:c>
      <x:c r="Q38" s="20" t="n">
        <x:v>105000</x:v>
      </x:c>
      <x:c r="R38" s="20" t="n">
        <x:v>0</x:v>
      </x:c>
      <x:c r="S38" s="20" t="n">
        <x:v>0</x:v>
      </x:c>
      <x:c r="T38" s="20" t="n">
        <x:v>0</x:v>
      </x:c>
      <x:c r="U38" s="21" t="n">
        <x:f>O38*Q38+SUM(R38:T38)</x:f>
        <x:v>105000</x:v>
      </x:c>
      <x:c r="V38" s="19" t="str">
        <x:v>előzetes becslés</x:v>
      </x:c>
      <x:c r="W38" s="19" t="str">
        <x:v>V3.3 tervezői előirányzat 2026-10-26; ajánlat szükséges</x:v>
      </x:c>
      <x:c r="X38" s="19" t="str">
        <x:v>2026-10-26</x:v>
      </x:c>
      <x:c r="Y38" s="19" t="str">
        <x:v>UNKNOWN – ajánlatban visszaigazolandó</x:v>
      </x:c>
      <x:c r="Z38" s="19" t="str">
        <x:v>B</x:v>
      </x:c>
      <x:c r="AA38" s="19" t="str">
        <x:v>PENDING</x:v>
      </x:c>
      <x:c r="AB38" s="19" t="str">
        <x:v>PENDING</x:v>
      </x:c>
      <x:c r="AC38" s="19" t="str">
        <x:v>nem megrendelt</x:v>
      </x:c>
      <x:c r="AD38" s="19" t="str">
        <x:v>Asztalos és belsőépítész</x:v>
      </x:c>
      <x:c r="AE38" s="19" t="str">
        <x:v>PENDING – méret, csatlakozás, anyagminta, teljes bekerülés</x:v>
      </x:c>
      <x:c r="AF38" s="19" t="str">
        <x:v>Egyedi CF-01 grafit laminált dobozasztal 700×450×350 mm</x:v>
      </x:c>
      <x:c r="AG38" s="20" t="n">
        <x:v>105000</x:v>
      </x:c>
      <x:c r="AH38" s="21" t="n">
        <x:f>O38*AG38+SUM(R38:T38)</x:f>
        <x:v>105000</x:v>
      </x:c>
      <x:c r="AI38" s="19" t="str">
        <x:v>R05 főváltozat tartalma; korábbi fiók-/aszimmetria-elhagyás nincs automatikusan kiválasztva.</x:v>
      </x:c>
      <x:c r="AJ38" s="19" t="str">
        <x:v>PENDING</x:v>
      </x:c>
      <x:c r="AK38" s="19" t="str">
        <x:v>PENDING</x:v>
      </x:c>
      <x:c r="AL38" s="19" t="str">
        <x:v>DELIFE Edge Rund Minas Melange / Conis Titan | https://www.delife.de/couchtisch-edge-90x90cm-keramik/a-795-parent | vizsgált, elutasított alternatíva</x:v>
      </x:c>
      <x:c r="AM38" s="19" t="str">
        <x:v>PENDING</x:v>
      </x:c>
      <x:c r="AN38" s="1" t="str">
        <x:v>CF-01</x:v>
      </x:c>
      <x:c r="AO38" s="1" t="str">
        <x:v>CP3/drawings/CF-01_CP3.pdf</x:v>
      </x:c>
      <x:c r="AP38" s="1" t="str">
        <x:v>CP3_CF-01</x:v>
      </x:c>
      <x:c r="AQ38" s="1" t="str">
        <x:v>egyedi gyártás</x:v>
      </x:c>
      <x:c r="AR38" s="1" t="str">
        <x:v>R02 méretezett ajánlati terv; nem helyszíni méret</x:v>
      </x:c>
      <x:c r="AS38" s="1" t="str">
        <x:v>HUF</x:v>
      </x:c>
      <x:c r="AT38" s="1" t="n">
        <x:v>1</x:v>
      </x:c>
      <x:c r="AU38" s="1" t="str">
        <x:v>nincs visszaigazolt ajánlati érvényesség</x:v>
      </x:c>
      <x:c r="AV38" s="1" t="str">
        <x:v>KI-151 központi keret; daruzás KI-137</x:v>
      </x:c>
      <x:c r="AW38" s="1" t="str">
        <x:v>KI-014 asztalos / KI-106 villamos / KI-026 és KI-096 víz / KI-127 fal</x:v>
      </x:c>
      <x:c r="AX38" s="1" t="n">
        <x:v>4</x:v>
      </x:c>
      <x:c r="AY38" s="1" t="n">
        <x:v>0.85</x:v>
      </x:c>
      <x:c r="AZ38" s="1" t="n">
        <x:v>1.3</x:v>
      </x:c>
      <x:c r="BA38" s="29" t="n">
        <x:f>ROUND(U38*AY38,0)</x:f>
        <x:v>89250</x:v>
      </x:c>
      <x:c r="BB38" s="29" t="n">
        <x:f>ROUND(U38*AZ38,0)</x:f>
        <x:v>136500</x:v>
      </x:c>
    </x:row>
    <x:row r="39" ht="72" customHeight="1">
      <x:c r="A39" s="12" t="str">
        <x:v>A-902</x:v>
      </x:c>
      <x:c r="B39" s="12" t="str">
        <x:v>04</x:v>
      </x:c>
      <x:c r="C39" s="12" t="str">
        <x:v>KI-038</x:v>
      </x:c>
      <x:c r="D39" s="12" t="str">
        <x:v>CP3/render_handoff/manifest_CP3.json</x:v>
      </x:c>
      <x:c r="E39" s="12" t="str">
        <x:v>03c</x:v>
      </x:c>
      <x:c r="F39" s="12" t="str">
        <x:v>STÍLUS</x:v>
      </x:c>
      <x:c r="G39" s="12" t="str">
        <x:v>Asztalos</x:v>
      </x:c>
      <x:c r="H39" s="19" t="str">
        <x:v>Grafit mellékasztal</x:v>
      </x:c>
      <x:c r="I39" s="19" t="str">
        <x:v>UNKNOWN</x:v>
      </x:c>
      <x:c r="J39" s="19" t="str">
        <x:v>UNKNOWN</x:v>
      </x:c>
      <x:c r="K39" s="19" t="str">
        <x:v>UNKNOWN</x:v>
      </x:c>
      <x:c r="L39" s="19" t="str">
        <x:v>ST-01: 300×300×450 mm</x:v>
      </x:c>
      <x:c r="M39" s="19" t="str">
        <x:v>Kyoto Ink: grafit / füstszürke / taupe</x:v>
      </x:c>
      <x:c r="N39" s="19" t="str">
        <x:v>MAT-02</x:v>
      </x:c>
      <x:c r="O39" s="19" t="n">
        <x:v>1</x:v>
      </x:c>
      <x:c r="P39" s="19" t="str">
        <x:v>csomag</x:v>
      </x:c>
      <x:c r="Q39" s="20" t="n">
        <x:v>55000</x:v>
      </x:c>
      <x:c r="R39" s="20" t="n">
        <x:v>0</x:v>
      </x:c>
      <x:c r="S39" s="20" t="n">
        <x:v>0</x:v>
      </x:c>
      <x:c r="T39" s="20" t="n">
        <x:v>0</x:v>
      </x:c>
      <x:c r="U39" s="21" t="n">
        <x:f>O39*Q39+SUM(R39:T39)</x:f>
        <x:v>55000</x:v>
      </x:c>
      <x:c r="V39" s="19" t="str">
        <x:v>előzetes becslés</x:v>
      </x:c>
      <x:c r="W39" s="19" t="str">
        <x:v>V3.3 tervezői előirányzat 2026-10-26; ajánlat szükséges</x:v>
      </x:c>
      <x:c r="X39" s="19" t="str">
        <x:v>2026-10-26</x:v>
      </x:c>
      <x:c r="Y39" s="19" t="str">
        <x:v>UNKNOWN – ajánlatban visszaigazolandó</x:v>
      </x:c>
      <x:c r="Z39" s="19" t="str">
        <x:v>B</x:v>
      </x:c>
      <x:c r="AA39" s="19" t="str">
        <x:v>PENDING</x:v>
      </x:c>
      <x:c r="AB39" s="19" t="str">
        <x:v>PENDING</x:v>
      </x:c>
      <x:c r="AC39" s="19" t="str">
        <x:v>nem megrendelt</x:v>
      </x:c>
      <x:c r="AD39" s="19" t="str">
        <x:v>Asztalos és belsőépítész</x:v>
      </x:c>
      <x:c r="AE39" s="19" t="str">
        <x:v>PENDING – méret, csatlakozás, anyagminta, teljes bekerülés</x:v>
      </x:c>
      <x:c r="AF39" s="19" t="str">
        <x:v>Egyedi ST-01 grafit mellékkocka 300×300×450 mm</x:v>
      </x:c>
      <x:c r="AG39" s="20" t="n">
        <x:v>55000</x:v>
      </x:c>
      <x:c r="AH39" s="21" t="n">
        <x:f>O39*AG39+SUM(R39:T39)</x:f>
        <x:v>55000</x:v>
      </x:c>
      <x:c r="AI39" s="19" t="str">
        <x:v>R05 főváltozat tartalma; korábbi fiók-/aszimmetria-elhagyás nincs automatikusan kiválasztva.</x:v>
      </x:c>
      <x:c r="AJ39" s="19" t="str">
        <x:v>PENDING</x:v>
      </x:c>
      <x:c r="AK39" s="19" t="str">
        <x:v>PENDING</x:v>
      </x:c>
      <x:c r="AL39" s="19" t="str">
        <x:v>PENDING</x:v>
      </x:c>
      <x:c r="AM39" s="19" t="str">
        <x:v>PENDING</x:v>
      </x:c>
      <x:c r="AN39" s="1" t="str">
        <x:v>ST-01</x:v>
      </x:c>
      <x:c r="AO39" s="1" t="str">
        <x:v>CP3/drawings/ST-01_CP3.pdf</x:v>
      </x:c>
      <x:c r="AP39" s="1" t="str">
        <x:v>CP3_ST-01</x:v>
      </x:c>
      <x:c r="AQ39" s="1" t="str">
        <x:v>egyedi gyártás</x:v>
      </x:c>
      <x:c r="AR39" s="1" t="str">
        <x:v>R02 méretezett ajánlati terv; nem helyszíni méret</x:v>
      </x:c>
      <x:c r="AS39" s="1" t="str">
        <x:v>HUF</x:v>
      </x:c>
      <x:c r="AT39" s="1" t="n">
        <x:v>1</x:v>
      </x:c>
      <x:c r="AU39" s="1" t="str">
        <x:v>nincs visszaigazolt ajánlati érvényesség</x:v>
      </x:c>
      <x:c r="AV39" s="1" t="str">
        <x:v>KI-151 központi keret; daruzás KI-137</x:v>
      </x:c>
      <x:c r="AW39" s="1" t="str">
        <x:v>KI-014 asztalos / KI-106 villamos / KI-026 és KI-096 víz / KI-127 fal</x:v>
      </x:c>
      <x:c r="AX39" s="1" t="n">
        <x:v>4</x:v>
      </x:c>
      <x:c r="AY39" s="1" t="n">
        <x:v>0.85</x:v>
      </x:c>
      <x:c r="AZ39" s="1" t="n">
        <x:v>1.3</x:v>
      </x:c>
      <x:c r="BA39" s="29" t="n">
        <x:f>ROUND(U39*AY39,0)</x:f>
        <x:v>46750</x:v>
      </x:c>
      <x:c r="BB39" s="29" t="n">
        <x:f>ROUND(U39*AZ39,0)</x:f>
        <x:v>71500</x:v>
      </x:c>
    </x:row>
    <x:row r="40" ht="72" customHeight="1">
      <x:c r="A40" s="12" t="str">
        <x:v>A-902</x:v>
      </x:c>
      <x:c r="B40" s="12" t="str">
        <x:v>04</x:v>
      </x:c>
      <x:c r="C40" s="12" t="str">
        <x:v>KI-039</x:v>
      </x:c>
      <x:c r="D40" s="12" t="str">
        <x:v>Cam02 v1; Cam12 v1</x:v>
      </x:c>
      <x:c r="E40" s="12" t="str">
        <x:v>03e</x:v>
      </x:c>
      <x:c r="F40" s="12" t="str">
        <x:v>STÍLUS</x:v>
      </x:c>
      <x:c r="G40" s="12" t="str">
        <x:v>Textil</x:v>
      </x:c>
      <x:c r="H40" s="19" t="str">
        <x:v>Nappali szőnyeg és csúszásgátló</x:v>
      </x:c>
      <x:c r="I40" s="19" t="str">
        <x:v>UNKNOWN</x:v>
      </x:c>
      <x:c r="J40" s="19" t="str">
        <x:v>X0100244JJ12</x:v>
      </x:c>
      <x:c r="K40" s="19" t="str">
        <x:v>https://kavehome.com/hu/en/p/nifelia-beige-wool-jacquard-rug-200-x-300-cm</x:v>
      </x:c>
      <x:c r="L40" s="19" t="str">
        <x:v>200×300×1; ±5cm</x:v>
      </x:c>
      <x:c r="M40" s="19" t="str">
        <x:v>bézs</x:v>
      </x:c>
      <x:c r="N40" s="19" t="str">
        <x:v>85%gyapjú/15%pamut</x:v>
      </x:c>
      <x:c r="O40" s="19" t="n">
        <x:v>1</x:v>
      </x:c>
      <x:c r="P40" s="19" t="str">
        <x:v>csomag</x:v>
      </x:c>
      <x:c r="Q40" s="20" t="n">
        <x:v>200000</x:v>
      </x:c>
      <x:c r="R40" s="20" t="n">
        <x:v>0</x:v>
      </x:c>
      <x:c r="S40" s="20" t="n">
        <x:v>0</x:v>
      </x:c>
      <x:c r="T40" s="20" t="n">
        <x:v>0</x:v>
      </x:c>
      <x:c r="U40" s="21" t="n">
        <x:f>O40*Q40+SUM(R40:T40)</x:f>
        <x:v>200000</x:v>
      </x:c>
      <x:c r="V40" s="19" t="str">
        <x:v>előzetes becslés</x:v>
      </x:c>
      <x:c r="W40" s="19" t="str">
        <x:v>HU429; gyártói HR specifikáció igazolt, HU ár nyitott</x:v>
      </x:c>
      <x:c r="X40" s="19" t="str">
        <x:v>2026-10-26</x:v>
      </x:c>
      <x:c r="Y40" s="19" t="str">
        <x:v>UNKNOWN – ajánlatban visszaigazolandó</x:v>
      </x:c>
      <x:c r="Z40" s="19" t="str">
        <x:v>C</x:v>
      </x:c>
      <x:c r="AA40" s="19" t="str">
        <x:v>A render nyugodtabb, homogénebb szőnyegéhez képest halszálkás jacquard. A nagy bézs tömeg megfelelő, színminta szükséges.</x:v>
      </x:c>
      <x:c r="AB40" s="19" t="str">
        <x:v>PENDING</x:v>
      </x:c>
      <x:c r="AC40" s="19" t="str">
        <x:v>nem megrendelt</x:v>
      </x:c>
      <x:c r="AD40" s="19" t="str">
        <x:v>Függönyös</x:v>
      </x:c>
      <x:c r="AE40" s="19" t="str">
        <x:v>PENDING – méret, csatlakozás, anyagminta, teljes bekerülés</x:v>
      </x:c>
      <x:c r="AF40" s="19" t="str">
        <x:v>Csúszásgátló külön; padlóhő/ajtóütközés, fotó alapján szín nem véglegesíthető. Csomagelőirányzat maradt, nem puszta termékár.</x:v>
      </x:c>
      <x:c r="AG40" s="20" t="n">
        <x:v>200000</x:v>
      </x:c>
      <x:c r="AH40" s="21" t="n">
        <x:f>O40*AG40+SUM(R40:T40)</x:f>
        <x:v>200000</x:v>
      </x:c>
      <x:c r="AI40" s="19" t="str">
        <x:v>PENDING</x:v>
      </x:c>
      <x:c r="AJ40" s="19" t="str">
        <x:v>PENDING</x:v>
      </x:c>
      <x:c r="AK40" s="19" t="str">
        <x:v>PENDING</x:v>
      </x:c>
      <x:c r="AL40" s="19" t="str">
        <x:v>PENDING</x:v>
      </x:c>
      <x:c r="AM40" s="19" t="str">
        <x:v>PENDING</x:v>
      </x:c>
      <x:c r="AN40" s="1" t="str">
        <x:v>KI-039</x:v>
      </x:c>
      <x:c r="AO40" s="1" t="str">
        <x:v>drawings/P-01_alaprajz.pdf</x:v>
      </x:c>
      <x:c r="AP40" s="1" t="str">
        <x:v>NINCS MODELL / nem térbeli költségsor; szakági kapcsolat igazolandó</x:v>
      </x:c>
      <x:c r="AQ40" s="1" t="str">
        <x:v>késztermék / szakági munka</x:v>
      </x:c>
      <x:c r="AR40" s="1" t="str">
        <x:v>felmérés/gyártói rajz szükséges</x:v>
      </x:c>
      <x:c r="AS40" s="1" t="str">
        <x:v>HUF</x:v>
      </x:c>
      <x:c r="AT40" s="1" t="n">
        <x:v>1</x:v>
      </x:c>
      <x:c r="AU40" s="1" t="str">
        <x:v>nincs visszaigazolt ajánlati érvényesség</x:v>
      </x:c>
      <x:c r="AV40" s="1" t="str">
        <x:v>KI-151 központi keret; daruzás KI-137</x:v>
      </x:c>
      <x:c r="AW40" s="1" t="str">
        <x:v>KI-014 asztalos / KI-106 villamos / KI-026 és KI-096 víz / KI-127 fal</x:v>
      </x:c>
      <x:c r="AX40" s="1" t="n">
        <x:v>6</x:v>
      </x:c>
      <x:c r="AY40" s="1" t="n">
        <x:v>0.85</x:v>
      </x:c>
      <x:c r="AZ40" s="1" t="n">
        <x:v>1.3</x:v>
      </x:c>
      <x:c r="BA40" s="29" t="n">
        <x:f>ROUND(U40*AY40,0)</x:f>
        <x:v>170000</x:v>
      </x:c>
      <x:c r="BB40" s="29" t="n">
        <x:f>ROUND(U40*AZ40,0)</x:f>
        <x:v>260000</x:v>
      </x:c>
    </x:row>
    <x:row r="41" ht="72" customHeight="1">
      <x:c r="A41" s="12" t="str">
        <x:v>A-902</x:v>
      </x:c>
      <x:c r="B41" s="12" t="str">
        <x:v>04</x:v>
      </x:c>
      <x:c r="C41" s="12" t="str">
        <x:v>KI-040</x:v>
      </x:c>
      <x:c r="D41" s="12" t="str">
        <x:v>Cam02 v1</x:v>
      </x:c>
      <x:c r="E41" s="12" t="str">
        <x:v>03f</x:v>
      </x:c>
      <x:c r="F41" s="12" t="str">
        <x:v>STÍLUS</x:v>
      </x:c>
      <x:c r="G41" s="12" t="str">
        <x:v>Textil</x:v>
      </x:c>
      <x:c r="H41" s="19" t="str">
        <x:v>Nappali fényáteresztő és sötétítő szövet</x:v>
      </x:c>
      <x:c r="I41" s="19" t="str">
        <x:v>UNKNOWN</x:v>
      </x:c>
      <x:c r="J41" s="19" t="str">
        <x:v>UNKNOWN</x:v>
      </x:c>
      <x:c r="K41" s="19" t="str">
        <x:v>UNKNOWN</x:v>
      </x:c>
      <x:c r="L41" s="19" t="str">
        <x:v>UNKNOWN – felmérés/gyári adat kell</x:v>
      </x:c>
      <x:c r="M41" s="19" t="str">
        <x:v>Kyoto Ink: grafit / füstszürke / taupe</x:v>
      </x:c>
      <x:c r="N41" s="19" t="str">
        <x:v>PENDING – műszaki specifikáció szerint</x:v>
      </x:c>
      <x:c r="O41" s="19" t="n">
        <x:v>1</x:v>
      </x:c>
      <x:c r="P41" s="19" t="str">
        <x:v>csomag</x:v>
      </x:c>
      <x:c r="Q41" s="20" t="n">
        <x:v>160000</x:v>
      </x:c>
      <x:c r="R41" s="20" t="n">
        <x:v>0</x:v>
      </x:c>
      <x:c r="S41" s="20" t="n">
        <x:v>0</x:v>
      </x:c>
      <x:c r="T41" s="20" t="n">
        <x:v>0</x:v>
      </x:c>
      <x:c r="U41" s="21" t="n">
        <x:f>O41*Q41+SUM(R41:T41)</x:f>
        <x:v>160000</x:v>
      </x:c>
      <x:c r="V41" s="19" t="str">
        <x:v>előzetes becslés</x:v>
      </x:c>
      <x:c r="W41" s="19" t="str">
        <x:v>CP0 tervezői előirányzat, nem webshopár; baseline 03f</x:v>
      </x:c>
      <x:c r="X41" s="19" t="str">
        <x:v>2026-10-26</x:v>
      </x:c>
      <x:c r="Y41" s="19" t="str">
        <x:v>UNKNOWN – ajánlatban visszaigazolandó</x:v>
      </x:c>
      <x:c r="Z41" s="19" t="str">
        <x:v>B</x:v>
      </x:c>
      <x:c r="AA41" s="19" t="str">
        <x:v>PENDING</x:v>
      </x:c>
      <x:c r="AB41" s="19" t="str">
        <x:v>PENDING</x:v>
      </x:c>
      <x:c r="AC41" s="19" t="str">
        <x:v>nem megrendelt</x:v>
      </x:c>
      <x:c r="AD41" s="19" t="str">
        <x:v>Függönyös</x:v>
      </x:c>
      <x:c r="AE41" s="19" t="str">
        <x:v>PENDING – méret, csatlakozás, anyagminta, teljes bekerülés</x:v>
      </x:c>
      <x:c r="AF41" s="19" t="str">
        <x:v>CP0 becslési csomag: segédanyag és munkadíj a megnevezett tartalom szerint; külön szállítás a 14 sorban. Nem ingyenes szállítás.</x:v>
      </x:c>
      <x:c r="AG41" s="20" t="n">
        <x:v>160000</x:v>
      </x:c>
      <x:c r="AH41" s="21" t="n">
        <x:f>O41*AG41+SUM(R41:T41)</x:f>
        <x:v>160000</x:v>
      </x:c>
      <x:c r="AI41" s="19" t="str">
        <x:v>PENDING</x:v>
      </x:c>
      <x:c r="AJ41" s="19" t="str">
        <x:v>PENDING</x:v>
      </x:c>
      <x:c r="AK41" s="19" t="str">
        <x:v>PENDING</x:v>
      </x:c>
      <x:c r="AL41" s="19" t="str">
        <x:v>PENDING</x:v>
      </x:c>
      <x:c r="AM41" s="19" t="str">
        <x:v>PENDING</x:v>
      </x:c>
      <x:c r="AN41" s="1" t="str">
        <x:v>KI-040</x:v>
      </x:c>
      <x:c r="AO41" s="1" t="str">
        <x:v>drawings/P-01_alaprajz.pdf</x:v>
      </x:c>
      <x:c r="AP41" s="1" t="str">
        <x:v>NINCS MODELL / nem térbeli költségsor; szakági kapcsolat igazolandó</x:v>
      </x:c>
      <x:c r="AQ41" s="1" t="str">
        <x:v>késztermék / szakági munka</x:v>
      </x:c>
      <x:c r="AR41" s="1" t="str">
        <x:v>felmérés/gyártói rajz szükséges</x:v>
      </x:c>
      <x:c r="AS41" s="1" t="str">
        <x:v>HUF</x:v>
      </x:c>
      <x:c r="AT41" s="1" t="n">
        <x:v>1</x:v>
      </x:c>
      <x:c r="AU41" s="1" t="str">
        <x:v>nincs visszaigazolt ajánlati érvényesség</x:v>
      </x:c>
      <x:c r="AV41" s="1" t="str">
        <x:v>KI-151 központi keret; daruzás KI-137</x:v>
      </x:c>
      <x:c r="AW41" s="1" t="str">
        <x:v>KI-014 asztalos / KI-106 villamos / KI-026 és KI-096 víz / KI-127 fal</x:v>
      </x:c>
      <x:c r="AX41" s="1" t="n">
        <x:v>6</x:v>
      </x:c>
      <x:c r="AY41" s="1" t="n">
        <x:v>0.85</x:v>
      </x:c>
      <x:c r="AZ41" s="1" t="n">
        <x:v>1.3</x:v>
      </x:c>
      <x:c r="BA41" s="29" t="n">
        <x:f>ROUND(U41*AY41,0)</x:f>
        <x:v>136000</x:v>
      </x:c>
      <x:c r="BB41" s="29" t="n">
        <x:f>ROUND(U41*AZ41,0)</x:f>
        <x:v>208000</x:v>
      </x:c>
    </x:row>
    <x:row r="42" ht="72" customHeight="1">
      <x:c r="A42" s="12" t="str">
        <x:v>A-902</x:v>
      </x:c>
      <x:c r="B42" s="12" t="str">
        <x:v>04</x:v>
      </x:c>
      <x:c r="C42" s="12" t="str">
        <x:v>KI-041</x:v>
      </x:c>
      <x:c r="D42" s="12" t="str">
        <x:v>Cam02 v1</x:v>
      </x:c>
      <x:c r="E42" s="12" t="str">
        <x:v>03f</x:v>
      </x:c>
      <x:c r="F42" s="12" t="str">
        <x:v>STÍLUS</x:v>
      </x:c>
      <x:c r="G42" s="12" t="str">
        <x:v>Textil</x:v>
      </x:c>
      <x:c r="H42" s="19" t="str">
        <x:v>Fali sín, konzolok, végzárók és rögzítés</x:v>
      </x:c>
      <x:c r="I42" s="19" t="str">
        <x:v>UNKNOWN</x:v>
      </x:c>
      <x:c r="J42" s="19" t="str">
        <x:v>UNKNOWN</x:v>
      </x:c>
      <x:c r="K42" s="19" t="str">
        <x:v>UNKNOWN</x:v>
      </x:c>
      <x:c r="L42" s="19" t="str">
        <x:v>UNKNOWN – felmérés/gyári adat kell</x:v>
      </x:c>
      <x:c r="M42" s="19" t="str">
        <x:v>Kyoto Ink: grafit / füstszürke / taupe</x:v>
      </x:c>
      <x:c r="N42" s="19" t="str">
        <x:v>PENDING – műszaki specifikáció szerint</x:v>
      </x:c>
      <x:c r="O42" s="19" t="n">
        <x:v>1</x:v>
      </x:c>
      <x:c r="P42" s="19" t="str">
        <x:v>csomag</x:v>
      </x:c>
      <x:c r="Q42" s="20" t="n">
        <x:v>65000</x:v>
      </x:c>
      <x:c r="R42" s="20" t="n">
        <x:v>0</x:v>
      </x:c>
      <x:c r="S42" s="20" t="n">
        <x:v>0</x:v>
      </x:c>
      <x:c r="T42" s="20" t="n">
        <x:v>0</x:v>
      </x:c>
      <x:c r="U42" s="21" t="n">
        <x:f>O42*Q42+SUM(R42:T42)</x:f>
        <x:v>65000</x:v>
      </x:c>
      <x:c r="V42" s="19" t="str">
        <x:v>előzetes becslés</x:v>
      </x:c>
      <x:c r="W42" s="19" t="str">
        <x:v>CP0 tervezői előirányzat, nem webshopár; baseline 03f</x:v>
      </x:c>
      <x:c r="X42" s="19" t="str">
        <x:v>2026-10-26</x:v>
      </x:c>
      <x:c r="Y42" s="19" t="str">
        <x:v>UNKNOWN – ajánlatban visszaigazolandó</x:v>
      </x:c>
      <x:c r="Z42" s="19" t="str">
        <x:v>B</x:v>
      </x:c>
      <x:c r="AA42" s="19" t="str">
        <x:v>PENDING</x:v>
      </x:c>
      <x:c r="AB42" s="19" t="str">
        <x:v>PENDING</x:v>
      </x:c>
      <x:c r="AC42" s="19" t="str">
        <x:v>nem megrendelt</x:v>
      </x:c>
      <x:c r="AD42" s="19" t="str">
        <x:v>Függönyös</x:v>
      </x:c>
      <x:c r="AE42" s="19" t="str">
        <x:v>PENDING – méret, csatlakozás, anyagminta, teljes bekerülés</x:v>
      </x:c>
      <x:c r="AF42" s="19" t="str">
        <x:v>CP0 becslési csomag: segédanyag és munkadíj a megnevezett tartalom szerint; külön szállítás a 14 sorban. Nem ingyenes szállítás.</x:v>
      </x:c>
      <x:c r="AG42" s="20" t="n">
        <x:v>65000</x:v>
      </x:c>
      <x:c r="AH42" s="21" t="n">
        <x:f>O42*AG42+SUM(R42:T42)</x:f>
        <x:v>65000</x:v>
      </x:c>
      <x:c r="AI42" s="19" t="str">
        <x:v>PENDING</x:v>
      </x:c>
      <x:c r="AJ42" s="19" t="str">
        <x:v>PENDING</x:v>
      </x:c>
      <x:c r="AK42" s="19" t="str">
        <x:v>PENDING</x:v>
      </x:c>
      <x:c r="AL42" s="19" t="str">
        <x:v>PENDING</x:v>
      </x:c>
      <x:c r="AM42" s="19" t="str">
        <x:v>PENDING</x:v>
      </x:c>
      <x:c r="AN42" s="1" t="str">
        <x:v>KI-041</x:v>
      </x:c>
      <x:c r="AO42" s="1" t="str">
        <x:v>drawings/P-01_alaprajz.pdf</x:v>
      </x:c>
      <x:c r="AP42" s="1" t="str">
        <x:v>NINCS MODELL / nem térbeli költségsor; szakági kapcsolat igazolandó</x:v>
      </x:c>
      <x:c r="AQ42" s="1" t="str">
        <x:v>késztermék / szakági munka</x:v>
      </x:c>
      <x:c r="AR42" s="1" t="str">
        <x:v>felmérés/gyártói rajz szükséges</x:v>
      </x:c>
      <x:c r="AS42" s="1" t="str">
        <x:v>HUF</x:v>
      </x:c>
      <x:c r="AT42" s="1" t="n">
        <x:v>1</x:v>
      </x:c>
      <x:c r="AU42" s="1" t="str">
        <x:v>nincs visszaigazolt ajánlati érvényesség</x:v>
      </x:c>
      <x:c r="AV42" s="1" t="str">
        <x:v>KI-151 központi keret; daruzás KI-137</x:v>
      </x:c>
      <x:c r="AW42" s="1" t="str">
        <x:v>KI-014 asztalos / KI-106 villamos / KI-026 és KI-096 víz / KI-127 fal</x:v>
      </x:c>
      <x:c r="AX42" s="1" t="n">
        <x:v>6</x:v>
      </x:c>
      <x:c r="AY42" s="1" t="n">
        <x:v>0.85</x:v>
      </x:c>
      <x:c r="AZ42" s="1" t="n">
        <x:v>1.3</x:v>
      </x:c>
      <x:c r="BA42" s="29" t="n">
        <x:f>ROUND(U42*AY42,0)</x:f>
        <x:v>55250</x:v>
      </x:c>
      <x:c r="BB42" s="29" t="n">
        <x:f>ROUND(U42*AZ42,0)</x:f>
        <x:v>84500</x:v>
      </x:c>
    </x:row>
    <x:row r="43" ht="72" customHeight="1">
      <x:c r="A43" s="12" t="str">
        <x:v>A-902</x:v>
      </x:c>
      <x:c r="B43" s="12" t="str">
        <x:v>04</x:v>
      </x:c>
      <x:c r="C43" s="12" t="str">
        <x:v>KI-042</x:v>
      </x:c>
      <x:c r="D43" s="12" t="str">
        <x:v>Cam02 v1</x:v>
      </x:c>
      <x:c r="E43" s="12" t="str">
        <x:v>03f</x:v>
      </x:c>
      <x:c r="F43" s="12" t="str">
        <x:v>STÍLUS</x:v>
      </x:c>
      <x:c r="G43" s="12" t="str">
        <x:v>Textil</x:v>
      </x:c>
      <x:c r="H43" s="19" t="str">
        <x:v>Méretre varrás és függönyszerelés</x:v>
      </x:c>
      <x:c r="I43" s="19" t="str">
        <x:v>UNKNOWN</x:v>
      </x:c>
      <x:c r="J43" s="19" t="str">
        <x:v>UNKNOWN</x:v>
      </x:c>
      <x:c r="K43" s="19" t="str">
        <x:v>UNKNOWN</x:v>
      </x:c>
      <x:c r="L43" s="19" t="str">
        <x:v>UNKNOWN – felmérés/gyári adat kell</x:v>
      </x:c>
      <x:c r="M43" s="19" t="str">
        <x:v>Kyoto Ink: grafit / füstszürke / taupe</x:v>
      </x:c>
      <x:c r="N43" s="19" t="str">
        <x:v>PENDING – műszaki specifikáció szerint</x:v>
      </x:c>
      <x:c r="O43" s="19" t="n">
        <x:v>1</x:v>
      </x:c>
      <x:c r="P43" s="19" t="str">
        <x:v>csomag</x:v>
      </x:c>
      <x:c r="Q43" s="20" t="n">
        <x:v>55000</x:v>
      </x:c>
      <x:c r="R43" s="20" t="n">
        <x:v>0</x:v>
      </x:c>
      <x:c r="S43" s="20" t="n">
        <x:v>0</x:v>
      </x:c>
      <x:c r="T43" s="20" t="n">
        <x:v>0</x:v>
      </x:c>
      <x:c r="U43" s="21" t="n">
        <x:f>O43*Q43+SUM(R43:T43)</x:f>
        <x:v>55000</x:v>
      </x:c>
      <x:c r="V43" s="19" t="str">
        <x:v>előzetes becslés</x:v>
      </x:c>
      <x:c r="W43" s="19" t="str">
        <x:v>CP0 tervezői előirányzat, nem webshopár; baseline 03f</x:v>
      </x:c>
      <x:c r="X43" s="19" t="str">
        <x:v>2026-10-26</x:v>
      </x:c>
      <x:c r="Y43" s="19" t="str">
        <x:v>UNKNOWN – ajánlatban visszaigazolandó</x:v>
      </x:c>
      <x:c r="Z43" s="19" t="str">
        <x:v>B</x:v>
      </x:c>
      <x:c r="AA43" s="19" t="str">
        <x:v>PENDING</x:v>
      </x:c>
      <x:c r="AB43" s="19" t="str">
        <x:v>PENDING</x:v>
      </x:c>
      <x:c r="AC43" s="19" t="str">
        <x:v>nem megrendelt</x:v>
      </x:c>
      <x:c r="AD43" s="19" t="str">
        <x:v>Függönyös</x:v>
      </x:c>
      <x:c r="AE43" s="19" t="str">
        <x:v>PENDING – méret, csatlakozás, anyagminta, teljes bekerülés</x:v>
      </x:c>
      <x:c r="AF43" s="19" t="str">
        <x:v>CP0 becslési csomag: segédanyag és munkadíj a megnevezett tartalom szerint; külön szállítás a 14 sorban. Nem ingyenes szállítás.</x:v>
      </x:c>
      <x:c r="AG43" s="20" t="n">
        <x:v>55000</x:v>
      </x:c>
      <x:c r="AH43" s="21" t="n">
        <x:f>O43*AG43+SUM(R43:T43)</x:f>
        <x:v>55000</x:v>
      </x:c>
      <x:c r="AI43" s="19" t="str">
        <x:v>PENDING</x:v>
      </x:c>
      <x:c r="AJ43" s="19" t="str">
        <x:v>PENDING</x:v>
      </x:c>
      <x:c r="AK43" s="19" t="str">
        <x:v>PENDING</x:v>
      </x:c>
      <x:c r="AL43" s="19" t="str">
        <x:v>PENDING</x:v>
      </x:c>
      <x:c r="AM43" s="19" t="str">
        <x:v>PENDING</x:v>
      </x:c>
      <x:c r="AN43" s="1" t="str">
        <x:v>KI-042</x:v>
      </x:c>
      <x:c r="AO43" s="1" t="str">
        <x:v>drawings/P-01_alaprajz.pdf</x:v>
      </x:c>
      <x:c r="AP43" s="1" t="str">
        <x:v>NINCS MODELL / nem térbeli költségsor; szakági kapcsolat igazolandó</x:v>
      </x:c>
      <x:c r="AQ43" s="1" t="str">
        <x:v>késztermék / szakági munka</x:v>
      </x:c>
      <x:c r="AR43" s="1" t="str">
        <x:v>felmérés/gyártói rajz szükséges</x:v>
      </x:c>
      <x:c r="AS43" s="1" t="str">
        <x:v>HUF</x:v>
      </x:c>
      <x:c r="AT43" s="1" t="n">
        <x:v>1</x:v>
      </x:c>
      <x:c r="AU43" s="1" t="str">
        <x:v>nincs visszaigazolt ajánlati érvényesség</x:v>
      </x:c>
      <x:c r="AV43" s="1" t="str">
        <x:v>KI-151 központi keret; daruzás KI-137</x:v>
      </x:c>
      <x:c r="AW43" s="1" t="str">
        <x:v>KI-014 asztalos / KI-106 villamos / KI-026 és KI-096 víz / KI-127 fal</x:v>
      </x:c>
      <x:c r="AX43" s="1" t="n">
        <x:v>6</x:v>
      </x:c>
      <x:c r="AY43" s="1" t="n">
        <x:v>0.85</x:v>
      </x:c>
      <x:c r="AZ43" s="1" t="n">
        <x:v>1.3</x:v>
      </x:c>
      <x:c r="BA43" s="29" t="n">
        <x:f>ROUND(U43*AY43,0)</x:f>
        <x:v>46750</x:v>
      </x:c>
      <x:c r="BB43" s="29" t="n">
        <x:f>ROUND(U43*AZ43,0)</x:f>
        <x:v>71500</x:v>
      </x:c>
    </x:row>
    <x:row r="44" ht="72" customHeight="1">
      <x:c r="A44" s="12" t="str">
        <x:v>A-902</x:v>
      </x:c>
      <x:c r="B44" s="12" t="str">
        <x:v>05.1</x:v>
      </x:c>
      <x:c r="C44" s="12" t="str">
        <x:v>KI-043</x:v>
      </x:c>
      <x:c r="D44" s="12" t="str">
        <x:v>Cam04 v1; Cam11 v2</x:v>
      </x:c>
      <x:c r="E44" s="12" t="str">
        <x:v>04a</x:v>
      </x:c>
      <x:c r="F44" s="12" t="str">
        <x:v>STÍLUS</x:v>
      </x:c>
      <x:c r="G44" s="12" t="str">
        <x:v>Bútor</x:v>
      </x:c>
      <x:c r="H44" s="19" t="str">
        <x:v>BED-01 egyedi kárpitozott tárolóágy, közös felnyíló kerettel</x:v>
      </x:c>
      <x:c r="I44" s="19" t="str">
        <x:v>Egyedi ajánlatkérés</x:v>
      </x:c>
      <x:c r="J44" s="19" t="str">
        <x:v>BED-01-R06</x:v>
      </x:c>
      <x:c r="K44" s="19" t="str">
        <x:v>https://www.ikea.com/hu/hu/p/nordli-agykeret-taroloval-feher-20349853/</x:v>
      </x:c>
      <x:c r="L44" s="19" t="str">
        <x:v>2020×1800×300 mm külső, matrac1800×2000</x:v>
      </x:c>
      <x:c r="M44" s="19" t="str">
        <x:v>fehér</x:v>
      </x:c>
      <x:c r="N44" s="19" t="str">
        <x:v>festett faalapú lapok; fenyőlécek</x:v>
      </x:c>
      <x:c r="O44" s="19" t="n">
        <x:v>1</x:v>
      </x:c>
      <x:c r="P44" s="19" t="str">
        <x:v>db</x:v>
      </x:c>
      <x:c r="Q44" s="20" t="n">
        <x:v>250000</x:v>
      </x:c>
      <x:c r="R44" s="20" t="n">
        <x:v>0</x:v>
      </x:c>
      <x:c r="S44" s="20" t="n">
        <x:v>0</x:v>
      </x:c>
      <x:c r="T44" s="20" t="n">
        <x:v>0</x:v>
      </x:c>
      <x:c r="U44" s="21" t="n">
        <x:f>O44*Q44+SUM(R44:T44)</x:f>
        <x:v>250000</x:v>
      </x:c>
      <x:c r="V44" s="19" t="str">
        <x:v>Becslés</x:v>
      </x:c>
      <x:c r="W44" s="19" t="str">
        <x:v>R06 bontás: váz80000+kárpit50000+közös keret és kétoldali emelőszerkezet80000+összeépítés40000; vasalat ajánlatra vár</x:v>
      </x:c>
      <x:c r="X44" s="19" t="str">
        <x:v>2026-10-26</x:v>
      </x:c>
      <x:c r="Y44" s="19" t="str">
        <x:v>HU készlet/címfüggő szállítás PENDING</x:v>
      </x:c>
      <x:c r="Z44" s="19" t="str">
        <x:v>A</x:v>
      </x:c>
      <x:c r="AA44" s="19" t="str">
        <x:v>Fehér/kréta alacsony ágytest megtartva; oldalfiók helyett felnyíló tároló</x:v>
      </x:c>
      <x:c r="AB44" s="19" t="str">
        <x:v>PENDING</x:v>
      </x:c>
      <x:c r="AC44" s="19" t="str">
        <x:v>nem megrendelt</x:v>
      </x:c>
      <x:c r="AD44" s="19" t="str">
        <x:v>Beszerzési felelős / Péter</x:v>
      </x:c>
      <x:c r="AE44" s="19" t="str">
        <x:v>PENDING – méret, csatlakozás, anyagminta, teljes bekerülés</x:v>
      </x:c>
      <x:c r="AF44" s="19" t="str">
        <x:v>Matrac külön; fióknyitás, éjjeli ütközés, 202cm külső hossz ellenőrzése.</x:v>
      </x:c>
      <x:c r="AG44" s="20" t="n">
        <x:v>250000</x:v>
      </x:c>
      <x:c r="AH44" s="21" t="n">
        <x:f>O44*AG44+SUM(R44:T44)</x:f>
        <x:v>250000</x:v>
      </x:c>
      <x:c r="AI44" s="19" t="str">
        <x:v>PENDING</x:v>
      </x:c>
      <x:c r="AJ44" s="19" t="str">
        <x:v>PENDING</x:v>
      </x:c>
      <x:c r="AK44" s="19" t="str">
        <x:v>HU készlet/címfüggő szállítás PENDING</x:v>
      </x:c>
      <x:c r="AL44" s="19" t="str">
        <x:v>PENDING</x:v>
      </x:c>
      <x:c r="AM44" s="19" t="str">
        <x:v>PENDING</x:v>
      </x:c>
      <x:c r="AN44" s="1" t="str">
        <x:v>BED-01</x:v>
      </x:c>
      <x:c r="AO44" s="1" t="str">
        <x:v>R06/drawings/R06_valtozott_szerkezetek.pdf</x:v>
      </x:c>
      <x:c r="AP44" s="1" t="str">
        <x:v>R06_BED01_*</x:v>
      </x:c>
      <x:c r="AQ44" s="1" t="str">
        <x:v>Egyedi</x:v>
      </x:c>
      <x:c r="AR44" s="1" t="str">
        <x:v>Tervezési befoglaló; vasalat és gyártás nincs jóváhagyva</x:v>
      </x:c>
      <x:c r="AS44" s="1" t="str">
        <x:v>HUF</x:v>
      </x:c>
      <x:c r="AT44" s="1" t="n">
        <x:v>1</x:v>
      </x:c>
      <x:c r="AU44" s="1" t="str">
        <x:v>nincs visszaigazolt ajánlati érvényesség</x:v>
      </x:c>
      <x:c r="AV44" s="1" t="str">
        <x:v>KI-151 központi keret; daruzás KI-137</x:v>
      </x:c>
      <x:c r="AW44" s="1" t="str">
        <x:v>KI-014 asztalos / KI-106 villamos / KI-026 és KI-096 víz / KI-127 fal</x:v>
      </x:c>
      <x:c r="AX44" s="1" t="n">
        <x:v>6</x:v>
      </x:c>
      <x:c r="AY44" s="1" t="n">
        <x:v>0.85</x:v>
      </x:c>
      <x:c r="AZ44" s="1" t="n">
        <x:v>1.45</x:v>
      </x:c>
      <x:c r="BA44" s="29" t="n">
        <x:f>ROUND(U44*AY44,0)</x:f>
        <x:v>212500</x:v>
      </x:c>
      <x:c r="BB44" s="29" t="n">
        <x:f>ROUND(U44*AZ44,0)</x:f>
        <x:v>362500</x:v>
      </x:c>
    </x:row>
    <x:row r="45" ht="72" customHeight="1">
      <x:c r="A45" s="12" t="str">
        <x:v>A-902</x:v>
      </x:c>
      <x:c r="B45" s="12" t="str">
        <x:v>05.1</x:v>
      </x:c>
      <x:c r="C45" s="12" t="str">
        <x:v>KI-044</x:v>
      </x:c>
      <x:c r="D45" s="12" t="str">
        <x:v>Cam04 v1; Cam11 v2</x:v>
      </x:c>
      <x:c r="E45" s="12" t="str">
        <x:v>04a</x:v>
      </x:c>
      <x:c r="F45" s="12" t="str">
        <x:v>STÍLUS</x:v>
      </x:c>
      <x:c r="G45" s="12" t="str">
        <x:v>Bútor</x:v>
      </x:c>
      <x:c r="H45" s="19" t="str">
        <x:v>180×200 matrac</x:v>
      </x:c>
      <x:c r="I45" s="19" t="str">
        <x:v>IKEA</x:v>
      </x:c>
      <x:c r="J45" s="19" t="str">
        <x:v>004.507.57</x:v>
      </x:c>
      <x:c r="K45" s="19" t="str">
        <x:v>https://www.ikea.com/hu/hu/p/vagstranda-zsakrugos-matrac-kemeny-vilagoskek-00450757/</x:v>
      </x:c>
      <x:c r="L45" s="19" t="str">
        <x:v>1800×2000×280 mm</x:v>
      </x:c>
      <x:c r="M45" s="19" t="str">
        <x:v>Kyoto Ink: grafit / füstszürke / taupe</x:v>
      </x:c>
      <x:c r="N45" s="19" t="str">
        <x:v>PENDING – műszaki specifikáció szerint</x:v>
      </x:c>
      <x:c r="O45" s="19" t="n">
        <x:v>1</x:v>
      </x:c>
      <x:c r="P45" s="19" t="str">
        <x:v>csomag</x:v>
      </x:c>
      <x:c r="Q45" s="20" t="n">
        <x:v>229900</x:v>
      </x:c>
      <x:c r="R45" s="20" t="n">
        <x:v>0</x:v>
      </x:c>
      <x:c r="S45" s="20" t="n">
        <x:v>0</x:v>
      </x:c>
      <x:c r="T45" s="20" t="n">
        <x:v>0</x:v>
      </x:c>
      <x:c r="U45" s="21" t="n">
        <x:f>O45*Q45+SUM(R45:T45)</x:f>
        <x:v>229900</x:v>
      </x:c>
      <x:c r="V45" s="19" t="str">
        <x:v>Ellenőrzött webshopár</x:v>
      </x:c>
      <x:c r="W45" s="19" t="str">
        <x:v>IKEA HU 2026-10-27; komfortpróba és szállítás visszaigazolása nincs</x:v>
      </x:c>
      <x:c r="X45" s="19" t="str">
        <x:v>2026-10-27</x:v>
      </x:c>
      <x:c r="Y45" s="19" t="str">
        <x:v>UNKNOWN – ajánlatban visszaigazolandó</x:v>
      </x:c>
      <x:c r="Z45" s="19" t="str">
        <x:v>C</x:v>
      </x:c>
      <x:c r="AA45" s="19" t="str">
        <x:v>PENDING</x:v>
      </x:c>
      <x:c r="AB45" s="19" t="str">
        <x:v>PENDING</x:v>
      </x:c>
      <x:c r="AC45" s="19" t="str">
        <x:v>nem megrendelt</x:v>
      </x:c>
      <x:c r="AD45" s="19" t="str">
        <x:v>Beszerzési felelős / Péter</x:v>
      </x:c>
      <x:c r="AE45" s="19" t="str">
        <x:v>PENDING – méret, csatlakozás, anyagminta, teljes bekerülés</x:v>
      </x:c>
      <x:c r="AF45" s="19" t="str">
        <x:v>CP0 becslési csomag: segédanyag és munkadíj a megnevezett tartalom szerint; külön szállítás a 14 sorban. Nem ingyenes szállítás.</x:v>
      </x:c>
      <x:c r="AG45" s="20" t="n">
        <x:v>229900</x:v>
      </x:c>
      <x:c r="AH45" s="21" t="n">
        <x:f>O45*AG45+SUM(R45:T45)</x:f>
        <x:v>229900</x:v>
      </x:c>
      <x:c r="AI45" s="19" t="str">
        <x:v>PENDING</x:v>
      </x:c>
      <x:c r="AJ45" s="19" t="str">
        <x:v>PENDING</x:v>
      </x:c>
      <x:c r="AK45" s="19" t="str">
        <x:v>PENDING</x:v>
      </x:c>
      <x:c r="AL45" s="19" t="str">
        <x:v>PENDING</x:v>
      </x:c>
      <x:c r="AM45" s="19" t="str">
        <x:v>PENDING</x:v>
      </x:c>
      <x:c r="AN45" s="1" t="str">
        <x:v>KI-044</x:v>
      </x:c>
      <x:c r="AO45" s="1" t="str">
        <x:v>drawings/P-01_alaprajz.pdf</x:v>
      </x:c>
      <x:c r="AP45" s="1" t="str">
        <x:v>NINCS MODELL / nem térbeli költségsor; szakági kapcsolat igazolandó</x:v>
      </x:c>
      <x:c r="AQ45" s="1" t="str">
        <x:v>késztermék / szakági munka</x:v>
      </x:c>
      <x:c r="AR45" s="1" t="str">
        <x:v>felmérés/gyártói rajz szükséges</x:v>
      </x:c>
      <x:c r="AS45" s="1" t="str">
        <x:v>HUF</x:v>
      </x:c>
      <x:c r="AT45" s="1" t="n">
        <x:v>1</x:v>
      </x:c>
      <x:c r="AU45" s="1" t="str">
        <x:v>nincs visszaigazolt ajánlati érvényesség</x:v>
      </x:c>
      <x:c r="AV45" s="1" t="str">
        <x:v>KI-151 központi keret; daruzás KI-137</x:v>
      </x:c>
      <x:c r="AW45" s="1" t="str">
        <x:v>KI-014 asztalos / KI-106 villamos / KI-026 és KI-096 víz / KI-127 fal</x:v>
      </x:c>
      <x:c r="AX45" s="1" t="n">
        <x:v>6</x:v>
      </x:c>
      <x:c r="AY45" s="1" t="n">
        <x:v>0.85</x:v>
      </x:c>
      <x:c r="AZ45" s="1" t="n">
        <x:v>1.3</x:v>
      </x:c>
      <x:c r="BA45" s="29" t="n">
        <x:f>ROUND(U45*AY45,0)</x:f>
        <x:v>195415</x:v>
      </x:c>
      <x:c r="BB45" s="29" t="n">
        <x:f>ROUND(U45*AZ45,0)</x:f>
        <x:v>298870</x:v>
      </x:c>
    </x:row>
    <x:row r="46" ht="72" customHeight="1">
      <x:c r="A46" s="12" t="str">
        <x:v>A-902</x:v>
      </x:c>
      <x:c r="B46" s="12" t="str">
        <x:v>05.1</x:v>
      </x:c>
      <x:c r="C46" s="12" t="str">
        <x:v>KI-045</x:v>
      </x:c>
      <x:c r="D46" s="12" t="str">
        <x:v>Cam04 v1; Cam11 v2</x:v>
      </x:c>
      <x:c r="E46" s="12" t="str">
        <x:v>04a</x:v>
      </x:c>
      <x:c r="F46" s="12" t="str">
        <x:v>STÍLUS</x:v>
      </x:c>
      <x:c r="G46" s="12" t="str">
        <x:v>Bútor</x:v>
      </x:c>
      <x:c r="H46" s="19" t="str">
        <x:v>Matracvédő</x:v>
      </x:c>
      <x:c r="I46" s="19" t="str">
        <x:v>UNKNOWN</x:v>
      </x:c>
      <x:c r="J46" s="19" t="str">
        <x:v>UNKNOWN</x:v>
      </x:c>
      <x:c r="K46" s="19" t="str">
        <x:v>UNKNOWN</x:v>
      </x:c>
      <x:c r="L46" s="19" t="str">
        <x:v>UNKNOWN – felmérés/gyári adat kell</x:v>
      </x:c>
      <x:c r="M46" s="19" t="str">
        <x:v>Kyoto Ink: grafit / füstszürke / taupe</x:v>
      </x:c>
      <x:c r="N46" s="19" t="str">
        <x:v>PENDING – műszaki specifikáció szerint</x:v>
      </x:c>
      <x:c r="O46" s="19" t="n">
        <x:v>1</x:v>
      </x:c>
      <x:c r="P46" s="19" t="str">
        <x:v>csomag</x:v>
      </x:c>
      <x:c r="Q46" s="20" t="n">
        <x:v>20000</x:v>
      </x:c>
      <x:c r="R46" s="20" t="n">
        <x:v>0</x:v>
      </x:c>
      <x:c r="S46" s="20" t="n">
        <x:v>0</x:v>
      </x:c>
      <x:c r="T46" s="20" t="n">
        <x:v>0</x:v>
      </x:c>
      <x:c r="U46" s="21" t="n">
        <x:f>O46*Q46+SUM(R46:T46)</x:f>
        <x:v>20000</x:v>
      </x:c>
      <x:c r="V46" s="19" t="str">
        <x:v>előzetes becslés</x:v>
      </x:c>
      <x:c r="W46" s="19" t="str">
        <x:v>CP0 tervezői előirányzat, nem webshopár; baseline 04a</x:v>
      </x:c>
      <x:c r="X46" s="19" t="str">
        <x:v>2026-10-26</x:v>
      </x:c>
      <x:c r="Y46" s="19" t="str">
        <x:v>UNKNOWN – ajánlatban visszaigazolandó</x:v>
      </x:c>
      <x:c r="Z46" s="19" t="str">
        <x:v>C</x:v>
      </x:c>
      <x:c r="AA46" s="19" t="str">
        <x:v>PENDING</x:v>
      </x:c>
      <x:c r="AB46" s="19" t="str">
        <x:v>PENDING</x:v>
      </x:c>
      <x:c r="AC46" s="19" t="str">
        <x:v>nem megrendelt</x:v>
      </x:c>
      <x:c r="AD46" s="19" t="str">
        <x:v>Beszerzési felelős / Péter</x:v>
      </x:c>
      <x:c r="AE46" s="19" t="str">
        <x:v>PENDING – méret, csatlakozás, anyagminta, teljes bekerülés</x:v>
      </x:c>
      <x:c r="AF46" s="19" t="str">
        <x:v>CP0 becslési csomag: segédanyag és munkadíj a megnevezett tartalom szerint; külön szállítás a 14 sorban. Nem ingyenes szállítás.</x:v>
      </x:c>
      <x:c r="AG46" s="20" t="n">
        <x:v>20000</x:v>
      </x:c>
      <x:c r="AH46" s="21" t="n">
        <x:f>O46*AG46+SUM(R46:T46)</x:f>
        <x:v>20000</x:v>
      </x:c>
      <x:c r="AI46" s="19" t="str">
        <x:v>PENDING</x:v>
      </x:c>
      <x:c r="AJ46" s="19" t="str">
        <x:v>PENDING</x:v>
      </x:c>
      <x:c r="AK46" s="19" t="str">
        <x:v>PENDING</x:v>
      </x:c>
      <x:c r="AL46" s="19" t="str">
        <x:v>PENDING</x:v>
      </x:c>
      <x:c r="AM46" s="19" t="str">
        <x:v>PENDING</x:v>
      </x:c>
      <x:c r="AN46" s="1" t="str">
        <x:v>KI-045</x:v>
      </x:c>
      <x:c r="AO46" s="1" t="str">
        <x:v>drawings/P-01_alaprajz.pdf</x:v>
      </x:c>
      <x:c r="AP46" s="1" t="str">
        <x:v>NINCS MODELL / nem térbeli költségsor; szakági kapcsolat igazolandó</x:v>
      </x:c>
      <x:c r="AQ46" s="1" t="str">
        <x:v>késztermék / szakági munka</x:v>
      </x:c>
      <x:c r="AR46" s="1" t="str">
        <x:v>felmérés/gyártói rajz szükséges</x:v>
      </x:c>
      <x:c r="AS46" s="1" t="str">
        <x:v>HUF</x:v>
      </x:c>
      <x:c r="AT46" s="1" t="n">
        <x:v>1</x:v>
      </x:c>
      <x:c r="AU46" s="1" t="str">
        <x:v>nincs visszaigazolt ajánlati érvényesség</x:v>
      </x:c>
      <x:c r="AV46" s="1" t="str">
        <x:v>KI-151 központi keret; daruzás KI-137</x:v>
      </x:c>
      <x:c r="AW46" s="1" t="str">
        <x:v>KI-014 asztalos / KI-106 villamos / KI-026 és KI-096 víz / KI-127 fal</x:v>
      </x:c>
      <x:c r="AX46" s="1" t="n">
        <x:v>6</x:v>
      </x:c>
      <x:c r="AY46" s="1" t="n">
        <x:v>0.85</x:v>
      </x:c>
      <x:c r="AZ46" s="1" t="n">
        <x:v>1.3</x:v>
      </x:c>
      <x:c r="BA46" s="29" t="n">
        <x:f>ROUND(U46*AY46,0)</x:f>
        <x:v>17000</x:v>
      </x:c>
      <x:c r="BB46" s="29" t="n">
        <x:f>ROUND(U46*AZ46,0)</x:f>
        <x:v>26000</x:v>
      </x:c>
    </x:row>
    <x:row r="47" ht="72" customHeight="1">
      <x:c r="A47" s="12" t="str">
        <x:v>A-902</x:v>
      </x:c>
      <x:c r="B47" s="12" t="str">
        <x:v>05.1</x:v>
      </x:c>
      <x:c r="C47" s="12" t="str">
        <x:v>KI-046</x:v>
      </x:c>
      <x:c r="D47" s="12" t="str">
        <x:v>CP3/render_handoff/manifest_CP3.json</x:v>
      </x:c>
      <x:c r="E47" s="12" t="str">
        <x:v>04b</x:v>
      </x:c>
      <x:c r="F47" s="12" t="str">
        <x:v>STÍLUS</x:v>
      </x:c>
      <x:c r="G47" s="12" t="str">
        <x:v>Asztalos</x:v>
      </x:c>
      <x:c r="H47" s="19" t="str">
        <x:v>Aszimmetrikus kárpitozott fejvég</x:v>
      </x:c>
      <x:c r="I47" s="19" t="str">
        <x:v>UNKNOWN</x:v>
      </x:c>
      <x:c r="J47" s="19" t="str">
        <x:v>UNKNOWN</x:v>
      </x:c>
      <x:c r="K47" s="19" t="str">
        <x:v>UNKNOWN</x:v>
      </x:c>
      <x:c r="L47" s="19" t="str">
        <x:v>HB-01: 2700×60×1500 mm</x:v>
      </x:c>
      <x:c r="M47" s="19" t="str">
        <x:v>Kyoto Ink: grafit / füstszürke / taupe</x:v>
      </x:c>
      <x:c r="N47" s="19" t="str">
        <x:v>MAT-08</x:v>
      </x:c>
      <x:c r="O47" s="19" t="n">
        <x:v>1</x:v>
      </x:c>
      <x:c r="P47" s="19" t="str">
        <x:v>csomag</x:v>
      </x:c>
      <x:c r="Q47" s="20" t="n">
        <x:v>300000</x:v>
      </x:c>
      <x:c r="R47" s="20" t="n">
        <x:v>0</x:v>
      </x:c>
      <x:c r="S47" s="20" t="n">
        <x:v>0</x:v>
      </x:c>
      <x:c r="T47" s="20" t="n">
        <x:v>0</x:v>
      </x:c>
      <x:c r="U47" s="21" t="n">
        <x:f>O47*Q47+SUM(R47:T47)</x:f>
        <x:v>300000</x:v>
      </x:c>
      <x:c r="V47" s="19" t="str">
        <x:v>előzetes becslés</x:v>
      </x:c>
      <x:c r="W47" s="19" t="str">
        <x:v>CP0 tervezői előirányzat, nem webshopár; baseline 04b</x:v>
      </x:c>
      <x:c r="X47" s="19" t="str">
        <x:v>2026-10-26</x:v>
      </x:c>
      <x:c r="Y47" s="19" t="str">
        <x:v>UNKNOWN – ajánlatban visszaigazolandó</x:v>
      </x:c>
      <x:c r="Z47" s="19" t="str">
        <x:v>B</x:v>
      </x:c>
      <x:c r="AA47" s="19" t="str">
        <x:v>PENDING</x:v>
      </x:c>
      <x:c r="AB47" s="19" t="str">
        <x:v>PENDING</x:v>
      </x:c>
      <x:c r="AC47" s="19" t="str">
        <x:v>nem megrendelt</x:v>
      </x:c>
      <x:c r="AD47" s="19" t="str">
        <x:v>Asztalos és belsőépítész</x:v>
      </x:c>
      <x:c r="AE47" s="19" t="str">
        <x:v>PENDING – méret, csatlakozás, anyagminta, teljes bekerülés</x:v>
      </x:c>
      <x:c r="AF47" s="19" t="str">
        <x:v>CP0 becslési csomag: segédanyag és munkadíj a megnevezett tartalom szerint; külön szállítás a 14 sorban. Nem ingyenes szállítás.</x:v>
      </x:c>
      <x:c r="AG47" s="20" t="n">
        <x:v>300000</x:v>
      </x:c>
      <x:c r="AH47" s="21" t="n">
        <x:f>O47*AG47+SUM(R47:T47)</x:f>
        <x:v>300000</x:v>
      </x:c>
      <x:c r="AI47" s="19" t="str">
        <x:v>R05 főváltozat tartalma; korábbi fiók-/aszimmetria-elhagyás nincs automatikusan kiválasztva.</x:v>
      </x:c>
      <x:c r="AJ47" s="19" t="str">
        <x:v>PENDING</x:v>
      </x:c>
      <x:c r="AK47" s="19" t="str">
        <x:v>PENDING</x:v>
      </x:c>
      <x:c r="AL47" s="19" t="str">
        <x:v>PENDING</x:v>
      </x:c>
      <x:c r="AM47" s="19" t="str">
        <x:v>PENDING</x:v>
      </x:c>
      <x:c r="AN47" s="1" t="str">
        <x:v>HB-01</x:v>
      </x:c>
      <x:c r="AO47" s="1" t="str">
        <x:v>CP3/drawings/HB-01_CP3.pdf</x:v>
      </x:c>
      <x:c r="AP47" s="1" t="str">
        <x:v>CP3_HB-01</x:v>
      </x:c>
      <x:c r="AQ47" s="1" t="str">
        <x:v>egyedi gyártás</x:v>
      </x:c>
      <x:c r="AR47" s="1" t="str">
        <x:v>R02 méretezett ajánlati terv; nem helyszíni méret</x:v>
      </x:c>
      <x:c r="AS47" s="1" t="str">
        <x:v>HUF</x:v>
      </x:c>
      <x:c r="AT47" s="1" t="n">
        <x:v>1</x:v>
      </x:c>
      <x:c r="AU47" s="1" t="str">
        <x:v>nincs visszaigazolt ajánlati érvényesség</x:v>
      </x:c>
      <x:c r="AV47" s="1" t="str">
        <x:v>KI-151 központi keret; daruzás KI-137</x:v>
      </x:c>
      <x:c r="AW47" s="1" t="str">
        <x:v>KI-014 asztalos / KI-106 villamos / KI-026 és KI-096 víz / KI-127 fal</x:v>
      </x:c>
      <x:c r="AX47" s="1" t="n">
        <x:v>4</x:v>
      </x:c>
      <x:c r="AY47" s="1" t="n">
        <x:v>0.85</x:v>
      </x:c>
      <x:c r="AZ47" s="1" t="n">
        <x:v>1.3</x:v>
      </x:c>
      <x:c r="BA47" s="29" t="n">
        <x:f>ROUND(U47*AY47,0)</x:f>
        <x:v>255000</x:v>
      </x:c>
      <x:c r="BB47" s="29" t="n">
        <x:f>ROUND(U47*AZ47,0)</x:f>
        <x:v>390000</x:v>
      </x:c>
    </x:row>
    <x:row r="48" ht="72" customHeight="1">
      <x:c r="A48" s="12" t="str">
        <x:v>A-902</x:v>
      </x:c>
      <x:c r="B48" s="12" t="str">
        <x:v>05.1</x:v>
      </x:c>
      <x:c r="C48" s="12" t="str">
        <x:v>KI-047</x:v>
      </x:c>
      <x:c r="D48" s="12" t="str">
        <x:v>CP3/render_handoff/manifest_CP3.json</x:v>
      </x:c>
      <x:c r="E48" s="12" t="str">
        <x:v>04b</x:v>
      </x:c>
      <x:c r="F48" s="12" t="str">
        <x:v>STÍLUS</x:v>
      </x:c>
      <x:c r="G48" s="12" t="str">
        <x:v>Asztalos</x:v>
      </x:c>
      <x:c r="H48" s="19" t="str">
        <x:v>Fejvégrögzítés, kárpitszerelés, LED-fogadó</x:v>
      </x:c>
      <x:c r="I48" s="19" t="str">
        <x:v>UNKNOWN</x:v>
      </x:c>
      <x:c r="J48" s="19" t="str">
        <x:v>UNKNOWN</x:v>
      </x:c>
      <x:c r="K48" s="19" t="str">
        <x:v>UNKNOWN</x:v>
      </x:c>
      <x:c r="L48" s="19" t="str">
        <x:v>HB-01: 2700×60×1500 mm</x:v>
      </x:c>
      <x:c r="M48" s="19" t="str">
        <x:v>Kyoto Ink: grafit / füstszürke / taupe</x:v>
      </x:c>
      <x:c r="N48" s="19" t="str">
        <x:v>PENDING – műszaki specifikáció szerint</x:v>
      </x:c>
      <x:c r="O48" s="19" t="n">
        <x:v>1</x:v>
      </x:c>
      <x:c r="P48" s="19" t="str">
        <x:v>csomag</x:v>
      </x:c>
      <x:c r="Q48" s="20" t="n">
        <x:v>55000</x:v>
      </x:c>
      <x:c r="R48" s="20" t="n">
        <x:v>0</x:v>
      </x:c>
      <x:c r="S48" s="20" t="n">
        <x:v>0</x:v>
      </x:c>
      <x:c r="T48" s="20" t="n">
        <x:v>0</x:v>
      </x:c>
      <x:c r="U48" s="21" t="n">
        <x:f>O48*Q48+SUM(R48:T48)</x:f>
        <x:v>55000</x:v>
      </x:c>
      <x:c r="V48" s="19" t="str">
        <x:v>előzetes becslés</x:v>
      </x:c>
      <x:c r="W48" s="19" t="str">
        <x:v>CP0 tervezői előirányzat, nem webshopár; baseline 04b</x:v>
      </x:c>
      <x:c r="X48" s="19" t="str">
        <x:v>2026-10-26</x:v>
      </x:c>
      <x:c r="Y48" s="19" t="str">
        <x:v>UNKNOWN – ajánlatban visszaigazolandó</x:v>
      </x:c>
      <x:c r="Z48" s="19" t="str">
        <x:v>B</x:v>
      </x:c>
      <x:c r="AA48" s="19" t="str">
        <x:v>PENDING</x:v>
      </x:c>
      <x:c r="AB48" s="19" t="str">
        <x:v>PENDING</x:v>
      </x:c>
      <x:c r="AC48" s="19" t="str">
        <x:v>nem megrendelt</x:v>
      </x:c>
      <x:c r="AD48" s="19" t="str">
        <x:v>Asztalos és belsőépítész</x:v>
      </x:c>
      <x:c r="AE48" s="19" t="str">
        <x:v>PENDING – méret, csatlakozás, anyagminta, teljes bekerülés</x:v>
      </x:c>
      <x:c r="AF48" s="19" t="str">
        <x:v>CP0 becslési csomag: segédanyag és munkadíj a megnevezett tartalom szerint; külön szállítás a 14 sorban. Nem ingyenes szállítás.</x:v>
      </x:c>
      <x:c r="AG48" s="20" t="n">
        <x:v>55000</x:v>
      </x:c>
      <x:c r="AH48" s="21" t="n">
        <x:f>O48*AG48+SUM(R48:T48)</x:f>
        <x:v>55000</x:v>
      </x:c>
      <x:c r="AI48" s="19" t="str">
        <x:v>PENDING</x:v>
      </x:c>
      <x:c r="AJ48" s="19" t="str">
        <x:v>PENDING</x:v>
      </x:c>
      <x:c r="AK48" s="19" t="str">
        <x:v>PENDING</x:v>
      </x:c>
      <x:c r="AL48" s="19" t="str">
        <x:v>PENDING</x:v>
      </x:c>
      <x:c r="AM48" s="19" t="str">
        <x:v>PENDING</x:v>
      </x:c>
      <x:c r="AN48" s="1" t="str">
        <x:v>HB-01</x:v>
      </x:c>
      <x:c r="AO48" s="1" t="str">
        <x:v>CP3/drawings/HB-01_CP3.pdf</x:v>
      </x:c>
      <x:c r="AP48" s="1" t="str">
        <x:v>CP3_HB-01</x:v>
      </x:c>
      <x:c r="AQ48" s="1" t="str">
        <x:v>egyedi gyártás</x:v>
      </x:c>
      <x:c r="AR48" s="1" t="str">
        <x:v>R02 méretezett ajánlati terv; nem helyszíni méret</x:v>
      </x:c>
      <x:c r="AS48" s="1" t="str">
        <x:v>HUF</x:v>
      </x:c>
      <x:c r="AT48" s="1" t="n">
        <x:v>1</x:v>
      </x:c>
      <x:c r="AU48" s="1" t="str">
        <x:v>nincs visszaigazolt ajánlati érvényesség</x:v>
      </x:c>
      <x:c r="AV48" s="1" t="str">
        <x:v>KI-151 központi keret; daruzás KI-137</x:v>
      </x:c>
      <x:c r="AW48" s="1" t="str">
        <x:v>KI-014 asztalos / KI-106 villamos / KI-026 és KI-096 víz / KI-127 fal</x:v>
      </x:c>
      <x:c r="AX48" s="1" t="n">
        <x:v>4</x:v>
      </x:c>
      <x:c r="AY48" s="1" t="n">
        <x:v>0.85</x:v>
      </x:c>
      <x:c r="AZ48" s="1" t="n">
        <x:v>1.3</x:v>
      </x:c>
      <x:c r="BA48" s="29" t="n">
        <x:f>ROUND(U48*AY48,0)</x:f>
        <x:v>46750</x:v>
      </x:c>
      <x:c r="BB48" s="29" t="n">
        <x:f>ROUND(U48*AZ48,0)</x:f>
        <x:v>71500</x:v>
      </x:c>
    </x:row>
    <x:row r="49" ht="72" customHeight="1">
      <x:c r="A49" s="12" t="str">
        <x:v>A-902</x:v>
      </x:c>
      <x:c r="B49" s="12" t="str">
        <x:v>05.1</x:v>
      </x:c>
      <x:c r="C49" s="12" t="str">
        <x:v>KI-048</x:v>
      </x:c>
      <x:c r="D49" s="12" t="str">
        <x:v>CP3/render_handoff/manifest_CP3.json</x:v>
      </x:c>
      <x:c r="E49" s="12" t="str">
        <x:v>04c</x:v>
      </x:c>
      <x:c r="F49" s="12" t="str">
        <x:v>STÍLUS</x:v>
      </x:c>
      <x:c r="G49" s="12" t="str">
        <x:v>Asztalos</x:v>
      </x:c>
      <x:c r="H49" s="19" t="str">
        <x:v>Északi egyedi gardróbkorpusz CP3</x:v>
      </x:c>
      <x:c r="I49" s="19" t="str">
        <x:v>egyedi asztalos gyártás</x:v>
      </x:c>
      <x:c r="J49" s="19" t="str">
        <x:v>WN-01</x:v>
      </x:c>
      <x:c r="K49" s="19" t="str"/>
      <x:c r="L49" s="19" t="str">
        <x:v>WN-01: 2920×600×2840 mm</x:v>
      </x:c>
      <x:c r="M49" s="19" t="str">
        <x:v>fehér</x:v>
      </x:c>
      <x:c r="N49" s="19" t="str">
        <x:v>MAT-10</x:v>
      </x:c>
      <x:c r="O49" s="19" t="n">
        <x:v>1</x:v>
      </x:c>
      <x:c r="P49" s="19" t="str">
        <x:v>csomag</x:v>
      </x:c>
      <x:c r="Q49" s="20" t="n">
        <x:v>350000</x:v>
      </x:c>
      <x:c r="R49" s="20" t="n">
        <x:v>0</x:v>
      </x:c>
      <x:c r="S49" s="20" t="n">
        <x:v>0</x:v>
      </x:c>
      <x:c r="T49" s="20" t="n">
        <x:v>0</x:v>
      </x:c>
      <x:c r="U49" s="21" t="n">
        <x:f>O49*Q49+SUM(R49:T49)</x:f>
        <x:v>350000</x:v>
      </x:c>
      <x:c r="V49" s="19" t="str">
        <x:v>előzetes becslés</x:v>
      </x:c>
      <x:c r="W49" s="19" t="str">
        <x:v>HU termékoldalon ellenőrzött, korpuszár</x:v>
      </x:c>
      <x:c r="X49" s="19" t="str">
        <x:v>2026-10-26</x:v>
      </x:c>
      <x:c r="Y49" s="19" t="str">
        <x:v>UNKNOWN – ajánlatban visszaigazolandó</x:v>
      </x:c>
      <x:c r="Z49" s="19" t="str">
        <x:v>B</x:v>
      </x:c>
      <x:c r="AA49" s="19" t="str">
        <x:v>Egyedi 18 mm korpusz; PAX termékazonosság és beférés nincs állítva.</x:v>
      </x:c>
      <x:c r="AB49" s="19" t="str">
        <x:v>PENDING</x:v>
      </x:c>
      <x:c r="AC49" s="19" t="str">
        <x:v>nem megrendelt</x:v>
      </x:c>
      <x:c r="AD49" s="19" t="str">
        <x:v>Asztalos és belsőépítész</x:v>
      </x:c>
      <x:c r="AE49" s="19" t="str">
        <x:v>PENDING – méret, csatlakozás, anyagminta, teljes bekerülés</x:v>
      </x:c>
      <x:c r="AF49" s="19" t="str">
        <x:v>CP3 egyedi korpuszra pontosítva. A korábbi korpusz-előirányzat változatlan becslés; ajánlat szükséges.</x:v>
      </x:c>
      <x:c r="AG49" s="20" t="n">
        <x:v>350000</x:v>
      </x:c>
      <x:c r="AH49" s="21" t="n">
        <x:f>O49*AG49+SUM(R49:T49)</x:f>
        <x:v>350000</x:v>
      </x:c>
      <x:c r="AI49" s="19" t="str">
        <x:v>R05 főváltozat tartalma; korábbi fiók-/aszimmetria-elhagyás nincs automatikusan kiválasztva.</x:v>
      </x:c>
      <x:c r="AJ49" s="19" t="str">
        <x:v>PENDING</x:v>
      </x:c>
      <x:c r="AK49" s="19" t="str">
        <x:v>PENDING</x:v>
      </x:c>
      <x:c r="AL49" s="19" t="str">
        <x:v>PENDING</x:v>
      </x:c>
      <x:c r="AM49" s="19" t="str">
        <x:v>PENDING</x:v>
      </x:c>
      <x:c r="AN49" s="1" t="str">
        <x:v>WN-01</x:v>
      </x:c>
      <x:c r="AO49" s="1" t="str">
        <x:v>CP3/drawings/WN-01_CP3.pdf</x:v>
      </x:c>
      <x:c r="AP49" s="1" t="str">
        <x:v>CP3_WN-01</x:v>
      </x:c>
      <x:c r="AQ49" s="1" t="str">
        <x:v>egyedi gyártás</x:v>
      </x:c>
      <x:c r="AR49" s="1" t="str">
        <x:v>CP3 tervi befoglaló, kész helyszíni méret és szerelési hézag ellenőrizendő.</x:v>
      </x:c>
      <x:c r="AS49" s="1" t="str">
        <x:v>HUF</x:v>
      </x:c>
      <x:c r="AT49" s="1" t="n">
        <x:v>1</x:v>
      </x:c>
      <x:c r="AU49" s="1" t="str">
        <x:v>nincs visszaigazolt ajánlati érvényesség</x:v>
      </x:c>
      <x:c r="AV49" s="1" t="str">
        <x:v>KI-151 központi keret; daruzás KI-137</x:v>
      </x:c>
      <x:c r="AW49" s="1" t="str">
        <x:v>KI-014 asztalos / KI-106 villamos / KI-026 és KI-096 víz / KI-127 fal</x:v>
      </x:c>
      <x:c r="AX49" s="1" t="n">
        <x:v>4</x:v>
      </x:c>
      <x:c r="AY49" s="1" t="n">
        <x:v>0.85</x:v>
      </x:c>
      <x:c r="AZ49" s="1" t="n">
        <x:v>1.3</x:v>
      </x:c>
      <x:c r="BA49" s="29" t="n">
        <x:f>ROUND(U49*AY49,0)</x:f>
        <x:v>297500</x:v>
      </x:c>
      <x:c r="BB49" s="29" t="n">
        <x:f>ROUND(U49*AZ49,0)</x:f>
        <x:v>455000</x:v>
      </x:c>
    </x:row>
    <x:row r="50" ht="72" customHeight="1">
      <x:c r="A50" s="12" t="str">
        <x:v>A-902</x:v>
      </x:c>
      <x:c r="B50" s="12" t="str">
        <x:v>05.1</x:v>
      </x:c>
      <x:c r="C50" s="12" t="str">
        <x:v>KI-049</x:v>
      </x:c>
      <x:c r="D50" s="12" t="str">
        <x:v>CP3/render_handoff/manifest_CP3.json</x:v>
      </x:c>
      <x:c r="E50" s="12" t="str">
        <x:v>04c</x:v>
      </x:c>
      <x:c r="F50" s="12" t="str">
        <x:v>STÍLUS</x:v>
      </x:c>
      <x:c r="G50" s="12" t="str">
        <x:v>Asztalos</x:v>
      </x:c>
      <x:c r="H50" s="19" t="str">
        <x:v>Déli egyedi gardróbkorpusz CP3</x:v>
      </x:c>
      <x:c r="I50" s="19" t="str">
        <x:v>egyedi asztalos gyártás</x:v>
      </x:c>
      <x:c r="J50" s="19" t="str">
        <x:v>WS-01</x:v>
      </x:c>
      <x:c r="K50" s="19" t="str"/>
      <x:c r="L50" s="19" t="str">
        <x:v>WS-01: 2380×480×2840 mm</x:v>
      </x:c>
      <x:c r="M50" s="19" t="str">
        <x:v>Kyoto Ink: grafit / füstszürke / taupe</x:v>
      </x:c>
      <x:c r="N50" s="19" t="str">
        <x:v>MAT-10</x:v>
      </x:c>
      <x:c r="O50" s="19" t="n">
        <x:v>1</x:v>
      </x:c>
      <x:c r="P50" s="19" t="str">
        <x:v>csomag</x:v>
      </x:c>
      <x:c r="Q50" s="20" t="n">
        <x:v>230000</x:v>
      </x:c>
      <x:c r="R50" s="20" t="n">
        <x:v>0</x:v>
      </x:c>
      <x:c r="S50" s="20" t="n">
        <x:v>0</x:v>
      </x:c>
      <x:c r="T50" s="20" t="n">
        <x:v>0</x:v>
      </x:c>
      <x:c r="U50" s="21" t="n">
        <x:f>O50*Q50+SUM(R50:T50)</x:f>
        <x:v>230000</x:v>
      </x:c>
      <x:c r="V50" s="19" t="str">
        <x:v>előzetes becslés</x:v>
      </x:c>
      <x:c r="W50" s="19" t="str">
        <x:v>CP0 tervezői előirányzat, nem webshopár; baseline 04c</x:v>
      </x:c>
      <x:c r="X50" s="19" t="str">
        <x:v>2026-10-26</x:v>
      </x:c>
      <x:c r="Y50" s="19" t="str">
        <x:v>UNKNOWN – ajánlatban visszaigazolandó</x:v>
      </x:c>
      <x:c r="Z50" s="19" t="str">
        <x:v>B</x:v>
      </x:c>
      <x:c r="AA50" s="19" t="str">
        <x:v>Egyedi 18 mm korpusz; PAX termékazonosság és beférés nincs állítva.</x:v>
      </x:c>
      <x:c r="AB50" s="19" t="str">
        <x:v>PENDING</x:v>
      </x:c>
      <x:c r="AC50" s="19" t="str">
        <x:v>nem megrendelt</x:v>
      </x:c>
      <x:c r="AD50" s="19" t="str">
        <x:v>Asztalos és belsőépítész</x:v>
      </x:c>
      <x:c r="AE50" s="19" t="str">
        <x:v>PENDING – méret, csatlakozás, anyagminta, teljes bekerülés</x:v>
      </x:c>
      <x:c r="AF50" s="19" t="str">
        <x:v>CP3 egyedi korpuszra pontosítva. A korábbi korpusz-előirányzat változatlan becslés; ajánlat szükséges.</x:v>
      </x:c>
      <x:c r="AG50" s="20" t="n">
        <x:v>230000</x:v>
      </x:c>
      <x:c r="AH50" s="21" t="n">
        <x:f>O50*AG50+SUM(R50:T50)</x:f>
        <x:v>230000</x:v>
      </x:c>
      <x:c r="AI50" s="19" t="str">
        <x:v>R05 főváltozat tartalma; korábbi fiók-/aszimmetria-elhagyás nincs automatikusan kiválasztva.</x:v>
      </x:c>
      <x:c r="AJ50" s="19" t="str">
        <x:v>PENDING</x:v>
      </x:c>
      <x:c r="AK50" s="19" t="str">
        <x:v>PENDING</x:v>
      </x:c>
      <x:c r="AL50" s="19" t="str">
        <x:v>PENDING</x:v>
      </x:c>
      <x:c r="AM50" s="19" t="str">
        <x:v>PENDING</x:v>
      </x:c>
      <x:c r="AN50" s="1" t="str">
        <x:v>WS-01</x:v>
      </x:c>
      <x:c r="AO50" s="1" t="str">
        <x:v>CP3/drawings/WS-01_CP3.pdf</x:v>
      </x:c>
      <x:c r="AP50" s="1" t="str">
        <x:v>CP3_WS-01</x:v>
      </x:c>
      <x:c r="AQ50" s="1" t="str">
        <x:v>egyedi gyártás</x:v>
      </x:c>
      <x:c r="AR50" s="1" t="str">
        <x:v>CP3 tervi befoglaló, kész helyszíni méret és szerelési hézag ellenőrizendő.</x:v>
      </x:c>
      <x:c r="AS50" s="1" t="str">
        <x:v>HUF</x:v>
      </x:c>
      <x:c r="AT50" s="1" t="n">
        <x:v>1</x:v>
      </x:c>
      <x:c r="AU50" s="1" t="str">
        <x:v>nincs visszaigazolt ajánlati érvényesség</x:v>
      </x:c>
      <x:c r="AV50" s="1" t="str">
        <x:v>KI-151 központi keret; daruzás KI-137</x:v>
      </x:c>
      <x:c r="AW50" s="1" t="str">
        <x:v>KI-014 asztalos / KI-106 villamos / KI-026 és KI-096 víz / KI-127 fal</x:v>
      </x:c>
      <x:c r="AX50" s="1" t="n">
        <x:v>4</x:v>
      </x:c>
      <x:c r="AY50" s="1" t="n">
        <x:v>0.85</x:v>
      </x:c>
      <x:c r="AZ50" s="1" t="n">
        <x:v>1.3</x:v>
      </x:c>
      <x:c r="BA50" s="29" t="n">
        <x:f>ROUND(U50*AY50,0)</x:f>
        <x:v>195500</x:v>
      </x:c>
      <x:c r="BB50" s="29" t="n">
        <x:f>ROUND(U50*AZ50,0)</x:f>
        <x:v>299000</x:v>
      </x:c>
    </x:row>
    <x:row r="51" ht="72" customHeight="1">
      <x:c r="A51" s="12" t="str">
        <x:v>A-902</x:v>
      </x:c>
      <x:c r="B51" s="12" t="str">
        <x:v>05.1</x:v>
      </x:c>
      <x:c r="C51" s="12" t="str">
        <x:v>KI-050</x:v>
      </x:c>
      <x:c r="D51" s="12" t="str">
        <x:v>CP3/render_handoff/manifest_CP3.json</x:v>
      </x:c>
      <x:c r="E51" s="12" t="str">
        <x:v>04c</x:v>
      </x:c>
      <x:c r="F51" s="12" t="str">
        <x:v>STÍLUS</x:v>
      </x:c>
      <x:c r="G51" s="12" t="str">
        <x:v>Asztalos</x:v>
      </x:c>
      <x:c r="H51" s="19" t="str">
        <x:v>Északi és déli gardróbbelsők, 2 lifttel</x:v>
      </x:c>
      <x:c r="I51" s="19" t="str">
        <x:v>UNKNOWN</x:v>
      </x:c>
      <x:c r="J51" s="19" t="str">
        <x:v>UNKNOWN</x:v>
      </x:c>
      <x:c r="K51" s="19" t="str">
        <x:v>UNKNOWN</x:v>
      </x:c>
      <x:c r="L51" s="19" t="str">
        <x:v>WN-01: 2920×600×2840 mm; WS-01: 2380×480×2840 mm</x:v>
      </x:c>
      <x:c r="M51" s="19" t="str">
        <x:v>Kyoto Ink: grafit / füstszürke / taupe</x:v>
      </x:c>
      <x:c r="N51" s="19" t="str">
        <x:v>PENDING – műszaki specifikáció szerint</x:v>
      </x:c>
      <x:c r="O51" s="19" t="n">
        <x:v>1</x:v>
      </x:c>
      <x:c r="P51" s="19" t="str">
        <x:v>csomag</x:v>
      </x:c>
      <x:c r="Q51" s="20" t="n">
        <x:v>806000</x:v>
      </x:c>
      <x:c r="R51" s="20" t="n">
        <x:v>0</x:v>
      </x:c>
      <x:c r="S51" s="20" t="n">
        <x:v>0</x:v>
      </x:c>
      <x:c r="T51" s="20" t="n">
        <x:v>0</x:v>
      </x:c>
      <x:c r="U51" s="21" t="n">
        <x:f>O51*Q51+SUM(R51:T51)</x:f>
        <x:v>806000</x:v>
      </x:c>
      <x:c r="V51" s="19" t="str">
        <x:v>előzetes becslés</x:v>
      </x:c>
      <x:c r="W51" s="19" t="str">
        <x:v>CP3/data/koltseg_bontas.json</x:v>
      </x:c>
      <x:c r="X51" s="19" t="str">
        <x:v>2026-10-27</x:v>
      </x:c>
      <x:c r="Y51" s="19" t="str">
        <x:v>UNKNOWN – ajánlatban visszaigazolandó</x:v>
      </x:c>
      <x:c r="Z51" s="19" t="str">
        <x:v>B</x:v>
      </x:c>
      <x:c r="AA51" s="19" t="str">
        <x:v>PENDING</x:v>
      </x:c>
      <x:c r="AB51" s="19" t="str">
        <x:v>PENDING</x:v>
      </x:c>
      <x:c r="AC51" s="19" t="str">
        <x:v>nem megrendelt</x:v>
      </x:c>
      <x:c r="AD51" s="19" t="str">
        <x:v>Asztalos és belsőépítész</x:v>
      </x:c>
      <x:c r="AE51" s="19" t="str">
        <x:v>PENDING – méret, csatlakozás, anyagminta, teljes bekerülés</x:v>
      </x:c>
      <x:c r="AF51" s="19" t="str">
        <x:v>WN:3,350m rúd;436,914l fiók;2,036m²polc. RégiWNhez−1,356m²polc. Két lift és8fiók megmarad. WS változatlan.</x:v>
      </x:c>
      <x:c r="AG51" s="20" t="n">
        <x:v>806000</x:v>
      </x:c>
      <x:c r="AH51" s="21" t="n">
        <x:f>O51*AG51+SUM(R51:T51)</x:f>
        <x:v>806000</x:v>
      </x:c>
      <x:c r="AI51" s="19" t="str">
        <x:v>R05 főváltozat tartalma; korábbi fiók-/aszimmetria-elhagyás nincs automatikusan kiválasztva.</x:v>
      </x:c>
      <x:c r="AJ51" s="19" t="str">
        <x:v>PENDING</x:v>
      </x:c>
      <x:c r="AK51" s="19" t="str">
        <x:v>PENDING</x:v>
      </x:c>
      <x:c r="AL51" s="19" t="str">
        <x:v>PENDING</x:v>
      </x:c>
      <x:c r="AM51" s="19" t="str">
        <x:v>PENDING</x:v>
      </x:c>
      <x:c r="AN51" s="1" t="str">
        <x:v>WN-01; WS-01</x:v>
      </x:c>
      <x:c r="AO51" s="1" t="str">
        <x:v>CP3/drawings/WN-01_CP3.pdf; CP3/drawings/WS-01_CP3.pdf</x:v>
      </x:c>
      <x:c r="AP51" s="1" t="str">
        <x:v>CP3_WN-01; CP3_WS-01</x:v>
      </x:c>
      <x:c r="AQ51" s="1" t="str">
        <x:v>egyedi gyártás</x:v>
      </x:c>
      <x:c r="AR51" s="1" t="str">
        <x:v>R02 méretezett ajánlati terv; nem helyszíni méret</x:v>
      </x:c>
      <x:c r="AS51" s="1" t="str">
        <x:v>HUF</x:v>
      </x:c>
      <x:c r="AT51" s="1" t="n">
        <x:v>1</x:v>
      </x:c>
      <x:c r="AU51" s="1" t="str">
        <x:v>nincs visszaigazolt ajánlati érvényesség</x:v>
      </x:c>
      <x:c r="AV51" s="1" t="str">
        <x:v>KI-151 központi keret; daruzás KI-137</x:v>
      </x:c>
      <x:c r="AW51" s="1" t="str">
        <x:v>KI-014 asztalos / KI-106 villamos / KI-026 és KI-096 víz / KI-127 fal</x:v>
      </x:c>
      <x:c r="AX51" s="1" t="n">
        <x:v>4</x:v>
      </x:c>
      <x:c r="AY51" s="1" t="n">
        <x:v>0.8</x:v>
      </x:c>
      <x:c r="AZ51" s="1" t="n">
        <x:v>1.45</x:v>
      </x:c>
      <x:c r="BA51" s="29" t="n">
        <x:f>ROUND(U51*AY51,0)</x:f>
        <x:v>644800</x:v>
      </x:c>
      <x:c r="BB51" s="29" t="n">
        <x:f>ROUND(U51*AZ51,0)</x:f>
        <x:v>1168700</x:v>
      </x:c>
    </x:row>
    <x:row r="52" ht="72" customHeight="1">
      <x:c r="A52" s="12" t="str">
        <x:v>A-902</x:v>
      </x:c>
      <x:c r="B52" s="12" t="str">
        <x:v>05.1</x:v>
      </x:c>
      <x:c r="C52" s="12" t="str">
        <x:v>KI-051</x:v>
      </x:c>
      <x:c r="D52" s="12" t="str">
        <x:v>CP3/render_handoff/manifest_CP3.json</x:v>
      </x:c>
      <x:c r="E52" s="12" t="str">
        <x:v>04c</x:v>
      </x:c>
      <x:c r="F52" s="12" t="str">
        <x:v>STÍLUS</x:v>
      </x:c>
      <x:c r="G52" s="12" t="str">
        <x:v>Asztalos</x:v>
      </x:c>
      <x:c r="H52" s="19" t="str">
        <x:v>Északi és déli teljes magasságú grafikás frontok és pántok</x:v>
      </x:c>
      <x:c r="I52" s="19" t="str">
        <x:v>UNKNOWN</x:v>
      </x:c>
      <x:c r="J52" s="19" t="str">
        <x:v>UNKNOWN</x:v>
      </x:c>
      <x:c r="K52" s="19" t="str">
        <x:v>UNKNOWN</x:v>
      </x:c>
      <x:c r="L52" s="19" t="str">
        <x:v>WN-01: 2920×600×2840 mm; WS-01: 2380×480×2840 mm</x:v>
      </x:c>
      <x:c r="M52" s="19" t="str">
        <x:v>Kyoto Ink: grafit / füstszürke / taupe</x:v>
      </x:c>
      <x:c r="N52" s="19" t="str">
        <x:v>MAT-03</x:v>
      </x:c>
      <x:c r="O52" s="19" t="n">
        <x:v>1</x:v>
      </x:c>
      <x:c r="P52" s="19" t="str">
        <x:v>csomag</x:v>
      </x:c>
      <x:c r="Q52" s="20" t="n">
        <x:v>450000</x:v>
      </x:c>
      <x:c r="R52" s="20" t="n">
        <x:v>0</x:v>
      </x:c>
      <x:c r="S52" s="20" t="n">
        <x:v>0</x:v>
      </x:c>
      <x:c r="T52" s="20" t="n">
        <x:v>0</x:v>
      </x:c>
      <x:c r="U52" s="21" t="n">
        <x:f>O52*Q52+SUM(R52:T52)</x:f>
        <x:v>450000</x:v>
      </x:c>
      <x:c r="V52" s="19" t="str">
        <x:v>előzetes becslés</x:v>
      </x:c>
      <x:c r="W52" s="19" t="str">
        <x:v>Korábbi370000+80000 előirányzat a déli négy hosszú front merevítésére/pántolására; gyártói árajánlat szükséges</x:v>
      </x:c>
      <x:c r="X52" s="19" t="str">
        <x:v>2026-10-26</x:v>
      </x:c>
      <x:c r="Y52" s="19" t="str">
        <x:v>UNKNOWN – ajánlatban visszaigazolandó</x:v>
      </x:c>
      <x:c r="Z52" s="19" t="str">
        <x:v>B</x:v>
      </x:c>
      <x:c r="AA52" s="19" t="str">
        <x:v>Észak6 és dél4 folytonos magas front; délen hosszú fekete fogantyú; eredeti grafika helyett R06 próbaváltozat</x:v>
      </x:c>
      <x:c r="AB52" s="19" t="str">
        <x:v>PENDING</x:v>
      </x:c>
      <x:c r="AC52" s="19" t="str">
        <x:v>nem megrendelt</x:v>
      </x:c>
      <x:c r="AD52" s="19" t="str">
        <x:v>Asztalos és belsőépítész</x:v>
      </x:c>
      <x:c r="AE52" s="19" t="str">
        <x:v>PENDING – méret, csatlakozás, anyagminta, teljes bekerülés</x:v>
      </x:c>
      <x:c r="AF52" s="19" t="str">
        <x:v>6×2837 mm magas keskeny északi front. 250000+120000 becslés. Merevítés és műhelyméret nyitott.</x:v>
      </x:c>
      <x:c r="AG52" s="20" t="n">
        <x:v>450000</x:v>
      </x:c>
      <x:c r="AH52" s="21" t="n">
        <x:f>O52*AG52+SUM(R52:T52)</x:f>
        <x:v>450000</x:v>
      </x:c>
      <x:c r="AI52" s="19" t="str">
        <x:v>R05 főváltozat tartalma; korábbi fiók-/aszimmetria-elhagyás nincs automatikusan kiválasztva.</x:v>
      </x:c>
      <x:c r="AJ52" s="19" t="str">
        <x:v>PENDING</x:v>
      </x:c>
      <x:c r="AK52" s="19" t="str">
        <x:v>PENDING</x:v>
      </x:c>
      <x:c r="AL52" s="19" t="str">
        <x:v>PENDING</x:v>
      </x:c>
      <x:c r="AM52" s="19" t="str">
        <x:v>PENDING</x:v>
      </x:c>
      <x:c r="AN52" s="1" t="str">
        <x:v>WN-01; WS-01</x:v>
      </x:c>
      <x:c r="AO52" s="1" t="str">
        <x:v>R06/drawings/R06_valtozott_szerkezetek.pdf</x:v>
      </x:c>
      <x:c r="AP52" s="1" t="str">
        <x:v>CP3_WN-01; CP3_WS-01</x:v>
      </x:c>
      <x:c r="AQ52" s="1" t="str">
        <x:v>egyedi gyártás</x:v>
      </x:c>
      <x:c r="AR52" s="1" t="str">
        <x:v>R02 méretezett ajánlati terv; nem helyszíni méret</x:v>
      </x:c>
      <x:c r="AS52" s="1" t="str">
        <x:v>HUF</x:v>
      </x:c>
      <x:c r="AT52" s="1" t="n">
        <x:v>1</x:v>
      </x:c>
      <x:c r="AU52" s="1" t="str">
        <x:v>nincs visszaigazolt ajánlati érvényesség</x:v>
      </x:c>
      <x:c r="AV52" s="1" t="str">
        <x:v>KI-151 központi keret; daruzás KI-137</x:v>
      </x:c>
      <x:c r="AW52" s="1" t="str">
        <x:v>KI-014 asztalos / KI-106 villamos / KI-026 és KI-096 víz / KI-127 fal</x:v>
      </x:c>
      <x:c r="AX52" s="1" t="n">
        <x:v>4</x:v>
      </x:c>
      <x:c r="AY52" s="1" t="n">
        <x:v>0.75</x:v>
      </x:c>
      <x:c r="AZ52" s="1" t="n">
        <x:v>1.55</x:v>
      </x:c>
      <x:c r="BA52" s="29" t="n">
        <x:f>ROUND(U52*AY52,0)</x:f>
        <x:v>337500</x:v>
      </x:c>
      <x:c r="BB52" s="29" t="n">
        <x:f>ROUND(U52*AZ52,0)</x:f>
        <x:v>697500</x:v>
      </x:c>
    </x:row>
    <x:row r="53" ht="72" customHeight="1">
      <x:c r="A53" s="12" t="str">
        <x:v>A-902</x:v>
      </x:c>
      <x:c r="B53" s="12" t="str">
        <x:v>05.1</x:v>
      </x:c>
      <x:c r="C53" s="12" t="str">
        <x:v>KI-052</x:v>
      </x:c>
      <x:c r="D53" s="12" t="str">
        <x:v>CP3/render_handoff/manifest_CP3.json</x:v>
      </x:c>
      <x:c r="E53" s="12" t="str">
        <x:v>04c</x:v>
      </x:c>
      <x:c r="F53" s="12" t="str">
        <x:v>STÍLUS</x:v>
      </x:c>
      <x:c r="G53" s="12" t="str">
        <x:v>Asztalos</x:v>
      </x:c>
      <x:c r="H53" s="19" t="str">
        <x:v>Felső kitöltések, takarók, rögzítés és szerelés</x:v>
      </x:c>
      <x:c r="I53" s="19" t="str">
        <x:v>UNKNOWN</x:v>
      </x:c>
      <x:c r="J53" s="19" t="str">
        <x:v>UNKNOWN</x:v>
      </x:c>
      <x:c r="K53" s="19" t="str">
        <x:v>UNKNOWN</x:v>
      </x:c>
      <x:c r="L53" s="19" t="str">
        <x:v>WN-01: 2920×600×2840 mm; WS-01: 2380×480×2840 mm</x:v>
      </x:c>
      <x:c r="M53" s="19" t="str">
        <x:v>Kyoto Ink: grafit / füstszürke / taupe</x:v>
      </x:c>
      <x:c r="N53" s="19" t="str">
        <x:v>PENDING – műszaki specifikáció szerint</x:v>
      </x:c>
      <x:c r="O53" s="19" t="n">
        <x:v>1</x:v>
      </x:c>
      <x:c r="P53" s="19" t="str">
        <x:v>csomag</x:v>
      </x:c>
      <x:c r="Q53" s="20" t="n">
        <x:v>160000</x:v>
      </x:c>
      <x:c r="R53" s="20" t="n">
        <x:v>0</x:v>
      </x:c>
      <x:c r="S53" s="20" t="n">
        <x:v>0</x:v>
      </x:c>
      <x:c r="T53" s="20" t="n">
        <x:v>0</x:v>
      </x:c>
      <x:c r="U53" s="21" t="n">
        <x:f>O53*Q53+SUM(R53:T53)</x:f>
        <x:v>160000</x:v>
      </x:c>
      <x:c r="V53" s="19" t="str">
        <x:v>előzetes becslés</x:v>
      </x:c>
      <x:c r="W53" s="19" t="str">
        <x:v>CP0 tervezői előirányzat, nem webshopár; baseline 04c</x:v>
      </x:c>
      <x:c r="X53" s="19" t="str">
        <x:v>2026-10-26</x:v>
      </x:c>
      <x:c r="Y53" s="19" t="str">
        <x:v>UNKNOWN – ajánlatban visszaigazolandó</x:v>
      </x:c>
      <x:c r="Z53" s="19" t="str">
        <x:v>B</x:v>
      </x:c>
      <x:c r="AA53" s="19" t="str">
        <x:v>PENDING</x:v>
      </x:c>
      <x:c r="AB53" s="19" t="str">
        <x:v>PENDING</x:v>
      </x:c>
      <x:c r="AC53" s="19" t="str">
        <x:v>nem megrendelt</x:v>
      </x:c>
      <x:c r="AD53" s="19" t="str">
        <x:v>Asztalos és belsőépítész</x:v>
      </x:c>
      <x:c r="AE53" s="19" t="str">
        <x:v>PENDING – méret, csatlakozás, anyagminta, teljes bekerülés</x:v>
      </x:c>
      <x:c r="AF53" s="19" t="str">
        <x:v>CP0 becslési csomag: segédanyag és munkadíj a megnevezett tartalom szerint; külön szállítás a 14 sorban. Nem ingyenes szállítás.</x:v>
      </x:c>
      <x:c r="AG53" s="20" t="n">
        <x:v>160000</x:v>
      </x:c>
      <x:c r="AH53" s="21" t="n">
        <x:f>O53*AG53+SUM(R53:T53)</x:f>
        <x:v>160000</x:v>
      </x:c>
      <x:c r="AI53" s="19" t="str">
        <x:v>PENDING</x:v>
      </x:c>
      <x:c r="AJ53" s="19" t="str">
        <x:v>PENDING</x:v>
      </x:c>
      <x:c r="AK53" s="19" t="str">
        <x:v>PENDING</x:v>
      </x:c>
      <x:c r="AL53" s="19" t="str">
        <x:v>PENDING</x:v>
      </x:c>
      <x:c r="AM53" s="19" t="str">
        <x:v>PENDING</x:v>
      </x:c>
      <x:c r="AN53" s="1" t="str">
        <x:v>WN-01; WS-01</x:v>
      </x:c>
      <x:c r="AO53" s="1" t="str">
        <x:v>CP3/drawings/WN-01_CP3.pdf; CP3/drawings/WS-01_CP3.pdf</x:v>
      </x:c>
      <x:c r="AP53" s="1" t="str">
        <x:v>CP3_WN-01; CP3_WS-01</x:v>
      </x:c>
      <x:c r="AQ53" s="1" t="str">
        <x:v>egyedi gyártás</x:v>
      </x:c>
      <x:c r="AR53" s="1" t="str">
        <x:v>R02 méretezett ajánlati terv; nem helyszíni méret</x:v>
      </x:c>
      <x:c r="AS53" s="1" t="str">
        <x:v>HUF</x:v>
      </x:c>
      <x:c r="AT53" s="1" t="n">
        <x:v>1</x:v>
      </x:c>
      <x:c r="AU53" s="1" t="str">
        <x:v>nincs visszaigazolt ajánlati érvényesség</x:v>
      </x:c>
      <x:c r="AV53" s="1" t="str">
        <x:v>KI-151 központi keret; daruzás KI-137</x:v>
      </x:c>
      <x:c r="AW53" s="1" t="str">
        <x:v>KI-014 asztalos / KI-106 villamos / KI-026 és KI-096 víz / KI-127 fal</x:v>
      </x:c>
      <x:c r="AX53" s="1" t="n">
        <x:v>4</x:v>
      </x:c>
      <x:c r="AY53" s="1" t="n">
        <x:v>0.85</x:v>
      </x:c>
      <x:c r="AZ53" s="1" t="n">
        <x:v>1.3</x:v>
      </x:c>
      <x:c r="BA53" s="29" t="n">
        <x:f>ROUND(U53*AY53,0)</x:f>
        <x:v>136000</x:v>
      </x:c>
      <x:c r="BB53" s="29" t="n">
        <x:f>ROUND(U53*AZ53,0)</x:f>
        <x:v>208000</x:v>
      </x:c>
    </x:row>
    <x:row r="54" ht="72" customHeight="1">
      <x:c r="A54" s="12" t="str">
        <x:v>A-902</x:v>
      </x:c>
      <x:c r="B54" s="12" t="str">
        <x:v>05.1</x:v>
      </x:c>
      <x:c r="C54" s="12" t="str">
        <x:v>KI-053</x:v>
      </x:c>
      <x:c r="D54" s="12" t="str">
        <x:v>CP3/render_handoff/manifest_CP3.json</x:v>
      </x:c>
      <x:c r="E54" s="12" t="str">
        <x:v>04d</x:v>
      </x:c>
      <x:c r="F54" s="12" t="str">
        <x:v>STÍLUS</x:v>
      </x:c>
      <x:c r="G54" s="12" t="str">
        <x:v>Textil</x:v>
      </x:c>
      <x:c r="H54" s="19" t="str">
        <x:v>Két fiókos éjjeliszekrény</x:v>
      </x:c>
      <x:c r="I54" s="19" t="str">
        <x:v>UNKNOWN</x:v>
      </x:c>
      <x:c r="J54" s="19" t="str">
        <x:v>UNKNOWN</x:v>
      </x:c>
      <x:c r="K54" s="19" t="str">
        <x:v>UNKNOWN</x:v>
      </x:c>
      <x:c r="L54" s="19" t="str">
        <x:v>NT-L: 300×420×450 mm; NT-R: 300×420×450 mm</x:v>
      </x:c>
      <x:c r="M54" s="19" t="str">
        <x:v>Kyoto Ink: grafit / füstszürke / taupe</x:v>
      </x:c>
      <x:c r="N54" s="19" t="str">
        <x:v>PENDING – műszaki specifikáció szerint</x:v>
      </x:c>
      <x:c r="O54" s="19" t="n">
        <x:v>1</x:v>
      </x:c>
      <x:c r="P54" s="19" t="str">
        <x:v>csomag</x:v>
      </x:c>
      <x:c r="Q54" s="20" t="n">
        <x:v>120000</x:v>
      </x:c>
      <x:c r="R54" s="20" t="n">
        <x:v>0</x:v>
      </x:c>
      <x:c r="S54" s="20" t="n">
        <x:v>0</x:v>
      </x:c>
      <x:c r="T54" s="20" t="n">
        <x:v>0</x:v>
      </x:c>
      <x:c r="U54" s="21" t="n">
        <x:f>O54*Q54+SUM(R54:T54)</x:f>
        <x:v>120000</x:v>
      </x:c>
      <x:c r="V54" s="19" t="str">
        <x:v>előzetes becslés</x:v>
      </x:c>
      <x:c r="W54" s="19" t="str">
        <x:v>CP0 tervezői előirányzat, nem webshopár; baseline 04d</x:v>
      </x:c>
      <x:c r="X54" s="19" t="str">
        <x:v>2026-10-26</x:v>
      </x:c>
      <x:c r="Y54" s="19" t="str">
        <x:v>UNKNOWN – ajánlatban visszaigazolandó</x:v>
      </x:c>
      <x:c r="Z54" s="19" t="str">
        <x:v>C</x:v>
      </x:c>
      <x:c r="AA54" s="19" t="str">
        <x:v>PENDING</x:v>
      </x:c>
      <x:c r="AB54" s="19" t="str">
        <x:v>PENDING</x:v>
      </x:c>
      <x:c r="AC54" s="19" t="str">
        <x:v>nem megrendelt</x:v>
      </x:c>
      <x:c r="AD54" s="19" t="str">
        <x:v>Függönyös</x:v>
      </x:c>
      <x:c r="AE54" s="19" t="str">
        <x:v>PENDING – méret, csatlakozás, anyagminta, teljes bekerülés</x:v>
      </x:c>
      <x:c r="AF54" s="19" t="str">
        <x:v>CP0 becslési csomag: segédanyag és munkadíj a megnevezett tartalom szerint; külön szállítás a 14 sorban. Nem ingyenes szállítás.</x:v>
      </x:c>
      <x:c r="AG54" s="20" t="n">
        <x:v>120000</x:v>
      </x:c>
      <x:c r="AH54" s="21" t="n">
        <x:f>O54*AG54+SUM(R54:T54)</x:f>
        <x:v>120000</x:v>
      </x:c>
      <x:c r="AI54" s="19" t="str">
        <x:v>PENDING</x:v>
      </x:c>
      <x:c r="AJ54" s="19" t="str">
        <x:v>PENDING</x:v>
      </x:c>
      <x:c r="AK54" s="19" t="str">
        <x:v>PENDING</x:v>
      </x:c>
      <x:c r="AL54" s="19" t="str">
        <x:v>IKEA STORKLINTA éjjeli üveglappal | https://www.ikea.com/hu/hu/p/storklinta-ejjeliszekreny-ueveglappal-soetetbarna-toelgyfa-hatasu-ueveglappal-s69654865/ | vizsgált, főtervbe nem emelt alternatíva</x:v>
      </x:c>
      <x:c r="AM54" s="19" t="str">
        <x:v>PENDING</x:v>
      </x:c>
      <x:c r="AN54" s="1" t="str">
        <x:v>NT-L; NT-R</x:v>
      </x:c>
      <x:c r="AO54" s="1" t="str">
        <x:v>CP3/drawings/NT-L_CP3.pdf; CP3/drawings/NT-R_CP3.pdf</x:v>
      </x:c>
      <x:c r="AP54" s="1" t="str">
        <x:v>CP3_NT-L; CP3_NT-R</x:v>
      </x:c>
      <x:c r="AQ54" s="1" t="str">
        <x:v>egyedi gyártás</x:v>
      </x:c>
      <x:c r="AR54" s="1" t="str">
        <x:v>R02 méretezett ajánlati terv; nem helyszíni méret</x:v>
      </x:c>
      <x:c r="AS54" s="1" t="str">
        <x:v>HUF</x:v>
      </x:c>
      <x:c r="AT54" s="1" t="n">
        <x:v>1</x:v>
      </x:c>
      <x:c r="AU54" s="1" t="str">
        <x:v>nincs visszaigazolt ajánlati érvényesség</x:v>
      </x:c>
      <x:c r="AV54" s="1" t="str">
        <x:v>KI-151 központi keret; daruzás KI-137</x:v>
      </x:c>
      <x:c r="AW54" s="1" t="str">
        <x:v>KI-014 asztalos / KI-106 villamos / KI-026 és KI-096 víz / KI-127 fal</x:v>
      </x:c>
      <x:c r="AX54" s="1" t="n">
        <x:v>4</x:v>
      </x:c>
      <x:c r="AY54" s="1" t="n">
        <x:v>0.85</x:v>
      </x:c>
      <x:c r="AZ54" s="1" t="n">
        <x:v>1.3</x:v>
      </x:c>
      <x:c r="BA54" s="29" t="n">
        <x:f>ROUND(U54*AY54,0)</x:f>
        <x:v>102000</x:v>
      </x:c>
      <x:c r="BB54" s="29" t="n">
        <x:f>ROUND(U54*AZ54,0)</x:f>
        <x:v>156000</x:v>
      </x:c>
    </x:row>
    <x:row r="55" ht="72" customHeight="1">
      <x:c r="A55" s="12" t="str">
        <x:v>A-902</x:v>
      </x:c>
      <x:c r="B55" s="12" t="str">
        <x:v>05.1</x:v>
      </x:c>
      <x:c r="C55" s="12" t="str">
        <x:v>KI-054</x:v>
      </x:c>
      <x:c r="D55" s="12" t="str">
        <x:v>Cam04 v1; Cam11 v2</x:v>
      </x:c>
      <x:c r="E55" s="12" t="str">
        <x:v>04d</x:v>
      </x:c>
      <x:c r="F55" s="12" t="str">
        <x:v>STÍLUS</x:v>
      </x:c>
      <x:c r="G55" s="12" t="str">
        <x:v>Textil</x:v>
      </x:c>
      <x:c r="H55" s="19" t="str">
        <x:v>Master függönyszövet és varrás</x:v>
      </x:c>
      <x:c r="I55" s="19" t="str">
        <x:v>UNKNOWN</x:v>
      </x:c>
      <x:c r="J55" s="19" t="str">
        <x:v>UNKNOWN</x:v>
      </x:c>
      <x:c r="K55" s="19" t="str">
        <x:v>UNKNOWN</x:v>
      </x:c>
      <x:c r="L55" s="19" t="str">
        <x:v>UNKNOWN – felmérés/gyári adat kell</x:v>
      </x:c>
      <x:c r="M55" s="19" t="str">
        <x:v>Kyoto Ink: grafit / füstszürke / taupe</x:v>
      </x:c>
      <x:c r="N55" s="19" t="str">
        <x:v>PENDING – műszaki specifikáció szerint</x:v>
      </x:c>
      <x:c r="O55" s="19" t="n">
        <x:v>1</x:v>
      </x:c>
      <x:c r="P55" s="19" t="str">
        <x:v>csomag</x:v>
      </x:c>
      <x:c r="Q55" s="20" t="n">
        <x:v>130000</x:v>
      </x:c>
      <x:c r="R55" s="20" t="n">
        <x:v>0</x:v>
      </x:c>
      <x:c r="S55" s="20" t="n">
        <x:v>0</x:v>
      </x:c>
      <x:c r="T55" s="20" t="n">
        <x:v>0</x:v>
      </x:c>
      <x:c r="U55" s="21" t="n">
        <x:f>O55*Q55+SUM(R55:T55)</x:f>
        <x:v>130000</x:v>
      </x:c>
      <x:c r="V55" s="19" t="str">
        <x:v>előzetes becslés</x:v>
      </x:c>
      <x:c r="W55" s="19" t="str">
        <x:v>CP0 tervezői előirányzat, nem webshopár; baseline 04d</x:v>
      </x:c>
      <x:c r="X55" s="19" t="str">
        <x:v>2026-10-26</x:v>
      </x:c>
      <x:c r="Y55" s="19" t="str">
        <x:v>UNKNOWN – ajánlatban visszaigazolandó</x:v>
      </x:c>
      <x:c r="Z55" s="19" t="str">
        <x:v>C</x:v>
      </x:c>
      <x:c r="AA55" s="19" t="str">
        <x:v>PENDING</x:v>
      </x:c>
      <x:c r="AB55" s="19" t="str">
        <x:v>PENDING</x:v>
      </x:c>
      <x:c r="AC55" s="19" t="str">
        <x:v>nem megrendelt</x:v>
      </x:c>
      <x:c r="AD55" s="19" t="str">
        <x:v>Függönyös</x:v>
      </x:c>
      <x:c r="AE55" s="19" t="str">
        <x:v>PENDING – méret, csatlakozás, anyagminta, teljes bekerülés</x:v>
      </x:c>
      <x:c r="AF55" s="19" t="str">
        <x:v>CP0 becslési csomag: segédanyag és munkadíj a megnevezett tartalom szerint; külön szállítás a 14 sorban. Nem ingyenes szállítás.</x:v>
      </x:c>
      <x:c r="AG55" s="20" t="n">
        <x:v>130000</x:v>
      </x:c>
      <x:c r="AH55" s="21" t="n">
        <x:f>O55*AG55+SUM(R55:T55)</x:f>
        <x:v>130000</x:v>
      </x:c>
      <x:c r="AI55" s="19" t="str">
        <x:v>PENDING</x:v>
      </x:c>
      <x:c r="AJ55" s="19" t="str">
        <x:v>PENDING</x:v>
      </x:c>
      <x:c r="AK55" s="19" t="str">
        <x:v>PENDING</x:v>
      </x:c>
      <x:c r="AL55" s="19" t="str">
        <x:v>PENDING</x:v>
      </x:c>
      <x:c r="AM55" s="19" t="str">
        <x:v>PENDING</x:v>
      </x:c>
      <x:c r="AN55" s="1" t="str">
        <x:v>KI-054</x:v>
      </x:c>
      <x:c r="AO55" s="1" t="str">
        <x:v>drawings/P-01_alaprajz.pdf</x:v>
      </x:c>
      <x:c r="AP55" s="1" t="str">
        <x:v>NINCS MODELL / nem térbeli költségsor; szakági kapcsolat igazolandó</x:v>
      </x:c>
      <x:c r="AQ55" s="1" t="str">
        <x:v>késztermék / szakági munka</x:v>
      </x:c>
      <x:c r="AR55" s="1" t="str">
        <x:v>felmérés/gyártói rajz szükséges</x:v>
      </x:c>
      <x:c r="AS55" s="1" t="str">
        <x:v>HUF</x:v>
      </x:c>
      <x:c r="AT55" s="1" t="n">
        <x:v>1</x:v>
      </x:c>
      <x:c r="AU55" s="1" t="str">
        <x:v>nincs visszaigazolt ajánlati érvényesség</x:v>
      </x:c>
      <x:c r="AV55" s="1" t="str">
        <x:v>KI-151 központi keret; daruzás KI-137</x:v>
      </x:c>
      <x:c r="AW55" s="1" t="str">
        <x:v>KI-014 asztalos / KI-106 villamos / KI-026 és KI-096 víz / KI-127 fal</x:v>
      </x:c>
      <x:c r="AX55" s="1" t="n">
        <x:v>6</x:v>
      </x:c>
      <x:c r="AY55" s="1" t="n">
        <x:v>0.85</x:v>
      </x:c>
      <x:c r="AZ55" s="1" t="n">
        <x:v>1.3</x:v>
      </x:c>
      <x:c r="BA55" s="29" t="n">
        <x:f>ROUND(U55*AY55,0)</x:f>
        <x:v>110500</x:v>
      </x:c>
      <x:c r="BB55" s="29" t="n">
        <x:f>ROUND(U55*AZ55,0)</x:f>
        <x:v>169000</x:v>
      </x:c>
    </x:row>
    <x:row r="56" ht="72" customHeight="1">
      <x:c r="A56" s="12" t="str">
        <x:v>A-902</x:v>
      </x:c>
      <x:c r="B56" s="12" t="str">
        <x:v>05.1</x:v>
      </x:c>
      <x:c r="C56" s="12" t="str">
        <x:v>KI-055</x:v>
      </x:c>
      <x:c r="D56" s="12" t="str">
        <x:v>Cam04 v1; Cam11 v2</x:v>
      </x:c>
      <x:c r="E56" s="12" t="str">
        <x:v>04d</x:v>
      </x:c>
      <x:c r="F56" s="12" t="str">
        <x:v>STÍLUS</x:v>
      </x:c>
      <x:c r="G56" s="12" t="str">
        <x:v>Textil</x:v>
      </x:c>
      <x:c r="H56" s="19" t="str">
        <x:v>Master fali sín, konzol és szerelés</x:v>
      </x:c>
      <x:c r="I56" s="19" t="str">
        <x:v>UNKNOWN</x:v>
      </x:c>
      <x:c r="J56" s="19" t="str">
        <x:v>UNKNOWN</x:v>
      </x:c>
      <x:c r="K56" s="19" t="str">
        <x:v>UNKNOWN</x:v>
      </x:c>
      <x:c r="L56" s="19" t="str">
        <x:v>UNKNOWN – felmérés/gyári adat kell</x:v>
      </x:c>
      <x:c r="M56" s="19" t="str">
        <x:v>Kyoto Ink: grafit / füstszürke / taupe</x:v>
      </x:c>
      <x:c r="N56" s="19" t="str">
        <x:v>PENDING – műszaki specifikáció szerint</x:v>
      </x:c>
      <x:c r="O56" s="19" t="n">
        <x:v>1</x:v>
      </x:c>
      <x:c r="P56" s="19" t="str">
        <x:v>csomag</x:v>
      </x:c>
      <x:c r="Q56" s="20" t="n">
        <x:v>50000</x:v>
      </x:c>
      <x:c r="R56" s="20" t="n">
        <x:v>0</x:v>
      </x:c>
      <x:c r="S56" s="20" t="n">
        <x:v>0</x:v>
      </x:c>
      <x:c r="T56" s="20" t="n">
        <x:v>0</x:v>
      </x:c>
      <x:c r="U56" s="21" t="n">
        <x:f>O56*Q56+SUM(R56:T56)</x:f>
        <x:v>50000</x:v>
      </x:c>
      <x:c r="V56" s="19" t="str">
        <x:v>előzetes becslés</x:v>
      </x:c>
      <x:c r="W56" s="19" t="str">
        <x:v>CP0 tervezői előirányzat, nem webshopár; baseline 04d</x:v>
      </x:c>
      <x:c r="X56" s="19" t="str">
        <x:v>2026-10-26</x:v>
      </x:c>
      <x:c r="Y56" s="19" t="str">
        <x:v>UNKNOWN – ajánlatban visszaigazolandó</x:v>
      </x:c>
      <x:c r="Z56" s="19" t="str">
        <x:v>C</x:v>
      </x:c>
      <x:c r="AA56" s="19" t="str">
        <x:v>PENDING</x:v>
      </x:c>
      <x:c r="AB56" s="19" t="str">
        <x:v>PENDING</x:v>
      </x:c>
      <x:c r="AC56" s="19" t="str">
        <x:v>nem megrendelt</x:v>
      </x:c>
      <x:c r="AD56" s="19" t="str">
        <x:v>Függönyös</x:v>
      </x:c>
      <x:c r="AE56" s="19" t="str">
        <x:v>PENDING – méret, csatlakozás, anyagminta, teljes bekerülés</x:v>
      </x:c>
      <x:c r="AF56" s="19" t="str">
        <x:v>CP0 becslési csomag: segédanyag és munkadíj a megnevezett tartalom szerint; külön szállítás a 14 sorban. Nem ingyenes szállítás.</x:v>
      </x:c>
      <x:c r="AG56" s="20" t="n">
        <x:v>50000</x:v>
      </x:c>
      <x:c r="AH56" s="21" t="n">
        <x:f>O56*AG56+SUM(R56:T56)</x:f>
        <x:v>50000</x:v>
      </x:c>
      <x:c r="AI56" s="19" t="str">
        <x:v>PENDING</x:v>
      </x:c>
      <x:c r="AJ56" s="19" t="str">
        <x:v>PENDING</x:v>
      </x:c>
      <x:c r="AK56" s="19" t="str">
        <x:v>PENDING</x:v>
      </x:c>
      <x:c r="AL56" s="19" t="str">
        <x:v>PENDING</x:v>
      </x:c>
      <x:c r="AM56" s="19" t="str">
        <x:v>PENDING</x:v>
      </x:c>
      <x:c r="AN56" s="1" t="str">
        <x:v>KI-055</x:v>
      </x:c>
      <x:c r="AO56" s="1" t="str">
        <x:v>drawings/P-01_alaprajz.pdf</x:v>
      </x:c>
      <x:c r="AP56" s="1" t="str">
        <x:v>NINCS MODELL / nem térbeli költségsor; szakági kapcsolat igazolandó</x:v>
      </x:c>
      <x:c r="AQ56" s="1" t="str">
        <x:v>késztermék / szakági munka</x:v>
      </x:c>
      <x:c r="AR56" s="1" t="str">
        <x:v>felmérés/gyártói rajz szükséges</x:v>
      </x:c>
      <x:c r="AS56" s="1" t="str">
        <x:v>HUF</x:v>
      </x:c>
      <x:c r="AT56" s="1" t="n">
        <x:v>1</x:v>
      </x:c>
      <x:c r="AU56" s="1" t="str">
        <x:v>nincs visszaigazolt ajánlati érvényesség</x:v>
      </x:c>
      <x:c r="AV56" s="1" t="str">
        <x:v>KI-151 központi keret; daruzás KI-137</x:v>
      </x:c>
      <x:c r="AW56" s="1" t="str">
        <x:v>KI-014 asztalos / KI-106 villamos / KI-026 és KI-096 víz / KI-127 fal</x:v>
      </x:c>
      <x:c r="AX56" s="1" t="n">
        <x:v>6</x:v>
      </x:c>
      <x:c r="AY56" s="1" t="n">
        <x:v>0.85</x:v>
      </x:c>
      <x:c r="AZ56" s="1" t="n">
        <x:v>1.3</x:v>
      </x:c>
      <x:c r="BA56" s="29" t="n">
        <x:f>ROUND(U56*AY56,0)</x:f>
        <x:v>42500</x:v>
      </x:c>
      <x:c r="BB56" s="29" t="n">
        <x:f>ROUND(U56*AZ56,0)</x:f>
        <x:v>65000</x:v>
      </x:c>
    </x:row>
    <x:row r="57" ht="72" customHeight="1">
      <x:c r="A57" s="12" t="str">
        <x:v>A-902</x:v>
      </x:c>
      <x:c r="B57" s="12" t="str">
        <x:v>05.1</x:v>
      </x:c>
      <x:c r="C57" s="12" t="str">
        <x:v>KI-056</x:v>
      </x:c>
      <x:c r="D57" s="12" t="str">
        <x:v>Cam04 v1; Cam11 v2</x:v>
      </x:c>
      <x:c r="E57" s="12" t="str">
        <x:v>04d</x:v>
      </x:c>
      <x:c r="F57" s="12" t="str">
        <x:v>STÍLUS</x:v>
      </x:c>
      <x:c r="G57" s="12" t="str">
        <x:v>Textil</x:v>
      </x:c>
      <x:c r="H57" s="19" t="str">
        <x:v>Ágynemű, párnák, takaró és ágytakaró</x:v>
      </x:c>
      <x:c r="I57" s="19" t="str">
        <x:v>UNKNOWN</x:v>
      </x:c>
      <x:c r="J57" s="19" t="str">
        <x:v>UNKNOWN</x:v>
      </x:c>
      <x:c r="K57" s="19" t="str">
        <x:v>UNKNOWN</x:v>
      </x:c>
      <x:c r="L57" s="19" t="str">
        <x:v>UNKNOWN – felmérés/gyári adat kell</x:v>
      </x:c>
      <x:c r="M57" s="19" t="str">
        <x:v>Kyoto Ink: grafit / füstszürke / taupe</x:v>
      </x:c>
      <x:c r="N57" s="19" t="str">
        <x:v>PENDING – műszaki specifikáció szerint</x:v>
      </x:c>
      <x:c r="O57" s="19" t="n">
        <x:v>1</x:v>
      </x:c>
      <x:c r="P57" s="19" t="str">
        <x:v>csomag</x:v>
      </x:c>
      <x:c r="Q57" s="20" t="n">
        <x:v>80000</x:v>
      </x:c>
      <x:c r="R57" s="20" t="n">
        <x:v>0</x:v>
      </x:c>
      <x:c r="S57" s="20" t="n">
        <x:v>0</x:v>
      </x:c>
      <x:c r="T57" s="20" t="n">
        <x:v>0</x:v>
      </x:c>
      <x:c r="U57" s="21" t="n">
        <x:f>O57*Q57+SUM(R57:T57)</x:f>
        <x:v>80000</x:v>
      </x:c>
      <x:c r="V57" s="19" t="str">
        <x:v>előzetes becslés</x:v>
      </x:c>
      <x:c r="W57" s="19" t="str">
        <x:v>CP0 tervezői előirányzat, nem webshopár; baseline 04d</x:v>
      </x:c>
      <x:c r="X57" s="19" t="str">
        <x:v>2026-10-26</x:v>
      </x:c>
      <x:c r="Y57" s="19" t="str">
        <x:v>UNKNOWN – ajánlatban visszaigazolandó</x:v>
      </x:c>
      <x:c r="Z57" s="19" t="str">
        <x:v>C</x:v>
      </x:c>
      <x:c r="AA57" s="19" t="str">
        <x:v>PENDING</x:v>
      </x:c>
      <x:c r="AB57" s="19" t="str">
        <x:v>PENDING</x:v>
      </x:c>
      <x:c r="AC57" s="19" t="str">
        <x:v>nem megrendelt</x:v>
      </x:c>
      <x:c r="AD57" s="19" t="str">
        <x:v>Függönyös</x:v>
      </x:c>
      <x:c r="AE57" s="19" t="str">
        <x:v>PENDING – méret, csatlakozás, anyagminta, teljes bekerülés</x:v>
      </x:c>
      <x:c r="AF57" s="19" t="str">
        <x:v>CP0 becslési csomag: segédanyag és munkadíj a megnevezett tartalom szerint; külön szállítás a 14 sorban. Nem ingyenes szállítás.</x:v>
      </x:c>
      <x:c r="AG57" s="20" t="n">
        <x:v>80000</x:v>
      </x:c>
      <x:c r="AH57" s="21" t="n">
        <x:f>O57*AG57+SUM(R57:T57)</x:f>
        <x:v>80000</x:v>
      </x:c>
      <x:c r="AI57" s="19" t="str">
        <x:v>PENDING</x:v>
      </x:c>
      <x:c r="AJ57" s="19" t="str">
        <x:v>PENDING</x:v>
      </x:c>
      <x:c r="AK57" s="19" t="str">
        <x:v>PENDING</x:v>
      </x:c>
      <x:c r="AL57" s="19" t="str">
        <x:v>PENDING</x:v>
      </x:c>
      <x:c r="AM57" s="19" t="str">
        <x:v>PENDING</x:v>
      </x:c>
      <x:c r="AN57" s="1" t="str">
        <x:v>KI-056</x:v>
      </x:c>
      <x:c r="AO57" s="1" t="str">
        <x:v>drawings/P-01_alaprajz.pdf</x:v>
      </x:c>
      <x:c r="AP57" s="1" t="str">
        <x:v>NINCS MODELL / nem térbeli költségsor; szakági kapcsolat igazolandó</x:v>
      </x:c>
      <x:c r="AQ57" s="1" t="str">
        <x:v>késztermék / szakági munka</x:v>
      </x:c>
      <x:c r="AR57" s="1" t="str">
        <x:v>felmérés/gyártói rajz szükséges</x:v>
      </x:c>
      <x:c r="AS57" s="1" t="str">
        <x:v>HUF</x:v>
      </x:c>
      <x:c r="AT57" s="1" t="n">
        <x:v>1</x:v>
      </x:c>
      <x:c r="AU57" s="1" t="str">
        <x:v>nincs visszaigazolt ajánlati érvényesség</x:v>
      </x:c>
      <x:c r="AV57" s="1" t="str">
        <x:v>KI-151 központi keret; daruzás KI-137</x:v>
      </x:c>
      <x:c r="AW57" s="1" t="str">
        <x:v>KI-014 asztalos / KI-106 villamos / KI-026 és KI-096 víz / KI-127 fal</x:v>
      </x:c>
      <x:c r="AX57" s="1" t="n">
        <x:v>6</x:v>
      </x:c>
      <x:c r="AY57" s="1" t="n">
        <x:v>0.85</x:v>
      </x:c>
      <x:c r="AZ57" s="1" t="n">
        <x:v>1.3</x:v>
      </x:c>
      <x:c r="BA57" s="29" t="n">
        <x:f>ROUND(U57*AY57,0)</x:f>
        <x:v>68000</x:v>
      </x:c>
      <x:c r="BB57" s="29" t="n">
        <x:f>ROUND(U57*AZ57,0)</x:f>
        <x:v>104000</x:v>
      </x:c>
    </x:row>
    <x:row r="58" ht="72" customHeight="1">
      <x:c r="A58" s="12" t="str">
        <x:v>A-902</x:v>
      </x:c>
      <x:c r="B58" s="12" t="str">
        <x:v>05.1</x:v>
      </x:c>
      <x:c r="C58" s="12" t="str">
        <x:v>KI-057</x:v>
      </x:c>
      <x:c r="D58" s="12" t="str">
        <x:v>Cam04 v1; Cam11 v2</x:v>
      </x:c>
      <x:c r="E58" s="12" t="str">
        <x:v>04d</x:v>
      </x:c>
      <x:c r="F58" s="12" t="str">
        <x:v>STÍLUS</x:v>
      </x:c>
      <x:c r="G58" s="12" t="str">
        <x:v>Textil</x:v>
      </x:c>
      <x:c r="H58" s="19" t="str">
        <x:v>Master szőnyeg és csúszásgátló</x:v>
      </x:c>
      <x:c r="I58" s="19" t="str">
        <x:v>UNKNOWN</x:v>
      </x:c>
      <x:c r="J58" s="19" t="str">
        <x:v>UNKNOWN</x:v>
      </x:c>
      <x:c r="K58" s="19" t="str">
        <x:v>UNKNOWN</x:v>
      </x:c>
      <x:c r="L58" s="19" t="str">
        <x:v>UNKNOWN – felmérés/gyári adat kell</x:v>
      </x:c>
      <x:c r="M58" s="19" t="str">
        <x:v>Kyoto Ink: grafit / füstszürke / taupe</x:v>
      </x:c>
      <x:c r="N58" s="19" t="str">
        <x:v>PENDING – műszaki specifikáció szerint</x:v>
      </x:c>
      <x:c r="O58" s="19" t="n">
        <x:v>1</x:v>
      </x:c>
      <x:c r="P58" s="19" t="str">
        <x:v>csomag</x:v>
      </x:c>
      <x:c r="Q58" s="20" t="n">
        <x:v>100000</x:v>
      </x:c>
      <x:c r="R58" s="20" t="n">
        <x:v>0</x:v>
      </x:c>
      <x:c r="S58" s="20" t="n">
        <x:v>0</x:v>
      </x:c>
      <x:c r="T58" s="20" t="n">
        <x:v>0</x:v>
      </x:c>
      <x:c r="U58" s="21" t="n">
        <x:f>O58*Q58+SUM(R58:T58)</x:f>
        <x:v>100000</x:v>
      </x:c>
      <x:c r="V58" s="19" t="str">
        <x:v>előzetes becslés</x:v>
      </x:c>
      <x:c r="W58" s="19" t="str">
        <x:v>CP0 tervezői előirányzat, nem webshopár; baseline 04d</x:v>
      </x:c>
      <x:c r="X58" s="19" t="str">
        <x:v>2026-10-26</x:v>
      </x:c>
      <x:c r="Y58" s="19" t="str">
        <x:v>UNKNOWN – ajánlatban visszaigazolandó</x:v>
      </x:c>
      <x:c r="Z58" s="19" t="str">
        <x:v>C</x:v>
      </x:c>
      <x:c r="AA58" s="19" t="str">
        <x:v>PENDING</x:v>
      </x:c>
      <x:c r="AB58" s="19" t="str">
        <x:v>PENDING</x:v>
      </x:c>
      <x:c r="AC58" s="19" t="str">
        <x:v>nem megrendelt</x:v>
      </x:c>
      <x:c r="AD58" s="19" t="str">
        <x:v>Függönyös</x:v>
      </x:c>
      <x:c r="AE58" s="19" t="str">
        <x:v>PENDING – méret, csatlakozás, anyagminta, teljes bekerülés</x:v>
      </x:c>
      <x:c r="AF58" s="19" t="str">
        <x:v>CP0 becslési csomag: segédanyag és munkadíj a megnevezett tartalom szerint; külön szállítás a 14 sorban. Nem ingyenes szállítás.</x:v>
      </x:c>
      <x:c r="AG58" s="20" t="n">
        <x:v>100000</x:v>
      </x:c>
      <x:c r="AH58" s="21" t="n">
        <x:f>O58*AG58+SUM(R58:T58)</x:f>
        <x:v>100000</x:v>
      </x:c>
      <x:c r="AI58" s="19" t="str">
        <x:v>PENDING</x:v>
      </x:c>
      <x:c r="AJ58" s="19" t="str">
        <x:v>PENDING</x:v>
      </x:c>
      <x:c r="AK58" s="19" t="str">
        <x:v>PENDING</x:v>
      </x:c>
      <x:c r="AL58" s="19" t="str">
        <x:v>PENDING</x:v>
      </x:c>
      <x:c r="AM58" s="19" t="str">
        <x:v>PENDING</x:v>
      </x:c>
      <x:c r="AN58" s="1" t="str">
        <x:v>KI-057</x:v>
      </x:c>
      <x:c r="AO58" s="1" t="str">
        <x:v>drawings/P-01_alaprajz.pdf</x:v>
      </x:c>
      <x:c r="AP58" s="1" t="str">
        <x:v>NINCS MODELL / nem térbeli költségsor; szakági kapcsolat igazolandó</x:v>
      </x:c>
      <x:c r="AQ58" s="1" t="str">
        <x:v>késztermék / szakági munka</x:v>
      </x:c>
      <x:c r="AR58" s="1" t="str">
        <x:v>felmérés/gyártói rajz szükséges</x:v>
      </x:c>
      <x:c r="AS58" s="1" t="str">
        <x:v>HUF</x:v>
      </x:c>
      <x:c r="AT58" s="1" t="n">
        <x:v>1</x:v>
      </x:c>
      <x:c r="AU58" s="1" t="str">
        <x:v>nincs visszaigazolt ajánlati érvényesség</x:v>
      </x:c>
      <x:c r="AV58" s="1" t="str">
        <x:v>KI-151 központi keret; daruzás KI-137</x:v>
      </x:c>
      <x:c r="AW58" s="1" t="str">
        <x:v>KI-014 asztalos / KI-106 villamos / KI-026 és KI-096 víz / KI-127 fal</x:v>
      </x:c>
      <x:c r="AX58" s="1" t="n">
        <x:v>6</x:v>
      </x:c>
      <x:c r="AY58" s="1" t="n">
        <x:v>0.85</x:v>
      </x:c>
      <x:c r="AZ58" s="1" t="n">
        <x:v>1.3</x:v>
      </x:c>
      <x:c r="BA58" s="29" t="n">
        <x:f>ROUND(U58*AY58,0)</x:f>
        <x:v>85000</x:v>
      </x:c>
      <x:c r="BB58" s="29" t="n">
        <x:f>ROUND(U58*AZ58,0)</x:f>
        <x:v>130000</x:v>
      </x:c>
    </x:row>
    <x:row r="59" ht="72" customHeight="1">
      <x:c r="A59" s="12" t="str">
        <x:v>A-902</x:v>
      </x:c>
      <x:c r="B59" s="12" t="str">
        <x:v>05.2</x:v>
      </x:c>
      <x:c r="C59" s="12" t="str">
        <x:v>KI-058</x:v>
      </x:c>
      <x:c r="D59" s="12" t="str">
        <x:v>NEM RENDERELT</x:v>
      </x:c>
      <x:c r="E59" s="12" t="str">
        <x:v>05</x:v>
      </x:c>
      <x:c r="F59" s="12" t="str">
        <x:v>FIX</x:v>
      </x:c>
      <x:c r="G59" s="12" t="str">
        <x:v>Bútor</x:v>
      </x:c>
      <x:c r="H59" s="19" t="str">
        <x:v>SLATTUM Vissle sötétszürke 160×200</x:v>
      </x:c>
      <x:c r="I59" s="19" t="str">
        <x:v>IKEA</x:v>
      </x:c>
      <x:c r="J59" s="19" t="str">
        <x:v>405.712.48</x:v>
      </x:c>
      <x:c r="K59" s="19" t="str">
        <x:v>https://www.ikea.com/hu/hu/p/slattum-karpitozott-agykeret-vissle-soetetszuerke-40571248/</x:v>
      </x:c>
      <x:c r="L59" s="19" t="str">
        <x:v>1640×2060×850 mm</x:v>
      </x:c>
      <x:c r="M59" s="19" t="str">
        <x:v>Kyoto Ink: grafit / füstszürke / taupe</x:v>
      </x:c>
      <x:c r="N59" s="19" t="str">
        <x:v>PENDING – műszaki specifikáció szerint</x:v>
      </x:c>
      <x:c r="O59" s="19" t="n">
        <x:v>1</x:v>
      </x:c>
      <x:c r="P59" s="19" t="str">
        <x:v>csomag</x:v>
      </x:c>
      <x:c r="Q59" s="20" t="n">
        <x:v>54990</x:v>
      </x:c>
      <x:c r="R59" s="20" t="n">
        <x:v>0</x:v>
      </x:c>
      <x:c r="S59" s="20" t="n">
        <x:v>0</x:v>
      </x:c>
      <x:c r="T59" s="20" t="n">
        <x:v>0</x:v>
      </x:c>
      <x:c r="U59" s="21" t="n">
        <x:f>O59*Q59+SUM(R59:T59)</x:f>
        <x:v>54990</x:v>
      </x:c>
      <x:c r="V59" s="19" t="str">
        <x:v>ellenőrzött webshopár</x:v>
      </x:c>
      <x:c r="W59" s="19" t="str">
        <x:v>https://www.ikea.com/hu/hu/p/slattum-karpitozott-agykeret-vissle-soetetszuerke-40571248/</x:v>
      </x:c>
      <x:c r="X59" s="19" t="str">
        <x:v>2026-10-26</x:v>
      </x:c>
      <x:c r="Y59" s="19" t="str">
        <x:v>UNKNOWN – ajánlatban visszaigazolandó</x:v>
      </x:c>
      <x:c r="Z59" s="19" t="str">
        <x:v>C</x:v>
      </x:c>
      <x:c r="AA59" s="19" t="str">
        <x:v>Új 05.2 terv; ágyrács része a csomagnak. Alacsonyabb, egyszerűbb varrású, mint master.</x:v>
      </x:c>
      <x:c r="AB59" s="19" t="str">
        <x:v>PENDING</x:v>
      </x:c>
      <x:c r="AC59" s="19" t="str">
        <x:v>nem megrendelt</x:v>
      </x:c>
      <x:c r="AD59" s="19" t="str">
        <x:v>Beszerzési felelős / Péter</x:v>
      </x:c>
      <x:c r="AE59" s="19" t="str">
        <x:v>PENDING – méret, csatlakozás, anyagminta, teljes bekerülés</x:v>
      </x:c>
      <x:c r="AF59" s="19" t="str">
        <x:v>CP0 becslési csomag: segédanyag és munkadíj a megnevezett tartalom szerint; külön szállítás a 14 sorban. Nem ingyenes szállítás.</x:v>
      </x:c>
      <x:c r="AG59" s="20" t="n">
        <x:v>54990</x:v>
      </x:c>
      <x:c r="AH59" s="21" t="n">
        <x:f>O59*AG59+SUM(R59:T59)</x:f>
        <x:v>54990</x:v>
      </x:c>
      <x:c r="AI59" s="19" t="str">
        <x:v>PENDING</x:v>
      </x:c>
      <x:c r="AJ59" s="19" t="str">
        <x:v>PENDING</x:v>
      </x:c>
      <x:c r="AK59" s="19" t="str">
        <x:v>magyar címre és darabszámra nem visszaigazolt</x:v>
      </x:c>
      <x:c r="AL59" s="19" t="str">
        <x:v>PENDING</x:v>
      </x:c>
      <x:c r="AM59" s="19" t="str">
        <x:v>PENDING</x:v>
      </x:c>
      <x:c r="AN59" s="1" t="str">
        <x:v>KI-058</x:v>
      </x:c>
      <x:c r="AO59" s="1" t="str">
        <x:v>drawings/P-01_alaprajz.pdf</x:v>
      </x:c>
      <x:c r="AP59" s="1" t="str">
        <x:v>KI_KI-058</x:v>
      </x:c>
      <x:c r="AQ59" s="1" t="str">
        <x:v>késztermék / szakági munka</x:v>
      </x:c>
      <x:c r="AR59" s="1" t="str">
        <x:v>gyártói termékoldal/adatlap</x:v>
      </x:c>
      <x:c r="AS59" s="1" t="str">
        <x:v>HUF</x:v>
      </x:c>
      <x:c r="AT59" s="1" t="n">
        <x:v>1</x:v>
      </x:c>
      <x:c r="AU59" s="1" t="str">
        <x:v>nincs visszaigazolt ajánlati érvényesség</x:v>
      </x:c>
      <x:c r="AV59" s="1" t="str">
        <x:v>KI-151 központi keret; daruzás KI-137</x:v>
      </x:c>
      <x:c r="AW59" s="1" t="str">
        <x:v>KI-014 asztalos / KI-106 villamos / KI-026 és KI-096 víz / KI-127 fal</x:v>
      </x:c>
      <x:c r="AX59" s="1" t="n">
        <x:v>6</x:v>
      </x:c>
      <x:c r="AY59" s="1" t="n">
        <x:v>1</x:v>
      </x:c>
      <x:c r="AZ59" s="1" t="n">
        <x:v>1.12</x:v>
      </x:c>
      <x:c r="BA59" s="29" t="n">
        <x:f>ROUND(U59*AY59,0)</x:f>
        <x:v>54990</x:v>
      </x:c>
      <x:c r="BB59" s="29" t="n">
        <x:f>ROUND(U59*AZ59,0)</x:f>
        <x:v>61589</x:v>
      </x:c>
    </x:row>
    <x:row r="60" ht="72" customHeight="1">
      <x:c r="A60" s="12" t="str">
        <x:v>A-902</x:v>
      </x:c>
      <x:c r="B60" s="12" t="str">
        <x:v>05.2</x:v>
      </x:c>
      <x:c r="C60" s="12" t="str">
        <x:v>KI-059</x:v>
      </x:c>
      <x:c r="D60" s="12" t="str">
        <x:v>NEM RENDERELT</x:v>
      </x:c>
      <x:c r="E60" s="12" t="str">
        <x:v>05</x:v>
      </x:c>
      <x:c r="F60" s="12" t="str">
        <x:v>FIX</x:v>
      </x:c>
      <x:c r="G60" s="12" t="str">
        <x:v>Bútor</x:v>
      </x:c>
      <x:c r="H60" s="19" t="str">
        <x:v>Matrac</x:v>
      </x:c>
      <x:c r="I60" s="19" t="str">
        <x:v>UNKNOWN</x:v>
      </x:c>
      <x:c r="J60" s="19" t="str">
        <x:v>UNKNOWN</x:v>
      </x:c>
      <x:c r="K60" s="19" t="str">
        <x:v>UNKNOWN</x:v>
      </x:c>
      <x:c r="L60" s="19" t="str">
        <x:v>UNKNOWN – felmérés/gyári adat kell</x:v>
      </x:c>
      <x:c r="M60" s="19" t="str">
        <x:v>Kyoto Ink: grafit / füstszürke / taupe</x:v>
      </x:c>
      <x:c r="N60" s="19" t="str">
        <x:v>PENDING – műszaki specifikáció szerint</x:v>
      </x:c>
      <x:c r="O60" s="19" t="n">
        <x:v>1</x:v>
      </x:c>
      <x:c r="P60" s="19" t="str">
        <x:v>csomag</x:v>
      </x:c>
      <x:c r="Q60" s="20" t="n">
        <x:v>100000</x:v>
      </x:c>
      <x:c r="R60" s="20" t="n">
        <x:v>0</x:v>
      </x:c>
      <x:c r="S60" s="20" t="n">
        <x:v>0</x:v>
      </x:c>
      <x:c r="T60" s="20" t="n">
        <x:v>0</x:v>
      </x:c>
      <x:c r="U60" s="21" t="n">
        <x:f>O60*Q60+SUM(R60:T60)</x:f>
        <x:v>100000</x:v>
      </x:c>
      <x:c r="V60" s="19" t="str">
        <x:v>előzetes becslés</x:v>
      </x:c>
      <x:c r="W60" s="19" t="str">
        <x:v>CP0 tervezői előirányzat, nem webshopár; baseline 05</x:v>
      </x:c>
      <x:c r="X60" s="19" t="str">
        <x:v>2026-10-26</x:v>
      </x:c>
      <x:c r="Y60" s="19" t="str">
        <x:v>UNKNOWN – ajánlatban visszaigazolandó</x:v>
      </x:c>
      <x:c r="Z60" s="19" t="str">
        <x:v>C</x:v>
      </x:c>
      <x:c r="AA60" s="19" t="str">
        <x:v>PENDING</x:v>
      </x:c>
      <x:c r="AB60" s="19" t="str">
        <x:v>PENDING</x:v>
      </x:c>
      <x:c r="AC60" s="19" t="str">
        <x:v>nem megrendelt</x:v>
      </x:c>
      <x:c r="AD60" s="19" t="str">
        <x:v>Beszerzési felelős / Péter</x:v>
      </x:c>
      <x:c r="AE60" s="19" t="str">
        <x:v>PENDING – méret, csatlakozás, anyagminta, teljes bekerülés</x:v>
      </x:c>
      <x:c r="AF60" s="19" t="str">
        <x:v>CP0 becslési csomag: segédanyag és munkadíj a megnevezett tartalom szerint; külön szállítás a 14 sorban. Nem ingyenes szállítás.</x:v>
      </x:c>
      <x:c r="AG60" s="20" t="n">
        <x:v>100000</x:v>
      </x:c>
      <x:c r="AH60" s="21" t="n">
        <x:f>O60*AG60+SUM(R60:T60)</x:f>
        <x:v>100000</x:v>
      </x:c>
      <x:c r="AI60" s="19" t="str">
        <x:v>PENDING</x:v>
      </x:c>
      <x:c r="AJ60" s="19" t="str">
        <x:v>PENDING</x:v>
      </x:c>
      <x:c r="AK60" s="19" t="str">
        <x:v>PENDING</x:v>
      </x:c>
      <x:c r="AL60" s="19" t="str">
        <x:v>PENDING</x:v>
      </x:c>
      <x:c r="AM60" s="19" t="str">
        <x:v>PENDING</x:v>
      </x:c>
      <x:c r="AN60" s="1" t="str">
        <x:v>KI-059</x:v>
      </x:c>
      <x:c r="AO60" s="1" t="str">
        <x:v>drawings/P-01_alaprajz.pdf</x:v>
      </x:c>
      <x:c r="AP60" s="1" t="str">
        <x:v>NINCS MODELL / nem térbeli költségsor; szakági kapcsolat igazolandó</x:v>
      </x:c>
      <x:c r="AQ60" s="1" t="str">
        <x:v>késztermék / szakági munka</x:v>
      </x:c>
      <x:c r="AR60" s="1" t="str">
        <x:v>felmérés/gyártói rajz szükséges</x:v>
      </x:c>
      <x:c r="AS60" s="1" t="str">
        <x:v>HUF</x:v>
      </x:c>
      <x:c r="AT60" s="1" t="n">
        <x:v>1</x:v>
      </x:c>
      <x:c r="AU60" s="1" t="str">
        <x:v>nincs visszaigazolt ajánlati érvényesség</x:v>
      </x:c>
      <x:c r="AV60" s="1" t="str">
        <x:v>KI-151 központi keret; daruzás KI-137</x:v>
      </x:c>
      <x:c r="AW60" s="1" t="str">
        <x:v>KI-014 asztalos / KI-106 villamos / KI-026 és KI-096 víz / KI-127 fal</x:v>
      </x:c>
      <x:c r="AX60" s="1" t="n">
        <x:v>6</x:v>
      </x:c>
      <x:c r="AY60" s="1" t="n">
        <x:v>0.85</x:v>
      </x:c>
      <x:c r="AZ60" s="1" t="n">
        <x:v>1.3</x:v>
      </x:c>
      <x:c r="BA60" s="29" t="n">
        <x:f>ROUND(U60*AY60,0)</x:f>
        <x:v>85000</x:v>
      </x:c>
      <x:c r="BB60" s="29" t="n">
        <x:f>ROUND(U60*AZ60,0)</x:f>
        <x:v>130000</x:v>
      </x:c>
    </x:row>
    <x:row r="61" ht="72" customHeight="1">
      <x:c r="A61" s="12" t="str">
        <x:v>A-902</x:v>
      </x:c>
      <x:c r="B61" s="12" t="str">
        <x:v>05.2</x:v>
      </x:c>
      <x:c r="C61" s="12" t="str">
        <x:v>KI-060</x:v>
      </x:c>
      <x:c r="D61" s="12" t="str">
        <x:v>CP3/render_handoff/manifest_CP3.json</x:v>
      </x:c>
      <x:c r="E61" s="12" t="str">
        <x:v>05</x:v>
      </x:c>
      <x:c r="F61" s="12" t="str">
        <x:v>FIX</x:v>
      </x:c>
      <x:c r="G61" s="12" t="str">
        <x:v>Bútor</x:v>
      </x:c>
      <x:c r="H61" s="19" t="str">
        <x:v>Gardrób korpusz és belső</x:v>
      </x:c>
      <x:c r="I61" s="19" t="str">
        <x:v>UNKNOWN</x:v>
      </x:c>
      <x:c r="J61" s="19" t="str">
        <x:v>UNKNOWN</x:v>
      </x:c>
      <x:c r="K61" s="19" t="str">
        <x:v>UNKNOWN</x:v>
      </x:c>
      <x:c r="L61" s="19" t="str">
        <x:v>W52-01: 2380×600×2840 mm</x:v>
      </x:c>
      <x:c r="M61" s="19" t="str">
        <x:v>Kyoto Ink: grafit / füstszürke / taupe</x:v>
      </x:c>
      <x:c r="N61" s="19" t="str">
        <x:v>PENDING – műszaki specifikáció szerint</x:v>
      </x:c>
      <x:c r="O61" s="19" t="n">
        <x:v>1</x:v>
      </x:c>
      <x:c r="P61" s="19" t="str">
        <x:v>csomag</x:v>
      </x:c>
      <x:c r="Q61" s="20" t="n">
        <x:v>515000</x:v>
      </x:c>
      <x:c r="R61" s="20" t="n">
        <x:v>0</x:v>
      </x:c>
      <x:c r="S61" s="20" t="n">
        <x:v>0</x:v>
      </x:c>
      <x:c r="T61" s="20" t="n">
        <x:v>0</x:v>
      </x:c>
      <x:c r="U61" s="21" t="n">
        <x:f>O61*Q61+SUM(R61:T61)</x:f>
        <x:v>515000</x:v>
      </x:c>
      <x:c r="V61" s="19" t="str">
        <x:v>előzetes becslés</x:v>
      </x:c>
      <x:c r="W61" s="19" t="str">
        <x:v>CP3/data/koltseg_bontas.json</x:v>
      </x:c>
      <x:c r="X61" s="19" t="str">
        <x:v>2026-10-27</x:v>
      </x:c>
      <x:c r="Y61" s="19" t="str">
        <x:v>UNKNOWN – ajánlatban visszaigazolandó</x:v>
      </x:c>
      <x:c r="Z61" s="19" t="str">
        <x:v>C</x:v>
      </x:c>
      <x:c r="AA61" s="19" t="str">
        <x:v>PENDING</x:v>
      </x:c>
      <x:c r="AB61" s="19" t="str">
        <x:v>PENDING</x:v>
      </x:c>
      <x:c r="AC61" s="19" t="str">
        <x:v>nem megrendelt</x:v>
      </x:c>
      <x:c r="AD61" s="19" t="str">
        <x:v>Beszerzési felelős / Péter</x:v>
      </x:c>
      <x:c r="AE61" s="19" t="str">
        <x:v>PENDING – méret, csatlakozás, anyagminta, teljes bekerülés</x:v>
      </x:c>
      <x:c r="AF61" s="19" t="str">
        <x:v>Teljes korpusz + CP3 belső új előirányzata: 190 000 Ft korpusz és tételes belső; régi 150 000 Ft kiváltva, nem hozzáadva. Front és szerelés továbbra KI-061.</x:v>
      </x:c>
      <x:c r="AG61" s="20" t="n">
        <x:v>515000</x:v>
      </x:c>
      <x:c r="AH61" s="21" t="n">
        <x:f>O61*AG61+SUM(R61:T61)</x:f>
        <x:v>515000</x:v>
      </x:c>
      <x:c r="AI61" s="19" t="str">
        <x:v>Teljes korpusz + CP3 belső új előirányzata: 190 000 Ft korpusz és tételes belső; régi 150 000 Ft kiváltva, nem hozzáadva. Front és szerelés továbbra KI-061.</x:v>
      </x:c>
      <x:c r="AJ61" s="19" t="str">
        <x:v>PENDING</x:v>
      </x:c>
      <x:c r="AK61" s="19" t="str">
        <x:v>PENDING</x:v>
      </x:c>
      <x:c r="AL61" s="19" t="str">
        <x:v>PENDING</x:v>
      </x:c>
      <x:c r="AM61" s="19" t="str">
        <x:v>PENDING</x:v>
      </x:c>
      <x:c r="AN61" s="1" t="str">
        <x:v>W52-01</x:v>
      </x:c>
      <x:c r="AO61" s="1" t="str">
        <x:v>CP3/drawings/W52-01_CP3.pdf</x:v>
      </x:c>
      <x:c r="AP61" s="1" t="str">
        <x:v>CP3_W52-01</x:v>
      </x:c>
      <x:c r="AQ61" s="1" t="str">
        <x:v>egyedi gyártás</x:v>
      </x:c>
      <x:c r="AR61" s="1" t="str">
        <x:v>R02 méretezett ajánlati terv; nem helyszíni méret</x:v>
      </x:c>
      <x:c r="AS61" s="1" t="str">
        <x:v>HUF</x:v>
      </x:c>
      <x:c r="AT61" s="1" t="n">
        <x:v>1</x:v>
      </x:c>
      <x:c r="AU61" s="1" t="str">
        <x:v>nincs visszaigazolt ajánlati érvényesség</x:v>
      </x:c>
      <x:c r="AV61" s="1" t="str">
        <x:v>KI-151 központi keret; daruzás KI-137</x:v>
      </x:c>
      <x:c r="AW61" s="1" t="str">
        <x:v>KI-014 asztalos / KI-106 villamos / KI-026 és KI-096 víz / KI-127 fal</x:v>
      </x:c>
      <x:c r="AX61" s="1" t="n">
        <x:v>4</x:v>
      </x:c>
      <x:c r="AY61" s="1" t="n">
        <x:v>0.8</x:v>
      </x:c>
      <x:c r="AZ61" s="1" t="n">
        <x:v>1.4</x:v>
      </x:c>
      <x:c r="BA61" s="29" t="n">
        <x:f>ROUND(U61*AY61,0)</x:f>
        <x:v>412000</x:v>
      </x:c>
      <x:c r="BB61" s="29" t="n">
        <x:f>ROUND(U61*AZ61,0)</x:f>
        <x:v>721000</x:v>
      </x:c>
    </x:row>
    <x:row r="62" ht="72" customHeight="1">
      <x:c r="A62" s="12" t="str">
        <x:v>A-902</x:v>
      </x:c>
      <x:c r="B62" s="12" t="str">
        <x:v>05.2</x:v>
      </x:c>
      <x:c r="C62" s="12" t="str">
        <x:v>KI-061</x:v>
      </x:c>
      <x:c r="D62" s="12" t="str">
        <x:v>CP3/render_handoff/manifest_CP3.json</x:v>
      </x:c>
      <x:c r="E62" s="12" t="str">
        <x:v>05</x:v>
      </x:c>
      <x:c r="F62" s="12" t="str">
        <x:v>FIX</x:v>
      </x:c>
      <x:c r="G62" s="12" t="str">
        <x:v>Bútor</x:v>
      </x:c>
      <x:c r="H62" s="19" t="str">
        <x:v>Gardrób front és szerelés</x:v>
      </x:c>
      <x:c r="I62" s="19" t="str">
        <x:v>UNKNOWN</x:v>
      </x:c>
      <x:c r="J62" s="19" t="str">
        <x:v>UNKNOWN</x:v>
      </x:c>
      <x:c r="K62" s="19" t="str">
        <x:v>UNKNOWN</x:v>
      </x:c>
      <x:c r="L62" s="19" t="str">
        <x:v>W52-01: 2380×600×2840 mm</x:v>
      </x:c>
      <x:c r="M62" s="19" t="str">
        <x:v>Kyoto Ink: grafit / füstszürke / taupe</x:v>
      </x:c>
      <x:c r="N62" s="19" t="str">
        <x:v>PENDING – műszaki specifikáció szerint</x:v>
      </x:c>
      <x:c r="O62" s="19" t="n">
        <x:v>1</x:v>
      </x:c>
      <x:c r="P62" s="19" t="str">
        <x:v>csomag</x:v>
      </x:c>
      <x:c r="Q62" s="20" t="n">
        <x:v>100000</x:v>
      </x:c>
      <x:c r="R62" s="20" t="n">
        <x:v>0</x:v>
      </x:c>
      <x:c r="S62" s="20" t="n">
        <x:v>0</x:v>
      </x:c>
      <x:c r="T62" s="20" t="n">
        <x:v>0</x:v>
      </x:c>
      <x:c r="U62" s="21" t="n">
        <x:f>O62*Q62+SUM(R62:T62)</x:f>
        <x:v>100000</x:v>
      </x:c>
      <x:c r="V62" s="19" t="str">
        <x:v>előzetes becslés</x:v>
      </x:c>
      <x:c r="W62" s="19" t="str">
        <x:v>CP0 tervezői előirányzat, nem webshopár; baseline 05</x:v>
      </x:c>
      <x:c r="X62" s="19" t="str">
        <x:v>2026-10-26</x:v>
      </x:c>
      <x:c r="Y62" s="19" t="str">
        <x:v>UNKNOWN – ajánlatban visszaigazolandó</x:v>
      </x:c>
      <x:c r="Z62" s="19" t="str">
        <x:v>C</x:v>
      </x:c>
      <x:c r="AA62" s="19" t="str">
        <x:v>PENDING</x:v>
      </x:c>
      <x:c r="AB62" s="19" t="str">
        <x:v>PENDING</x:v>
      </x:c>
      <x:c r="AC62" s="19" t="str">
        <x:v>nem megrendelt</x:v>
      </x:c>
      <x:c r="AD62" s="19" t="str">
        <x:v>Beszerzési felelős / Péter</x:v>
      </x:c>
      <x:c r="AE62" s="19" t="str">
        <x:v>PENDING – méret, csatlakozás, anyagminta, teljes bekerülés</x:v>
      </x:c>
      <x:c r="AF62" s="19" t="str">
        <x:v>CP0 becslési csomag: segédanyag és munkadíj a megnevezett tartalom szerint; külön szállítás a 14 sorban. Nem ingyenes szállítás.</x:v>
      </x:c>
      <x:c r="AG62" s="20" t="n">
        <x:v>100000</x:v>
      </x:c>
      <x:c r="AH62" s="21" t="n">
        <x:f>O62*AG62+SUM(R62:T62)</x:f>
        <x:v>100000</x:v>
      </x:c>
      <x:c r="AI62" s="19" t="str">
        <x:v>PENDING</x:v>
      </x:c>
      <x:c r="AJ62" s="19" t="str">
        <x:v>PENDING</x:v>
      </x:c>
      <x:c r="AK62" s="19" t="str">
        <x:v>PENDING</x:v>
      </x:c>
      <x:c r="AL62" s="19" t="str">
        <x:v>PENDING</x:v>
      </x:c>
      <x:c r="AM62" s="19" t="str">
        <x:v>PENDING</x:v>
      </x:c>
      <x:c r="AN62" s="1" t="str">
        <x:v>W52-01</x:v>
      </x:c>
      <x:c r="AO62" s="1" t="str">
        <x:v>CP3/drawings/W52-01_CP3.pdf</x:v>
      </x:c>
      <x:c r="AP62" s="1" t="str">
        <x:v>CP3_W52-01</x:v>
      </x:c>
      <x:c r="AQ62" s="1" t="str">
        <x:v>egyedi gyártás</x:v>
      </x:c>
      <x:c r="AR62" s="1" t="str">
        <x:v>R02 méretezett ajánlati terv; nem helyszíni méret</x:v>
      </x:c>
      <x:c r="AS62" s="1" t="str">
        <x:v>HUF</x:v>
      </x:c>
      <x:c r="AT62" s="1" t="n">
        <x:v>1</x:v>
      </x:c>
      <x:c r="AU62" s="1" t="str">
        <x:v>nincs visszaigazolt ajánlati érvényesség</x:v>
      </x:c>
      <x:c r="AV62" s="1" t="str">
        <x:v>KI-151 központi keret; daruzás KI-137</x:v>
      </x:c>
      <x:c r="AW62" s="1" t="str">
        <x:v>KI-014 asztalos / KI-106 villamos / KI-026 és KI-096 víz / KI-127 fal</x:v>
      </x:c>
      <x:c r="AX62" s="1" t="n">
        <x:v>4</x:v>
      </x:c>
      <x:c r="AY62" s="1" t="n">
        <x:v>0.85</x:v>
      </x:c>
      <x:c r="AZ62" s="1" t="n">
        <x:v>1.3</x:v>
      </x:c>
      <x:c r="BA62" s="29" t="n">
        <x:f>ROUND(U62*AY62,0)</x:f>
        <x:v>85000</x:v>
      </x:c>
      <x:c r="BB62" s="29" t="n">
        <x:f>ROUND(U62*AZ62,0)</x:f>
        <x:v>130000</x:v>
      </x:c>
    </x:row>
    <x:row r="63" ht="72" customHeight="1">
      <x:c r="A63" s="12" t="str">
        <x:v>A-902</x:v>
      </x:c>
      <x:c r="B63" s="12" t="str">
        <x:v>05.2</x:v>
      </x:c>
      <x:c r="C63" s="12" t="str">
        <x:v>KI-062</x:v>
      </x:c>
      <x:c r="D63" s="12" t="str">
        <x:v>CP3/render_handoff/manifest_CP3.json</x:v>
      </x:c>
      <x:c r="E63" s="12" t="str">
        <x:v>05</x:v>
      </x:c>
      <x:c r="F63" s="12" t="str">
        <x:v>FIX</x:v>
      </x:c>
      <x:c r="G63" s="12" t="str">
        <x:v>Bútor</x:v>
      </x:c>
      <x:c r="H63" s="19" t="str">
        <x:v>Íróasztal</x:v>
      </x:c>
      <x:c r="I63" s="19" t="str">
        <x:v>UNKNOWN</x:v>
      </x:c>
      <x:c r="J63" s="19" t="str">
        <x:v>UNKNOWN</x:v>
      </x:c>
      <x:c r="K63" s="19" t="str">
        <x:v>UNKNOWN</x:v>
      </x:c>
      <x:c r="L63" s="19" t="str">
        <x:v>DS52: 1000×450×750 mm</x:v>
      </x:c>
      <x:c r="M63" s="19" t="str">
        <x:v>Kyoto Ink: grafit / füstszürke / taupe</x:v>
      </x:c>
      <x:c r="N63" s="19" t="str">
        <x:v>PENDING – műszaki specifikáció szerint</x:v>
      </x:c>
      <x:c r="O63" s="19" t="n">
        <x:v>1</x:v>
      </x:c>
      <x:c r="P63" s="19" t="str">
        <x:v>csomag</x:v>
      </x:c>
      <x:c r="Q63" s="20" t="n">
        <x:v>65000</x:v>
      </x:c>
      <x:c r="R63" s="20" t="n">
        <x:v>0</x:v>
      </x:c>
      <x:c r="S63" s="20" t="n">
        <x:v>0</x:v>
      </x:c>
      <x:c r="T63" s="20" t="n">
        <x:v>0</x:v>
      </x:c>
      <x:c r="U63" s="21" t="n">
        <x:f>O63*Q63+SUM(R63:T63)</x:f>
        <x:v>65000</x:v>
      </x:c>
      <x:c r="V63" s="19" t="str">
        <x:v>előzetes becslés</x:v>
      </x:c>
      <x:c r="W63" s="19" t="str">
        <x:v>CP0 tervezői előirányzat, nem webshopár; baseline 05</x:v>
      </x:c>
      <x:c r="X63" s="19" t="str">
        <x:v>2026-10-26</x:v>
      </x:c>
      <x:c r="Y63" s="19" t="str">
        <x:v>UNKNOWN – ajánlatban visszaigazolandó</x:v>
      </x:c>
      <x:c r="Z63" s="19" t="str">
        <x:v>C</x:v>
      </x:c>
      <x:c r="AA63" s="19" t="str">
        <x:v>PENDING</x:v>
      </x:c>
      <x:c r="AB63" s="19" t="str">
        <x:v>PENDING</x:v>
      </x:c>
      <x:c r="AC63" s="19" t="str">
        <x:v>nem megrendelt</x:v>
      </x:c>
      <x:c r="AD63" s="19" t="str">
        <x:v>Beszerzési felelős / Péter</x:v>
      </x:c>
      <x:c r="AE63" s="19" t="str">
        <x:v>PENDING – méret, csatlakozás, anyagminta, teljes bekerülés</x:v>
      </x:c>
      <x:c r="AF63" s="19" t="str">
        <x:v>CP0 becslési csomag: segédanyag és munkadíj a megnevezett tartalom szerint; külön szállítás a 14 sorban. Nem ingyenes szállítás.</x:v>
      </x:c>
      <x:c r="AG63" s="20" t="n">
        <x:v>65000</x:v>
      </x:c>
      <x:c r="AH63" s="21" t="n">
        <x:f>O63*AG63+SUM(R63:T63)</x:f>
        <x:v>65000</x:v>
      </x:c>
      <x:c r="AI63" s="19" t="str">
        <x:v>PENDING</x:v>
      </x:c>
      <x:c r="AJ63" s="19" t="str">
        <x:v>PENDING</x:v>
      </x:c>
      <x:c r="AK63" s="19" t="str">
        <x:v>PENDING</x:v>
      </x:c>
      <x:c r="AL63" s="19" t="str">
        <x:v>PENDING</x:v>
      </x:c>
      <x:c r="AM63" s="19" t="str">
        <x:v>PENDING</x:v>
      </x:c>
      <x:c r="AN63" s="1" t="str">
        <x:v>DS52</x:v>
      </x:c>
      <x:c r="AO63" s="1" t="str">
        <x:v>CP3/drawings/DS52_CP3.pdf</x:v>
      </x:c>
      <x:c r="AP63" s="1" t="str">
        <x:v>CP3_DS52</x:v>
      </x:c>
      <x:c r="AQ63" s="1" t="str">
        <x:v>egyedi gyártás</x:v>
      </x:c>
      <x:c r="AR63" s="1" t="str">
        <x:v>R02 méretezett ajánlati terv; nem helyszíni méret</x:v>
      </x:c>
      <x:c r="AS63" s="1" t="str">
        <x:v>HUF</x:v>
      </x:c>
      <x:c r="AT63" s="1" t="n">
        <x:v>1</x:v>
      </x:c>
      <x:c r="AU63" s="1" t="str">
        <x:v>nincs visszaigazolt ajánlati érvényesség</x:v>
      </x:c>
      <x:c r="AV63" s="1" t="str">
        <x:v>KI-151 központi keret; daruzás KI-137</x:v>
      </x:c>
      <x:c r="AW63" s="1" t="str">
        <x:v>KI-014 asztalos / KI-106 villamos / KI-026 és KI-096 víz / KI-127 fal</x:v>
      </x:c>
      <x:c r="AX63" s="1" t="n">
        <x:v>4</x:v>
      </x:c>
      <x:c r="AY63" s="1" t="n">
        <x:v>0.85</x:v>
      </x:c>
      <x:c r="AZ63" s="1" t="n">
        <x:v>1.3</x:v>
      </x:c>
      <x:c r="BA63" s="29" t="n">
        <x:f>ROUND(U63*AY63,0)</x:f>
        <x:v>55250</x:v>
      </x:c>
      <x:c r="BB63" s="29" t="n">
        <x:f>ROUND(U63*AZ63,0)</x:f>
        <x:v>84500</x:v>
      </x:c>
    </x:row>
    <x:row r="64" ht="72" customHeight="1">
      <x:c r="A64" s="12" t="str">
        <x:v>A-902</x:v>
      </x:c>
      <x:c r="B64" s="12" t="str">
        <x:v>05.2</x:v>
      </x:c>
      <x:c r="C64" s="12" t="str">
        <x:v>KI-063</x:v>
      </x:c>
      <x:c r="D64" s="12" t="str">
        <x:v>NEM RENDERELT</x:v>
      </x:c>
      <x:c r="E64" s="12" t="str">
        <x:v>05</x:v>
      </x:c>
      <x:c r="F64" s="12" t="str">
        <x:v>FIX</x:v>
      </x:c>
      <x:c r="G64" s="12" t="str">
        <x:v>Bútor</x:v>
      </x:c>
      <x:c r="H64" s="19" t="str">
        <x:v>FLINTAN bézs karfa nélkül</x:v>
      </x:c>
      <x:c r="I64" s="19" t="str">
        <x:v>IKEA</x:v>
      </x:c>
      <x:c r="J64" s="19" t="str">
        <x:v>704.922.02</x:v>
      </x:c>
      <x:c r="K64" s="19" t="str">
        <x:v>https://www.ikea.com/hu/hu/p/flintan-irodai-szek-bezs-70492202/</x:v>
      </x:c>
      <x:c r="L64" s="19" t="str">
        <x:v>710×710×max1140 mm</x:v>
      </x:c>
      <x:c r="M64" s="19" t="str">
        <x:v>Kyoto Ink: grafit / füstszürke / taupe</x:v>
      </x:c>
      <x:c r="N64" s="19" t="str">
        <x:v>PENDING – műszaki specifikáció szerint</x:v>
      </x:c>
      <x:c r="O64" s="19" t="n">
        <x:v>1</x:v>
      </x:c>
      <x:c r="P64" s="19" t="str">
        <x:v>csomag</x:v>
      </x:c>
      <x:c r="Q64" s="20" t="n">
        <x:v>24990</x:v>
      </x:c>
      <x:c r="R64" s="20" t="n">
        <x:v>0</x:v>
      </x:c>
      <x:c r="S64" s="20" t="n">
        <x:v>0</x:v>
      </x:c>
      <x:c r="T64" s="20" t="n">
        <x:v>0</x:v>
      </x:c>
      <x:c r="U64" s="21" t="n">
        <x:f>O64*Q64+SUM(R64:T64)</x:f>
        <x:v>24990</x:v>
      </x:c>
      <x:c r="V64" s="19" t="str">
        <x:v>ellenőrzött webshopár</x:v>
      </x:c>
      <x:c r="W64" s="19" t="str">
        <x:v>https://www.ikea.com/hu/hu/p/flintan-irodai-szek-bezs-70492202/</x:v>
      </x:c>
      <x:c r="X64" s="19" t="str">
        <x:v>2026-10-26</x:v>
      </x:c>
      <x:c r="Y64" s="19" t="str">
        <x:v>UNKNOWN – ajánlatban visszaigazolandó</x:v>
      </x:c>
      <x:c r="Z64" s="19" t="str">
        <x:v>C</x:v>
      </x:c>
      <x:c r="AA64" s="19" t="str">
        <x:v>Működő munkaszék; hálós háttámla funkcionális, nem Eamy sziluett.</x:v>
      </x:c>
      <x:c r="AB64" s="19" t="str">
        <x:v>PENDING</x:v>
      </x:c>
      <x:c r="AC64" s="19" t="str">
        <x:v>nem megrendelt</x:v>
      </x:c>
      <x:c r="AD64" s="19" t="str">
        <x:v>Beszerzési felelős / Péter</x:v>
      </x:c>
      <x:c r="AE64" s="19" t="str">
        <x:v>PENDING – méret, csatlakozás, anyagminta, teljes bekerülés</x:v>
      </x:c>
      <x:c r="AF64" s="19" t="str">
        <x:v>CP0 becslési csomag: segédanyag és munkadíj a megnevezett tartalom szerint; külön szállítás a 14 sorban. Nem ingyenes szállítás.</x:v>
      </x:c>
      <x:c r="AG64" s="20" t="n">
        <x:v>24990</x:v>
      </x:c>
      <x:c r="AH64" s="21" t="n">
        <x:f>O64*AG64+SUM(R64:T64)</x:f>
        <x:v>24990</x:v>
      </x:c>
      <x:c r="AI64" s="19" t="str">
        <x:v>PENDING</x:v>
      </x:c>
      <x:c r="AJ64" s="19" t="str">
        <x:v>PENDING</x:v>
      </x:c>
      <x:c r="AK64" s="19" t="str">
        <x:v>magyar címre és darabszámra nem visszaigazolt</x:v>
      </x:c>
      <x:c r="AL64" s="19" t="str">
        <x:v>PENDING</x:v>
      </x:c>
      <x:c r="AM64" s="19" t="str">
        <x:v>PENDING</x:v>
      </x:c>
      <x:c r="AN64" s="1" t="str">
        <x:v>KI-063</x:v>
      </x:c>
      <x:c r="AO64" s="1" t="str">
        <x:v>drawings/P-01_alaprajz.pdf</x:v>
      </x:c>
      <x:c r="AP64" s="1" t="str">
        <x:v>KI_KI-063</x:v>
      </x:c>
      <x:c r="AQ64" s="1" t="str">
        <x:v>késztermék / szakági munka</x:v>
      </x:c>
      <x:c r="AR64" s="1" t="str">
        <x:v>gyártói termékoldal/adatlap</x:v>
      </x:c>
      <x:c r="AS64" s="1" t="str">
        <x:v>HUF</x:v>
      </x:c>
      <x:c r="AT64" s="1" t="n">
        <x:v>1</x:v>
      </x:c>
      <x:c r="AU64" s="1" t="str">
        <x:v>nincs visszaigazolt ajánlati érvényesség</x:v>
      </x:c>
      <x:c r="AV64" s="1" t="str">
        <x:v>KI-151 központi keret; daruzás KI-137</x:v>
      </x:c>
      <x:c r="AW64" s="1" t="str">
        <x:v>KI-014 asztalos / KI-106 villamos / KI-026 és KI-096 víz / KI-127 fal</x:v>
      </x:c>
      <x:c r="AX64" s="1" t="n">
        <x:v>6</x:v>
      </x:c>
      <x:c r="AY64" s="1" t="n">
        <x:v>1</x:v>
      </x:c>
      <x:c r="AZ64" s="1" t="n">
        <x:v>1.12</x:v>
      </x:c>
      <x:c r="BA64" s="29" t="n">
        <x:f>ROUND(U64*AY64,0)</x:f>
        <x:v>24990</x:v>
      </x:c>
      <x:c r="BB64" s="29" t="n">
        <x:f>ROUND(U64*AZ64,0)</x:f>
        <x:v>27989</x:v>
      </x:c>
    </x:row>
    <x:row r="65" ht="72" customHeight="1">
      <x:c r="A65" s="12" t="str">
        <x:v>A-902</x:v>
      </x:c>
      <x:c r="B65" s="12" t="str">
        <x:v>05.2</x:v>
      </x:c>
      <x:c r="C65" s="12" t="str">
        <x:v>KI-064</x:v>
      </x:c>
      <x:c r="D65" s="12" t="str">
        <x:v>CP3/render_handoff/manifest_CP3.json</x:v>
      </x:c>
      <x:c r="E65" s="12" t="str">
        <x:v>05</x:v>
      </x:c>
      <x:c r="F65" s="12" t="str">
        <x:v>FIX</x:v>
      </x:c>
      <x:c r="G65" s="12" t="str">
        <x:v>Bútor</x:v>
      </x:c>
      <x:c r="H65" s="19" t="str">
        <x:v>Éjjeli és kisebb tároló</x:v>
      </x:c>
      <x:c r="I65" s="19" t="str">
        <x:v>UNKNOWN</x:v>
      </x:c>
      <x:c r="J65" s="19" t="str">
        <x:v>UNKNOWN</x:v>
      </x:c>
      <x:c r="K65" s="19" t="str">
        <x:v>UNKNOWN</x:v>
      </x:c>
      <x:c r="L65" s="19" t="str">
        <x:v>NT-64: 350×350×450 mm</x:v>
      </x:c>
      <x:c r="M65" s="19" t="str">
        <x:v>Kyoto Ink: grafit / füstszürke / taupe</x:v>
      </x:c>
      <x:c r="N65" s="19" t="str">
        <x:v>PENDING – műszaki specifikáció szerint</x:v>
      </x:c>
      <x:c r="O65" s="19" t="n">
        <x:v>1</x:v>
      </x:c>
      <x:c r="P65" s="19" t="str">
        <x:v>csomag</x:v>
      </x:c>
      <x:c r="Q65" s="20" t="n">
        <x:v>35000</x:v>
      </x:c>
      <x:c r="R65" s="20" t="n">
        <x:v>0</x:v>
      </x:c>
      <x:c r="S65" s="20" t="n">
        <x:v>0</x:v>
      </x:c>
      <x:c r="T65" s="20" t="n">
        <x:v>0</x:v>
      </x:c>
      <x:c r="U65" s="21" t="n">
        <x:f>O65*Q65+SUM(R65:T65)</x:f>
        <x:v>35000</x:v>
      </x:c>
      <x:c r="V65" s="19" t="str">
        <x:v>előzetes becslés</x:v>
      </x:c>
      <x:c r="W65" s="19" t="str">
        <x:v>CP0 tervezői előirányzat, nem webshopár; baseline 05</x:v>
      </x:c>
      <x:c r="X65" s="19" t="str">
        <x:v>2026-10-26</x:v>
      </x:c>
      <x:c r="Y65" s="19" t="str">
        <x:v>UNKNOWN – ajánlatban visszaigazolandó</x:v>
      </x:c>
      <x:c r="Z65" s="19" t="str">
        <x:v>C</x:v>
      </x:c>
      <x:c r="AA65" s="19" t="str">
        <x:v>PENDING</x:v>
      </x:c>
      <x:c r="AB65" s="19" t="str">
        <x:v>PENDING</x:v>
      </x:c>
      <x:c r="AC65" s="19" t="str">
        <x:v>nem megrendelt</x:v>
      </x:c>
      <x:c r="AD65" s="19" t="str">
        <x:v>Beszerzési felelős / Péter</x:v>
      </x:c>
      <x:c r="AE65" s="19" t="str">
        <x:v>PENDING – méret, csatlakozás, anyagminta, teljes bekerülés</x:v>
      </x:c>
      <x:c r="AF65" s="19" t="str">
        <x:v>CP0 becslési csomag: segédanyag és munkadíj a megnevezett tartalom szerint; külön szállítás a 14 sorban. Nem ingyenes szállítás.</x:v>
      </x:c>
      <x:c r="AG65" s="20" t="n">
        <x:v>35000</x:v>
      </x:c>
      <x:c r="AH65" s="21" t="n">
        <x:f>O65*AG65+SUM(R65:T65)</x:f>
        <x:v>35000</x:v>
      </x:c>
      <x:c r="AI65" s="19" t="str">
        <x:v>PENDING</x:v>
      </x:c>
      <x:c r="AJ65" s="19" t="str">
        <x:v>PENDING</x:v>
      </x:c>
      <x:c r="AK65" s="19" t="str">
        <x:v>PENDING</x:v>
      </x:c>
      <x:c r="AL65" s="19" t="str">
        <x:v>PENDING</x:v>
      </x:c>
      <x:c r="AM65" s="19" t="str">
        <x:v>PENDING</x:v>
      </x:c>
      <x:c r="AN65" s="1" t="str">
        <x:v>NT-64</x:v>
      </x:c>
      <x:c r="AO65" s="1" t="str">
        <x:v>CP3/drawings/NT-64_CP3.pdf</x:v>
      </x:c>
      <x:c r="AP65" s="1" t="str">
        <x:v>CP3_NT-64</x:v>
      </x:c>
      <x:c r="AQ65" s="1" t="str">
        <x:v>egyedi gyártás</x:v>
      </x:c>
      <x:c r="AR65" s="1" t="str">
        <x:v>R02 méretezett ajánlati terv; nem helyszíni méret</x:v>
      </x:c>
      <x:c r="AS65" s="1" t="str">
        <x:v>HUF</x:v>
      </x:c>
      <x:c r="AT65" s="1" t="n">
        <x:v>1</x:v>
      </x:c>
      <x:c r="AU65" s="1" t="str">
        <x:v>nincs visszaigazolt ajánlati érvényesség</x:v>
      </x:c>
      <x:c r="AV65" s="1" t="str">
        <x:v>KI-151 központi keret; daruzás KI-137</x:v>
      </x:c>
      <x:c r="AW65" s="1" t="str">
        <x:v>KI-014 asztalos / KI-106 villamos / KI-026 és KI-096 víz / KI-127 fal</x:v>
      </x:c>
      <x:c r="AX65" s="1" t="n">
        <x:v>4</x:v>
      </x:c>
      <x:c r="AY65" s="1" t="n">
        <x:v>0.85</x:v>
      </x:c>
      <x:c r="AZ65" s="1" t="n">
        <x:v>1.3</x:v>
      </x:c>
      <x:c r="BA65" s="29" t="n">
        <x:f>ROUND(U65*AY65,0)</x:f>
        <x:v>29750</x:v>
      </x:c>
      <x:c r="BB65" s="29" t="n">
        <x:f>ROUND(U65*AZ65,0)</x:f>
        <x:v>45500</x:v>
      </x:c>
    </x:row>
    <x:row r="66" ht="72" customHeight="1">
      <x:c r="A66" s="12" t="str">
        <x:v>A-902</x:v>
      </x:c>
      <x:c r="B66" s="12" t="str">
        <x:v>05.2</x:v>
      </x:c>
      <x:c r="C66" s="12" t="str">
        <x:v>KI-065</x:v>
      </x:c>
      <x:c r="D66" s="12" t="str">
        <x:v>NEM RENDERELT</x:v>
      </x:c>
      <x:c r="E66" s="12" t="str">
        <x:v>05</x:v>
      </x:c>
      <x:c r="F66" s="12" t="str">
        <x:v>FIX</x:v>
      </x:c>
      <x:c r="G66" s="12" t="str">
        <x:v>Textil</x:v>
      </x:c>
      <x:c r="H66" s="19" t="str">
        <x:v>Függöny, sín, varrás és rögzítés</x:v>
      </x:c>
      <x:c r="I66" s="19" t="str">
        <x:v>UNKNOWN</x:v>
      </x:c>
      <x:c r="J66" s="19" t="str">
        <x:v>UNKNOWN</x:v>
      </x:c>
      <x:c r="K66" s="19" t="str">
        <x:v>UNKNOWN</x:v>
      </x:c>
      <x:c r="L66" s="19" t="str">
        <x:v>UNKNOWN – felmérés/gyári adat kell</x:v>
      </x:c>
      <x:c r="M66" s="19" t="str">
        <x:v>Kyoto Ink: grafit / füstszürke / taupe</x:v>
      </x:c>
      <x:c r="N66" s="19" t="str">
        <x:v>PENDING – műszaki specifikáció szerint</x:v>
      </x:c>
      <x:c r="O66" s="19" t="n">
        <x:v>1</x:v>
      </x:c>
      <x:c r="P66" s="19" t="str">
        <x:v>csomag</x:v>
      </x:c>
      <x:c r="Q66" s="20" t="n">
        <x:v>100000</x:v>
      </x:c>
      <x:c r="R66" s="20" t="n">
        <x:v>0</x:v>
      </x:c>
      <x:c r="S66" s="20" t="n">
        <x:v>0</x:v>
      </x:c>
      <x:c r="T66" s="20" t="n">
        <x:v>0</x:v>
      </x:c>
      <x:c r="U66" s="21" t="n">
        <x:f>O66*Q66+SUM(R66:T66)</x:f>
        <x:v>100000</x:v>
      </x:c>
      <x:c r="V66" s="19" t="str">
        <x:v>előzetes becslés</x:v>
      </x:c>
      <x:c r="W66" s="19" t="str">
        <x:v>CP0 tervezői előirányzat, nem webshopár; baseline 05</x:v>
      </x:c>
      <x:c r="X66" s="19" t="str">
        <x:v>2026-10-26</x:v>
      </x:c>
      <x:c r="Y66" s="19" t="str">
        <x:v>UNKNOWN – ajánlatban visszaigazolandó</x:v>
      </x:c>
      <x:c r="Z66" s="19" t="str">
        <x:v>C</x:v>
      </x:c>
      <x:c r="AA66" s="19" t="str">
        <x:v>PENDING</x:v>
      </x:c>
      <x:c r="AB66" s="19" t="str">
        <x:v>PENDING</x:v>
      </x:c>
      <x:c r="AC66" s="19" t="str">
        <x:v>nem megrendelt</x:v>
      </x:c>
      <x:c r="AD66" s="19" t="str">
        <x:v>Függönyös</x:v>
      </x:c>
      <x:c r="AE66" s="19" t="str">
        <x:v>PENDING – méret, csatlakozás, anyagminta, teljes bekerülés</x:v>
      </x:c>
      <x:c r="AF66" s="19" t="str">
        <x:v>CP0 becslési csomag: segédanyag és munkadíj a megnevezett tartalom szerint; külön szállítás a 14 sorban. Nem ingyenes szállítás.</x:v>
      </x:c>
      <x:c r="AG66" s="20" t="n">
        <x:v>100000</x:v>
      </x:c>
      <x:c r="AH66" s="21" t="n">
        <x:f>O66*AG66+SUM(R66:T66)</x:f>
        <x:v>100000</x:v>
      </x:c>
      <x:c r="AI66" s="19" t="str">
        <x:v>PENDING</x:v>
      </x:c>
      <x:c r="AJ66" s="19" t="str">
        <x:v>PENDING</x:v>
      </x:c>
      <x:c r="AK66" s="19" t="str">
        <x:v>PENDING</x:v>
      </x:c>
      <x:c r="AL66" s="19" t="str">
        <x:v>PENDING</x:v>
      </x:c>
      <x:c r="AM66" s="19" t="str">
        <x:v>PENDING</x:v>
      </x:c>
      <x:c r="AN66" s="1" t="str">
        <x:v>KI-065</x:v>
      </x:c>
      <x:c r="AO66" s="1" t="str">
        <x:v>drawings/P-01_alaprajz.pdf</x:v>
      </x:c>
      <x:c r="AP66" s="1" t="str">
        <x:v>NINCS MODELL / nem térbeli költségsor; szakági kapcsolat igazolandó</x:v>
      </x:c>
      <x:c r="AQ66" s="1" t="str">
        <x:v>késztermék / szakági munka</x:v>
      </x:c>
      <x:c r="AR66" s="1" t="str">
        <x:v>felmérés/gyártói rajz szükséges</x:v>
      </x:c>
      <x:c r="AS66" s="1" t="str">
        <x:v>HUF</x:v>
      </x:c>
      <x:c r="AT66" s="1" t="n">
        <x:v>1</x:v>
      </x:c>
      <x:c r="AU66" s="1" t="str">
        <x:v>nincs visszaigazolt ajánlati érvényesség</x:v>
      </x:c>
      <x:c r="AV66" s="1" t="str">
        <x:v>KI-151 központi keret; daruzás KI-137</x:v>
      </x:c>
      <x:c r="AW66" s="1" t="str">
        <x:v>KI-014 asztalos / KI-106 villamos / KI-026 és KI-096 víz / KI-127 fal</x:v>
      </x:c>
      <x:c r="AX66" s="1" t="n">
        <x:v>6</x:v>
      </x:c>
      <x:c r="AY66" s="1" t="n">
        <x:v>0.85</x:v>
      </x:c>
      <x:c r="AZ66" s="1" t="n">
        <x:v>1.3</x:v>
      </x:c>
      <x:c r="BA66" s="29" t="n">
        <x:f>ROUND(U66*AY66,0)</x:f>
        <x:v>85000</x:v>
      </x:c>
      <x:c r="BB66" s="29" t="n">
        <x:f>ROUND(U66*AZ66,0)</x:f>
        <x:v>130000</x:v>
      </x:c>
    </x:row>
    <x:row r="67" ht="72" customHeight="1">
      <x:c r="A67" s="12" t="str">
        <x:v>A-902</x:v>
      </x:c>
      <x:c r="B67" s="12" t="str">
        <x:v>05.2</x:v>
      </x:c>
      <x:c r="C67" s="12" t="str">
        <x:v>KI-066</x:v>
      </x:c>
      <x:c r="D67" s="12" t="str">
        <x:v>NEM RENDERELT</x:v>
      </x:c>
      <x:c r="E67" s="12" t="str">
        <x:v>05</x:v>
      </x:c>
      <x:c r="F67" s="12" t="str">
        <x:v>FIX</x:v>
      </x:c>
      <x:c r="G67" s="12" t="str">
        <x:v>Textil</x:v>
      </x:c>
      <x:c r="H67" s="19" t="str">
        <x:v>Ágynemű, párna, paplan és ágytakaró</x:v>
      </x:c>
      <x:c r="I67" s="19" t="str">
        <x:v>UNKNOWN</x:v>
      </x:c>
      <x:c r="J67" s="19" t="str">
        <x:v>UNKNOWN</x:v>
      </x:c>
      <x:c r="K67" s="19" t="str">
        <x:v>UNKNOWN</x:v>
      </x:c>
      <x:c r="L67" s="19" t="str">
        <x:v>UNKNOWN – felmérés/gyári adat kell</x:v>
      </x:c>
      <x:c r="M67" s="19" t="str">
        <x:v>Kyoto Ink: grafit / füstszürke / taupe</x:v>
      </x:c>
      <x:c r="N67" s="19" t="str">
        <x:v>PENDING – műszaki specifikáció szerint</x:v>
      </x:c>
      <x:c r="O67" s="19" t="n">
        <x:v>1</x:v>
      </x:c>
      <x:c r="P67" s="19" t="str">
        <x:v>csomag</x:v>
      </x:c>
      <x:c r="Q67" s="20" t="n">
        <x:v>50000</x:v>
      </x:c>
      <x:c r="R67" s="20" t="n">
        <x:v>0</x:v>
      </x:c>
      <x:c r="S67" s="20" t="n">
        <x:v>0</x:v>
      </x:c>
      <x:c r="T67" s="20" t="n">
        <x:v>0</x:v>
      </x:c>
      <x:c r="U67" s="21" t="n">
        <x:f>O67*Q67+SUM(R67:T67)</x:f>
        <x:v>50000</x:v>
      </x:c>
      <x:c r="V67" s="19" t="str">
        <x:v>előzetes becslés</x:v>
      </x:c>
      <x:c r="W67" s="19" t="str">
        <x:v>CP0 tervezői előirányzat, nem webshopár; baseline 05</x:v>
      </x:c>
      <x:c r="X67" s="19" t="str">
        <x:v>2026-10-26</x:v>
      </x:c>
      <x:c r="Y67" s="19" t="str">
        <x:v>UNKNOWN – ajánlatban visszaigazolandó</x:v>
      </x:c>
      <x:c r="Z67" s="19" t="str">
        <x:v>C</x:v>
      </x:c>
      <x:c r="AA67" s="19" t="str">
        <x:v>PENDING</x:v>
      </x:c>
      <x:c r="AB67" s="19" t="str">
        <x:v>PENDING</x:v>
      </x:c>
      <x:c r="AC67" s="19" t="str">
        <x:v>nem megrendelt</x:v>
      </x:c>
      <x:c r="AD67" s="19" t="str">
        <x:v>Függönyös</x:v>
      </x:c>
      <x:c r="AE67" s="19" t="str">
        <x:v>PENDING – méret, csatlakozás, anyagminta, teljes bekerülés</x:v>
      </x:c>
      <x:c r="AF67" s="19" t="str">
        <x:v>CP0 becslési csomag: segédanyag és munkadíj a megnevezett tartalom szerint; külön szállítás a 14 sorban. Nem ingyenes szállítás.</x:v>
      </x:c>
      <x:c r="AG67" s="20" t="n">
        <x:v>50000</x:v>
      </x:c>
      <x:c r="AH67" s="21" t="n">
        <x:f>O67*AG67+SUM(R67:T67)</x:f>
        <x:v>50000</x:v>
      </x:c>
      <x:c r="AI67" s="19" t="str">
        <x:v>PENDING</x:v>
      </x:c>
      <x:c r="AJ67" s="19" t="str">
        <x:v>PENDING</x:v>
      </x:c>
      <x:c r="AK67" s="19" t="str">
        <x:v>PENDING</x:v>
      </x:c>
      <x:c r="AL67" s="19" t="str">
        <x:v>PENDING</x:v>
      </x:c>
      <x:c r="AM67" s="19" t="str">
        <x:v>PENDING</x:v>
      </x:c>
      <x:c r="AN67" s="1" t="str">
        <x:v>KI-066</x:v>
      </x:c>
      <x:c r="AO67" s="1" t="str">
        <x:v>drawings/P-01_alaprajz.pdf</x:v>
      </x:c>
      <x:c r="AP67" s="1" t="str">
        <x:v>NINCS MODELL / nem térbeli költségsor; szakági kapcsolat igazolandó</x:v>
      </x:c>
      <x:c r="AQ67" s="1" t="str">
        <x:v>késztermék / szakági munka</x:v>
      </x:c>
      <x:c r="AR67" s="1" t="str">
        <x:v>felmérés/gyártói rajz szükséges</x:v>
      </x:c>
      <x:c r="AS67" s="1" t="str">
        <x:v>HUF</x:v>
      </x:c>
      <x:c r="AT67" s="1" t="n">
        <x:v>1</x:v>
      </x:c>
      <x:c r="AU67" s="1" t="str">
        <x:v>nincs visszaigazolt ajánlati érvényesség</x:v>
      </x:c>
      <x:c r="AV67" s="1" t="str">
        <x:v>KI-151 központi keret; daruzás KI-137</x:v>
      </x:c>
      <x:c r="AW67" s="1" t="str">
        <x:v>KI-014 asztalos / KI-106 villamos / KI-026 és KI-096 víz / KI-127 fal</x:v>
      </x:c>
      <x:c r="AX67" s="1" t="n">
        <x:v>6</x:v>
      </x:c>
      <x:c r="AY67" s="1" t="n">
        <x:v>0.85</x:v>
      </x:c>
      <x:c r="AZ67" s="1" t="n">
        <x:v>1.3</x:v>
      </x:c>
      <x:c r="BA67" s="29" t="n">
        <x:f>ROUND(U67*AY67,0)</x:f>
        <x:v>42500</x:v>
      </x:c>
      <x:c r="BB67" s="29" t="n">
        <x:f>ROUND(U67*AZ67,0)</x:f>
        <x:v>65000</x:v>
      </x:c>
    </x:row>
    <x:row r="68" ht="72" customHeight="1">
      <x:c r="A68" s="12" t="str">
        <x:v>A-902</x:v>
      </x:c>
      <x:c r="B68" s="12" t="str">
        <x:v>05.2</x:v>
      </x:c>
      <x:c r="C68" s="12" t="str">
        <x:v>KI-067</x:v>
      </x:c>
      <x:c r="D68" s="12" t="str">
        <x:v>NEM RENDERELT</x:v>
      </x:c>
      <x:c r="E68" s="12" t="str">
        <x:v>05</x:v>
      </x:c>
      <x:c r="F68" s="12" t="str">
        <x:v>FIX</x:v>
      </x:c>
      <x:c r="G68" s="12" t="str">
        <x:v>Textil</x:v>
      </x:c>
      <x:c r="H68" s="19" t="str">
        <x:v>Szőnyeg</x:v>
      </x:c>
      <x:c r="I68" s="19" t="str">
        <x:v>UNKNOWN</x:v>
      </x:c>
      <x:c r="J68" s="19" t="str">
        <x:v>UNKNOWN</x:v>
      </x:c>
      <x:c r="K68" s="19" t="str">
        <x:v>UNKNOWN</x:v>
      </x:c>
      <x:c r="L68" s="19" t="str">
        <x:v>UNKNOWN – felmérés/gyári adat kell</x:v>
      </x:c>
      <x:c r="M68" s="19" t="str">
        <x:v>Kyoto Ink: grafit / füstszürke / taupe</x:v>
      </x:c>
      <x:c r="N68" s="19" t="str">
        <x:v>PENDING – műszaki specifikáció szerint</x:v>
      </x:c>
      <x:c r="O68" s="19" t="n">
        <x:v>1</x:v>
      </x:c>
      <x:c r="P68" s="19" t="str">
        <x:v>csomag</x:v>
      </x:c>
      <x:c r="Q68" s="20" t="n">
        <x:v>35000</x:v>
      </x:c>
      <x:c r="R68" s="20" t="n">
        <x:v>0</x:v>
      </x:c>
      <x:c r="S68" s="20" t="n">
        <x:v>0</x:v>
      </x:c>
      <x:c r="T68" s="20" t="n">
        <x:v>0</x:v>
      </x:c>
      <x:c r="U68" s="21" t="n">
        <x:f>O68*Q68+SUM(R68:T68)</x:f>
        <x:v>35000</x:v>
      </x:c>
      <x:c r="V68" s="19" t="str">
        <x:v>előzetes becslés</x:v>
      </x:c>
      <x:c r="W68" s="19" t="str">
        <x:v>CP0 tervezői előirányzat, nem webshopár; baseline 05</x:v>
      </x:c>
      <x:c r="X68" s="19" t="str">
        <x:v>2026-10-26</x:v>
      </x:c>
      <x:c r="Y68" s="19" t="str">
        <x:v>UNKNOWN – ajánlatban visszaigazolandó</x:v>
      </x:c>
      <x:c r="Z68" s="19" t="str">
        <x:v>C</x:v>
      </x:c>
      <x:c r="AA68" s="19" t="str">
        <x:v>PENDING</x:v>
      </x:c>
      <x:c r="AB68" s="19" t="str">
        <x:v>PENDING</x:v>
      </x:c>
      <x:c r="AC68" s="19" t="str">
        <x:v>nem megrendelt</x:v>
      </x:c>
      <x:c r="AD68" s="19" t="str">
        <x:v>Függönyös</x:v>
      </x:c>
      <x:c r="AE68" s="19" t="str">
        <x:v>PENDING – méret, csatlakozás, anyagminta, teljes bekerülés</x:v>
      </x:c>
      <x:c r="AF68" s="19" t="str">
        <x:v>CP0 becslési csomag: segédanyag és munkadíj a megnevezett tartalom szerint; külön szállítás a 14 sorban. Nem ingyenes szállítás.</x:v>
      </x:c>
      <x:c r="AG68" s="20" t="n">
        <x:v>35000</x:v>
      </x:c>
      <x:c r="AH68" s="21" t="n">
        <x:f>O68*AG68+SUM(R68:T68)</x:f>
        <x:v>35000</x:v>
      </x:c>
      <x:c r="AI68" s="19" t="str">
        <x:v>PENDING</x:v>
      </x:c>
      <x:c r="AJ68" s="19" t="str">
        <x:v>PENDING</x:v>
      </x:c>
      <x:c r="AK68" s="19" t="str">
        <x:v>PENDING</x:v>
      </x:c>
      <x:c r="AL68" s="19" t="str">
        <x:v>PENDING</x:v>
      </x:c>
      <x:c r="AM68" s="19" t="str">
        <x:v>PENDING</x:v>
      </x:c>
      <x:c r="AN68" s="1" t="str">
        <x:v>KI-067</x:v>
      </x:c>
      <x:c r="AO68" s="1" t="str">
        <x:v>drawings/P-01_alaprajz.pdf</x:v>
      </x:c>
      <x:c r="AP68" s="1" t="str">
        <x:v>NINCS MODELL / nem térbeli költségsor; szakági kapcsolat igazolandó</x:v>
      </x:c>
      <x:c r="AQ68" s="1" t="str">
        <x:v>késztermék / szakági munka</x:v>
      </x:c>
      <x:c r="AR68" s="1" t="str">
        <x:v>felmérés/gyártói rajz szükséges</x:v>
      </x:c>
      <x:c r="AS68" s="1" t="str">
        <x:v>HUF</x:v>
      </x:c>
      <x:c r="AT68" s="1" t="n">
        <x:v>1</x:v>
      </x:c>
      <x:c r="AU68" s="1" t="str">
        <x:v>nincs visszaigazolt ajánlati érvényesség</x:v>
      </x:c>
      <x:c r="AV68" s="1" t="str">
        <x:v>KI-151 központi keret; daruzás KI-137</x:v>
      </x:c>
      <x:c r="AW68" s="1" t="str">
        <x:v>KI-014 asztalos / KI-106 villamos / KI-026 és KI-096 víz / KI-127 fal</x:v>
      </x:c>
      <x:c r="AX68" s="1" t="n">
        <x:v>6</x:v>
      </x:c>
      <x:c r="AY68" s="1" t="n">
        <x:v>0.85</x:v>
      </x:c>
      <x:c r="AZ68" s="1" t="n">
        <x:v>1.3</x:v>
      </x:c>
      <x:c r="BA68" s="29" t="n">
        <x:f>ROUND(U68*AY68,0)</x:f>
        <x:v>29750</x:v>
      </x:c>
      <x:c r="BB68" s="29" t="n">
        <x:f>ROUND(U68*AZ68,0)</x:f>
        <x:v>45500</x:v>
      </x:c>
    </x:row>
    <x:row r="69" ht="72" customHeight="1">
      <x:c r="A69" s="12" t="str">
        <x:v>A-902</x:v>
      </x:c>
      <x:c r="B69" s="12" t="str">
        <x:v>05.2</x:v>
      </x:c>
      <x:c r="C69" s="12" t="str">
        <x:v>KI-068</x:v>
      </x:c>
      <x:c r="D69" s="12" t="str">
        <x:v>NEM RENDERELT</x:v>
      </x:c>
      <x:c r="E69" s="12" t="str">
        <x:v>05</x:v>
      </x:c>
      <x:c r="F69" s="12" t="str">
        <x:v>FIX</x:v>
      </x:c>
      <x:c r="G69" s="12" t="str">
        <x:v>Művészet</x:v>
      </x:c>
      <x:c r="H69" s="19" t="str">
        <x:v>Keretelt saját tusgrafika és rögzítés</x:v>
      </x:c>
      <x:c r="I69" s="19" t="str">
        <x:v>UNKNOWN</x:v>
      </x:c>
      <x:c r="J69" s="19" t="str">
        <x:v>UNKNOWN</x:v>
      </x:c>
      <x:c r="K69" s="19" t="str">
        <x:v>UNKNOWN</x:v>
      </x:c>
      <x:c r="L69" s="19" t="str">
        <x:v>UNKNOWN – felmérés/gyári adat kell</x:v>
      </x:c>
      <x:c r="M69" s="19" t="str">
        <x:v>Kyoto Ink: grafit / füstszürke / taupe</x:v>
      </x:c>
      <x:c r="N69" s="19" t="str">
        <x:v>PENDING – műszaki specifikáció szerint</x:v>
      </x:c>
      <x:c r="O69" s="19" t="n">
        <x:v>1</x:v>
      </x:c>
      <x:c r="P69" s="19" t="str">
        <x:v>csomag</x:v>
      </x:c>
      <x:c r="Q69" s="20" t="n">
        <x:v>30000</x:v>
      </x:c>
      <x:c r="R69" s="20" t="n">
        <x:v>0</x:v>
      </x:c>
      <x:c r="S69" s="20" t="n">
        <x:v>0</x:v>
      </x:c>
      <x:c r="T69" s="20" t="n">
        <x:v>0</x:v>
      </x:c>
      <x:c r="U69" s="21" t="n">
        <x:f>O69*Q69+SUM(R69:T69)</x:f>
        <x:v>30000</x:v>
      </x:c>
      <x:c r="V69" s="19" t="str">
        <x:v>előzetes becslés</x:v>
      </x:c>
      <x:c r="W69" s="19" t="str">
        <x:v>CP0 tervezői előirányzat, nem webshopár; baseline 05</x:v>
      </x:c>
      <x:c r="X69" s="19" t="str">
        <x:v>2026-10-26</x:v>
      </x:c>
      <x:c r="Y69" s="19" t="str">
        <x:v>UNKNOWN – ajánlatban visszaigazolandó</x:v>
      </x:c>
      <x:c r="Z69" s="19" t="str">
        <x:v>B</x:v>
      </x:c>
      <x:c r="AA69" s="19" t="str">
        <x:v>PENDING</x:v>
      </x:c>
      <x:c r="AB69" s="19" t="str">
        <x:v>PENDING</x:v>
      </x:c>
      <x:c r="AC69" s="19" t="str">
        <x:v>nem megrendelt</x:v>
      </x:c>
      <x:c r="AD69" s="19" t="str">
        <x:v>Beszerzési felelős / Péter</x:v>
      </x:c>
      <x:c r="AE69" s="19" t="str">
        <x:v>PENDING – méret, csatlakozás, anyagminta, teljes bekerülés</x:v>
      </x:c>
      <x:c r="AF69" s="19" t="str">
        <x:v>CP0 becslési csomag: segédanyag és munkadíj a megnevezett tartalom szerint; külön szállítás a 14 sorban. Nem ingyenes szállítás.</x:v>
      </x:c>
      <x:c r="AG69" s="20" t="n">
        <x:v>30000</x:v>
      </x:c>
      <x:c r="AH69" s="21" t="n">
        <x:f>O69*AG69+SUM(R69:T69)</x:f>
        <x:v>30000</x:v>
      </x:c>
      <x:c r="AI69" s="19" t="str">
        <x:v>PENDING</x:v>
      </x:c>
      <x:c r="AJ69" s="19" t="str">
        <x:v>PENDING</x:v>
      </x:c>
      <x:c r="AK69" s="19" t="str">
        <x:v>PENDING</x:v>
      </x:c>
      <x:c r="AL69" s="19" t="str">
        <x:v>PENDING</x:v>
      </x:c>
      <x:c r="AM69" s="19" t="str">
        <x:v>PENDING</x:v>
      </x:c>
      <x:c r="AN69" s="1" t="str">
        <x:v>KI-068</x:v>
      </x:c>
      <x:c r="AO69" s="1" t="str">
        <x:v>drawings/P-01_alaprajz.pdf</x:v>
      </x:c>
      <x:c r="AP69" s="1" t="str">
        <x:v>NINCS MODELL / nem térbeli költségsor; szakági kapcsolat igazolandó</x:v>
      </x:c>
      <x:c r="AQ69" s="1" t="str">
        <x:v>késztermék / szakági munka</x:v>
      </x:c>
      <x:c r="AR69" s="1" t="str">
        <x:v>felmérés/gyártói rajz szükséges</x:v>
      </x:c>
      <x:c r="AS69" s="1" t="str">
        <x:v>HUF</x:v>
      </x:c>
      <x:c r="AT69" s="1" t="n">
        <x:v>1</x:v>
      </x:c>
      <x:c r="AU69" s="1" t="str">
        <x:v>nincs visszaigazolt ajánlati érvényesség</x:v>
      </x:c>
      <x:c r="AV69" s="1" t="str">
        <x:v>KI-151 központi keret; daruzás KI-137</x:v>
      </x:c>
      <x:c r="AW69" s="1" t="str">
        <x:v>KI-014 asztalos / KI-106 villamos / KI-026 és KI-096 víz / KI-127 fal</x:v>
      </x:c>
      <x:c r="AX69" s="1" t="n">
        <x:v>6</x:v>
      </x:c>
      <x:c r="AY69" s="1" t="n">
        <x:v>0.85</x:v>
      </x:c>
      <x:c r="AZ69" s="1" t="n">
        <x:v>1.3</x:v>
      </x:c>
      <x:c r="BA69" s="29" t="n">
        <x:f>ROUND(U69*AY69,0)</x:f>
        <x:v>25500</x:v>
      </x:c>
      <x:c r="BB69" s="29" t="n">
        <x:f>ROUND(U69*AZ69,0)</x:f>
        <x:v>39000</x:v>
      </x:c>
    </x:row>
    <x:row r="70" ht="72" customHeight="1">
      <x:c r="A70" s="12" t="str">
        <x:v>A-902</x:v>
      </x:c>
      <x:c r="B70" s="12" t="str">
        <x:v>05.2</x:v>
      </x:c>
      <x:c r="C70" s="12" t="str">
        <x:v>KI-069</x:v>
      </x:c>
      <x:c r="D70" s="12" t="str">
        <x:v>NEM RENDERELT</x:v>
      </x:c>
      <x:c r="E70" s="12" t="str">
        <x:v>05</x:v>
      </x:c>
      <x:c r="F70" s="12" t="str">
        <x:v>FIX</x:v>
      </x:c>
      <x:c r="G70" s="12" t="str">
        <x:v>Villamos</x:v>
      </x:c>
      <x:c r="H70" s="19" t="str">
        <x:v>Mennyezeti és munkafény Hue izzóval</x:v>
      </x:c>
      <x:c r="I70" s="19" t="str">
        <x:v>UNKNOWN</x:v>
      </x:c>
      <x:c r="J70" s="19" t="str">
        <x:v>UNKNOWN</x:v>
      </x:c>
      <x:c r="K70" s="19" t="str">
        <x:v>UNKNOWN</x:v>
      </x:c>
      <x:c r="L70" s="19" t="str">
        <x:v>UNKNOWN – felmérés/gyári adat kell</x:v>
      </x:c>
      <x:c r="M70" s="19" t="str">
        <x:v>Kyoto Ink: grafit / füstszürke / taupe</x:v>
      </x:c>
      <x:c r="N70" s="19" t="str">
        <x:v>PENDING – műszaki specifikáció szerint</x:v>
      </x:c>
      <x:c r="O70" s="19" t="n">
        <x:v>1</x:v>
      </x:c>
      <x:c r="P70" s="19" t="str">
        <x:v>csomag</x:v>
      </x:c>
      <x:c r="Q70" s="20" t="n">
        <x:v>70000</x:v>
      </x:c>
      <x:c r="R70" s="20" t="n">
        <x:v>0</x:v>
      </x:c>
      <x:c r="S70" s="20" t="n">
        <x:v>0</x:v>
      </x:c>
      <x:c r="T70" s="20" t="n">
        <x:v>0</x:v>
      </x:c>
      <x:c r="U70" s="21" t="n">
        <x:f>O70*Q70+SUM(R70:T70)</x:f>
        <x:v>70000</x:v>
      </x:c>
      <x:c r="V70" s="19" t="str">
        <x:v>előzetes becslés</x:v>
      </x:c>
      <x:c r="W70" s="19" t="str">
        <x:v>CP0 tervezői előirányzat, nem webshopár; baseline 05</x:v>
      </x:c>
      <x:c r="X70" s="19" t="str">
        <x:v>2026-10-26</x:v>
      </x:c>
      <x:c r="Y70" s="19" t="str">
        <x:v>UNKNOWN – ajánlatban visszaigazolandó</x:v>
      </x:c>
      <x:c r="Z70" s="19" t="str">
        <x:v>C</x:v>
      </x:c>
      <x:c r="AA70" s="19" t="str">
        <x:v>PENDING</x:v>
      </x:c>
      <x:c r="AB70" s="19" t="str">
        <x:v>PENDING</x:v>
      </x:c>
      <x:c r="AC70" s="19" t="str">
        <x:v>nem megrendelt</x:v>
      </x:c>
      <x:c r="AD70" s="19" t="str">
        <x:v>Villanyszerelő</x:v>
      </x:c>
      <x:c r="AE70" s="19" t="str">
        <x:v>PENDING – méret, csatlakozás, anyagminta, teljes bekerülés</x:v>
      </x:c>
      <x:c r="AF70" s="19" t="str">
        <x:v>CP0 becslési csomag: segédanyag és munkadíj a megnevezett tartalom szerint; külön szállítás a 14 sorban. Nem ingyenes szállítás.</x:v>
      </x:c>
      <x:c r="AG70" s="20" t="n">
        <x:v>70000</x:v>
      </x:c>
      <x:c r="AH70" s="21" t="n">
        <x:f>O70*AG70+SUM(R70:T70)</x:f>
        <x:v>70000</x:v>
      </x:c>
      <x:c r="AI70" s="19" t="str">
        <x:v>PENDING</x:v>
      </x:c>
      <x:c r="AJ70" s="19" t="str">
        <x:v>PENDING</x:v>
      </x:c>
      <x:c r="AK70" s="19" t="str">
        <x:v>PENDING</x:v>
      </x:c>
      <x:c r="AL70" s="19" t="str">
        <x:v>PENDING</x:v>
      </x:c>
      <x:c r="AM70" s="19" t="str">
        <x:v>PENDING</x:v>
      </x:c>
      <x:c r="AN70" s="1" t="str">
        <x:v>KI-069</x:v>
      </x:c>
      <x:c r="AO70" s="1" t="str">
        <x:v>drawings/P-01_alaprajz.pdf</x:v>
      </x:c>
      <x:c r="AP70" s="1" t="str">
        <x:v>NINCS MODELL / nem térbeli költségsor; szakági kapcsolat igazolandó</x:v>
      </x:c>
      <x:c r="AQ70" s="1" t="str">
        <x:v>késztermék / szakági munka</x:v>
      </x:c>
      <x:c r="AR70" s="1" t="str">
        <x:v>felmérés/gyártói rajz szükséges</x:v>
      </x:c>
      <x:c r="AS70" s="1" t="str">
        <x:v>HUF</x:v>
      </x:c>
      <x:c r="AT70" s="1" t="n">
        <x:v>1</x:v>
      </x:c>
      <x:c r="AU70" s="1" t="str">
        <x:v>nincs visszaigazolt ajánlati érvényesség</x:v>
      </x:c>
      <x:c r="AV70" s="1" t="str">
        <x:v>KI-151 központi keret; daruzás KI-137</x:v>
      </x:c>
      <x:c r="AW70" s="1" t="str">
        <x:v>KI-014 asztalos / KI-106 villamos / KI-026 és KI-096 víz / KI-127 fal</x:v>
      </x:c>
      <x:c r="AX70" s="1" t="n">
        <x:v>6</x:v>
      </x:c>
      <x:c r="AY70" s="1" t="n">
        <x:v>0.85</x:v>
      </x:c>
      <x:c r="AZ70" s="1" t="n">
        <x:v>1.3</x:v>
      </x:c>
      <x:c r="BA70" s="29" t="n">
        <x:f>ROUND(U70*AY70,0)</x:f>
        <x:v>59500</x:v>
      </x:c>
      <x:c r="BB70" s="29" t="n">
        <x:f>ROUND(U70*AZ70,0)</x:f>
        <x:v>91000</x:v>
      </x:c>
    </x:row>
    <x:row r="71" ht="72" customHeight="1">
      <x:c r="A71" s="12" t="str">
        <x:v>A-902</x:v>
      </x:c>
      <x:c r="B71" s="12" t="str">
        <x:v>05.3</x:v>
      </x:c>
      <x:c r="C71" s="12" t="str">
        <x:v>KI-070</x:v>
      </x:c>
      <x:c r="D71" s="12" t="str">
        <x:v>NEM RENDERELT</x:v>
      </x:c>
      <x:c r="E71" s="12" t="str">
        <x:v>06</x:v>
      </x:c>
      <x:c r="F71" s="12" t="str">
        <x:v>FIX</x:v>
      </x:c>
      <x:c r="G71" s="12" t="str">
        <x:v>Bútor</x:v>
      </x:c>
      <x:c r="H71" s="19" t="str">
        <x:v>NORDLI 180×200 fehér ágykeret</x:v>
      </x:c>
      <x:c r="I71" s="19" t="str">
        <x:v>IKEA</x:v>
      </x:c>
      <x:c r="J71" s="19" t="str">
        <x:v>203.498.53</x:v>
      </x:c>
      <x:c r="K71" s="19" t="str">
        <x:v>https://www.ikea.com/hu/hu/p/nordli-agykeret-taroloval-feher-20349853/</x:v>
      </x:c>
      <x:c r="L71" s="19" t="str">
        <x:v>1800×2020×300 mm; alaprajzon2020×1800 mm</x:v>
      </x:c>
      <x:c r="M71" s="19" t="str">
        <x:v>Kyoto Ink: grafit / füstszürke / taupe</x:v>
      </x:c>
      <x:c r="N71" s="19" t="str">
        <x:v>PENDING – műszaki specifikáció szerint</x:v>
      </x:c>
      <x:c r="O71" s="19" t="n">
        <x:v>1</x:v>
      </x:c>
      <x:c r="P71" s="19" t="str">
        <x:v>csomag</x:v>
      </x:c>
      <x:c r="Q71" s="20" t="n">
        <x:v>189900</x:v>
      </x:c>
      <x:c r="R71" s="20" t="n">
        <x:v>0</x:v>
      </x:c>
      <x:c r="S71" s="20" t="n">
        <x:v>0</x:v>
      </x:c>
      <x:c r="T71" s="20" t="n">
        <x:v>0</x:v>
      </x:c>
      <x:c r="U71" s="21" t="n">
        <x:f>O71*Q71+SUM(R71:T71)</x:f>
        <x:v>189900</x:v>
      </x:c>
      <x:c r="V71" s="19" t="str">
        <x:v>ellenőrzött webshopár</x:v>
      </x:c>
      <x:c r="W71" s="19" t="str">
        <x:v>CP1a ellenőrzött azonos NORDLI variáns</x:v>
      </x:c>
      <x:c r="X71" s="19" t="str">
        <x:v>2026-10-26</x:v>
      </x:c>
      <x:c r="Y71" s="19" t="str">
        <x:v>UNKNOWN – ajánlatban visszaigazolandó</x:v>
      </x:c>
      <x:c r="Z71" s="19" t="str">
        <x:v>C</x:v>
      </x:c>
      <x:c r="AA71" s="19" t="str">
        <x:v>180 cm fekvőfelület megtartva; NORDLI fehér tárolós keret. Keleti fejvégű elforgatás, sekély gardrób: új helyiségjavaslat.</x:v>
      </x:c>
      <x:c r="AB71" s="19" t="str">
        <x:v>PENDING</x:v>
      </x:c>
      <x:c r="AC71" s="19" t="str">
        <x:v>nem megrendelt</x:v>
      </x:c>
      <x:c r="AD71" s="19" t="str">
        <x:v>Beszerzési felelős / Péter</x:v>
      </x:c>
      <x:c r="AE71" s="19" t="str">
        <x:v>PENDING – méret, csatlakozás, anyagminta, teljes bekerülés</x:v>
      </x:c>
      <x:c r="AF71" s="19" t="str">
        <x:v>CP0 becslési csomag: segédanyag és munkadíj a megnevezett tartalom szerint; külön szállítás a 14 sorban. Nem ingyenes szállítás.</x:v>
      </x:c>
      <x:c r="AG71" s="20" t="n">
        <x:v>189900</x:v>
      </x:c>
      <x:c r="AH71" s="21" t="n">
        <x:f>O71*AG71+SUM(R71:T71)</x:f>
        <x:v>189900</x:v>
      </x:c>
      <x:c r="AI71" s="19" t="str">
        <x:v>PENDING</x:v>
      </x:c>
      <x:c r="AJ71" s="19" t="str">
        <x:v>PENDING</x:v>
      </x:c>
      <x:c r="AK71" s="19" t="str">
        <x:v>magyar címre és darabszámra nem visszaigazolt</x:v>
      </x:c>
      <x:c r="AL71" s="19" t="str">
        <x:v>PENDING</x:v>
      </x:c>
      <x:c r="AM71" s="19" t="str">
        <x:v>PENDING</x:v>
      </x:c>
      <x:c r="AN71" s="1" t="str">
        <x:v>KI-070</x:v>
      </x:c>
      <x:c r="AO71" s="1" t="str">
        <x:v>drawings/P-01_alaprajz.pdf</x:v>
      </x:c>
      <x:c r="AP71" s="1" t="str">
        <x:v>KI_KI-070</x:v>
      </x:c>
      <x:c r="AQ71" s="1" t="str">
        <x:v>késztermék / szakági munka</x:v>
      </x:c>
      <x:c r="AR71" s="1" t="str">
        <x:v>gyártói termékoldal/adatlap</x:v>
      </x:c>
      <x:c r="AS71" s="1" t="str">
        <x:v>HUF</x:v>
      </x:c>
      <x:c r="AT71" s="1" t="n">
        <x:v>1</x:v>
      </x:c>
      <x:c r="AU71" s="1" t="str">
        <x:v>nincs visszaigazolt ajánlati érvényesség</x:v>
      </x:c>
      <x:c r="AV71" s="1" t="str">
        <x:v>KI-151 központi keret; daruzás KI-137</x:v>
      </x:c>
      <x:c r="AW71" s="1" t="str">
        <x:v>KI-014 asztalos / KI-106 villamos / KI-026 és KI-096 víz / KI-127 fal</x:v>
      </x:c>
      <x:c r="AX71" s="1" t="n">
        <x:v>6</x:v>
      </x:c>
      <x:c r="AY71" s="1" t="n">
        <x:v>1</x:v>
      </x:c>
      <x:c r="AZ71" s="1" t="n">
        <x:v>1.12</x:v>
      </x:c>
      <x:c r="BA71" s="29" t="n">
        <x:f>ROUND(U71*AY71,0)</x:f>
        <x:v>189900</x:v>
      </x:c>
      <x:c r="BB71" s="29" t="n">
        <x:f>ROUND(U71*AZ71,0)</x:f>
        <x:v>212688</x:v>
      </x:c>
    </x:row>
    <x:row r="72" ht="72" customHeight="1">
      <x:c r="A72" s="12" t="str">
        <x:v>A-902</x:v>
      </x:c>
      <x:c r="B72" s="12" t="str">
        <x:v>05.3</x:v>
      </x:c>
      <x:c r="C72" s="12" t="str">
        <x:v>KI-071</x:v>
      </x:c>
      <x:c r="D72" s="12" t="str">
        <x:v>NEM RENDERELT</x:v>
      </x:c>
      <x:c r="E72" s="12" t="str">
        <x:v>06</x:v>
      </x:c>
      <x:c r="F72" s="12" t="str">
        <x:v>FIX</x:v>
      </x:c>
      <x:c r="G72" s="12" t="str">
        <x:v>Bútor</x:v>
      </x:c>
      <x:c r="H72" s="19" t="str">
        <x:v>Matrac</x:v>
      </x:c>
      <x:c r="I72" s="19" t="str">
        <x:v>UNKNOWN</x:v>
      </x:c>
      <x:c r="J72" s="19" t="str">
        <x:v>UNKNOWN</x:v>
      </x:c>
      <x:c r="K72" s="19" t="str">
        <x:v>UNKNOWN</x:v>
      </x:c>
      <x:c r="L72" s="19" t="str">
        <x:v>UNKNOWN – felmérés/gyári adat kell</x:v>
      </x:c>
      <x:c r="M72" s="19" t="str">
        <x:v>Kyoto Ink: grafit / füstszürke / taupe</x:v>
      </x:c>
      <x:c r="N72" s="19" t="str">
        <x:v>PENDING – műszaki specifikáció szerint</x:v>
      </x:c>
      <x:c r="O72" s="19" t="n">
        <x:v>1</x:v>
      </x:c>
      <x:c r="P72" s="19" t="str">
        <x:v>csomag</x:v>
      </x:c>
      <x:c r="Q72" s="20" t="n">
        <x:v>100000</x:v>
      </x:c>
      <x:c r="R72" s="20" t="n">
        <x:v>0</x:v>
      </x:c>
      <x:c r="S72" s="20" t="n">
        <x:v>0</x:v>
      </x:c>
      <x:c r="T72" s="20" t="n">
        <x:v>0</x:v>
      </x:c>
      <x:c r="U72" s="21" t="n">
        <x:f>O72*Q72+SUM(R72:T72)</x:f>
        <x:v>100000</x:v>
      </x:c>
      <x:c r="V72" s="19" t="str">
        <x:v>előzetes becslés</x:v>
      </x:c>
      <x:c r="W72" s="19" t="str">
        <x:v>CP0 tervezői előirányzat, nem webshopár; baseline 06</x:v>
      </x:c>
      <x:c r="X72" s="19" t="str">
        <x:v>2026-10-26</x:v>
      </x:c>
      <x:c r="Y72" s="19" t="str">
        <x:v>UNKNOWN – ajánlatban visszaigazolandó</x:v>
      </x:c>
      <x:c r="Z72" s="19" t="str">
        <x:v>C</x:v>
      </x:c>
      <x:c r="AA72" s="19" t="str">
        <x:v>PENDING</x:v>
      </x:c>
      <x:c r="AB72" s="19" t="str">
        <x:v>PENDING</x:v>
      </x:c>
      <x:c r="AC72" s="19" t="str">
        <x:v>nem megrendelt</x:v>
      </x:c>
      <x:c r="AD72" s="19" t="str">
        <x:v>Beszerzési felelős / Péter</x:v>
      </x:c>
      <x:c r="AE72" s="19" t="str">
        <x:v>PENDING – méret, csatlakozás, anyagminta, teljes bekerülés</x:v>
      </x:c>
      <x:c r="AF72" s="19" t="str">
        <x:v>CP0 becslési csomag: segédanyag és munkadíj a megnevezett tartalom szerint; külön szállítás a 14 sorban. Nem ingyenes szállítás.</x:v>
      </x:c>
      <x:c r="AG72" s="20" t="n">
        <x:v>100000</x:v>
      </x:c>
      <x:c r="AH72" s="21" t="n">
        <x:f>O72*AG72+SUM(R72:T72)</x:f>
        <x:v>100000</x:v>
      </x:c>
      <x:c r="AI72" s="19" t="str">
        <x:v>PENDING</x:v>
      </x:c>
      <x:c r="AJ72" s="19" t="str">
        <x:v>PENDING</x:v>
      </x:c>
      <x:c r="AK72" s="19" t="str">
        <x:v>PENDING</x:v>
      </x:c>
      <x:c r="AL72" s="19" t="str">
        <x:v>PENDING</x:v>
      </x:c>
      <x:c r="AM72" s="19" t="str">
        <x:v>PENDING</x:v>
      </x:c>
      <x:c r="AN72" s="1" t="str">
        <x:v>KI-071</x:v>
      </x:c>
      <x:c r="AO72" s="1" t="str">
        <x:v>drawings/P-01_alaprajz.pdf</x:v>
      </x:c>
      <x:c r="AP72" s="1" t="str">
        <x:v>NINCS MODELL / nem térbeli költségsor; szakági kapcsolat igazolandó</x:v>
      </x:c>
      <x:c r="AQ72" s="1" t="str">
        <x:v>késztermék / szakági munka</x:v>
      </x:c>
      <x:c r="AR72" s="1" t="str">
        <x:v>felmérés/gyártói rajz szükséges</x:v>
      </x:c>
      <x:c r="AS72" s="1" t="str">
        <x:v>HUF</x:v>
      </x:c>
      <x:c r="AT72" s="1" t="n">
        <x:v>1</x:v>
      </x:c>
      <x:c r="AU72" s="1" t="str">
        <x:v>nincs visszaigazolt ajánlati érvényesség</x:v>
      </x:c>
      <x:c r="AV72" s="1" t="str">
        <x:v>KI-151 központi keret; daruzás KI-137</x:v>
      </x:c>
      <x:c r="AW72" s="1" t="str">
        <x:v>KI-014 asztalos / KI-106 villamos / KI-026 és KI-096 víz / KI-127 fal</x:v>
      </x:c>
      <x:c r="AX72" s="1" t="n">
        <x:v>6</x:v>
      </x:c>
      <x:c r="AY72" s="1" t="n">
        <x:v>0.85</x:v>
      </x:c>
      <x:c r="AZ72" s="1" t="n">
        <x:v>1.3</x:v>
      </x:c>
      <x:c r="BA72" s="29" t="n">
        <x:f>ROUND(U72*AY72,0)</x:f>
        <x:v>85000</x:v>
      </x:c>
      <x:c r="BB72" s="29" t="n">
        <x:f>ROUND(U72*AZ72,0)</x:f>
        <x:v>130000</x:v>
      </x:c>
    </x:row>
    <x:row r="73" ht="72" customHeight="1">
      <x:c r="A73" s="12" t="str">
        <x:v>A-902</x:v>
      </x:c>
      <x:c r="B73" s="12" t="str">
        <x:v>05.3</x:v>
      </x:c>
      <x:c r="C73" s="12" t="str">
        <x:v>KI-072</x:v>
      </x:c>
      <x:c r="D73" s="12" t="str">
        <x:v>CP3/render_handoff/manifest_CP3.json</x:v>
      </x:c>
      <x:c r="E73" s="12" t="str">
        <x:v>06</x:v>
      </x:c>
      <x:c r="F73" s="12" t="str">
        <x:v>FIX</x:v>
      </x:c>
      <x:c r="G73" s="12" t="str">
        <x:v>Bútor</x:v>
      </x:c>
      <x:c r="H73" s="19" t="str">
        <x:v>Gardrób korpusz és belső</x:v>
      </x:c>
      <x:c r="I73" s="19" t="str">
        <x:v>UNKNOWN</x:v>
      </x:c>
      <x:c r="J73" s="19" t="str">
        <x:v>UNKNOWN</x:v>
      </x:c>
      <x:c r="K73" s="19" t="str">
        <x:v>UNKNOWN</x:v>
      </x:c>
      <x:c r="L73" s="19" t="str">
        <x:v>W53-01: 1800×450×2840 mm</x:v>
      </x:c>
      <x:c r="M73" s="19" t="str">
        <x:v>Kyoto Ink: grafit / füstszürke / taupe</x:v>
      </x:c>
      <x:c r="N73" s="19" t="str">
        <x:v>PENDING – műszaki specifikáció szerint</x:v>
      </x:c>
      <x:c r="O73" s="19" t="n">
        <x:v>1</x:v>
      </x:c>
      <x:c r="P73" s="19" t="str">
        <x:v>csomag</x:v>
      </x:c>
      <x:c r="Q73" s="20" t="n">
        <x:v>382500</x:v>
      </x:c>
      <x:c r="R73" s="20" t="n">
        <x:v>0</x:v>
      </x:c>
      <x:c r="S73" s="20" t="n">
        <x:v>0</x:v>
      </x:c>
      <x:c r="T73" s="20" t="n">
        <x:v>0</x:v>
      </x:c>
      <x:c r="U73" s="21" t="n">
        <x:f>O73*Q73+SUM(R73:T73)</x:f>
        <x:v>382500</x:v>
      </x:c>
      <x:c r="V73" s="19" t="str">
        <x:v>előzetes becslés</x:v>
      </x:c>
      <x:c r="W73" s="19" t="str">
        <x:v>CP3/data/koltseg_bontas.json</x:v>
      </x:c>
      <x:c r="X73" s="19" t="str">
        <x:v>2026-10-27</x:v>
      </x:c>
      <x:c r="Y73" s="19" t="str">
        <x:v>UNKNOWN – ajánlatban visszaigazolandó</x:v>
      </x:c>
      <x:c r="Z73" s="19" t="str">
        <x:v>C</x:v>
      </x:c>
      <x:c r="AA73" s="19" t="str">
        <x:v>PENDING</x:v>
      </x:c>
      <x:c r="AB73" s="19" t="str">
        <x:v>PENDING</x:v>
      </x:c>
      <x:c r="AC73" s="19" t="str">
        <x:v>nem megrendelt</x:v>
      </x:c>
      <x:c r="AD73" s="19" t="str">
        <x:v>Beszerzési felelős / Péter</x:v>
      </x:c>
      <x:c r="AE73" s="19" t="str">
        <x:v>PENDING – méret, csatlakozás, anyagminta, teljes bekerülés</x:v>
      </x:c>
      <x:c r="AF73" s="19" t="str">
        <x:v>Teljes sekély korpusz 160 000 Ft + CP3 belső; régi 150 000 Ft kiváltva. Front és szerelés KI-073.</x:v>
      </x:c>
      <x:c r="AG73" s="20" t="n">
        <x:v>382500</x:v>
      </x:c>
      <x:c r="AH73" s="21" t="n">
        <x:f>O73*AG73+SUM(R73:T73)</x:f>
        <x:v>382500</x:v>
      </x:c>
      <x:c r="AI73" s="19" t="str">
        <x:v>Teljes sekély korpusz 160 000 Ft + CP3 belső; régi 150 000 Ft kiváltva. Front és szerelés KI-073.</x:v>
      </x:c>
      <x:c r="AJ73" s="19" t="str">
        <x:v>PENDING</x:v>
      </x:c>
      <x:c r="AK73" s="19" t="str">
        <x:v>PENDING</x:v>
      </x:c>
      <x:c r="AL73" s="19" t="str">
        <x:v>PENDING</x:v>
      </x:c>
      <x:c r="AM73" s="19" t="str">
        <x:v>PENDING</x:v>
      </x:c>
      <x:c r="AN73" s="1" t="str">
        <x:v>W53-01</x:v>
      </x:c>
      <x:c r="AO73" s="1" t="str">
        <x:v>CP3/drawings/W53-01_CP3.pdf</x:v>
      </x:c>
      <x:c r="AP73" s="1" t="str">
        <x:v>CP3_W53-01</x:v>
      </x:c>
      <x:c r="AQ73" s="1" t="str">
        <x:v>egyedi gyártás</x:v>
      </x:c>
      <x:c r="AR73" s="1" t="str">
        <x:v>R02 méretezett ajánlati terv; nem helyszíni méret</x:v>
      </x:c>
      <x:c r="AS73" s="1" t="str">
        <x:v>HUF</x:v>
      </x:c>
      <x:c r="AT73" s="1" t="n">
        <x:v>1</x:v>
      </x:c>
      <x:c r="AU73" s="1" t="str">
        <x:v>nincs visszaigazolt ajánlati érvényesség</x:v>
      </x:c>
      <x:c r="AV73" s="1" t="str">
        <x:v>KI-151 központi keret; daruzás KI-137</x:v>
      </x:c>
      <x:c r="AW73" s="1" t="str">
        <x:v>KI-014 asztalos / KI-106 villamos / KI-026 és KI-096 víz / KI-127 fal</x:v>
      </x:c>
      <x:c r="AX73" s="1" t="n">
        <x:v>4</x:v>
      </x:c>
      <x:c r="AY73" s="1" t="n">
        <x:v>0.8</x:v>
      </x:c>
      <x:c r="AZ73" s="1" t="n">
        <x:v>1.4</x:v>
      </x:c>
      <x:c r="BA73" s="29" t="n">
        <x:f>ROUND(U73*AY73,0)</x:f>
        <x:v>306000</x:v>
      </x:c>
      <x:c r="BB73" s="29" t="n">
        <x:f>ROUND(U73*AZ73,0)</x:f>
        <x:v>535500</x:v>
      </x:c>
    </x:row>
    <x:row r="74" ht="72" customHeight="1">
      <x:c r="A74" s="12" t="str">
        <x:v>A-902</x:v>
      </x:c>
      <x:c r="B74" s="12" t="str">
        <x:v>05.3</x:v>
      </x:c>
      <x:c r="C74" s="12" t="str">
        <x:v>KI-073</x:v>
      </x:c>
      <x:c r="D74" s="12" t="str">
        <x:v>CP3/render_handoff/manifest_CP3.json</x:v>
      </x:c>
      <x:c r="E74" s="12" t="str">
        <x:v>06</x:v>
      </x:c>
      <x:c r="F74" s="12" t="str">
        <x:v>FIX</x:v>
      </x:c>
      <x:c r="G74" s="12" t="str">
        <x:v>Bútor</x:v>
      </x:c>
      <x:c r="H74" s="19" t="str">
        <x:v>Gardrób front és szerelés</x:v>
      </x:c>
      <x:c r="I74" s="19" t="str">
        <x:v>UNKNOWN</x:v>
      </x:c>
      <x:c r="J74" s="19" t="str">
        <x:v>UNKNOWN</x:v>
      </x:c>
      <x:c r="K74" s="19" t="str">
        <x:v>UNKNOWN</x:v>
      </x:c>
      <x:c r="L74" s="19" t="str">
        <x:v>W53-01: 1800×450×2840 mm</x:v>
      </x:c>
      <x:c r="M74" s="19" t="str">
        <x:v>Kyoto Ink: grafit / füstszürke / taupe</x:v>
      </x:c>
      <x:c r="N74" s="19" t="str">
        <x:v>PENDING – műszaki specifikáció szerint</x:v>
      </x:c>
      <x:c r="O74" s="19" t="n">
        <x:v>1</x:v>
      </x:c>
      <x:c r="P74" s="19" t="str">
        <x:v>csomag</x:v>
      </x:c>
      <x:c r="Q74" s="20" t="n">
        <x:v>100000</x:v>
      </x:c>
      <x:c r="R74" s="20" t="n">
        <x:v>0</x:v>
      </x:c>
      <x:c r="S74" s="20" t="n">
        <x:v>0</x:v>
      </x:c>
      <x:c r="T74" s="20" t="n">
        <x:v>0</x:v>
      </x:c>
      <x:c r="U74" s="21" t="n">
        <x:f>O74*Q74+SUM(R74:T74)</x:f>
        <x:v>100000</x:v>
      </x:c>
      <x:c r="V74" s="19" t="str">
        <x:v>előzetes becslés</x:v>
      </x:c>
      <x:c r="W74" s="19" t="str">
        <x:v>CP0 tervezői előirányzat, nem webshopár; baseline 06</x:v>
      </x:c>
      <x:c r="X74" s="19" t="str">
        <x:v>2026-10-26</x:v>
      </x:c>
      <x:c r="Y74" s="19" t="str">
        <x:v>UNKNOWN – ajánlatban visszaigazolandó</x:v>
      </x:c>
      <x:c r="Z74" s="19" t="str">
        <x:v>C</x:v>
      </x:c>
      <x:c r="AA74" s="19" t="str">
        <x:v>PENDING</x:v>
      </x:c>
      <x:c r="AB74" s="19" t="str">
        <x:v>PENDING</x:v>
      </x:c>
      <x:c r="AC74" s="19" t="str">
        <x:v>nem megrendelt</x:v>
      </x:c>
      <x:c r="AD74" s="19" t="str">
        <x:v>Beszerzési felelős / Péter</x:v>
      </x:c>
      <x:c r="AE74" s="19" t="str">
        <x:v>PENDING – méret, csatlakozás, anyagminta, teljes bekerülés</x:v>
      </x:c>
      <x:c r="AF74" s="19" t="str">
        <x:v>CP0 becslési csomag: segédanyag és munkadíj a megnevezett tartalom szerint; külön szállítás a 14 sorban. Nem ingyenes szállítás.</x:v>
      </x:c>
      <x:c r="AG74" s="20" t="n">
        <x:v>100000</x:v>
      </x:c>
      <x:c r="AH74" s="21" t="n">
        <x:f>O74*AG74+SUM(R74:T74)</x:f>
        <x:v>100000</x:v>
      </x:c>
      <x:c r="AI74" s="19" t="str">
        <x:v>PENDING</x:v>
      </x:c>
      <x:c r="AJ74" s="19" t="str">
        <x:v>PENDING</x:v>
      </x:c>
      <x:c r="AK74" s="19" t="str">
        <x:v>PENDING</x:v>
      </x:c>
      <x:c r="AL74" s="19" t="str">
        <x:v>PENDING</x:v>
      </x:c>
      <x:c r="AM74" s="19" t="str">
        <x:v>PENDING</x:v>
      </x:c>
      <x:c r="AN74" s="1" t="str">
        <x:v>W53-01</x:v>
      </x:c>
      <x:c r="AO74" s="1" t="str">
        <x:v>CP3/drawings/W53-01_CP3.pdf</x:v>
      </x:c>
      <x:c r="AP74" s="1" t="str">
        <x:v>CP3_W53-01</x:v>
      </x:c>
      <x:c r="AQ74" s="1" t="str">
        <x:v>egyedi gyártás</x:v>
      </x:c>
      <x:c r="AR74" s="1" t="str">
        <x:v>R02 méretezett ajánlati terv; nem helyszíni méret</x:v>
      </x:c>
      <x:c r="AS74" s="1" t="str">
        <x:v>HUF</x:v>
      </x:c>
      <x:c r="AT74" s="1" t="n">
        <x:v>1</x:v>
      </x:c>
      <x:c r="AU74" s="1" t="str">
        <x:v>nincs visszaigazolt ajánlati érvényesség</x:v>
      </x:c>
      <x:c r="AV74" s="1" t="str">
        <x:v>KI-151 központi keret; daruzás KI-137</x:v>
      </x:c>
      <x:c r="AW74" s="1" t="str">
        <x:v>KI-014 asztalos / KI-106 villamos / KI-026 és KI-096 víz / KI-127 fal</x:v>
      </x:c>
      <x:c r="AX74" s="1" t="n">
        <x:v>4</x:v>
      </x:c>
      <x:c r="AY74" s="1" t="n">
        <x:v>0.85</x:v>
      </x:c>
      <x:c r="AZ74" s="1" t="n">
        <x:v>1.3</x:v>
      </x:c>
      <x:c r="BA74" s="29" t="n">
        <x:f>ROUND(U74*AY74,0)</x:f>
        <x:v>85000</x:v>
      </x:c>
      <x:c r="BB74" s="29" t="n">
        <x:f>ROUND(U74*AZ74,0)</x:f>
        <x:v>130000</x:v>
      </x:c>
    </x:row>
    <x:row r="75" ht="72" customHeight="1">
      <x:c r="A75" s="12" t="str">
        <x:v>A-902</x:v>
      </x:c>
      <x:c r="B75" s="12" t="str">
        <x:v>05.3</x:v>
      </x:c>
      <x:c r="C75" s="12" t="str">
        <x:v>KI-074</x:v>
      </x:c>
      <x:c r="D75" s="12" t="str">
        <x:v>NEM RENDERELT</x:v>
      </x:c>
      <x:c r="E75" s="12" t="str">
        <x:v>06</x:v>
      </x:c>
      <x:c r="F75" s="12" t="str">
        <x:v>FIX</x:v>
      </x:c>
      <x:c r="G75" s="12" t="str">
        <x:v>Bútor</x:v>
      </x:c>
      <x:c r="H75" s="19" t="str">
        <x:v>TROTTEN kőris hatású/fehér</x:v>
      </x:c>
      <x:c r="I75" s="19" t="str">
        <x:v>IKEA</x:v>
      </x:c>
      <x:c r="J75" s="19" t="str">
        <x:v>196.219.19</x:v>
      </x:c>
      <x:c r="K75" s="19" t="str">
        <x:v>https://www.ikea.com/hu/hu/p/trotten-iroasztal-koris-hatasu-feher-s19621919/</x:v>
      </x:c>
      <x:c r="L75" s="19" t="str">
        <x:v>1200×700×750 mm</x:v>
      </x:c>
      <x:c r="M75" s="19" t="str">
        <x:v>Kyoto Ink: grafit / füstszürke / taupe</x:v>
      </x:c>
      <x:c r="N75" s="19" t="str">
        <x:v>PENDING – műszaki specifikáció szerint</x:v>
      </x:c>
      <x:c r="O75" s="19" t="n">
        <x:v>1</x:v>
      </x:c>
      <x:c r="P75" s="19" t="str">
        <x:v>csomag</x:v>
      </x:c>
      <x:c r="Q75" s="20" t="n">
        <x:v>39990</x:v>
      </x:c>
      <x:c r="R75" s="20" t="n">
        <x:v>0</x:v>
      </x:c>
      <x:c r="S75" s="20" t="n">
        <x:v>0</x:v>
      </x:c>
      <x:c r="T75" s="20" t="n">
        <x:v>0</x:v>
      </x:c>
      <x:c r="U75" s="21" t="n">
        <x:f>O75*Q75+SUM(R75:T75)</x:f>
        <x:v>39990</x:v>
      </x:c>
      <x:c r="V75" s="19" t="str">
        <x:v>ellenőrzött webshopár</x:v>
      </x:c>
      <x:c r="W75" s="19" t="str">
        <x:v>https://www.ikea.com/hu/hu/p/trotten-iroasztal-koris-hatasu-feher-s19621919/</x:v>
      </x:c>
      <x:c r="X75" s="19" t="str">
        <x:v>2026-10-26</x:v>
      </x:c>
      <x:c r="Y75" s="19" t="str">
        <x:v>UNKNOWN – ajánlatban visszaigazolandó</x:v>
      </x:c>
      <x:c r="Z75" s="19" t="str">
        <x:v>C</x:v>
      </x:c>
      <x:c r="AA75" s="19" t="str">
        <x:v>05.3 új terv; világos fa az étkezővel rokon, fehér fém láb eltér a grafittól.</x:v>
      </x:c>
      <x:c r="AB75" s="19" t="str">
        <x:v>PENDING</x:v>
      </x:c>
      <x:c r="AC75" s="19" t="str">
        <x:v>nem megrendelt</x:v>
      </x:c>
      <x:c r="AD75" s="19" t="str">
        <x:v>Beszerzési felelős / Péter</x:v>
      </x:c>
      <x:c r="AE75" s="19" t="str">
        <x:v>PENDING – méret, csatlakozás, anyagminta, teljes bekerülés</x:v>
      </x:c>
      <x:c r="AF75" s="19" t="str">
        <x:v>CP0 becslési csomag: segédanyag és munkadíj a megnevezett tartalom szerint; külön szállítás a 14 sorban. Nem ingyenes szállítás.</x:v>
      </x:c>
      <x:c r="AG75" s="20" t="n">
        <x:v>39990</x:v>
      </x:c>
      <x:c r="AH75" s="21" t="n">
        <x:f>O75*AG75+SUM(R75:T75)</x:f>
        <x:v>39990</x:v>
      </x:c>
      <x:c r="AI75" s="19" t="str">
        <x:v>PENDING</x:v>
      </x:c>
      <x:c r="AJ75" s="19" t="str">
        <x:v>PENDING</x:v>
      </x:c>
      <x:c r="AK75" s="19" t="str">
        <x:v>magyar címre és darabszámra nem visszaigazolt</x:v>
      </x:c>
      <x:c r="AL75" s="19" t="str">
        <x:v>PENDING</x:v>
      </x:c>
      <x:c r="AM75" s="19" t="str">
        <x:v>PENDING</x:v>
      </x:c>
      <x:c r="AN75" s="1" t="str">
        <x:v>KI-074</x:v>
      </x:c>
      <x:c r="AO75" s="1" t="str">
        <x:v>drawings/P-01_alaprajz.pdf</x:v>
      </x:c>
      <x:c r="AP75" s="1" t="str">
        <x:v>KI_KI-074</x:v>
      </x:c>
      <x:c r="AQ75" s="1" t="str">
        <x:v>késztermék / szakági munka</x:v>
      </x:c>
      <x:c r="AR75" s="1" t="str">
        <x:v>gyártói termékoldal/adatlap</x:v>
      </x:c>
      <x:c r="AS75" s="1" t="str">
        <x:v>HUF</x:v>
      </x:c>
      <x:c r="AT75" s="1" t="n">
        <x:v>1</x:v>
      </x:c>
      <x:c r="AU75" s="1" t="str">
        <x:v>nincs visszaigazolt ajánlati érvényesség</x:v>
      </x:c>
      <x:c r="AV75" s="1" t="str">
        <x:v>KI-151 központi keret; daruzás KI-137</x:v>
      </x:c>
      <x:c r="AW75" s="1" t="str">
        <x:v>KI-014 asztalos / KI-106 villamos / KI-026 és KI-096 víz / KI-127 fal</x:v>
      </x:c>
      <x:c r="AX75" s="1" t="n">
        <x:v>6</x:v>
      </x:c>
      <x:c r="AY75" s="1" t="n">
        <x:v>1</x:v>
      </x:c>
      <x:c r="AZ75" s="1" t="n">
        <x:v>1.12</x:v>
      </x:c>
      <x:c r="BA75" s="29" t="n">
        <x:f>ROUND(U75*AY75,0)</x:f>
        <x:v>39990</x:v>
      </x:c>
      <x:c r="BB75" s="29" t="n">
        <x:f>ROUND(U75*AZ75,0)</x:f>
        <x:v>44789</x:v>
      </x:c>
    </x:row>
    <x:row r="76" ht="72" customHeight="1">
      <x:c r="A76" s="12" t="str">
        <x:v>A-902</x:v>
      </x:c>
      <x:c r="B76" s="12" t="str">
        <x:v>05.3</x:v>
      </x:c>
      <x:c r="C76" s="12" t="str">
        <x:v>KI-075</x:v>
      </x:c>
      <x:c r="D76" s="12" t="str">
        <x:v>NEM RENDERELT</x:v>
      </x:c>
      <x:c r="E76" s="12" t="str">
        <x:v>06</x:v>
      </x:c>
      <x:c r="F76" s="12" t="str">
        <x:v>FIX</x:v>
      </x:c>
      <x:c r="G76" s="12" t="str">
        <x:v>Bútor</x:v>
      </x:c>
      <x:c r="H76" s="19" t="str">
        <x:v>FLINTAN bézs karfa nélkül</x:v>
      </x:c>
      <x:c r="I76" s="19" t="str">
        <x:v>IKEA</x:v>
      </x:c>
      <x:c r="J76" s="19" t="str">
        <x:v>704.922.02</x:v>
      </x:c>
      <x:c r="K76" s="19" t="str">
        <x:v>https://www.ikea.com/hu/hu/p/flintan-irodai-szek-bezs-70492202/</x:v>
      </x:c>
      <x:c r="L76" s="19" t="str">
        <x:v>710×710×max1140 mm</x:v>
      </x:c>
      <x:c r="M76" s="19" t="str">
        <x:v>Kyoto Ink: grafit / füstszürke / taupe</x:v>
      </x:c>
      <x:c r="N76" s="19" t="str">
        <x:v>PENDING – műszaki specifikáció szerint</x:v>
      </x:c>
      <x:c r="O76" s="19" t="n">
        <x:v>1</x:v>
      </x:c>
      <x:c r="P76" s="19" t="str">
        <x:v>csomag</x:v>
      </x:c>
      <x:c r="Q76" s="20" t="n">
        <x:v>24990</x:v>
      </x:c>
      <x:c r="R76" s="20" t="n">
        <x:v>0</x:v>
      </x:c>
      <x:c r="S76" s="20" t="n">
        <x:v>0</x:v>
      </x:c>
      <x:c r="T76" s="20" t="n">
        <x:v>0</x:v>
      </x:c>
      <x:c r="U76" s="21" t="n">
        <x:f>O76*Q76+SUM(R76:T76)</x:f>
        <x:v>24990</x:v>
      </x:c>
      <x:c r="V76" s="19" t="str">
        <x:v>ellenőrzött webshopár</x:v>
      </x:c>
      <x:c r="W76" s="19" t="str">
        <x:v>https://www.ikea.com/hu/hu/p/flintan-irodai-szek-bezs-70492202/</x:v>
      </x:c>
      <x:c r="X76" s="19" t="str">
        <x:v>2026-10-26</x:v>
      </x:c>
      <x:c r="Y76" s="19" t="str">
        <x:v>UNKNOWN – ajánlatban visszaigazolandó</x:v>
      </x:c>
      <x:c r="Z76" s="19" t="str">
        <x:v>C</x:v>
      </x:c>
      <x:c r="AA76" s="19" t="str">
        <x:v>Működő munkaszék; hálós háttámla funkcionális, nem Eamy sziluett.</x:v>
      </x:c>
      <x:c r="AB76" s="19" t="str">
        <x:v>PENDING</x:v>
      </x:c>
      <x:c r="AC76" s="19" t="str">
        <x:v>nem megrendelt</x:v>
      </x:c>
      <x:c r="AD76" s="19" t="str">
        <x:v>Beszerzési felelős / Péter</x:v>
      </x:c>
      <x:c r="AE76" s="19" t="str">
        <x:v>PENDING – méret, csatlakozás, anyagminta, teljes bekerülés</x:v>
      </x:c>
      <x:c r="AF76" s="19" t="str">
        <x:v>CP0 becslési csomag: segédanyag és munkadíj a megnevezett tartalom szerint; külön szállítás a 14 sorban. Nem ingyenes szállítás.</x:v>
      </x:c>
      <x:c r="AG76" s="20" t="n">
        <x:v>24990</x:v>
      </x:c>
      <x:c r="AH76" s="21" t="n">
        <x:f>O76*AG76+SUM(R76:T76)</x:f>
        <x:v>24990</x:v>
      </x:c>
      <x:c r="AI76" s="19" t="str">
        <x:v>PENDING</x:v>
      </x:c>
      <x:c r="AJ76" s="19" t="str">
        <x:v>PENDING</x:v>
      </x:c>
      <x:c r="AK76" s="19" t="str">
        <x:v>magyar címre és darabszámra nem visszaigazolt</x:v>
      </x:c>
      <x:c r="AL76" s="19" t="str">
        <x:v>PENDING</x:v>
      </x:c>
      <x:c r="AM76" s="19" t="str">
        <x:v>PENDING</x:v>
      </x:c>
      <x:c r="AN76" s="1" t="str">
        <x:v>KI-075</x:v>
      </x:c>
      <x:c r="AO76" s="1" t="str">
        <x:v>drawings/P-01_alaprajz.pdf</x:v>
      </x:c>
      <x:c r="AP76" s="1" t="str">
        <x:v>KI_KI-075</x:v>
      </x:c>
      <x:c r="AQ76" s="1" t="str">
        <x:v>késztermék / szakági munka</x:v>
      </x:c>
      <x:c r="AR76" s="1" t="str">
        <x:v>gyártói termékoldal/adatlap</x:v>
      </x:c>
      <x:c r="AS76" s="1" t="str">
        <x:v>HUF</x:v>
      </x:c>
      <x:c r="AT76" s="1" t="n">
        <x:v>1</x:v>
      </x:c>
      <x:c r="AU76" s="1" t="str">
        <x:v>nincs visszaigazolt ajánlati érvényesség</x:v>
      </x:c>
      <x:c r="AV76" s="1" t="str">
        <x:v>KI-151 központi keret; daruzás KI-137</x:v>
      </x:c>
      <x:c r="AW76" s="1" t="str">
        <x:v>KI-014 asztalos / KI-106 villamos / KI-026 és KI-096 víz / KI-127 fal</x:v>
      </x:c>
      <x:c r="AX76" s="1" t="n">
        <x:v>6</x:v>
      </x:c>
      <x:c r="AY76" s="1" t="n">
        <x:v>1</x:v>
      </x:c>
      <x:c r="AZ76" s="1" t="n">
        <x:v>1.12</x:v>
      </x:c>
      <x:c r="BA76" s="29" t="n">
        <x:f>ROUND(U76*AY76,0)</x:f>
        <x:v>24990</x:v>
      </x:c>
      <x:c r="BB76" s="29" t="n">
        <x:f>ROUND(U76*AZ76,0)</x:f>
        <x:v>27989</x:v>
      </x:c>
    </x:row>
    <x:row r="77" ht="72" customHeight="1">
      <x:c r="A77" s="12" t="str">
        <x:v>A-902</x:v>
      </x:c>
      <x:c r="B77" s="12" t="str">
        <x:v>05.3</x:v>
      </x:c>
      <x:c r="C77" s="12" t="str">
        <x:v>KI-076</x:v>
      </x:c>
      <x:c r="D77" s="12" t="str">
        <x:v>CP3/render_handoff/manifest_CP3.json</x:v>
      </x:c>
      <x:c r="E77" s="12" t="str">
        <x:v>06</x:v>
      </x:c>
      <x:c r="F77" s="12" t="str">
        <x:v>FIX</x:v>
      </x:c>
      <x:c r="G77" s="12" t="str">
        <x:v>Bútor</x:v>
      </x:c>
      <x:c r="H77" s="19" t="str">
        <x:v>Éjjeli és kisebb tároló</x:v>
      </x:c>
      <x:c r="I77" s="19" t="str">
        <x:v>UNKNOWN</x:v>
      </x:c>
      <x:c r="J77" s="19" t="str">
        <x:v>UNKNOWN</x:v>
      </x:c>
      <x:c r="K77" s="19" t="str">
        <x:v>UNKNOWN</x:v>
      </x:c>
      <x:c r="L77" s="19" t="str">
        <x:v>NT-76: 350×350×450 mm</x:v>
      </x:c>
      <x:c r="M77" s="19" t="str">
        <x:v>Kyoto Ink: grafit / füstszürke / taupe</x:v>
      </x:c>
      <x:c r="N77" s="19" t="str">
        <x:v>PENDING – műszaki specifikáció szerint</x:v>
      </x:c>
      <x:c r="O77" s="19" t="n">
        <x:v>1</x:v>
      </x:c>
      <x:c r="P77" s="19" t="str">
        <x:v>csomag</x:v>
      </x:c>
      <x:c r="Q77" s="20" t="n">
        <x:v>35000</x:v>
      </x:c>
      <x:c r="R77" s="20" t="n">
        <x:v>0</x:v>
      </x:c>
      <x:c r="S77" s="20" t="n">
        <x:v>0</x:v>
      </x:c>
      <x:c r="T77" s="20" t="n">
        <x:v>0</x:v>
      </x:c>
      <x:c r="U77" s="21" t="n">
        <x:f>O77*Q77+SUM(R77:T77)</x:f>
        <x:v>35000</x:v>
      </x:c>
      <x:c r="V77" s="19" t="str">
        <x:v>előzetes becslés</x:v>
      </x:c>
      <x:c r="W77" s="19" t="str">
        <x:v>CP0 tervezői előirányzat, nem webshopár; baseline 06</x:v>
      </x:c>
      <x:c r="X77" s="19" t="str">
        <x:v>2026-10-26</x:v>
      </x:c>
      <x:c r="Y77" s="19" t="str">
        <x:v>UNKNOWN – ajánlatban visszaigazolandó</x:v>
      </x:c>
      <x:c r="Z77" s="19" t="str">
        <x:v>C</x:v>
      </x:c>
      <x:c r="AA77" s="19" t="str">
        <x:v>PENDING</x:v>
      </x:c>
      <x:c r="AB77" s="19" t="str">
        <x:v>PENDING</x:v>
      </x:c>
      <x:c r="AC77" s="19" t="str">
        <x:v>nem megrendelt</x:v>
      </x:c>
      <x:c r="AD77" s="19" t="str">
        <x:v>Beszerzési felelős / Péter</x:v>
      </x:c>
      <x:c r="AE77" s="19" t="str">
        <x:v>PENDING – méret, csatlakozás, anyagminta, teljes bekerülés</x:v>
      </x:c>
      <x:c r="AF77" s="19" t="str">
        <x:v>R06: változatlan350×350×450 test; új helyX14025,Y5920mm. Fiók/ajtó mozgás részletesen ellenőrzendő.</x:v>
      </x:c>
      <x:c r="AG77" s="20" t="n">
        <x:v>35000</x:v>
      </x:c>
      <x:c r="AH77" s="21" t="n">
        <x:f>O77*AG77+SUM(R77:T77)</x:f>
        <x:v>35000</x:v>
      </x:c>
      <x:c r="AI77" s="19" t="str">
        <x:v>PENDING</x:v>
      </x:c>
      <x:c r="AJ77" s="19" t="str">
        <x:v>PENDING</x:v>
      </x:c>
      <x:c r="AK77" s="19" t="str">
        <x:v>PENDING</x:v>
      </x:c>
      <x:c r="AL77" s="19" t="str">
        <x:v>PENDING</x:v>
      </x:c>
      <x:c r="AM77" s="19" t="str">
        <x:v>PENDING</x:v>
      </x:c>
      <x:c r="AN77" s="1" t="str">
        <x:v>NT-76</x:v>
      </x:c>
      <x:c r="AO77" s="1" t="str">
        <x:v>CP3/drawings/NT-76_CP3.pdf</x:v>
      </x:c>
      <x:c r="AP77" s="1" t="str">
        <x:v>CP3_NT-76</x:v>
      </x:c>
      <x:c r="AQ77" s="1" t="str">
        <x:v>egyedi gyártás</x:v>
      </x:c>
      <x:c r="AR77" s="1" t="str">
        <x:v>R02 méretezett ajánlati terv; nem helyszíni méret</x:v>
      </x:c>
      <x:c r="AS77" s="1" t="str">
        <x:v>HUF</x:v>
      </x:c>
      <x:c r="AT77" s="1" t="n">
        <x:v>1</x:v>
      </x:c>
      <x:c r="AU77" s="1" t="str">
        <x:v>nincs visszaigazolt ajánlati érvényesség</x:v>
      </x:c>
      <x:c r="AV77" s="1" t="str">
        <x:v>KI-151 központi keret; daruzás KI-137</x:v>
      </x:c>
      <x:c r="AW77" s="1" t="str">
        <x:v>KI-014 asztalos / KI-106 villamos / KI-026 és KI-096 víz / KI-127 fal</x:v>
      </x:c>
      <x:c r="AX77" s="1" t="n">
        <x:v>4</x:v>
      </x:c>
      <x:c r="AY77" s="1" t="n">
        <x:v>0.85</x:v>
      </x:c>
      <x:c r="AZ77" s="1" t="n">
        <x:v>1.3</x:v>
      </x:c>
      <x:c r="BA77" s="29" t="n">
        <x:f>ROUND(U77*AY77,0)</x:f>
        <x:v>29750</x:v>
      </x:c>
      <x:c r="BB77" s="29" t="n">
        <x:f>ROUND(U77*AZ77,0)</x:f>
        <x:v>45500</x:v>
      </x:c>
    </x:row>
    <x:row r="78" ht="72" customHeight="1">
      <x:c r="A78" s="12" t="str">
        <x:v>A-902</x:v>
      </x:c>
      <x:c r="B78" s="12" t="str">
        <x:v>05.3</x:v>
      </x:c>
      <x:c r="C78" s="12" t="str">
        <x:v>KI-077</x:v>
      </x:c>
      <x:c r="D78" s="12" t="str">
        <x:v>NEM RENDERELT</x:v>
      </x:c>
      <x:c r="E78" s="12" t="str">
        <x:v>06</x:v>
      </x:c>
      <x:c r="F78" s="12" t="str">
        <x:v>FIX</x:v>
      </x:c>
      <x:c r="G78" s="12" t="str">
        <x:v>Textil</x:v>
      </x:c>
      <x:c r="H78" s="19" t="str">
        <x:v>Függöny, sín, varrás és rögzítés</x:v>
      </x:c>
      <x:c r="I78" s="19" t="str">
        <x:v>UNKNOWN</x:v>
      </x:c>
      <x:c r="J78" s="19" t="str">
        <x:v>UNKNOWN</x:v>
      </x:c>
      <x:c r="K78" s="19" t="str">
        <x:v>UNKNOWN</x:v>
      </x:c>
      <x:c r="L78" s="19" t="str">
        <x:v>UNKNOWN – felmérés/gyári adat kell</x:v>
      </x:c>
      <x:c r="M78" s="19" t="str">
        <x:v>Kyoto Ink: grafit / füstszürke / taupe</x:v>
      </x:c>
      <x:c r="N78" s="19" t="str">
        <x:v>PENDING – műszaki specifikáció szerint</x:v>
      </x:c>
      <x:c r="O78" s="19" t="n">
        <x:v>1</x:v>
      </x:c>
      <x:c r="P78" s="19" t="str">
        <x:v>csomag</x:v>
      </x:c>
      <x:c r="Q78" s="20" t="n">
        <x:v>100000</x:v>
      </x:c>
      <x:c r="R78" s="20" t="n">
        <x:v>0</x:v>
      </x:c>
      <x:c r="S78" s="20" t="n">
        <x:v>0</x:v>
      </x:c>
      <x:c r="T78" s="20" t="n">
        <x:v>0</x:v>
      </x:c>
      <x:c r="U78" s="21" t="n">
        <x:f>O78*Q78+SUM(R78:T78)</x:f>
        <x:v>100000</x:v>
      </x:c>
      <x:c r="V78" s="19" t="str">
        <x:v>előzetes becslés</x:v>
      </x:c>
      <x:c r="W78" s="19" t="str">
        <x:v>CP0 tervezői előirányzat, nem webshopár; baseline 06</x:v>
      </x:c>
      <x:c r="X78" s="19" t="str">
        <x:v>2026-10-26</x:v>
      </x:c>
      <x:c r="Y78" s="19" t="str">
        <x:v>UNKNOWN – ajánlatban visszaigazolandó</x:v>
      </x:c>
      <x:c r="Z78" s="19" t="str">
        <x:v>C</x:v>
      </x:c>
      <x:c r="AA78" s="19" t="str">
        <x:v>PENDING</x:v>
      </x:c>
      <x:c r="AB78" s="19" t="str">
        <x:v>PENDING</x:v>
      </x:c>
      <x:c r="AC78" s="19" t="str">
        <x:v>nem megrendelt</x:v>
      </x:c>
      <x:c r="AD78" s="19" t="str">
        <x:v>Függönyös</x:v>
      </x:c>
      <x:c r="AE78" s="19" t="str">
        <x:v>PENDING – méret, csatlakozás, anyagminta, teljes bekerülés</x:v>
      </x:c>
      <x:c r="AF78" s="19" t="str">
        <x:v>CP0 becslési csomag: segédanyag és munkadíj a megnevezett tartalom szerint; külön szállítás a 14 sorban. Nem ingyenes szállítás.</x:v>
      </x:c>
      <x:c r="AG78" s="20" t="n">
        <x:v>100000</x:v>
      </x:c>
      <x:c r="AH78" s="21" t="n">
        <x:f>O78*AG78+SUM(R78:T78)</x:f>
        <x:v>100000</x:v>
      </x:c>
      <x:c r="AI78" s="19" t="str">
        <x:v>PENDING</x:v>
      </x:c>
      <x:c r="AJ78" s="19" t="str">
        <x:v>PENDING</x:v>
      </x:c>
      <x:c r="AK78" s="19" t="str">
        <x:v>PENDING</x:v>
      </x:c>
      <x:c r="AL78" s="19" t="str">
        <x:v>PENDING</x:v>
      </x:c>
      <x:c r="AM78" s="19" t="str">
        <x:v>PENDING</x:v>
      </x:c>
      <x:c r="AN78" s="1" t="str">
        <x:v>KI-077</x:v>
      </x:c>
      <x:c r="AO78" s="1" t="str">
        <x:v>drawings/P-01_alaprajz.pdf</x:v>
      </x:c>
      <x:c r="AP78" s="1" t="str">
        <x:v>NINCS MODELL / nem térbeli költségsor; szakági kapcsolat igazolandó</x:v>
      </x:c>
      <x:c r="AQ78" s="1" t="str">
        <x:v>késztermék / szakági munka</x:v>
      </x:c>
      <x:c r="AR78" s="1" t="str">
        <x:v>felmérés/gyártói rajz szükséges</x:v>
      </x:c>
      <x:c r="AS78" s="1" t="str">
        <x:v>HUF</x:v>
      </x:c>
      <x:c r="AT78" s="1" t="n">
        <x:v>1</x:v>
      </x:c>
      <x:c r="AU78" s="1" t="str">
        <x:v>nincs visszaigazolt ajánlati érvényesség</x:v>
      </x:c>
      <x:c r="AV78" s="1" t="str">
        <x:v>KI-151 központi keret; daruzás KI-137</x:v>
      </x:c>
      <x:c r="AW78" s="1" t="str">
        <x:v>KI-014 asztalos / KI-106 villamos / KI-026 és KI-096 víz / KI-127 fal</x:v>
      </x:c>
      <x:c r="AX78" s="1" t="n">
        <x:v>6</x:v>
      </x:c>
      <x:c r="AY78" s="1" t="n">
        <x:v>0.85</x:v>
      </x:c>
      <x:c r="AZ78" s="1" t="n">
        <x:v>1.3</x:v>
      </x:c>
      <x:c r="BA78" s="29" t="n">
        <x:f>ROUND(U78*AY78,0)</x:f>
        <x:v>85000</x:v>
      </x:c>
      <x:c r="BB78" s="29" t="n">
        <x:f>ROUND(U78*AZ78,0)</x:f>
        <x:v>130000</x:v>
      </x:c>
    </x:row>
    <x:row r="79" ht="72" customHeight="1">
      <x:c r="A79" s="12" t="str">
        <x:v>A-902</x:v>
      </x:c>
      <x:c r="B79" s="12" t="str">
        <x:v>05.3</x:v>
      </x:c>
      <x:c r="C79" s="12" t="str">
        <x:v>KI-078</x:v>
      </x:c>
      <x:c r="D79" s="12" t="str">
        <x:v>NEM RENDERELT</x:v>
      </x:c>
      <x:c r="E79" s="12" t="str">
        <x:v>06</x:v>
      </x:c>
      <x:c r="F79" s="12" t="str">
        <x:v>FIX</x:v>
      </x:c>
      <x:c r="G79" s="12" t="str">
        <x:v>Textil</x:v>
      </x:c>
      <x:c r="H79" s="19" t="str">
        <x:v>Ágynemű, párna, paplan és ágytakaró</x:v>
      </x:c>
      <x:c r="I79" s="19" t="str">
        <x:v>UNKNOWN</x:v>
      </x:c>
      <x:c r="J79" s="19" t="str">
        <x:v>UNKNOWN</x:v>
      </x:c>
      <x:c r="K79" s="19" t="str">
        <x:v>UNKNOWN</x:v>
      </x:c>
      <x:c r="L79" s="19" t="str">
        <x:v>UNKNOWN – felmérés/gyári adat kell</x:v>
      </x:c>
      <x:c r="M79" s="19" t="str">
        <x:v>Kyoto Ink: grafit / füstszürke / taupe</x:v>
      </x:c>
      <x:c r="N79" s="19" t="str">
        <x:v>PENDING – műszaki specifikáció szerint</x:v>
      </x:c>
      <x:c r="O79" s="19" t="n">
        <x:v>1</x:v>
      </x:c>
      <x:c r="P79" s="19" t="str">
        <x:v>csomag</x:v>
      </x:c>
      <x:c r="Q79" s="20" t="n">
        <x:v>50000</x:v>
      </x:c>
      <x:c r="R79" s="20" t="n">
        <x:v>0</x:v>
      </x:c>
      <x:c r="S79" s="20" t="n">
        <x:v>0</x:v>
      </x:c>
      <x:c r="T79" s="20" t="n">
        <x:v>0</x:v>
      </x:c>
      <x:c r="U79" s="21" t="n">
        <x:f>O79*Q79+SUM(R79:T79)</x:f>
        <x:v>50000</x:v>
      </x:c>
      <x:c r="V79" s="19" t="str">
        <x:v>előzetes becslés</x:v>
      </x:c>
      <x:c r="W79" s="19" t="str">
        <x:v>CP0 tervezői előirányzat, nem webshopár; baseline 06</x:v>
      </x:c>
      <x:c r="X79" s="19" t="str">
        <x:v>2026-10-26</x:v>
      </x:c>
      <x:c r="Y79" s="19" t="str">
        <x:v>UNKNOWN – ajánlatban visszaigazolandó</x:v>
      </x:c>
      <x:c r="Z79" s="19" t="str">
        <x:v>C</x:v>
      </x:c>
      <x:c r="AA79" s="19" t="str">
        <x:v>PENDING</x:v>
      </x:c>
      <x:c r="AB79" s="19" t="str">
        <x:v>PENDING</x:v>
      </x:c>
      <x:c r="AC79" s="19" t="str">
        <x:v>nem megrendelt</x:v>
      </x:c>
      <x:c r="AD79" s="19" t="str">
        <x:v>Függönyös</x:v>
      </x:c>
      <x:c r="AE79" s="19" t="str">
        <x:v>PENDING – méret, csatlakozás, anyagminta, teljes bekerülés</x:v>
      </x:c>
      <x:c r="AF79" s="19" t="str">
        <x:v>CP0 becslési csomag: segédanyag és munkadíj a megnevezett tartalom szerint; külön szállítás a 14 sorban. Nem ingyenes szállítás.</x:v>
      </x:c>
      <x:c r="AG79" s="20" t="n">
        <x:v>50000</x:v>
      </x:c>
      <x:c r="AH79" s="21" t="n">
        <x:f>O79*AG79+SUM(R79:T79)</x:f>
        <x:v>50000</x:v>
      </x:c>
      <x:c r="AI79" s="19" t="str">
        <x:v>PENDING</x:v>
      </x:c>
      <x:c r="AJ79" s="19" t="str">
        <x:v>PENDING</x:v>
      </x:c>
      <x:c r="AK79" s="19" t="str">
        <x:v>PENDING</x:v>
      </x:c>
      <x:c r="AL79" s="19" t="str">
        <x:v>PENDING</x:v>
      </x:c>
      <x:c r="AM79" s="19" t="str">
        <x:v>PENDING</x:v>
      </x:c>
      <x:c r="AN79" s="1" t="str">
        <x:v>KI-078</x:v>
      </x:c>
      <x:c r="AO79" s="1" t="str">
        <x:v>drawings/P-01_alaprajz.pdf</x:v>
      </x:c>
      <x:c r="AP79" s="1" t="str">
        <x:v>NINCS MODELL / nem térbeli költségsor; szakági kapcsolat igazolandó</x:v>
      </x:c>
      <x:c r="AQ79" s="1" t="str">
        <x:v>késztermék / szakági munka</x:v>
      </x:c>
      <x:c r="AR79" s="1" t="str">
        <x:v>felmérés/gyártói rajz szükséges</x:v>
      </x:c>
      <x:c r="AS79" s="1" t="str">
        <x:v>HUF</x:v>
      </x:c>
      <x:c r="AT79" s="1" t="n">
        <x:v>1</x:v>
      </x:c>
      <x:c r="AU79" s="1" t="str">
        <x:v>nincs visszaigazolt ajánlati érvényesség</x:v>
      </x:c>
      <x:c r="AV79" s="1" t="str">
        <x:v>KI-151 központi keret; daruzás KI-137</x:v>
      </x:c>
      <x:c r="AW79" s="1" t="str">
        <x:v>KI-014 asztalos / KI-106 villamos / KI-026 és KI-096 víz / KI-127 fal</x:v>
      </x:c>
      <x:c r="AX79" s="1" t="n">
        <x:v>6</x:v>
      </x:c>
      <x:c r="AY79" s="1" t="n">
        <x:v>0.85</x:v>
      </x:c>
      <x:c r="AZ79" s="1" t="n">
        <x:v>1.3</x:v>
      </x:c>
      <x:c r="BA79" s="29" t="n">
        <x:f>ROUND(U79*AY79,0)</x:f>
        <x:v>42500</x:v>
      </x:c>
      <x:c r="BB79" s="29" t="n">
        <x:f>ROUND(U79*AZ79,0)</x:f>
        <x:v>65000</x:v>
      </x:c>
    </x:row>
    <x:row r="80" ht="72" customHeight="1">
      <x:c r="A80" s="12" t="str">
        <x:v>A-902</x:v>
      </x:c>
      <x:c r="B80" s="12" t="str">
        <x:v>05.3</x:v>
      </x:c>
      <x:c r="C80" s="12" t="str">
        <x:v>KI-079</x:v>
      </x:c>
      <x:c r="D80" s="12" t="str">
        <x:v>NEM RENDERELT</x:v>
      </x:c>
      <x:c r="E80" s="12" t="str">
        <x:v>06</x:v>
      </x:c>
      <x:c r="F80" s="12" t="str">
        <x:v>FIX</x:v>
      </x:c>
      <x:c r="G80" s="12" t="str">
        <x:v>Textil</x:v>
      </x:c>
      <x:c r="H80" s="19" t="str">
        <x:v>Szőnyeg</x:v>
      </x:c>
      <x:c r="I80" s="19" t="str">
        <x:v>UNKNOWN</x:v>
      </x:c>
      <x:c r="J80" s="19" t="str">
        <x:v>UNKNOWN</x:v>
      </x:c>
      <x:c r="K80" s="19" t="str">
        <x:v>UNKNOWN</x:v>
      </x:c>
      <x:c r="L80" s="19" t="str">
        <x:v>UNKNOWN – felmérés/gyári adat kell</x:v>
      </x:c>
      <x:c r="M80" s="19" t="str">
        <x:v>Kyoto Ink: grafit / füstszürke / taupe</x:v>
      </x:c>
      <x:c r="N80" s="19" t="str">
        <x:v>PENDING – műszaki specifikáció szerint</x:v>
      </x:c>
      <x:c r="O80" s="19" t="n">
        <x:v>1</x:v>
      </x:c>
      <x:c r="P80" s="19" t="str">
        <x:v>csomag</x:v>
      </x:c>
      <x:c r="Q80" s="20" t="n">
        <x:v>35000</x:v>
      </x:c>
      <x:c r="R80" s="20" t="n">
        <x:v>0</x:v>
      </x:c>
      <x:c r="S80" s="20" t="n">
        <x:v>0</x:v>
      </x:c>
      <x:c r="T80" s="20" t="n">
        <x:v>0</x:v>
      </x:c>
      <x:c r="U80" s="21" t="n">
        <x:f>O80*Q80+SUM(R80:T80)</x:f>
        <x:v>35000</x:v>
      </x:c>
      <x:c r="V80" s="19" t="str">
        <x:v>előzetes becslés</x:v>
      </x:c>
      <x:c r="W80" s="19" t="str">
        <x:v>CP0 tervezői előirányzat, nem webshopár; baseline 06</x:v>
      </x:c>
      <x:c r="X80" s="19" t="str">
        <x:v>2026-10-26</x:v>
      </x:c>
      <x:c r="Y80" s="19" t="str">
        <x:v>UNKNOWN – ajánlatban visszaigazolandó</x:v>
      </x:c>
      <x:c r="Z80" s="19" t="str">
        <x:v>C</x:v>
      </x:c>
      <x:c r="AA80" s="19" t="str">
        <x:v>PENDING</x:v>
      </x:c>
      <x:c r="AB80" s="19" t="str">
        <x:v>PENDING</x:v>
      </x:c>
      <x:c r="AC80" s="19" t="str">
        <x:v>nem megrendelt</x:v>
      </x:c>
      <x:c r="AD80" s="19" t="str">
        <x:v>Függönyös</x:v>
      </x:c>
      <x:c r="AE80" s="19" t="str">
        <x:v>PENDING – méret, csatlakozás, anyagminta, teljes bekerülés</x:v>
      </x:c>
      <x:c r="AF80" s="19" t="str">
        <x:v>CP0 becslési csomag: segédanyag és munkadíj a megnevezett tartalom szerint; külön szállítás a 14 sorban. Nem ingyenes szállítás.</x:v>
      </x:c>
      <x:c r="AG80" s="20" t="n">
        <x:v>35000</x:v>
      </x:c>
      <x:c r="AH80" s="21" t="n">
        <x:f>O80*AG80+SUM(R80:T80)</x:f>
        <x:v>35000</x:v>
      </x:c>
      <x:c r="AI80" s="19" t="str">
        <x:v>PENDING</x:v>
      </x:c>
      <x:c r="AJ80" s="19" t="str">
        <x:v>PENDING</x:v>
      </x:c>
      <x:c r="AK80" s="19" t="str">
        <x:v>PENDING</x:v>
      </x:c>
      <x:c r="AL80" s="19" t="str">
        <x:v>PENDING</x:v>
      </x:c>
      <x:c r="AM80" s="19" t="str">
        <x:v>PENDING</x:v>
      </x:c>
      <x:c r="AN80" s="1" t="str">
        <x:v>KI-079</x:v>
      </x:c>
      <x:c r="AO80" s="1" t="str">
        <x:v>drawings/P-01_alaprajz.pdf</x:v>
      </x:c>
      <x:c r="AP80" s="1" t="str">
        <x:v>NINCS MODELL / nem térbeli költségsor; szakági kapcsolat igazolandó</x:v>
      </x:c>
      <x:c r="AQ80" s="1" t="str">
        <x:v>késztermék / szakági munka</x:v>
      </x:c>
      <x:c r="AR80" s="1" t="str">
        <x:v>felmérés/gyártói rajz szükséges</x:v>
      </x:c>
      <x:c r="AS80" s="1" t="str">
        <x:v>HUF</x:v>
      </x:c>
      <x:c r="AT80" s="1" t="n">
        <x:v>1</x:v>
      </x:c>
      <x:c r="AU80" s="1" t="str">
        <x:v>nincs visszaigazolt ajánlati érvényesség</x:v>
      </x:c>
      <x:c r="AV80" s="1" t="str">
        <x:v>KI-151 központi keret; daruzás KI-137</x:v>
      </x:c>
      <x:c r="AW80" s="1" t="str">
        <x:v>KI-014 asztalos / KI-106 villamos / KI-026 és KI-096 víz / KI-127 fal</x:v>
      </x:c>
      <x:c r="AX80" s="1" t="n">
        <x:v>6</x:v>
      </x:c>
      <x:c r="AY80" s="1" t="n">
        <x:v>0.85</x:v>
      </x:c>
      <x:c r="AZ80" s="1" t="n">
        <x:v>1.3</x:v>
      </x:c>
      <x:c r="BA80" s="29" t="n">
        <x:f>ROUND(U80*AY80,0)</x:f>
        <x:v>29750</x:v>
      </x:c>
      <x:c r="BB80" s="29" t="n">
        <x:f>ROUND(U80*AZ80,0)</x:f>
        <x:v>45500</x:v>
      </x:c>
    </x:row>
    <x:row r="81" ht="72" customHeight="1">
      <x:c r="A81" s="12" t="str">
        <x:v>A-902</x:v>
      </x:c>
      <x:c r="B81" s="12" t="str">
        <x:v>05.3</x:v>
      </x:c>
      <x:c r="C81" s="12" t="str">
        <x:v>KI-080</x:v>
      </x:c>
      <x:c r="D81" s="12" t="str">
        <x:v>NEM RENDERELT</x:v>
      </x:c>
      <x:c r="E81" s="12" t="str">
        <x:v>06</x:v>
      </x:c>
      <x:c r="F81" s="12" t="str">
        <x:v>FIX</x:v>
      </x:c>
      <x:c r="G81" s="12" t="str">
        <x:v>Művészet</x:v>
      </x:c>
      <x:c r="H81" s="19" t="str">
        <x:v>Keretelt saját tusgrafika és rögzítés</x:v>
      </x:c>
      <x:c r="I81" s="19" t="str">
        <x:v>UNKNOWN</x:v>
      </x:c>
      <x:c r="J81" s="19" t="str">
        <x:v>UNKNOWN</x:v>
      </x:c>
      <x:c r="K81" s="19" t="str">
        <x:v>UNKNOWN</x:v>
      </x:c>
      <x:c r="L81" s="19" t="str">
        <x:v>UNKNOWN – felmérés/gyári adat kell</x:v>
      </x:c>
      <x:c r="M81" s="19" t="str">
        <x:v>Kyoto Ink: grafit / füstszürke / taupe</x:v>
      </x:c>
      <x:c r="N81" s="19" t="str">
        <x:v>PENDING – műszaki specifikáció szerint</x:v>
      </x:c>
      <x:c r="O81" s="19" t="n">
        <x:v>1</x:v>
      </x:c>
      <x:c r="P81" s="19" t="str">
        <x:v>csomag</x:v>
      </x:c>
      <x:c r="Q81" s="20" t="n">
        <x:v>30000</x:v>
      </x:c>
      <x:c r="R81" s="20" t="n">
        <x:v>0</x:v>
      </x:c>
      <x:c r="S81" s="20" t="n">
        <x:v>0</x:v>
      </x:c>
      <x:c r="T81" s="20" t="n">
        <x:v>0</x:v>
      </x:c>
      <x:c r="U81" s="21" t="n">
        <x:f>O81*Q81+SUM(R81:T81)</x:f>
        <x:v>30000</x:v>
      </x:c>
      <x:c r="V81" s="19" t="str">
        <x:v>előzetes becslés</x:v>
      </x:c>
      <x:c r="W81" s="19" t="str">
        <x:v>CP0 tervezői előirányzat, nem webshopár; baseline 06</x:v>
      </x:c>
      <x:c r="X81" s="19" t="str">
        <x:v>2026-10-26</x:v>
      </x:c>
      <x:c r="Y81" s="19" t="str">
        <x:v>UNKNOWN – ajánlatban visszaigazolandó</x:v>
      </x:c>
      <x:c r="Z81" s="19" t="str">
        <x:v>B</x:v>
      </x:c>
      <x:c r="AA81" s="19" t="str">
        <x:v>PENDING</x:v>
      </x:c>
      <x:c r="AB81" s="19" t="str">
        <x:v>PENDING</x:v>
      </x:c>
      <x:c r="AC81" s="19" t="str">
        <x:v>nem megrendelt</x:v>
      </x:c>
      <x:c r="AD81" s="19" t="str">
        <x:v>Beszerzési felelős / Péter</x:v>
      </x:c>
      <x:c r="AE81" s="19" t="str">
        <x:v>PENDING – méret, csatlakozás, anyagminta, teljes bekerülés</x:v>
      </x:c>
      <x:c r="AF81" s="19" t="str">
        <x:v>CP0 becslési csomag: segédanyag és munkadíj a megnevezett tartalom szerint; külön szállítás a 14 sorban. Nem ingyenes szállítás.</x:v>
      </x:c>
      <x:c r="AG81" s="20" t="n">
        <x:v>30000</x:v>
      </x:c>
      <x:c r="AH81" s="21" t="n">
        <x:f>O81*AG81+SUM(R81:T81)</x:f>
        <x:v>30000</x:v>
      </x:c>
      <x:c r="AI81" s="19" t="str">
        <x:v>PENDING</x:v>
      </x:c>
      <x:c r="AJ81" s="19" t="str">
        <x:v>PENDING</x:v>
      </x:c>
      <x:c r="AK81" s="19" t="str">
        <x:v>PENDING</x:v>
      </x:c>
      <x:c r="AL81" s="19" t="str">
        <x:v>PENDING</x:v>
      </x:c>
      <x:c r="AM81" s="19" t="str">
        <x:v>PENDING</x:v>
      </x:c>
      <x:c r="AN81" s="1" t="str">
        <x:v>KI-080</x:v>
      </x:c>
      <x:c r="AO81" s="1" t="str">
        <x:v>drawings/P-01_alaprajz.pdf</x:v>
      </x:c>
      <x:c r="AP81" s="1" t="str">
        <x:v>NINCS MODELL / nem térbeli költségsor; szakági kapcsolat igazolandó</x:v>
      </x:c>
      <x:c r="AQ81" s="1" t="str">
        <x:v>késztermék / szakági munka</x:v>
      </x:c>
      <x:c r="AR81" s="1" t="str">
        <x:v>felmérés/gyártói rajz szükséges</x:v>
      </x:c>
      <x:c r="AS81" s="1" t="str">
        <x:v>HUF</x:v>
      </x:c>
      <x:c r="AT81" s="1" t="n">
        <x:v>1</x:v>
      </x:c>
      <x:c r="AU81" s="1" t="str">
        <x:v>nincs visszaigazolt ajánlati érvényesség</x:v>
      </x:c>
      <x:c r="AV81" s="1" t="str">
        <x:v>KI-151 központi keret; daruzás KI-137</x:v>
      </x:c>
      <x:c r="AW81" s="1" t="str">
        <x:v>KI-014 asztalos / KI-106 villamos / KI-026 és KI-096 víz / KI-127 fal</x:v>
      </x:c>
      <x:c r="AX81" s="1" t="n">
        <x:v>6</x:v>
      </x:c>
      <x:c r="AY81" s="1" t="n">
        <x:v>0.85</x:v>
      </x:c>
      <x:c r="AZ81" s="1" t="n">
        <x:v>1.3</x:v>
      </x:c>
      <x:c r="BA81" s="29" t="n">
        <x:f>ROUND(U81*AY81,0)</x:f>
        <x:v>25500</x:v>
      </x:c>
      <x:c r="BB81" s="29" t="n">
        <x:f>ROUND(U81*AZ81,0)</x:f>
        <x:v>39000</x:v>
      </x:c>
    </x:row>
    <x:row r="82" ht="72" customHeight="1">
      <x:c r="A82" s="12" t="str">
        <x:v>A-902</x:v>
      </x:c>
      <x:c r="B82" s="12" t="str">
        <x:v>05.3</x:v>
      </x:c>
      <x:c r="C82" s="12" t="str">
        <x:v>KI-081</x:v>
      </x:c>
      <x:c r="D82" s="12" t="str">
        <x:v>NEM RENDERELT</x:v>
      </x:c>
      <x:c r="E82" s="12" t="str">
        <x:v>06</x:v>
      </x:c>
      <x:c r="F82" s="12" t="str">
        <x:v>FIX</x:v>
      </x:c>
      <x:c r="G82" s="12" t="str">
        <x:v>Villamos</x:v>
      </x:c>
      <x:c r="H82" s="19" t="str">
        <x:v>Mennyezeti és munkafény Hue izzóval</x:v>
      </x:c>
      <x:c r="I82" s="19" t="str">
        <x:v>UNKNOWN</x:v>
      </x:c>
      <x:c r="J82" s="19" t="str">
        <x:v>UNKNOWN</x:v>
      </x:c>
      <x:c r="K82" s="19" t="str">
        <x:v>UNKNOWN</x:v>
      </x:c>
      <x:c r="L82" s="19" t="str">
        <x:v>UNKNOWN – felmérés/gyári adat kell</x:v>
      </x:c>
      <x:c r="M82" s="19" t="str">
        <x:v>Kyoto Ink: grafit / füstszürke / taupe</x:v>
      </x:c>
      <x:c r="N82" s="19" t="str">
        <x:v>PENDING – műszaki specifikáció szerint</x:v>
      </x:c>
      <x:c r="O82" s="19" t="n">
        <x:v>1</x:v>
      </x:c>
      <x:c r="P82" s="19" t="str">
        <x:v>csomag</x:v>
      </x:c>
      <x:c r="Q82" s="20" t="n">
        <x:v>70000</x:v>
      </x:c>
      <x:c r="R82" s="20" t="n">
        <x:v>0</x:v>
      </x:c>
      <x:c r="S82" s="20" t="n">
        <x:v>0</x:v>
      </x:c>
      <x:c r="T82" s="20" t="n">
        <x:v>0</x:v>
      </x:c>
      <x:c r="U82" s="21" t="n">
        <x:f>O82*Q82+SUM(R82:T82)</x:f>
        <x:v>70000</x:v>
      </x:c>
      <x:c r="V82" s="19" t="str">
        <x:v>előzetes becslés</x:v>
      </x:c>
      <x:c r="W82" s="19" t="str">
        <x:v>CP0 tervezői előirányzat, nem webshopár; baseline 06</x:v>
      </x:c>
      <x:c r="X82" s="19" t="str">
        <x:v>2026-10-26</x:v>
      </x:c>
      <x:c r="Y82" s="19" t="str">
        <x:v>UNKNOWN – ajánlatban visszaigazolandó</x:v>
      </x:c>
      <x:c r="Z82" s="19" t="str">
        <x:v>C</x:v>
      </x:c>
      <x:c r="AA82" s="19" t="str">
        <x:v>PENDING</x:v>
      </x:c>
      <x:c r="AB82" s="19" t="str">
        <x:v>PENDING</x:v>
      </x:c>
      <x:c r="AC82" s="19" t="str">
        <x:v>nem megrendelt</x:v>
      </x:c>
      <x:c r="AD82" s="19" t="str">
        <x:v>Villanyszerelő</x:v>
      </x:c>
      <x:c r="AE82" s="19" t="str">
        <x:v>PENDING – méret, csatlakozás, anyagminta, teljes bekerülés</x:v>
      </x:c>
      <x:c r="AF82" s="19" t="str">
        <x:v>CP0 becslési csomag: segédanyag és munkadíj a megnevezett tartalom szerint; külön szállítás a 14 sorban. Nem ingyenes szállítás.</x:v>
      </x:c>
      <x:c r="AG82" s="20" t="n">
        <x:v>70000</x:v>
      </x:c>
      <x:c r="AH82" s="21" t="n">
        <x:f>O82*AG82+SUM(R82:T82)</x:f>
        <x:v>70000</x:v>
      </x:c>
      <x:c r="AI82" s="19" t="str">
        <x:v>PENDING</x:v>
      </x:c>
      <x:c r="AJ82" s="19" t="str">
        <x:v>PENDING</x:v>
      </x:c>
      <x:c r="AK82" s="19" t="str">
        <x:v>PENDING</x:v>
      </x:c>
      <x:c r="AL82" s="19" t="str">
        <x:v>PENDING</x:v>
      </x:c>
      <x:c r="AM82" s="19" t="str">
        <x:v>PENDING</x:v>
      </x:c>
      <x:c r="AN82" s="1" t="str">
        <x:v>KI-081</x:v>
      </x:c>
      <x:c r="AO82" s="1" t="str">
        <x:v>drawings/P-01_alaprajz.pdf</x:v>
      </x:c>
      <x:c r="AP82" s="1" t="str">
        <x:v>NINCS MODELL / nem térbeli költségsor; szakági kapcsolat igazolandó</x:v>
      </x:c>
      <x:c r="AQ82" s="1" t="str">
        <x:v>késztermék / szakági munka</x:v>
      </x:c>
      <x:c r="AR82" s="1" t="str">
        <x:v>felmérés/gyártói rajz szükséges</x:v>
      </x:c>
      <x:c r="AS82" s="1" t="str">
        <x:v>HUF</x:v>
      </x:c>
      <x:c r="AT82" s="1" t="n">
        <x:v>1</x:v>
      </x:c>
      <x:c r="AU82" s="1" t="str">
        <x:v>nincs visszaigazolt ajánlati érvényesség</x:v>
      </x:c>
      <x:c r="AV82" s="1" t="str">
        <x:v>KI-151 központi keret; daruzás KI-137</x:v>
      </x:c>
      <x:c r="AW82" s="1" t="str">
        <x:v>KI-014 asztalos / KI-106 villamos / KI-026 és KI-096 víz / KI-127 fal</x:v>
      </x:c>
      <x:c r="AX82" s="1" t="n">
        <x:v>6</x:v>
      </x:c>
      <x:c r="AY82" s="1" t="n">
        <x:v>0.85</x:v>
      </x:c>
      <x:c r="AZ82" s="1" t="n">
        <x:v>1.3</x:v>
      </x:c>
      <x:c r="BA82" s="29" t="n">
        <x:f>ROUND(U82*AY82,0)</x:f>
        <x:v>59500</x:v>
      </x:c>
      <x:c r="BB82" s="29" t="n">
        <x:f>ROUND(U82*AZ82,0)</x:f>
        <x:v>91000</x:v>
      </x:c>
    </x:row>
    <x:row r="83" ht="72" customHeight="1">
      <x:c r="A83" s="12" t="str">
        <x:v>A-902</x:v>
      </x:c>
      <x:c r="B83" s="12" t="str">
        <x:v>01</x:v>
      </x:c>
      <x:c r="C83" s="12" t="str">
        <x:v>KI-082</x:v>
      </x:c>
      <x:c r="D83" s="12" t="str">
        <x:v>CP3/render_handoff/manifest_CP3.json</x:v>
      </x:c>
      <x:c r="E83" s="12" t="str">
        <x:v>08</x:v>
      </x:c>
      <x:c r="F83" s="12" t="str">
        <x:v>FIX</x:v>
      </x:c>
      <x:c r="G83" s="12" t="str">
        <x:v>Asztalos</x:v>
      </x:c>
      <x:c r="H83" s="19" t="str">
        <x:v>Előtéri kabát- és cipőtároló belső/front/vasalat</x:v>
      </x:c>
      <x:c r="I83" s="19" t="str">
        <x:v>UNKNOWN</x:v>
      </x:c>
      <x:c r="J83" s="19" t="str">
        <x:v>UNKNOWN</x:v>
      </x:c>
      <x:c r="K83" s="19" t="str">
        <x:v>UNKNOWN</x:v>
      </x:c>
      <x:c r="L83" s="19" t="str">
        <x:v>ENT-01: 860×540×2840 mm</x:v>
      </x:c>
      <x:c r="M83" s="19" t="str">
        <x:v>Kyoto Ink: grafit / füstszürke / taupe</x:v>
      </x:c>
      <x:c r="N83" s="19" t="str">
        <x:v>PENDING – műszaki specifikáció szerint</x:v>
      </x:c>
      <x:c r="O83" s="19" t="n">
        <x:v>1</x:v>
      </x:c>
      <x:c r="P83" s="19" t="str">
        <x:v>csomag</x:v>
      </x:c>
      <x:c r="Q83" s="20" t="n">
        <x:v>240000</x:v>
      </x:c>
      <x:c r="R83" s="20" t="n">
        <x:v>0</x:v>
      </x:c>
      <x:c r="S83" s="20" t="n">
        <x:v>0</x:v>
      </x:c>
      <x:c r="T83" s="20" t="n">
        <x:v>0</x:v>
      </x:c>
      <x:c r="U83" s="21" t="n">
        <x:f>O83*Q83+SUM(R83:T83)</x:f>
        <x:v>240000</x:v>
      </x:c>
      <x:c r="V83" s="19" t="str">
        <x:v>előzetes becslés</x:v>
      </x:c>
      <x:c r="W83" s="19" t="str">
        <x:v>CP0 tervezői előirányzat, nem webshopár; baseline 08</x:v>
      </x:c>
      <x:c r="X83" s="19" t="str">
        <x:v>2026-10-26</x:v>
      </x:c>
      <x:c r="Y83" s="19" t="str">
        <x:v>UNKNOWN – ajánlatban visszaigazolandó</x:v>
      </x:c>
      <x:c r="Z83" s="19" t="str">
        <x:v>B</x:v>
      </x:c>
      <x:c r="AA83" s="19" t="str">
        <x:v>PENDING</x:v>
      </x:c>
      <x:c r="AB83" s="19" t="str">
        <x:v>PENDING</x:v>
      </x:c>
      <x:c r="AC83" s="19" t="str">
        <x:v>nem megrendelt</x:v>
      </x:c>
      <x:c r="AD83" s="19" t="str">
        <x:v>Asztalos és belsőépítész</x:v>
      </x:c>
      <x:c r="AE83" s="19" t="str">
        <x:v>PENDING – méret, csatlakozás, anyagminta, teljes bekerülés</x:v>
      </x:c>
      <x:c r="AF83" s="19" t="str">
        <x:v>CP0 becslési csomag: segédanyag és munkadíj a megnevezett tartalom szerint; külön szállítás a 14 sorban. Nem ingyenes szállítás.</x:v>
      </x:c>
      <x:c r="AG83" s="20" t="n">
        <x:v>240000</x:v>
      </x:c>
      <x:c r="AH83" s="21" t="n">
        <x:f>O83*AG83+SUM(R83:T83)</x:f>
        <x:v>240000</x:v>
      </x:c>
      <x:c r="AI83" s="19" t="str">
        <x:v>PENDING</x:v>
      </x:c>
      <x:c r="AJ83" s="19" t="str">
        <x:v>PENDING</x:v>
      </x:c>
      <x:c r="AK83" s="19" t="str">
        <x:v>PENDING</x:v>
      </x:c>
      <x:c r="AL83" s="19" t="str">
        <x:v>PENDING</x:v>
      </x:c>
      <x:c r="AM83" s="19" t="str">
        <x:v>PENDING</x:v>
      </x:c>
      <x:c r="AN83" s="1" t="str">
        <x:v>ENT-01</x:v>
      </x:c>
      <x:c r="AO83" s="1" t="str">
        <x:v>CP3/drawings/ENT-01_CP3.pdf</x:v>
      </x:c>
      <x:c r="AP83" s="1" t="str">
        <x:v>CP3_ENT-01</x:v>
      </x:c>
      <x:c r="AQ83" s="1" t="str">
        <x:v>egyedi gyártás</x:v>
      </x:c>
      <x:c r="AR83" s="1" t="str">
        <x:v>R02 méretezett ajánlati terv; nem helyszíni méret</x:v>
      </x:c>
      <x:c r="AS83" s="1" t="str">
        <x:v>HUF</x:v>
      </x:c>
      <x:c r="AT83" s="1" t="n">
        <x:v>1</x:v>
      </x:c>
      <x:c r="AU83" s="1" t="str">
        <x:v>nincs visszaigazolt ajánlati érvényesség</x:v>
      </x:c>
      <x:c r="AV83" s="1" t="str">
        <x:v>KI-151 központi keret; daruzás KI-137</x:v>
      </x:c>
      <x:c r="AW83" s="1" t="str">
        <x:v>KI-014 asztalos / KI-106 villamos / KI-026 és KI-096 víz / KI-127 fal</x:v>
      </x:c>
      <x:c r="AX83" s="1" t="n">
        <x:v>4</x:v>
      </x:c>
      <x:c r="AY83" s="1" t="n">
        <x:v>0.85</x:v>
      </x:c>
      <x:c r="AZ83" s="1" t="n">
        <x:v>1.3</x:v>
      </x:c>
      <x:c r="BA83" s="29" t="n">
        <x:f>ROUND(U83*AY83,0)</x:f>
        <x:v>204000</x:v>
      </x:c>
      <x:c r="BB83" s="29" t="n">
        <x:f>ROUND(U83*AZ83,0)</x:f>
        <x:v>312000</x:v>
      </x:c>
    </x:row>
    <x:row r="84" ht="72" customHeight="1">
      <x:c r="A84" s="12" t="str">
        <x:v>A-902</x:v>
      </x:c>
      <x:c r="B84" s="12" t="str">
        <x:v>01</x:v>
      </x:c>
      <x:c r="C84" s="12" t="str">
        <x:v>KI-083</x:v>
      </x:c>
      <x:c r="D84" s="12" t="str">
        <x:v>CP3/render_handoff/manifest_CP3.json</x:v>
      </x:c>
      <x:c r="E84" s="12" t="str">
        <x:v>08</x:v>
      </x:c>
      <x:c r="F84" s="12" t="str">
        <x:v>FIX</x:v>
      </x:c>
      <x:c r="G84" s="12" t="str">
        <x:v>Asztalos</x:v>
      </x:c>
      <x:c r="H84" s="19" t="str">
        <x:v>Előtéri pad és fali fogas</x:v>
      </x:c>
      <x:c r="I84" s="19" t="str">
        <x:v>UNKNOWN</x:v>
      </x:c>
      <x:c r="J84" s="19" t="str">
        <x:v>UNKNOWN</x:v>
      </x:c>
      <x:c r="K84" s="19" t="str">
        <x:v>UNKNOWN</x:v>
      </x:c>
      <x:c r="L84" s="19" t="str">
        <x:v>ENT-02: 800×350×450 mm</x:v>
      </x:c>
      <x:c r="M84" s="19" t="str">
        <x:v>Kyoto Ink: grafit / füstszürke / taupe</x:v>
      </x:c>
      <x:c r="N84" s="19" t="str">
        <x:v>PENDING – műszaki specifikáció szerint</x:v>
      </x:c>
      <x:c r="O84" s="19" t="n">
        <x:v>1</x:v>
      </x:c>
      <x:c r="P84" s="19" t="str">
        <x:v>csomag</x:v>
      </x:c>
      <x:c r="Q84" s="20" t="n">
        <x:v>70000</x:v>
      </x:c>
      <x:c r="R84" s="20" t="n">
        <x:v>0</x:v>
      </x:c>
      <x:c r="S84" s="20" t="n">
        <x:v>0</x:v>
      </x:c>
      <x:c r="T84" s="20" t="n">
        <x:v>0</x:v>
      </x:c>
      <x:c r="U84" s="21" t="n">
        <x:f>O84*Q84+SUM(R84:T84)</x:f>
        <x:v>70000</x:v>
      </x:c>
      <x:c r="V84" s="19" t="str">
        <x:v>előzetes becslés</x:v>
      </x:c>
      <x:c r="W84" s="19" t="str">
        <x:v>CP0 tervezői előirányzat, nem webshopár; baseline 08</x:v>
      </x:c>
      <x:c r="X84" s="19" t="str">
        <x:v>2026-10-26</x:v>
      </x:c>
      <x:c r="Y84" s="19" t="str">
        <x:v>UNKNOWN – ajánlatban visszaigazolandó</x:v>
      </x:c>
      <x:c r="Z84" s="19" t="str">
        <x:v>B</x:v>
      </x:c>
      <x:c r="AA84" s="19" t="str">
        <x:v>PENDING</x:v>
      </x:c>
      <x:c r="AB84" s="19" t="str">
        <x:v>PENDING</x:v>
      </x:c>
      <x:c r="AC84" s="19" t="str">
        <x:v>nem megrendelt</x:v>
      </x:c>
      <x:c r="AD84" s="19" t="str">
        <x:v>Asztalos és belsőépítész</x:v>
      </x:c>
      <x:c r="AE84" s="19" t="str">
        <x:v>PENDING – méret, csatlakozás, anyagminta, teljes bekerülés</x:v>
      </x:c>
      <x:c r="AF84" s="19" t="str">
        <x:v>CP0 becslési csomag: segédanyag és munkadíj a megnevezett tartalom szerint; külön szállítás a 14 sorban. Nem ingyenes szállítás.</x:v>
      </x:c>
      <x:c r="AG84" s="20" t="n">
        <x:v>70000</x:v>
      </x:c>
      <x:c r="AH84" s="21" t="n">
        <x:f>O84*AG84+SUM(R84:T84)</x:f>
        <x:v>70000</x:v>
      </x:c>
      <x:c r="AI84" s="19" t="str">
        <x:v>PENDING</x:v>
      </x:c>
      <x:c r="AJ84" s="19" t="str">
        <x:v>PENDING</x:v>
      </x:c>
      <x:c r="AK84" s="19" t="str">
        <x:v>PENDING</x:v>
      </x:c>
      <x:c r="AL84" s="19" t="str">
        <x:v>PENDING</x:v>
      </x:c>
      <x:c r="AM84" s="19" t="str">
        <x:v>PENDING</x:v>
      </x:c>
      <x:c r="AN84" s="1" t="str">
        <x:v>ENT-02</x:v>
      </x:c>
      <x:c r="AO84" s="1" t="str">
        <x:v>CP3/drawings/ENT-02_CP3.pdf</x:v>
      </x:c>
      <x:c r="AP84" s="1" t="str">
        <x:v>CP3_ENT-02</x:v>
      </x:c>
      <x:c r="AQ84" s="1" t="str">
        <x:v>egyedi gyártás</x:v>
      </x:c>
      <x:c r="AR84" s="1" t="str">
        <x:v>R02 méretezett ajánlati terv; nem helyszíni méret</x:v>
      </x:c>
      <x:c r="AS84" s="1" t="str">
        <x:v>HUF</x:v>
      </x:c>
      <x:c r="AT84" s="1" t="n">
        <x:v>1</x:v>
      </x:c>
      <x:c r="AU84" s="1" t="str">
        <x:v>nincs visszaigazolt ajánlati érvényesség</x:v>
      </x:c>
      <x:c r="AV84" s="1" t="str">
        <x:v>KI-151 központi keret; daruzás KI-137</x:v>
      </x:c>
      <x:c r="AW84" s="1" t="str">
        <x:v>KI-014 asztalos / KI-106 villamos / KI-026 és KI-096 víz / KI-127 fal</x:v>
      </x:c>
      <x:c r="AX84" s="1" t="n">
        <x:v>4</x:v>
      </x:c>
      <x:c r="AY84" s="1" t="n">
        <x:v>0.85</x:v>
      </x:c>
      <x:c r="AZ84" s="1" t="n">
        <x:v>1.3</x:v>
      </x:c>
      <x:c r="BA84" s="29" t="n">
        <x:f>ROUND(U84*AY84,0)</x:f>
        <x:v>59500</x:v>
      </x:c>
      <x:c r="BB84" s="29" t="n">
        <x:f>ROUND(U84*AZ84,0)</x:f>
        <x:v>91000</x:v>
      </x:c>
    </x:row>
    <x:row r="85" ht="72" customHeight="1">
      <x:c r="A85" s="12" t="str">
        <x:v>A-902</x:v>
      </x:c>
      <x:c r="B85" s="12" t="str">
        <x:v>01</x:v>
      </x:c>
      <x:c r="C85" s="12" t="str">
        <x:v>KI-084</x:v>
      </x:c>
      <x:c r="D85" s="12" t="str">
        <x:v>NEM RENDERELT</x:v>
      </x:c>
      <x:c r="E85" s="12" t="str">
        <x:v>08</x:v>
      </x:c>
      <x:c r="F85" s="12" t="str">
        <x:v>FIX</x:v>
      </x:c>
      <x:c r="G85" s="12" t="str">
        <x:v>Asztalos</x:v>
      </x:c>
      <x:c r="H85" s="19" t="str">
        <x:v>Előtéri tükör és rögzítés</x:v>
      </x:c>
      <x:c r="I85" s="19" t="str">
        <x:v>UNKNOWN</x:v>
      </x:c>
      <x:c r="J85" s="19" t="str">
        <x:v>UNKNOWN</x:v>
      </x:c>
      <x:c r="K85" s="19" t="str">
        <x:v>UNKNOWN</x:v>
      </x:c>
      <x:c r="L85" s="19" t="str">
        <x:v>UNKNOWN – felmérés/gyári adat kell</x:v>
      </x:c>
      <x:c r="M85" s="19" t="str">
        <x:v>Kyoto Ink: grafit / füstszürke / taupe</x:v>
      </x:c>
      <x:c r="N85" s="19" t="str">
        <x:v>PENDING – műszaki specifikáció szerint</x:v>
      </x:c>
      <x:c r="O85" s="19" t="n">
        <x:v>1</x:v>
      </x:c>
      <x:c r="P85" s="19" t="str">
        <x:v>csomag</x:v>
      </x:c>
      <x:c r="Q85" s="20" t="n">
        <x:v>70000</x:v>
      </x:c>
      <x:c r="R85" s="20" t="n">
        <x:v>0</x:v>
      </x:c>
      <x:c r="S85" s="20" t="n">
        <x:v>0</x:v>
      </x:c>
      <x:c r="T85" s="20" t="n">
        <x:v>0</x:v>
      </x:c>
      <x:c r="U85" s="21" t="n">
        <x:f>O85*Q85+SUM(R85:T85)</x:f>
        <x:v>70000</x:v>
      </x:c>
      <x:c r="V85" s="19" t="str">
        <x:v>előzetes becslés</x:v>
      </x:c>
      <x:c r="W85" s="19" t="str">
        <x:v>CP0 tervezői előirányzat, nem webshopár; baseline 08</x:v>
      </x:c>
      <x:c r="X85" s="19" t="str">
        <x:v>2026-10-26</x:v>
      </x:c>
      <x:c r="Y85" s="19" t="str">
        <x:v>UNKNOWN – ajánlatban visszaigazolandó</x:v>
      </x:c>
      <x:c r="Z85" s="19" t="str">
        <x:v>B</x:v>
      </x:c>
      <x:c r="AA85" s="19" t="str">
        <x:v>PENDING</x:v>
      </x:c>
      <x:c r="AB85" s="19" t="str">
        <x:v>PENDING</x:v>
      </x:c>
      <x:c r="AC85" s="19" t="str">
        <x:v>nem megrendelt</x:v>
      </x:c>
      <x:c r="AD85" s="19" t="str">
        <x:v>Asztalos és belsőépítész</x:v>
      </x:c>
      <x:c r="AE85" s="19" t="str">
        <x:v>PENDING – méret, csatlakozás, anyagminta, teljes bekerülés</x:v>
      </x:c>
      <x:c r="AF85" s="19" t="str">
        <x:v>CP0 becslési csomag: segédanyag és munkadíj a megnevezett tartalom szerint; külön szállítás a 14 sorban. Nem ingyenes szállítás.</x:v>
      </x:c>
      <x:c r="AG85" s="20" t="n">
        <x:v>70000</x:v>
      </x:c>
      <x:c r="AH85" s="21" t="n">
        <x:f>O85*AG85+SUM(R85:T85)</x:f>
        <x:v>70000</x:v>
      </x:c>
      <x:c r="AI85" s="19" t="str">
        <x:v>PENDING</x:v>
      </x:c>
      <x:c r="AJ85" s="19" t="str">
        <x:v>PENDING</x:v>
      </x:c>
      <x:c r="AK85" s="19" t="str">
        <x:v>PENDING</x:v>
      </x:c>
      <x:c r="AL85" s="19" t="str">
        <x:v>PENDING</x:v>
      </x:c>
      <x:c r="AM85" s="19" t="str">
        <x:v>PENDING</x:v>
      </x:c>
      <x:c r="AN85" s="1" t="str">
        <x:v>KI-084</x:v>
      </x:c>
      <x:c r="AO85" s="1" t="str">
        <x:v>drawings/P-01_alaprajz.pdf</x:v>
      </x:c>
      <x:c r="AP85" s="1" t="str">
        <x:v>NINCS MODELL / nem térbeli költségsor; szakági kapcsolat igazolandó</x:v>
      </x:c>
      <x:c r="AQ85" s="1" t="str">
        <x:v>késztermék / szakági munka</x:v>
      </x:c>
      <x:c r="AR85" s="1" t="str">
        <x:v>felmérés/gyártói rajz szükséges</x:v>
      </x:c>
      <x:c r="AS85" s="1" t="str">
        <x:v>HUF</x:v>
      </x:c>
      <x:c r="AT85" s="1" t="n">
        <x:v>1</x:v>
      </x:c>
      <x:c r="AU85" s="1" t="str">
        <x:v>nincs visszaigazolt ajánlati érvényesség</x:v>
      </x:c>
      <x:c r="AV85" s="1" t="str">
        <x:v>KI-151 központi keret; daruzás KI-137</x:v>
      </x:c>
      <x:c r="AW85" s="1" t="str">
        <x:v>KI-014 asztalos / KI-106 villamos / KI-026 és KI-096 víz / KI-127 fal</x:v>
      </x:c>
      <x:c r="AX85" s="1" t="n">
        <x:v>6</x:v>
      </x:c>
      <x:c r="AY85" s="1" t="n">
        <x:v>0.85</x:v>
      </x:c>
      <x:c r="AZ85" s="1" t="n">
        <x:v>1.3</x:v>
      </x:c>
      <x:c r="BA85" s="29" t="n">
        <x:f>ROUND(U85*AY85,0)</x:f>
        <x:v>59500</x:v>
      </x:c>
      <x:c r="BB85" s="29" t="n">
        <x:f>ROUND(U85*AZ85,0)</x:f>
        <x:v>91000</x:v>
      </x:c>
    </x:row>
    <x:row r="86" ht="72" customHeight="1">
      <x:c r="A86" s="12" t="str">
        <x:v>A-902</x:v>
      </x:c>
      <x:c r="B86" s="12" t="str">
        <x:v>01</x:v>
      </x:c>
      <x:c r="C86" s="12" t="str">
        <x:v>KI-085</x:v>
      </x:c>
      <x:c r="D86" s="12" t="str">
        <x:v>CP3/render_handoff/manifest_CP3.json</x:v>
      </x:c>
      <x:c r="E86" s="12" t="str">
        <x:v>08</x:v>
      </x:c>
      <x:c r="F86" s="12" t="str">
        <x:v>FIX</x:v>
      </x:c>
      <x:c r="G86" s="12" t="str">
        <x:v>Asztalos</x:v>
      </x:c>
      <x:c r="H86" s="19" t="str">
        <x:v>Előtéri bútor beépítés és takaróelemek</x:v>
      </x:c>
      <x:c r="I86" s="19" t="str">
        <x:v>UNKNOWN</x:v>
      </x:c>
      <x:c r="J86" s="19" t="str">
        <x:v>UNKNOWN</x:v>
      </x:c>
      <x:c r="K86" s="19" t="str">
        <x:v>UNKNOWN</x:v>
      </x:c>
      <x:c r="L86" s="19" t="str">
        <x:v>ENT-01: 860×540×2840 mm</x:v>
      </x:c>
      <x:c r="M86" s="19" t="str">
        <x:v>Kyoto Ink: grafit / füstszürke / taupe</x:v>
      </x:c>
      <x:c r="N86" s="19" t="str">
        <x:v>PENDING – műszaki specifikáció szerint</x:v>
      </x:c>
      <x:c r="O86" s="19" t="n">
        <x:v>1</x:v>
      </x:c>
      <x:c r="P86" s="19" t="str">
        <x:v>csomag</x:v>
      </x:c>
      <x:c r="Q86" s="20" t="n">
        <x:v>60000</x:v>
      </x:c>
      <x:c r="R86" s="20" t="n">
        <x:v>0</x:v>
      </x:c>
      <x:c r="S86" s="20" t="n">
        <x:v>0</x:v>
      </x:c>
      <x:c r="T86" s="20" t="n">
        <x:v>0</x:v>
      </x:c>
      <x:c r="U86" s="21" t="n">
        <x:f>O86*Q86+SUM(R86:T86)</x:f>
        <x:v>60000</x:v>
      </x:c>
      <x:c r="V86" s="19" t="str">
        <x:v>előzetes becslés</x:v>
      </x:c>
      <x:c r="W86" s="19" t="str">
        <x:v>CP0 tervezői előirányzat, nem webshopár; baseline 08</x:v>
      </x:c>
      <x:c r="X86" s="19" t="str">
        <x:v>2026-10-26</x:v>
      </x:c>
      <x:c r="Y86" s="19" t="str">
        <x:v>UNKNOWN – ajánlatban visszaigazolandó</x:v>
      </x:c>
      <x:c r="Z86" s="19" t="str">
        <x:v>B</x:v>
      </x:c>
      <x:c r="AA86" s="19" t="str">
        <x:v>PENDING</x:v>
      </x:c>
      <x:c r="AB86" s="19" t="str">
        <x:v>PENDING</x:v>
      </x:c>
      <x:c r="AC86" s="19" t="str">
        <x:v>nem megrendelt</x:v>
      </x:c>
      <x:c r="AD86" s="19" t="str">
        <x:v>Asztalos és belsőépítész</x:v>
      </x:c>
      <x:c r="AE86" s="19" t="str">
        <x:v>PENDING – méret, csatlakozás, anyagminta, teljes bekerülés</x:v>
      </x:c>
      <x:c r="AF86" s="19" t="str">
        <x:v>CP0 becslési csomag: segédanyag és munkadíj a megnevezett tartalom szerint; külön szállítás a 14 sorban. Nem ingyenes szállítás.</x:v>
      </x:c>
      <x:c r="AG86" s="20" t="n">
        <x:v>60000</x:v>
      </x:c>
      <x:c r="AH86" s="21" t="n">
        <x:f>O86*AG86+SUM(R86:T86)</x:f>
        <x:v>60000</x:v>
      </x:c>
      <x:c r="AI86" s="19" t="str">
        <x:v>PENDING</x:v>
      </x:c>
      <x:c r="AJ86" s="19" t="str">
        <x:v>PENDING</x:v>
      </x:c>
      <x:c r="AK86" s="19" t="str">
        <x:v>PENDING</x:v>
      </x:c>
      <x:c r="AL86" s="19" t="str">
        <x:v>PENDING</x:v>
      </x:c>
      <x:c r="AM86" s="19" t="str">
        <x:v>PENDING</x:v>
      </x:c>
      <x:c r="AN86" s="1" t="str">
        <x:v>ENT-01</x:v>
      </x:c>
      <x:c r="AO86" s="1" t="str">
        <x:v>CP3/drawings/ENT-01_CP3.pdf</x:v>
      </x:c>
      <x:c r="AP86" s="1" t="str">
        <x:v>CP3_ENT-01</x:v>
      </x:c>
      <x:c r="AQ86" s="1" t="str">
        <x:v>egyedi gyártás</x:v>
      </x:c>
      <x:c r="AR86" s="1" t="str">
        <x:v>R02 méretezett ajánlati terv; nem helyszíni méret</x:v>
      </x:c>
      <x:c r="AS86" s="1" t="str">
        <x:v>HUF</x:v>
      </x:c>
      <x:c r="AT86" s="1" t="n">
        <x:v>1</x:v>
      </x:c>
      <x:c r="AU86" s="1" t="str">
        <x:v>nincs visszaigazolt ajánlati érvényesség</x:v>
      </x:c>
      <x:c r="AV86" s="1" t="str">
        <x:v>KI-151 központi keret; daruzás KI-137</x:v>
      </x:c>
      <x:c r="AW86" s="1" t="str">
        <x:v>KI-014 asztalos / KI-106 villamos / KI-026 és KI-096 víz / KI-127 fal</x:v>
      </x:c>
      <x:c r="AX86" s="1" t="n">
        <x:v>4</x:v>
      </x:c>
      <x:c r="AY86" s="1" t="n">
        <x:v>0.85</x:v>
      </x:c>
      <x:c r="AZ86" s="1" t="n">
        <x:v>1.3</x:v>
      </x:c>
      <x:c r="BA86" s="29" t="n">
        <x:f>ROUND(U86*AY86,0)</x:f>
        <x:v>51000</x:v>
      </x:c>
      <x:c r="BB86" s="29" t="n">
        <x:f>ROUND(U86*AZ86,0)</x:f>
        <x:v>78000</x:v>
      </x:c>
    </x:row>
    <x:row r="87" ht="72" customHeight="1">
      <x:c r="A87" s="12" t="str">
        <x:v>A-902</x:v>
      </x:c>
      <x:c r="B87" s="12" t="str">
        <x:v>07</x:v>
      </x:c>
      <x:c r="C87" s="12" t="str">
        <x:v>KI-086</x:v>
      </x:c>
      <x:c r="D87" s="12" t="str">
        <x:v>CP3/render_handoff/manifest_CP3.json</x:v>
      </x:c>
      <x:c r="E87" s="12" t="str">
        <x:v>08</x:v>
      </x:c>
      <x:c r="F87" s="12" t="str">
        <x:v>FIX</x:v>
      </x:c>
      <x:c r="G87" s="12" t="str">
        <x:v>Asztalos</x:v>
      </x:c>
      <x:c r="H87" s="19" t="str">
        <x:v>Keskeny lerakó és ajtók körüli zárórészletek</x:v>
      </x:c>
      <x:c r="I87" s="19" t="str">
        <x:v>UNKNOWN</x:v>
      </x:c>
      <x:c r="J87" s="19" t="str">
        <x:v>UNKNOWN</x:v>
      </x:c>
      <x:c r="K87" s="19" t="str">
        <x:v>UNKNOWN</x:v>
      </x:c>
      <x:c r="L87" s="19" t="str">
        <x:v>HALL-01: 600×150×180 mm</x:v>
      </x:c>
      <x:c r="M87" s="19" t="str">
        <x:v>Kyoto Ink: grafit / füstszürke / taupe</x:v>
      </x:c>
      <x:c r="N87" s="19" t="str">
        <x:v>PENDING – műszaki specifikáció szerint</x:v>
      </x:c>
      <x:c r="O87" s="19" t="n">
        <x:v>1</x:v>
      </x:c>
      <x:c r="P87" s="19" t="str">
        <x:v>csomag</x:v>
      </x:c>
      <x:c r="Q87" s="20" t="n">
        <x:v>40000</x:v>
      </x:c>
      <x:c r="R87" s="20" t="n">
        <x:v>0</x:v>
      </x:c>
      <x:c r="S87" s="20" t="n">
        <x:v>0</x:v>
      </x:c>
      <x:c r="T87" s="20" t="n">
        <x:v>0</x:v>
      </x:c>
      <x:c r="U87" s="21" t="n">
        <x:f>O87*Q87+SUM(R87:T87)</x:f>
        <x:v>40000</x:v>
      </x:c>
      <x:c r="V87" s="19" t="str">
        <x:v>előzetes becslés</x:v>
      </x:c>
      <x:c r="W87" s="19" t="str">
        <x:v>CP0 tervezői előirányzat, nem webshopár; baseline 08</x:v>
      </x:c>
      <x:c r="X87" s="19" t="str">
        <x:v>2026-10-26</x:v>
      </x:c>
      <x:c r="Y87" s="19" t="str">
        <x:v>UNKNOWN – ajánlatban visszaigazolandó</x:v>
      </x:c>
      <x:c r="Z87" s="19" t="str">
        <x:v>B</x:v>
      </x:c>
      <x:c r="AA87" s="19" t="str">
        <x:v>PENDING</x:v>
      </x:c>
      <x:c r="AB87" s="19" t="str">
        <x:v>PENDING</x:v>
      </x:c>
      <x:c r="AC87" s="19" t="str">
        <x:v>nem megrendelt</x:v>
      </x:c>
      <x:c r="AD87" s="19" t="str">
        <x:v>Asztalos és belsőépítész</x:v>
      </x:c>
      <x:c r="AE87" s="19" t="str">
        <x:v>PENDING – méret, csatlakozás, anyagminta, teljes bekerülés</x:v>
      </x:c>
      <x:c r="AF87" s="19" t="str">
        <x:v>CP0 becslési csomag: segédanyag és munkadíj a megnevezett tartalom szerint; külön szállítás a 14 sorban. Nem ingyenes szállítás.</x:v>
      </x:c>
      <x:c r="AG87" s="20" t="n">
        <x:v>40000</x:v>
      </x:c>
      <x:c r="AH87" s="21" t="n">
        <x:f>O87*AG87+SUM(R87:T87)</x:f>
        <x:v>40000</x:v>
      </x:c>
      <x:c r="AI87" s="19" t="str">
        <x:v>PENDING</x:v>
      </x:c>
      <x:c r="AJ87" s="19" t="str">
        <x:v>PENDING</x:v>
      </x:c>
      <x:c r="AK87" s="19" t="str">
        <x:v>PENDING</x:v>
      </x:c>
      <x:c r="AL87" s="19" t="str">
        <x:v>PENDING</x:v>
      </x:c>
      <x:c r="AM87" s="19" t="str">
        <x:v>PENDING</x:v>
      </x:c>
      <x:c r="AN87" s="1" t="str">
        <x:v>HALL-01</x:v>
      </x:c>
      <x:c r="AO87" s="1" t="str">
        <x:v>CP3/drawings/HALL-01_CP3.pdf</x:v>
      </x:c>
      <x:c r="AP87" s="1" t="str">
        <x:v>CP3_HALL-01</x:v>
      </x:c>
      <x:c r="AQ87" s="1" t="str">
        <x:v>egyedi gyártás</x:v>
      </x:c>
      <x:c r="AR87" s="1" t="str">
        <x:v>R02 méretezett ajánlati terv; nem helyszíni méret</x:v>
      </x:c>
      <x:c r="AS87" s="1" t="str">
        <x:v>HUF</x:v>
      </x:c>
      <x:c r="AT87" s="1" t="n">
        <x:v>1</x:v>
      </x:c>
      <x:c r="AU87" s="1" t="str">
        <x:v>nincs visszaigazolt ajánlati érvényesség</x:v>
      </x:c>
      <x:c r="AV87" s="1" t="str">
        <x:v>KI-151 központi keret; daruzás KI-137</x:v>
      </x:c>
      <x:c r="AW87" s="1" t="str">
        <x:v>KI-014 asztalos / KI-106 villamos / KI-026 és KI-096 víz / KI-127 fal</x:v>
      </x:c>
      <x:c r="AX87" s="1" t="n">
        <x:v>4</x:v>
      </x:c>
      <x:c r="AY87" s="1" t="n">
        <x:v>0.85</x:v>
      </x:c>
      <x:c r="AZ87" s="1" t="n">
        <x:v>1.3</x:v>
      </x:c>
      <x:c r="BA87" s="29" t="n">
        <x:f>ROUND(U87*AY87,0)</x:f>
        <x:v>34000</x:v>
      </x:c>
      <x:c r="BB87" s="29" t="n">
        <x:f>ROUND(U87*AZ87,0)</x:f>
        <x:v>52000</x:v>
      </x:c>
    </x:row>
    <x:row r="88" ht="72" customHeight="1">
      <x:c r="A88" s="12" t="str">
        <x:v>A-902</x:v>
      </x:c>
      <x:c r="B88" s="12" t="str">
        <x:v>06.1 / elhelyezés PENDING</x:v>
      </x:c>
      <x:c r="C88" s="12" t="str">
        <x:v>KI-087</x:v>
      </x:c>
      <x:c r="D88" s="12" t="str">
        <x:v>NEM RENDERELT</x:v>
      </x:c>
      <x:c r="E88" s="12" t="str">
        <x:v>09</x:v>
      </x:c>
      <x:c r="F88" s="12" t="str">
        <x:v>FIX</x:v>
      </x:c>
      <x:c r="G88" s="12" t="str">
        <x:v>Gépek</x:v>
      </x:c>
      <x:c r="H88" s="19" t="str">
        <x:v>Bosch WGG244Z0BY mosógép</x:v>
      </x:c>
      <x:c r="I88" s="19" t="str">
        <x:v>Bosch</x:v>
      </x:c>
      <x:c r="J88" s="19" t="str">
        <x:v>WGG244Z0BY</x:v>
      </x:c>
      <x:c r="K88" s="19" t="str">
        <x:v>https://media3.bosch-home.com/Documents/specsheet/sk-SK/WGG244Z0BY.pdf</x:v>
      </x:c>
      <x:c r="L88" s="19" t="str">
        <x:v>598×590×848 mm; cső és ajtó külön</x:v>
      </x:c>
      <x:c r="M88" s="19" t="str">
        <x:v>Kyoto Ink: grafit / füstszürke / taupe</x:v>
      </x:c>
      <x:c r="N88" s="19" t="str">
        <x:v>PENDING – műszaki specifikáció szerint</x:v>
      </x:c>
      <x:c r="O88" s="19" t="n">
        <x:v>1</x:v>
      </x:c>
      <x:c r="P88" s="19" t="str">
        <x:v>csomag</x:v>
      </x:c>
      <x:c r="Q88" s="20" t="n">
        <x:v>180000</x:v>
      </x:c>
      <x:c r="R88" s="20" t="n">
        <x:v>0</x:v>
      </x:c>
      <x:c r="S88" s="20" t="n">
        <x:v>0</x:v>
      </x:c>
      <x:c r="T88" s="20" t="n">
        <x:v>0</x:v>
      </x:c>
      <x:c r="U88" s="21" t="n">
        <x:f>O88*Q88+SUM(R88:T88)</x:f>
        <x:v>180000</x:v>
      </x:c>
      <x:c r="V88" s="19" t="str">
        <x:v>előzetes becslés</x:v>
      </x:c>
      <x:c r="W88" s="19" t="str">
        <x:v>https://media3.bosch-home.com/Documents/specsheet/sk-SK/WGG244Z0BY.pdf; ár: CP1a becslés, nincs kereskedői ajánlat</x:v>
      </x:c>
      <x:c r="X88" s="19" t="str">
        <x:v>2026-10-26</x:v>
      </x:c>
      <x:c r="Y88" s="19" t="str">
        <x:v>UNKNOWN – ajánlatban visszaigazolandó</x:v>
      </x:c>
      <x:c r="Z88" s="19" t="str">
        <x:v>C</x:v>
      </x:c>
      <x:c r="AA88" s="19" t="str">
        <x:v>Fehér, balos ajtó; toronykerethez kompatibilitás írásban kell.</x:v>
      </x:c>
      <x:c r="AB88" s="19" t="str">
        <x:v>PENDING</x:v>
      </x:c>
      <x:c r="AC88" s="19" t="str">
        <x:v>nem megrendelt</x:v>
      </x:c>
      <x:c r="AD88" s="19" t="str">
        <x:v>Beszerzési felelős / Péter</x:v>
      </x:c>
      <x:c r="AE88" s="19" t="str">
        <x:v>Fehér, balos ajtó; toronykerethez kompatibilitás írásban kell.</x:v>
      </x:c>
      <x:c r="AF88" s="19" t="str">
        <x:v>CP0 becslési csomag: segédanyag és munkadíj a megnevezett tartalom szerint; külön szállítás a 14 sorban. Nem ingyenes szállítás.</x:v>
      </x:c>
      <x:c r="AG88" s="20" t="n">
        <x:v>180000</x:v>
      </x:c>
      <x:c r="AH88" s="21" t="n">
        <x:f>O88*AG88+SUM(R88:T88)</x:f>
        <x:v>180000</x:v>
      </x:c>
      <x:c r="AI88" s="19" t="str">
        <x:v>PENDING</x:v>
      </x:c>
      <x:c r="AJ88" s="19" t="str">
        <x:v>PENDING</x:v>
      </x:c>
      <x:c r="AK88" s="19" t="str">
        <x:v>PENDING</x:v>
      </x:c>
      <x:c r="AL88" s="19" t="str">
        <x:v>PENDING</x:v>
      </x:c>
      <x:c r="AM88" s="19" t="str">
        <x:v>PENDING</x:v>
      </x:c>
      <x:c r="AN88" s="1" t="str">
        <x:v>KI-087</x:v>
      </x:c>
      <x:c r="AO88" s="1" t="str">
        <x:v>drawings/P-01_alaprajz.pdf</x:v>
      </x:c>
      <x:c r="AP88" s="1" t="str">
        <x:v>KI_KI-087</x:v>
      </x:c>
      <x:c r="AQ88" s="1" t="str">
        <x:v>késztermék / szakági munka</x:v>
      </x:c>
      <x:c r="AR88" s="1" t="str">
        <x:v>gyártói adatlap; illesztés még nyitott</x:v>
      </x:c>
      <x:c r="AS88" s="1" t="str">
        <x:v>HUF</x:v>
      </x:c>
      <x:c r="AT88" s="1" t="n">
        <x:v>1</x:v>
      </x:c>
      <x:c r="AU88" s="1" t="str">
        <x:v>nincs visszaigazolt ajánlati érvényesség</x:v>
      </x:c>
      <x:c r="AV88" s="1" t="str">
        <x:v>KI-151 központi keret; daruzás KI-137</x:v>
      </x:c>
      <x:c r="AW88" s="1" t="str">
        <x:v>KI-014 asztalos / KI-106 villamos / KI-026 és KI-096 víz / KI-127 fal</x:v>
      </x:c>
      <x:c r="AX88" s="1" t="n">
        <x:v>6</x:v>
      </x:c>
      <x:c r="AY88" s="1" t="n">
        <x:v>0.85</x:v>
      </x:c>
      <x:c r="AZ88" s="1" t="n">
        <x:v>1.3</x:v>
      </x:c>
      <x:c r="BA88" s="29" t="n">
        <x:f>ROUND(U88*AY88,0)</x:f>
        <x:v>153000</x:v>
      </x:c>
      <x:c r="BB88" s="29" t="n">
        <x:f>ROUND(U88*AZ88,0)</x:f>
        <x:v>234000</x:v>
      </x:c>
    </x:row>
    <x:row r="89" ht="72" customHeight="1">
      <x:c r="A89" s="12" t="str">
        <x:v>A-902</x:v>
      </x:c>
      <x:c r="B89" s="12" t="str">
        <x:v>06.1 / elhelyezés PENDING</x:v>
      </x:c>
      <x:c r="C89" s="12" t="str">
        <x:v>KI-088</x:v>
      </x:c>
      <x:c r="D89" s="12" t="str">
        <x:v>NEM RENDERELT</x:v>
      </x:c>
      <x:c r="E89" s="12" t="str">
        <x:v>09</x:v>
      </x:c>
      <x:c r="F89" s="12" t="str">
        <x:v>FIX</x:v>
      </x:c>
      <x:c r="G89" s="12" t="str">
        <x:v>Gépek</x:v>
      </x:c>
      <x:c r="H89" s="19" t="str">
        <x:v>Bosch WQG24590BY hőszivattyús szárító</x:v>
      </x:c>
      <x:c r="I89" s="19" t="str">
        <x:v>Bosch</x:v>
      </x:c>
      <x:c r="J89" s="19" t="str">
        <x:v>WQG24590BY</x:v>
      </x:c>
      <x:c r="K89" s="19" t="str">
        <x:v>https://media3.bosch-home.com/Documents/specsheet/hr-HR/WQG24590BY.pdf</x:v>
      </x:c>
      <x:c r="L89" s="19" t="str">
        <x:v>598×613×842 mm; cső és ajtó külön</x:v>
      </x:c>
      <x:c r="M89" s="19" t="str">
        <x:v>Kyoto Ink: grafit / füstszürke / taupe</x:v>
      </x:c>
      <x:c r="N89" s="19" t="str">
        <x:v>PENDING – műszaki specifikáció szerint</x:v>
      </x:c>
      <x:c r="O89" s="19" t="n">
        <x:v>1</x:v>
      </x:c>
      <x:c r="P89" s="19" t="str">
        <x:v>csomag</x:v>
      </x:c>
      <x:c r="Q89" s="20" t="n">
        <x:v>230000</x:v>
      </x:c>
      <x:c r="R89" s="20" t="n">
        <x:v>0</x:v>
      </x:c>
      <x:c r="S89" s="20" t="n">
        <x:v>0</x:v>
      </x:c>
      <x:c r="T89" s="20" t="n">
        <x:v>0</x:v>
      </x:c>
      <x:c r="U89" s="21" t="n">
        <x:f>O89*Q89+SUM(R89:T89)</x:f>
        <x:v>230000</x:v>
      </x:c>
      <x:c r="V89" s="19" t="str">
        <x:v>előzetes becslés</x:v>
      </x:c>
      <x:c r="W89" s="19" t="str">
        <x:v>https://media3.bosch-home.com/Documents/specsheet/hr-HR/WQG24590BY.pdf; ár: CP1a becslés, nincs kereskedői ajánlat</x:v>
      </x:c>
      <x:c r="X89" s="19" t="str">
        <x:v>2026-10-26</x:v>
      </x:c>
      <x:c r="Y89" s="19" t="str">
        <x:v>UNKNOWN – ajánlatban visszaigazolandó</x:v>
      </x:c>
      <x:c r="Z89" s="19" t="str">
        <x:v>C</x:v>
      </x:c>
      <x:c r="AA89" s="19" t="str">
        <x:v>Fehér, jobbos ajtó; regionális forgalmazás nem igazolt. WTZ27400/27410 gyári tartozék, mosógéppárhoz külön jóváhagyás.</x:v>
      </x:c>
      <x:c r="AB89" s="19" t="str">
        <x:v>PENDING</x:v>
      </x:c>
      <x:c r="AC89" s="19" t="str">
        <x:v>nem megrendelt</x:v>
      </x:c>
      <x:c r="AD89" s="19" t="str">
        <x:v>Beszerzési felelős / Péter</x:v>
      </x:c>
      <x:c r="AE89" s="19" t="str">
        <x:v>Fehér, jobbos ajtó; regionális forgalmazás nem igazolt. WTZ27400/27410 gyári tartozék, mosógéppárhoz külön jóváhagyás.</x:v>
      </x:c>
      <x:c r="AF89" s="19" t="str">
        <x:v>CP0 becslési csomag: segédanyag és munkadíj a megnevezett tartalom szerint; külön szállítás a 14 sorban. Nem ingyenes szállítás.</x:v>
      </x:c>
      <x:c r="AG89" s="20" t="n">
        <x:v>230000</x:v>
      </x:c>
      <x:c r="AH89" s="21" t="n">
        <x:f>O89*AG89+SUM(R89:T89)</x:f>
        <x:v>230000</x:v>
      </x:c>
      <x:c r="AI89" s="19" t="str">
        <x:v>PENDING</x:v>
      </x:c>
      <x:c r="AJ89" s="19" t="str">
        <x:v>PENDING</x:v>
      </x:c>
      <x:c r="AK89" s="19" t="str">
        <x:v>PENDING</x:v>
      </x:c>
      <x:c r="AL89" s="19" t="str">
        <x:v>PENDING</x:v>
      </x:c>
      <x:c r="AM89" s="19" t="str">
        <x:v>PENDING</x:v>
      </x:c>
      <x:c r="AN89" s="1" t="str">
        <x:v>KI-088</x:v>
      </x:c>
      <x:c r="AO89" s="1" t="str">
        <x:v>drawings/P-01_alaprajz.pdf</x:v>
      </x:c>
      <x:c r="AP89" s="1" t="str">
        <x:v>NINCS MODELL / nem térbeli költségsor; szakági kapcsolat igazolandó</x:v>
      </x:c>
      <x:c r="AQ89" s="1" t="str">
        <x:v>késztermék / szakági munka</x:v>
      </x:c>
      <x:c r="AR89" s="1" t="str">
        <x:v>gyártói adatlap; illesztés még nyitott</x:v>
      </x:c>
      <x:c r="AS89" s="1" t="str">
        <x:v>HUF</x:v>
      </x:c>
      <x:c r="AT89" s="1" t="n">
        <x:v>1</x:v>
      </x:c>
      <x:c r="AU89" s="1" t="str">
        <x:v>nincs visszaigazolt ajánlati érvényesség</x:v>
      </x:c>
      <x:c r="AV89" s="1" t="str">
        <x:v>KI-151 központi keret; daruzás KI-137</x:v>
      </x:c>
      <x:c r="AW89" s="1" t="str">
        <x:v>KI-014 asztalos / KI-106 villamos / KI-026 és KI-096 víz / KI-127 fal</x:v>
      </x:c>
      <x:c r="AX89" s="1" t="n">
        <x:v>6</x:v>
      </x:c>
      <x:c r="AY89" s="1" t="n">
        <x:v>0.85</x:v>
      </x:c>
      <x:c r="AZ89" s="1" t="n">
        <x:v>1.3</x:v>
      </x:c>
      <x:c r="BA89" s="29" t="n">
        <x:f>ROUND(U89*AY89,0)</x:f>
        <x:v>195500</x:v>
      </x:c>
      <x:c r="BB89" s="29" t="n">
        <x:f>ROUND(U89*AZ89,0)</x:f>
        <x:v>299000</x:v>
      </x:c>
    </x:row>
    <x:row r="90" ht="72" customHeight="1">
      <x:c r="A90" s="12" t="str">
        <x:v>A-902</x:v>
      </x:c>
      <x:c r="B90" s="12" t="str">
        <x:v>06.1 / elhelyezés PENDING</x:v>
      </x:c>
      <x:c r="C90" s="12" t="str">
        <x:v>KI-089</x:v>
      </x:c>
      <x:c r="D90" s="12" t="str">
        <x:v>NEM RENDERELT</x:v>
      </x:c>
      <x:c r="E90" s="12" t="str">
        <x:v>09</x:v>
      </x:c>
      <x:c r="F90" s="12" t="str">
        <x:v>FIX</x:v>
      </x:c>
      <x:c r="G90" s="12" t="str">
        <x:v>Gépek</x:v>
      </x:c>
      <x:c r="H90" s="19" t="str">
        <x:v>Összeépítő keret, csatlakozó, rezgéscsillapító</x:v>
      </x:c>
      <x:c r="I90" s="19" t="str">
        <x:v>UNKNOWN</x:v>
      </x:c>
      <x:c r="J90" s="19" t="str">
        <x:v>UNKNOWN</x:v>
      </x:c>
      <x:c r="K90" s="19" t="str">
        <x:v>UNKNOWN</x:v>
      </x:c>
      <x:c r="L90" s="19" t="str">
        <x:v>UNKNOWN – felmérés/gyári adat kell</x:v>
      </x:c>
      <x:c r="M90" s="19" t="str">
        <x:v>Kyoto Ink: grafit / füstszürke / taupe</x:v>
      </x:c>
      <x:c r="N90" s="19" t="str">
        <x:v>PENDING – műszaki specifikáció szerint</x:v>
      </x:c>
      <x:c r="O90" s="19" t="n">
        <x:v>1</x:v>
      </x:c>
      <x:c r="P90" s="19" t="str">
        <x:v>csomag</x:v>
      </x:c>
      <x:c r="Q90" s="20" t="n">
        <x:v>40000</x:v>
      </x:c>
      <x:c r="R90" s="20" t="n">
        <x:v>0</x:v>
      </x:c>
      <x:c r="S90" s="20" t="n">
        <x:v>0</x:v>
      </x:c>
      <x:c r="T90" s="20" t="n">
        <x:v>0</x:v>
      </x:c>
      <x:c r="U90" s="21" t="n">
        <x:f>O90*Q90+SUM(R90:T90)</x:f>
        <x:v>40000</x:v>
      </x:c>
      <x:c r="V90" s="19" t="str">
        <x:v>előzetes becslés</x:v>
      </x:c>
      <x:c r="W90" s="19" t="str">
        <x:v>CP0 tervezői előirányzat, nem webshopár; baseline 09</x:v>
      </x:c>
      <x:c r="X90" s="19" t="str">
        <x:v>2026-10-26</x:v>
      </x:c>
      <x:c r="Y90" s="19" t="str">
        <x:v>UNKNOWN – ajánlatban visszaigazolandó</x:v>
      </x:c>
      <x:c r="Z90" s="19" t="str">
        <x:v>C</x:v>
      </x:c>
      <x:c r="AA90" s="19" t="str">
        <x:v>PENDING</x:v>
      </x:c>
      <x:c r="AB90" s="19" t="str">
        <x:v>PENDING</x:v>
      </x:c>
      <x:c r="AC90" s="19" t="str">
        <x:v>nem megrendelt</x:v>
      </x:c>
      <x:c r="AD90" s="19" t="str">
        <x:v>Beszerzési felelős / Péter</x:v>
      </x:c>
      <x:c r="AE90" s="19" t="str">
        <x:v>PENDING – méret, csatlakozás, anyagminta, teljes bekerülés</x:v>
      </x:c>
      <x:c r="AF90" s="19" t="str">
        <x:v>CP0 becslési csomag: segédanyag és munkadíj a megnevezett tartalom szerint; külön szállítás a 14 sorban. Nem ingyenes szállítás.</x:v>
      </x:c>
      <x:c r="AG90" s="20" t="n">
        <x:v>40000</x:v>
      </x:c>
      <x:c r="AH90" s="21" t="n">
        <x:f>O90*AG90+SUM(R90:T90)</x:f>
        <x:v>40000</x:v>
      </x:c>
      <x:c r="AI90" s="19" t="str">
        <x:v>PENDING</x:v>
      </x:c>
      <x:c r="AJ90" s="19" t="str">
        <x:v>PENDING</x:v>
      </x:c>
      <x:c r="AK90" s="19" t="str">
        <x:v>PENDING</x:v>
      </x:c>
      <x:c r="AL90" s="19" t="str">
        <x:v>PENDING</x:v>
      </x:c>
      <x:c r="AM90" s="19" t="str">
        <x:v>PENDING</x:v>
      </x:c>
      <x:c r="AN90" s="1" t="str">
        <x:v>KI-089</x:v>
      </x:c>
      <x:c r="AO90" s="1" t="str">
        <x:v>drawings/P-01_alaprajz.pdf</x:v>
      </x:c>
      <x:c r="AP90" s="1" t="str">
        <x:v>NINCS MODELL / nem térbeli költségsor; szakági kapcsolat igazolandó</x:v>
      </x:c>
      <x:c r="AQ90" s="1" t="str">
        <x:v>késztermék / szakági munka</x:v>
      </x:c>
      <x:c r="AR90" s="1" t="str">
        <x:v>felmérés/gyártói rajz szükséges</x:v>
      </x:c>
      <x:c r="AS90" s="1" t="str">
        <x:v>HUF</x:v>
      </x:c>
      <x:c r="AT90" s="1" t="n">
        <x:v>1</x:v>
      </x:c>
      <x:c r="AU90" s="1" t="str">
        <x:v>nincs visszaigazolt ajánlati érvényesség</x:v>
      </x:c>
      <x:c r="AV90" s="1" t="str">
        <x:v>KI-151 központi keret; daruzás KI-137</x:v>
      </x:c>
      <x:c r="AW90" s="1" t="str">
        <x:v>KI-014 asztalos / KI-106 villamos / KI-026 és KI-096 víz / KI-127 fal</x:v>
      </x:c>
      <x:c r="AX90" s="1" t="n">
        <x:v>6</x:v>
      </x:c>
      <x:c r="AY90" s="1" t="n">
        <x:v>0.85</x:v>
      </x:c>
      <x:c r="AZ90" s="1" t="n">
        <x:v>1.3</x:v>
      </x:c>
      <x:c r="BA90" s="29" t="n">
        <x:f>ROUND(U90*AY90,0)</x:f>
        <x:v>34000</x:v>
      </x:c>
      <x:c r="BB90" s="29" t="n">
        <x:f>ROUND(U90*AZ90,0)</x:f>
        <x:v>52000</x:v>
      </x:c>
    </x:row>
    <x:row r="91" ht="72" customHeight="1">
      <x:c r="A91" s="12" t="str">
        <x:v>A-902</x:v>
      </x:c>
      <x:c r="B91" s="12" t="str">
        <x:v>06.1 / elhelyezés PENDING</x:v>
      </x:c>
      <x:c r="C91" s="12" t="str">
        <x:v>KI-090</x:v>
      </x:c>
      <x:c r="D91" s="12" t="str">
        <x:v>NEM RENDERELT</x:v>
      </x:c>
      <x:c r="E91" s="12" t="str">
        <x:v>09</x:v>
      </x:c>
      <x:c r="F91" s="12" t="str">
        <x:v>FIX</x:v>
      </x:c>
      <x:c r="G91" s="12" t="str">
        <x:v>Gépek</x:v>
      </x:c>
      <x:c r="H91" s="19" t="str">
        <x:v>Vízbekötés és beüzemelés</x:v>
      </x:c>
      <x:c r="I91" s="19" t="str">
        <x:v>UNKNOWN</x:v>
      </x:c>
      <x:c r="J91" s="19" t="str">
        <x:v>UNKNOWN</x:v>
      </x:c>
      <x:c r="K91" s="19" t="str">
        <x:v>UNKNOWN</x:v>
      </x:c>
      <x:c r="L91" s="19" t="str">
        <x:v>UNKNOWN – felmérés/gyári adat kell</x:v>
      </x:c>
      <x:c r="M91" s="19" t="str">
        <x:v>Kyoto Ink: grafit / füstszürke / taupe</x:v>
      </x:c>
      <x:c r="N91" s="19" t="str">
        <x:v>PENDING – műszaki specifikáció szerint</x:v>
      </x:c>
      <x:c r="O91" s="19" t="n">
        <x:v>1</x:v>
      </x:c>
      <x:c r="P91" s="19" t="str">
        <x:v>csomag</x:v>
      </x:c>
      <x:c r="Q91" s="20" t="n">
        <x:v>35000</x:v>
      </x:c>
      <x:c r="R91" s="20" t="n">
        <x:v>0</x:v>
      </x:c>
      <x:c r="S91" s="20" t="n">
        <x:v>0</x:v>
      </x:c>
      <x:c r="T91" s="20" t="n">
        <x:v>0</x:v>
      </x:c>
      <x:c r="U91" s="21" t="n">
        <x:f>O91*Q91+SUM(R91:T91)</x:f>
        <x:v>35000</x:v>
      </x:c>
      <x:c r="V91" s="19" t="str">
        <x:v>előzetes becslés</x:v>
      </x:c>
      <x:c r="W91" s="19" t="str">
        <x:v>CP0 tervezői előirányzat, nem webshopár; baseline 09</x:v>
      </x:c>
      <x:c r="X91" s="19" t="str">
        <x:v>2026-10-26</x:v>
      </x:c>
      <x:c r="Y91" s="19" t="str">
        <x:v>UNKNOWN – ajánlatban visszaigazolandó</x:v>
      </x:c>
      <x:c r="Z91" s="19" t="str">
        <x:v>C</x:v>
      </x:c>
      <x:c r="AA91" s="19" t="str">
        <x:v>PENDING</x:v>
      </x:c>
      <x:c r="AB91" s="19" t="str">
        <x:v>PENDING</x:v>
      </x:c>
      <x:c r="AC91" s="19" t="str">
        <x:v>nem megrendelt</x:v>
      </x:c>
      <x:c r="AD91" s="19" t="str">
        <x:v>Beszerzési felelős / Péter</x:v>
      </x:c>
      <x:c r="AE91" s="19" t="str">
        <x:v>PENDING – méret, csatlakozás, anyagminta, teljes bekerülés</x:v>
      </x:c>
      <x:c r="AF91" s="19" t="str">
        <x:v>CP0 becslési csomag: segédanyag és munkadíj a megnevezett tartalom szerint; külön szállítás a 14 sorban. Nem ingyenes szállítás.</x:v>
      </x:c>
      <x:c r="AG91" s="20" t="n">
        <x:v>35000</x:v>
      </x:c>
      <x:c r="AH91" s="21" t="n">
        <x:f>O91*AG91+SUM(R91:T91)</x:f>
        <x:v>35000</x:v>
      </x:c>
      <x:c r="AI91" s="19" t="str">
        <x:v>PENDING</x:v>
      </x:c>
      <x:c r="AJ91" s="19" t="str">
        <x:v>PENDING</x:v>
      </x:c>
      <x:c r="AK91" s="19" t="str">
        <x:v>PENDING</x:v>
      </x:c>
      <x:c r="AL91" s="19" t="str">
        <x:v>PENDING</x:v>
      </x:c>
      <x:c r="AM91" s="19" t="str">
        <x:v>PENDING</x:v>
      </x:c>
      <x:c r="AN91" s="1" t="str">
        <x:v>KI-090</x:v>
      </x:c>
      <x:c r="AO91" s="1" t="str">
        <x:v>drawings/P-01_alaprajz.pdf</x:v>
      </x:c>
      <x:c r="AP91" s="1" t="str">
        <x:v>NINCS MODELL / nem térbeli költségsor; szakági kapcsolat igazolandó</x:v>
      </x:c>
      <x:c r="AQ91" s="1" t="str">
        <x:v>késztermék / szakági munka</x:v>
      </x:c>
      <x:c r="AR91" s="1" t="str">
        <x:v>felmérés/gyártói rajz szükséges</x:v>
      </x:c>
      <x:c r="AS91" s="1" t="str">
        <x:v>HUF</x:v>
      </x:c>
      <x:c r="AT91" s="1" t="n">
        <x:v>1</x:v>
      </x:c>
      <x:c r="AU91" s="1" t="str">
        <x:v>nincs visszaigazolt ajánlati érvényesség</x:v>
      </x:c>
      <x:c r="AV91" s="1" t="str">
        <x:v>KI-151 központi keret; daruzás KI-137</x:v>
      </x:c>
      <x:c r="AW91" s="1" t="str">
        <x:v>KI-014 asztalos / KI-106 villamos / KI-026 és KI-096 víz / KI-127 fal</x:v>
      </x:c>
      <x:c r="AX91" s="1" t="n">
        <x:v>6</x:v>
      </x:c>
      <x:c r="AY91" s="1" t="n">
        <x:v>0.85</x:v>
      </x:c>
      <x:c r="AZ91" s="1" t="n">
        <x:v>1.3</x:v>
      </x:c>
      <x:c r="BA91" s="29" t="n">
        <x:f>ROUND(U91*AY91,0)</x:f>
        <x:v>29750</x:v>
      </x:c>
      <x:c r="BB91" s="29" t="n">
        <x:f>ROUND(U91*AZ91,0)</x:f>
        <x:v>45500</x:v>
      </x:c>
    </x:row>
    <x:row r="92" ht="72" customHeight="1">
      <x:c r="A92" s="12" t="str">
        <x:v>A-902</x:v>
      </x:c>
      <x:c r="B92" s="12" t="str">
        <x:v>06.2</x:v>
      </x:c>
      <x:c r="C92" s="12" t="str">
        <x:v>KI-091</x:v>
      </x:c>
      <x:c r="D92" s="12" t="str">
        <x:v>Cam10 v1</x:v>
      </x:c>
      <x:c r="E92" s="12" t="str">
        <x:v>07</x:v>
      </x:c>
      <x:c r="F92" s="12" t="str">
        <x:v>STÍLUS</x:v>
      </x:c>
      <x:c r="G92" s="12" t="str">
        <x:v>Üveges</x:v>
      </x:c>
      <x:c r="H92" s="19" t="str">
        <x:v>100 cm fix zuhanyüveg, profil, alátámasztás, vízzárás és szerelés</x:v>
      </x:c>
      <x:c r="I92" s="19" t="str">
        <x:v>UNKNOWN</x:v>
      </x:c>
      <x:c r="J92" s="19" t="str">
        <x:v>UNKNOWN</x:v>
      </x:c>
      <x:c r="K92" s="19" t="str">
        <x:v>UNKNOWN</x:v>
      </x:c>
      <x:c r="L92" s="19" t="str">
        <x:v>UNKNOWN – felmérés/gyári adat kell</x:v>
      </x:c>
      <x:c r="M92" s="19" t="str">
        <x:v>Kyoto Ink: grafit / füstszürke / taupe</x:v>
      </x:c>
      <x:c r="N92" s="19" t="str">
        <x:v>PENDING – műszaki specifikáció szerint</x:v>
      </x:c>
      <x:c r="O92" s="19" t="n">
        <x:v>1</x:v>
      </x:c>
      <x:c r="P92" s="19" t="str">
        <x:v>csomag</x:v>
      </x:c>
      <x:c r="Q92" s="20" t="n">
        <x:v>180000</x:v>
      </x:c>
      <x:c r="R92" s="20" t="n">
        <x:v>0</x:v>
      </x:c>
      <x:c r="S92" s="20" t="n">
        <x:v>0</x:v>
      </x:c>
      <x:c r="T92" s="20" t="n">
        <x:v>0</x:v>
      </x:c>
      <x:c r="U92" s="21" t="n">
        <x:f>O92*Q92+SUM(R92:T92)</x:f>
        <x:v>180000</x:v>
      </x:c>
      <x:c r="V92" s="19" t="str">
        <x:v>előzetes becslés</x:v>
      </x:c>
      <x:c r="W92" s="19" t="str">
        <x:v>CP0 tervezői előirányzat, nem webshopár; baseline 07</x:v>
      </x:c>
      <x:c r="X92" s="19" t="str">
        <x:v>2026-10-26</x:v>
      </x:c>
      <x:c r="Y92" s="19" t="str">
        <x:v>UNKNOWN – ajánlatban visszaigazolandó</x:v>
      </x:c>
      <x:c r="Z92" s="19" t="str">
        <x:v>B</x:v>
      </x:c>
      <x:c r="AA92" s="19" t="str">
        <x:v>PENDING</x:v>
      </x:c>
      <x:c r="AB92" s="19" t="str">
        <x:v>PENDING</x:v>
      </x:c>
      <x:c r="AC92" s="19" t="str">
        <x:v>nem megrendelt</x:v>
      </x:c>
      <x:c r="AD92" s="19" t="str">
        <x:v>Üveges</x:v>
      </x:c>
      <x:c r="AE92" s="19" t="str">
        <x:v>PENDING – méret, csatlakozás, anyagminta, teljes bekerülés</x:v>
      </x:c>
      <x:c r="AF92" s="19" t="str">
        <x:v>R06: északi zuhanytálca déli élén keleti1000mm fixüveg,780mm névleges belépő. Kiviteli helyszíni vízzárás/üvegméret szakági jóváhagyásra vár.</x:v>
      </x:c>
      <x:c r="AG92" s="20" t="n">
        <x:v>180000</x:v>
      </x:c>
      <x:c r="AH92" s="21" t="n">
        <x:f>O92*AG92+SUM(R92:T92)</x:f>
        <x:v>180000</x:v>
      </x:c>
      <x:c r="AI92" s="19" t="str">
        <x:v>PENDING</x:v>
      </x:c>
      <x:c r="AJ92" s="19" t="str">
        <x:v>PENDING</x:v>
      </x:c>
      <x:c r="AK92" s="19" t="str">
        <x:v>PENDING</x:v>
      </x:c>
      <x:c r="AL92" s="19" t="str">
        <x:v>PENDING</x:v>
      </x:c>
      <x:c r="AM92" s="19" t="str">
        <x:v>PENDING</x:v>
      </x:c>
      <x:c r="AN92" s="1" t="str">
        <x:v>KI-091</x:v>
      </x:c>
      <x:c r="AO92" s="1" t="str">
        <x:v>drawings/P-01_alaprajz.pdf</x:v>
      </x:c>
      <x:c r="AP92" s="1" t="str">
        <x:v>KI_KI-091; KI_EX-SHOWER62</x:v>
      </x:c>
      <x:c r="AQ92" s="1" t="str">
        <x:v>késztermék / szakági munka</x:v>
      </x:c>
      <x:c r="AR92" s="1" t="str">
        <x:v>felmérés/gyártói rajz szükséges</x:v>
      </x:c>
      <x:c r="AS92" s="1" t="str">
        <x:v>HUF</x:v>
      </x:c>
      <x:c r="AT92" s="1" t="n">
        <x:v>1</x:v>
      </x:c>
      <x:c r="AU92" s="1" t="str">
        <x:v>nincs visszaigazolt ajánlati érvényesség</x:v>
      </x:c>
      <x:c r="AV92" s="1" t="str">
        <x:v>KI-151 központi keret; daruzás KI-137</x:v>
      </x:c>
      <x:c r="AW92" s="1" t="str">
        <x:v>KI-014 asztalos / KI-106 villamos / KI-026 és KI-096 víz / KI-127 fal</x:v>
      </x:c>
      <x:c r="AX92" s="1" t="n">
        <x:v>6</x:v>
      </x:c>
      <x:c r="AY92" s="1" t="n">
        <x:v>0.85</x:v>
      </x:c>
      <x:c r="AZ92" s="1" t="n">
        <x:v>1.3</x:v>
      </x:c>
      <x:c r="BA92" s="29" t="n">
        <x:f>ROUND(U92*AY92,0)</x:f>
        <x:v>153000</x:v>
      </x:c>
      <x:c r="BB92" s="29" t="n">
        <x:f>ROUND(U92*AZ92,0)</x:f>
        <x:v>234000</x:v>
      </x:c>
    </x:row>
    <x:row r="93" ht="72" customHeight="1">
      <x:c r="A93" s="12" t="str">
        <x:v>A-902</x:v>
      </x:c>
      <x:c r="B93" s="12" t="str">
        <x:v>06.2</x:v>
      </x:c>
      <x:c r="C93" s="12" t="str">
        <x:v>KI-092</x:v>
      </x:c>
      <x:c r="D93" s="12" t="str">
        <x:v>CP3/render_handoff/manifest_CP3.json</x:v>
      </x:c>
      <x:c r="E93" s="12" t="str">
        <x:v>07</x:v>
      </x:c>
      <x:c r="F93" s="12" t="str">
        <x:v>STÍLUS</x:v>
      </x:c>
      <x:c r="G93" s="12" t="str">
        <x:v>Asztalos</x:v>
      </x:c>
      <x:c r="H93" s="19" t="str">
        <x:v>06.2 mosdóbútor; 600+300 oldalankénti fiók</x:v>
      </x:c>
      <x:c r="I93" s="19" t="str">
        <x:v>UNKNOWN</x:v>
      </x:c>
      <x:c r="J93" s="19" t="str">
        <x:v>UNKNOWN</x:v>
      </x:c>
      <x:c r="K93" s="19" t="str">
        <x:v>UNKNOWN</x:v>
      </x:c>
      <x:c r="L93" s="19" t="str">
        <x:v>B62-01: 900×500×350 mm</x:v>
      </x:c>
      <x:c r="M93" s="19" t="str">
        <x:v>Kyoto Ink: grafit / füstszürke / taupe</x:v>
      </x:c>
      <x:c r="N93" s="19" t="str">
        <x:v>MAT-09</x:v>
      </x:c>
      <x:c r="O93" s="19" t="n">
        <x:v>1</x:v>
      </x:c>
      <x:c r="P93" s="19" t="str">
        <x:v>csomag</x:v>
      </x:c>
      <x:c r="Q93" s="20" t="n">
        <x:v>270000</x:v>
      </x:c>
      <x:c r="R93" s="20" t="n">
        <x:v>0</x:v>
      </x:c>
      <x:c r="S93" s="20" t="n">
        <x:v>0</x:v>
      </x:c>
      <x:c r="T93" s="20" t="n">
        <x:v>0</x:v>
      </x:c>
      <x:c r="U93" s="21" t="n">
        <x:f>O93*Q93+SUM(R93:T93)</x:f>
        <x:v>270000</x:v>
      </x:c>
      <x:c r="V93" s="19" t="str">
        <x:v>előzetes becslés</x:v>
      </x:c>
      <x:c r="W93" s="19" t="str">
        <x:v>CP0 tervezői előirányzat, nem webshopár; baseline 07</x:v>
      </x:c>
      <x:c r="X93" s="19" t="str">
        <x:v>2026-10-26</x:v>
      </x:c>
      <x:c r="Y93" s="19" t="str">
        <x:v>UNKNOWN – ajánlatban visszaigazolandó</x:v>
      </x:c>
      <x:c r="Z93" s="19" t="str">
        <x:v>B</x:v>
      </x:c>
      <x:c r="AA93" s="19" t="str">
        <x:v>PENDING</x:v>
      </x:c>
      <x:c r="AB93" s="19" t="str">
        <x:v>PENDING</x:v>
      </x:c>
      <x:c r="AC93" s="19" t="str">
        <x:v>nem megrendelt</x:v>
      </x:c>
      <x:c r="AD93" s="19" t="str">
        <x:v>Asztalos és belsőépítész</x:v>
      </x:c>
      <x:c r="AE93" s="19" t="str">
        <x:v>PENDING – méret, csatlakozás, anyagminta, teljes bekerülés</x:v>
      </x:c>
      <x:c r="AF93" s="19" t="str">
        <x:v>CP0 becslési csomag: segédanyag és munkadíj a megnevezett tartalom szerint; külön szállítás a 14 sorban. Nem ingyenes szállítás.</x:v>
      </x:c>
      <x:c r="AG93" s="20" t="n">
        <x:v>270000</x:v>
      </x:c>
      <x:c r="AH93" s="21" t="n">
        <x:f>O93*AG93+SUM(R93:T93)</x:f>
        <x:v>270000</x:v>
      </x:c>
      <x:c r="AI93" s="19" t="str">
        <x:v>R05 főváltozat tartalma; korábbi fiók-/aszimmetria-elhagyás nincs automatikusan kiválasztva.</x:v>
      </x:c>
      <x:c r="AJ93" s="19" t="str">
        <x:v>PENDING</x:v>
      </x:c>
      <x:c r="AK93" s="19" t="str">
        <x:v>PENDING</x:v>
      </x:c>
      <x:c r="AL93" s="19" t="str">
        <x:v>PENDING</x:v>
      </x:c>
      <x:c r="AM93" s="19" t="str">
        <x:v>PENDING</x:v>
      </x:c>
      <x:c r="AN93" s="1" t="str">
        <x:v>B62-01</x:v>
      </x:c>
      <x:c r="AO93" s="1" t="str">
        <x:v>CP3/drawings/B62-01_CP3.pdf</x:v>
      </x:c>
      <x:c r="AP93" s="1" t="str">
        <x:v>CP3_B62-01</x:v>
      </x:c>
      <x:c r="AQ93" s="1" t="str">
        <x:v>egyedi gyártás</x:v>
      </x:c>
      <x:c r="AR93" s="1" t="str">
        <x:v>R02 méretezett ajánlati terv; nem helyszíni méret</x:v>
      </x:c>
      <x:c r="AS93" s="1" t="str">
        <x:v>HUF</x:v>
      </x:c>
      <x:c r="AT93" s="1" t="n">
        <x:v>1</x:v>
      </x:c>
      <x:c r="AU93" s="1" t="str">
        <x:v>nincs visszaigazolt ajánlati érvényesség</x:v>
      </x:c>
      <x:c r="AV93" s="1" t="str">
        <x:v>KI-151 központi keret; daruzás KI-137</x:v>
      </x:c>
      <x:c r="AW93" s="1" t="str">
        <x:v>KI-014 asztalos / KI-106 villamos / KI-026 és KI-096 víz / KI-127 fal</x:v>
      </x:c>
      <x:c r="AX93" s="1" t="n">
        <x:v>4</x:v>
      </x:c>
      <x:c r="AY93" s="1" t="n">
        <x:v>0.8</x:v>
      </x:c>
      <x:c r="AZ93" s="1" t="n">
        <x:v>1.45</x:v>
      </x:c>
      <x:c r="BA93" s="29" t="n">
        <x:f>ROUND(U93*AY93,0)</x:f>
        <x:v>216000</x:v>
      </x:c>
      <x:c r="BB93" s="29" t="n">
        <x:f>ROUND(U93*AZ93,0)</x:f>
        <x:v>391500</x:v>
      </x:c>
    </x:row>
    <x:row r="94" ht="72" customHeight="1">
      <x:c r="A94" s="12" t="str">
        <x:v>A-902</x:v>
      </x:c>
      <x:c r="B94" s="12" t="str">
        <x:v>06.2</x:v>
      </x:c>
      <x:c r="C94" s="12" t="str">
        <x:v>KI-093</x:v>
      </x:c>
      <x:c r="D94" s="12" t="str">
        <x:v>Cam10 v1</x:v>
      </x:c>
      <x:c r="E94" s="12" t="str">
        <x:v>07</x:v>
      </x:c>
      <x:c r="F94" s="12" t="str">
        <x:v>STÍLUS</x:v>
      </x:c>
      <x:c r="G94" s="12" t="str">
        <x:v>Asztalos</x:v>
      </x:c>
      <x:c r="H94" s="19" t="str">
        <x:v>Aszimmetrikus tükör, biztonsági hátlap és szerelés</x:v>
      </x:c>
      <x:c r="I94" s="19" t="str">
        <x:v>UNKNOWN</x:v>
      </x:c>
      <x:c r="J94" s="19" t="str">
        <x:v>UNKNOWN</x:v>
      </x:c>
      <x:c r="K94" s="19" t="str">
        <x:v>UNKNOWN</x:v>
      </x:c>
      <x:c r="L94" s="19" t="str">
        <x:v>UNKNOWN – felmérés/gyári adat kell</x:v>
      </x:c>
      <x:c r="M94" s="19" t="str">
        <x:v>Kyoto Ink: grafit / füstszürke / taupe</x:v>
      </x:c>
      <x:c r="N94" s="19" t="str">
        <x:v>PENDING – műszaki specifikáció szerint</x:v>
      </x:c>
      <x:c r="O94" s="19" t="n">
        <x:v>1</x:v>
      </x:c>
      <x:c r="P94" s="19" t="str">
        <x:v>csomag</x:v>
      </x:c>
      <x:c r="Q94" s="20" t="n">
        <x:v>90000</x:v>
      </x:c>
      <x:c r="R94" s="20" t="n">
        <x:v>0</x:v>
      </x:c>
      <x:c r="S94" s="20" t="n">
        <x:v>0</x:v>
      </x:c>
      <x:c r="T94" s="20" t="n">
        <x:v>0</x:v>
      </x:c>
      <x:c r="U94" s="21" t="n">
        <x:f>O94*Q94+SUM(R94:T94)</x:f>
        <x:v>90000</x:v>
      </x:c>
      <x:c r="V94" s="19" t="str">
        <x:v>előzetes becslés</x:v>
      </x:c>
      <x:c r="W94" s="19" t="str">
        <x:v>CP0 tervezői előirányzat, nem webshopár; baseline 07</x:v>
      </x:c>
      <x:c r="X94" s="19" t="str">
        <x:v>2026-10-26</x:v>
      </x:c>
      <x:c r="Y94" s="19" t="str">
        <x:v>UNKNOWN – ajánlatban visszaigazolandó</x:v>
      </x:c>
      <x:c r="Z94" s="19" t="str">
        <x:v>B</x:v>
      </x:c>
      <x:c r="AA94" s="19" t="str">
        <x:v>PENDING</x:v>
      </x:c>
      <x:c r="AB94" s="19" t="str">
        <x:v>PENDING</x:v>
      </x:c>
      <x:c r="AC94" s="19" t="str">
        <x:v>nem megrendelt</x:v>
      </x:c>
      <x:c r="AD94" s="19" t="str">
        <x:v>Asztalos és belsőépítész</x:v>
      </x:c>
      <x:c r="AE94" s="19" t="str">
        <x:v>PENDING – méret, csatlakozás, anyagminta, teljes bekerülés</x:v>
      </x:c>
      <x:c r="AF94" s="19" t="str">
        <x:v>CP0 becslési csomag: segédanyag és munkadíj a megnevezett tartalom szerint; külön szállítás a 14 sorban. Nem ingyenes szállítás.</x:v>
      </x:c>
      <x:c r="AG94" s="20" t="n">
        <x:v>90000</x:v>
      </x:c>
      <x:c r="AH94" s="21" t="n">
        <x:f>O94*AG94+SUM(R94:T94)</x:f>
        <x:v>90000</x:v>
      </x:c>
      <x:c r="AI94" s="19" t="str">
        <x:v>PENDING</x:v>
      </x:c>
      <x:c r="AJ94" s="19" t="str">
        <x:v>PENDING</x:v>
      </x:c>
      <x:c r="AK94" s="19" t="str">
        <x:v>PENDING</x:v>
      </x:c>
      <x:c r="AL94" s="19" t="str">
        <x:v>PENDING</x:v>
      </x:c>
      <x:c r="AM94" s="19" t="str">
        <x:v>PENDING</x:v>
      </x:c>
      <x:c r="AN94" s="1" t="str">
        <x:v>KI-093</x:v>
      </x:c>
      <x:c r="AO94" s="1" t="str">
        <x:v>drawings/P-01_alaprajz.pdf</x:v>
      </x:c>
      <x:c r="AP94" s="1" t="str">
        <x:v>NINCS MODELL / nem térbeli költségsor; szakági kapcsolat igazolandó</x:v>
      </x:c>
      <x:c r="AQ94" s="1" t="str">
        <x:v>késztermék / szakági munka</x:v>
      </x:c>
      <x:c r="AR94" s="1" t="str">
        <x:v>felmérés/gyártói rajz szükséges</x:v>
      </x:c>
      <x:c r="AS94" s="1" t="str">
        <x:v>HUF</x:v>
      </x:c>
      <x:c r="AT94" s="1" t="n">
        <x:v>1</x:v>
      </x:c>
      <x:c r="AU94" s="1" t="str">
        <x:v>nincs visszaigazolt ajánlati érvényesség</x:v>
      </x:c>
      <x:c r="AV94" s="1" t="str">
        <x:v>KI-151 központi keret; daruzás KI-137</x:v>
      </x:c>
      <x:c r="AW94" s="1" t="str">
        <x:v>KI-014 asztalos / KI-106 villamos / KI-026 és KI-096 víz / KI-127 fal</x:v>
      </x:c>
      <x:c r="AX94" s="1" t="n">
        <x:v>6</x:v>
      </x:c>
      <x:c r="AY94" s="1" t="n">
        <x:v>0.85</x:v>
      </x:c>
      <x:c r="AZ94" s="1" t="n">
        <x:v>1.3</x:v>
      </x:c>
      <x:c r="BA94" s="29" t="n">
        <x:f>ROUND(U94*AY94,0)</x:f>
        <x:v>76500</x:v>
      </x:c>
      <x:c r="BB94" s="29" t="n">
        <x:f>ROUND(U94*AZ94,0)</x:f>
        <x:v>117000</x:v>
      </x:c>
    </x:row>
    <x:row r="95" ht="72" customHeight="1">
      <x:c r="A95" s="12" t="str">
        <x:v>A-902</x:v>
      </x:c>
      <x:c r="B95" s="12" t="str">
        <x:v>06.2</x:v>
      </x:c>
      <x:c r="C95" s="12" t="str">
        <x:v>KI-094</x:v>
      </x:c>
      <x:c r="D95" s="12" t="str">
        <x:v>CP3/render_handoff/manifest_CP3.json</x:v>
      </x:c>
      <x:c r="E95" s="12" t="str">
        <x:v>07</x:v>
      </x:c>
      <x:c r="F95" s="12" t="str">
        <x:v>STÍLUS</x:v>
      </x:c>
      <x:c r="G95" s="12" t="str">
        <x:v>Asztalos</x:v>
      </x:c>
      <x:c r="H95" s="19" t="str">
        <x:v>Zárt fali tároló és nyitott oldalsó polc</x:v>
      </x:c>
      <x:c r="I95" s="19" t="str">
        <x:v>UNKNOWN</x:v>
      </x:c>
      <x:c r="J95" s="19" t="str">
        <x:v>UNKNOWN</x:v>
      </x:c>
      <x:c r="K95" s="19" t="str">
        <x:v>UNKNOWN</x:v>
      </x:c>
      <x:c r="L95" s="19" t="str">
        <x:v>B62-02: 300×200×800 mm</x:v>
      </x:c>
      <x:c r="M95" s="19" t="str">
        <x:v>Kyoto Ink: grafit / füstszürke / taupe</x:v>
      </x:c>
      <x:c r="N95" s="19" t="str">
        <x:v>PENDING – műszaki specifikáció szerint</x:v>
      </x:c>
      <x:c r="O95" s="19" t="n">
        <x:v>1</x:v>
      </x:c>
      <x:c r="P95" s="19" t="str">
        <x:v>csomag</x:v>
      </x:c>
      <x:c r="Q95" s="20" t="n">
        <x:v>90000</x:v>
      </x:c>
      <x:c r="R95" s="20" t="n">
        <x:v>0</x:v>
      </x:c>
      <x:c r="S95" s="20" t="n">
        <x:v>0</x:v>
      </x:c>
      <x:c r="T95" s="20" t="n">
        <x:v>0</x:v>
      </x:c>
      <x:c r="U95" s="21" t="n">
        <x:f>O95*Q95+SUM(R95:T95)</x:f>
        <x:v>90000</x:v>
      </x:c>
      <x:c r="V95" s="19" t="str">
        <x:v>előzetes becslés</x:v>
      </x:c>
      <x:c r="W95" s="19" t="str">
        <x:v>CP0 tervezői előirányzat, nem webshopár; baseline 07</x:v>
      </x:c>
      <x:c r="X95" s="19" t="str">
        <x:v>2026-10-26</x:v>
      </x:c>
      <x:c r="Y95" s="19" t="str">
        <x:v>UNKNOWN – ajánlatban visszaigazolandó</x:v>
      </x:c>
      <x:c r="Z95" s="19" t="str">
        <x:v>B</x:v>
      </x:c>
      <x:c r="AA95" s="19" t="str">
        <x:v>PENDING</x:v>
      </x:c>
      <x:c r="AB95" s="19" t="str">
        <x:v>PENDING</x:v>
      </x:c>
      <x:c r="AC95" s="19" t="str">
        <x:v>nem megrendelt</x:v>
      </x:c>
      <x:c r="AD95" s="19" t="str">
        <x:v>Asztalos és belsőépítész</x:v>
      </x:c>
      <x:c r="AE95" s="19" t="str">
        <x:v>PENDING – méret, csatlakozás, anyagminta, teljes bekerülés</x:v>
      </x:c>
      <x:c r="AF95" s="19" t="str">
        <x:v>CP0 becslési csomag: segédanyag és munkadíj a megnevezett tartalom szerint; külön szállítás a 14 sorban. Nem ingyenes szállítás.</x:v>
      </x:c>
      <x:c r="AG95" s="20" t="n">
        <x:v>90000</x:v>
      </x:c>
      <x:c r="AH95" s="21" t="n">
        <x:f>O95*AG95+SUM(R95:T95)</x:f>
        <x:v>90000</x:v>
      </x:c>
      <x:c r="AI95" s="19" t="str">
        <x:v>PENDING</x:v>
      </x:c>
      <x:c r="AJ95" s="19" t="str">
        <x:v>PENDING</x:v>
      </x:c>
      <x:c r="AK95" s="19" t="str">
        <x:v>PENDING</x:v>
      </x:c>
      <x:c r="AL95" s="19" t="str">
        <x:v>PENDING</x:v>
      </x:c>
      <x:c r="AM95" s="19" t="str">
        <x:v>PENDING</x:v>
      </x:c>
      <x:c r="AN95" s="1" t="str">
        <x:v>B62-02</x:v>
      </x:c>
      <x:c r="AO95" s="1" t="str">
        <x:v>CP3/drawings/B62-02_CP3.pdf</x:v>
      </x:c>
      <x:c r="AP95" s="1" t="str">
        <x:v>CP3_B62-02</x:v>
      </x:c>
      <x:c r="AQ95" s="1" t="str">
        <x:v>egyedi gyártás</x:v>
      </x:c>
      <x:c r="AR95" s="1" t="str">
        <x:v>R02 méretezett ajánlati terv; nem helyszíni méret</x:v>
      </x:c>
      <x:c r="AS95" s="1" t="str">
        <x:v>HUF</x:v>
      </x:c>
      <x:c r="AT95" s="1" t="n">
        <x:v>1</x:v>
      </x:c>
      <x:c r="AU95" s="1" t="str">
        <x:v>nincs visszaigazolt ajánlati érvényesség</x:v>
      </x:c>
      <x:c r="AV95" s="1" t="str">
        <x:v>KI-151 központi keret; daruzás KI-137</x:v>
      </x:c>
      <x:c r="AW95" s="1" t="str">
        <x:v>KI-014 asztalos / KI-106 villamos / KI-026 és KI-096 víz / KI-127 fal</x:v>
      </x:c>
      <x:c r="AX95" s="1" t="n">
        <x:v>4</x:v>
      </x:c>
      <x:c r="AY95" s="1" t="n">
        <x:v>0.85</x:v>
      </x:c>
      <x:c r="AZ95" s="1" t="n">
        <x:v>1.3</x:v>
      </x:c>
      <x:c r="BA95" s="29" t="n">
        <x:f>ROUND(U95*AY95,0)</x:f>
        <x:v>76500</x:v>
      </x:c>
      <x:c r="BB95" s="29" t="n">
        <x:f>ROUND(U95*AZ95,0)</x:f>
        <x:v>117000</x:v>
      </x:c>
    </x:row>
    <x:row r="96" ht="72" customHeight="1">
      <x:c r="A96" s="12" t="str">
        <x:v>A-902</x:v>
      </x:c>
      <x:c r="B96" s="12" t="str">
        <x:v>06.2</x:v>
      </x:c>
      <x:c r="C96" s="12" t="str">
        <x:v>KI-095</x:v>
      </x:c>
      <x:c r="D96" s="12" t="str">
        <x:v>CP3/render_handoff/manifest_CP3.json</x:v>
      </x:c>
      <x:c r="E96" s="12" t="str">
        <x:v>07</x:v>
      </x:c>
      <x:c r="F96" s="12" t="str">
        <x:v>STÍLUS</x:v>
      </x:c>
      <x:c r="G96" s="12" t="str">
        <x:v>Vízszerelés</x:v>
      </x:c>
      <x:c r="H96" s="19" t="str">
        <x:v>Feltételes beépíthető mosdócsere és vízszerelés</x:v>
      </x:c>
      <x:c r="I96" s="19" t="str">
        <x:v>UNKNOWN</x:v>
      </x:c>
      <x:c r="J96" s="19" t="str">
        <x:v>UNKNOWN</x:v>
      </x:c>
      <x:c r="K96" s="19" t="str">
        <x:v>UNKNOWN</x:v>
      </x:c>
      <x:c r="L96" s="19" t="str">
        <x:v>B62-01: 900×500×350 mm</x:v>
      </x:c>
      <x:c r="M96" s="19" t="str">
        <x:v>Kyoto Ink: grafit / füstszürke / taupe</x:v>
      </x:c>
      <x:c r="N96" s="19" t="str">
        <x:v>PENDING – műszaki specifikáció szerint</x:v>
      </x:c>
      <x:c r="O96" s="19" t="n">
        <x:v>1</x:v>
      </x:c>
      <x:c r="P96" s="19" t="str">
        <x:v>csomag</x:v>
      </x:c>
      <x:c r="Q96" s="20" t="n">
        <x:v>100000</x:v>
      </x:c>
      <x:c r="R96" s="20" t="n">
        <x:v>0</x:v>
      </x:c>
      <x:c r="S96" s="20" t="n">
        <x:v>0</x:v>
      </x:c>
      <x:c r="T96" s="20" t="n">
        <x:v>0</x:v>
      </x:c>
      <x:c r="U96" s="21" t="n">
        <x:f>O96*Q96+SUM(R96:T96)</x:f>
        <x:v>100000</x:v>
      </x:c>
      <x:c r="V96" s="19" t="str">
        <x:v>előzetes becslés</x:v>
      </x:c>
      <x:c r="W96" s="19" t="str">
        <x:v>CP0 tervezői előirányzat, nem webshopár; baseline 07</x:v>
      </x:c>
      <x:c r="X96" s="19" t="str">
        <x:v>2026-10-26</x:v>
      </x:c>
      <x:c r="Y96" s="19" t="str">
        <x:v>UNKNOWN – ajánlatban visszaigazolandó</x:v>
      </x:c>
      <x:c r="Z96" s="19" t="str">
        <x:v>C</x:v>
      </x:c>
      <x:c r="AA96" s="19" t="str">
        <x:v>PENDING</x:v>
      </x:c>
      <x:c r="AB96" s="19" t="str">
        <x:v>PENDING</x:v>
      </x:c>
      <x:c r="AC96" s="19" t="str">
        <x:v>nem megrendelt</x:v>
      </x:c>
      <x:c r="AD96" s="19" t="str">
        <x:v>Vízszerelő</x:v>
      </x:c>
      <x:c r="AE96" s="19" t="str">
        <x:v>PENDING – méret, csatlakozás, anyagminta, teljes bekerülés</x:v>
      </x:c>
      <x:c r="AF96" s="19" t="str">
        <x:v>CP0 becslési csomag: segédanyag és munkadíj a megnevezett tartalom szerint; külön szállítás a 14 sorban. Nem ingyenes szállítás.</x:v>
      </x:c>
      <x:c r="AG96" s="20" t="n">
        <x:v>100000</x:v>
      </x:c>
      <x:c r="AH96" s="21" t="n">
        <x:f>O96*AG96+SUM(R96:T96)</x:f>
        <x:v>100000</x:v>
      </x:c>
      <x:c r="AI96" s="19" t="str">
        <x:v>PENDING</x:v>
      </x:c>
      <x:c r="AJ96" s="19" t="str">
        <x:v>PENDING</x:v>
      </x:c>
      <x:c r="AK96" s="19" t="str">
        <x:v>PENDING</x:v>
      </x:c>
      <x:c r="AL96" s="19" t="str">
        <x:v>PENDING</x:v>
      </x:c>
      <x:c r="AM96" s="19" t="str">
        <x:v>PENDING</x:v>
      </x:c>
      <x:c r="AN96" s="1" t="str">
        <x:v>B62-01</x:v>
      </x:c>
      <x:c r="AO96" s="1" t="str">
        <x:v>CP3/drawings/B62-01_CP3.pdf</x:v>
      </x:c>
      <x:c r="AP96" s="1" t="str">
        <x:v>CP3_B62-01</x:v>
      </x:c>
      <x:c r="AQ96" s="1" t="str">
        <x:v>egyedi gyártás</x:v>
      </x:c>
      <x:c r="AR96" s="1" t="str">
        <x:v>R02 méretezett ajánlati terv; nem helyszíni méret</x:v>
      </x:c>
      <x:c r="AS96" s="1" t="str">
        <x:v>HUF</x:v>
      </x:c>
      <x:c r="AT96" s="1" t="n">
        <x:v>1</x:v>
      </x:c>
      <x:c r="AU96" s="1" t="str">
        <x:v>nincs visszaigazolt ajánlati érvényesség</x:v>
      </x:c>
      <x:c r="AV96" s="1" t="str">
        <x:v>KI-151 központi keret; daruzás KI-137</x:v>
      </x:c>
      <x:c r="AW96" s="1" t="str">
        <x:v>KI-014 asztalos / KI-106 villamos / KI-026 és KI-096 víz / KI-127 fal</x:v>
      </x:c>
      <x:c r="AX96" s="1" t="n">
        <x:v>4</x:v>
      </x:c>
      <x:c r="AY96" s="1" t="n">
        <x:v>0.85</x:v>
      </x:c>
      <x:c r="AZ96" s="1" t="n">
        <x:v>1.3</x:v>
      </x:c>
      <x:c r="BA96" s="29" t="n">
        <x:f>ROUND(U96*AY96,0)</x:f>
        <x:v>85000</x:v>
      </x:c>
      <x:c r="BB96" s="29" t="n">
        <x:f>ROUND(U96*AZ96,0)</x:f>
        <x:v>130000</x:v>
      </x:c>
    </x:row>
    <x:row r="97" ht="72" customHeight="1">
      <x:c r="A97" s="12" t="str">
        <x:v>A-902</x:v>
      </x:c>
      <x:c r="B97" s="12" t="str">
        <x:v>06.2</x:v>
      </x:c>
      <x:c r="C97" s="12" t="str">
        <x:v>KI-096</x:v>
      </x:c>
      <x:c r="D97" s="12" t="str">
        <x:v>CP3/render_handoff/manifest_CP3.json</x:v>
      </x:c>
      <x:c r="E97" s="12" t="str">
        <x:v>07</x:v>
      </x:c>
      <x:c r="F97" s="12" t="str">
        <x:v>STÍLUS</x:v>
      </x:c>
      <x:c r="G97" s="12" t="str">
        <x:v>Vízszerelés</x:v>
      </x:c>
      <x:c r="H97" s="19" t="str">
        <x:v>Szifon, tömítések, tisztítható csatlakozás</x:v>
      </x:c>
      <x:c r="I97" s="19" t="str">
        <x:v>UNKNOWN</x:v>
      </x:c>
      <x:c r="J97" s="19" t="str">
        <x:v>UNKNOWN</x:v>
      </x:c>
      <x:c r="K97" s="19" t="str">
        <x:v>UNKNOWN</x:v>
      </x:c>
      <x:c r="L97" s="19" t="str">
        <x:v>B62-01: 900×500×350 mm</x:v>
      </x:c>
      <x:c r="M97" s="19" t="str">
        <x:v>Kyoto Ink: grafit / füstszürke / taupe</x:v>
      </x:c>
      <x:c r="N97" s="19" t="str">
        <x:v>PENDING – műszaki specifikáció szerint</x:v>
      </x:c>
      <x:c r="O97" s="19" t="n">
        <x:v>1</x:v>
      </x:c>
      <x:c r="P97" s="19" t="str">
        <x:v>csomag</x:v>
      </x:c>
      <x:c r="Q97" s="20" t="n">
        <x:v>25000</x:v>
      </x:c>
      <x:c r="R97" s="20" t="n">
        <x:v>0</x:v>
      </x:c>
      <x:c r="S97" s="20" t="n">
        <x:v>0</x:v>
      </x:c>
      <x:c r="T97" s="20" t="n">
        <x:v>0</x:v>
      </x:c>
      <x:c r="U97" s="21" t="n">
        <x:f>O97*Q97+SUM(R97:T97)</x:f>
        <x:v>25000</x:v>
      </x:c>
      <x:c r="V97" s="19" t="str">
        <x:v>előzetes becslés</x:v>
      </x:c>
      <x:c r="W97" s="19" t="str">
        <x:v>CP0 tervezői előirányzat, nem webshopár; baseline 07</x:v>
      </x:c>
      <x:c r="X97" s="19" t="str">
        <x:v>2026-10-26</x:v>
      </x:c>
      <x:c r="Y97" s="19" t="str">
        <x:v>UNKNOWN – ajánlatban visszaigazolandó</x:v>
      </x:c>
      <x:c r="Z97" s="19" t="str">
        <x:v>C</x:v>
      </x:c>
      <x:c r="AA97" s="19" t="str">
        <x:v>PENDING</x:v>
      </x:c>
      <x:c r="AB97" s="19" t="str">
        <x:v>PENDING</x:v>
      </x:c>
      <x:c r="AC97" s="19" t="str">
        <x:v>nem megrendelt</x:v>
      </x:c>
      <x:c r="AD97" s="19" t="str">
        <x:v>Vízszerelő</x:v>
      </x:c>
      <x:c r="AE97" s="19" t="str">
        <x:v>PENDING – méret, csatlakozás, anyagminta, teljes bekerülés</x:v>
      </x:c>
      <x:c r="AF97" s="19" t="str">
        <x:v>CP0 becslési csomag: segédanyag és munkadíj a megnevezett tartalom szerint; külön szállítás a 14 sorban. Nem ingyenes szállítás.</x:v>
      </x:c>
      <x:c r="AG97" s="20" t="n">
        <x:v>25000</x:v>
      </x:c>
      <x:c r="AH97" s="21" t="n">
        <x:f>O97*AG97+SUM(R97:T97)</x:f>
        <x:v>25000</x:v>
      </x:c>
      <x:c r="AI97" s="19" t="str">
        <x:v>PENDING</x:v>
      </x:c>
      <x:c r="AJ97" s="19" t="str">
        <x:v>PENDING</x:v>
      </x:c>
      <x:c r="AK97" s="19" t="str">
        <x:v>PENDING</x:v>
      </x:c>
      <x:c r="AL97" s="19" t="str">
        <x:v>PENDING</x:v>
      </x:c>
      <x:c r="AM97" s="19" t="str">
        <x:v>PENDING</x:v>
      </x:c>
      <x:c r="AN97" s="1" t="str">
        <x:v>B62-01</x:v>
      </x:c>
      <x:c r="AO97" s="1" t="str">
        <x:v>CP3/drawings/B62-01_CP3.pdf</x:v>
      </x:c>
      <x:c r="AP97" s="1" t="str">
        <x:v>CP3_B62-01</x:v>
      </x:c>
      <x:c r="AQ97" s="1" t="str">
        <x:v>egyedi gyártás</x:v>
      </x:c>
      <x:c r="AR97" s="1" t="str">
        <x:v>R02 méretezett ajánlati terv; nem helyszíni méret</x:v>
      </x:c>
      <x:c r="AS97" s="1" t="str">
        <x:v>HUF</x:v>
      </x:c>
      <x:c r="AT97" s="1" t="n">
        <x:v>1</x:v>
      </x:c>
      <x:c r="AU97" s="1" t="str">
        <x:v>nincs visszaigazolt ajánlati érvényesség</x:v>
      </x:c>
      <x:c r="AV97" s="1" t="str">
        <x:v>KI-151 központi keret; daruzás KI-137</x:v>
      </x:c>
      <x:c r="AW97" s="1" t="str">
        <x:v>KI-014 asztalos / KI-106 villamos / KI-026 és KI-096 víz / KI-127 fal</x:v>
      </x:c>
      <x:c r="AX97" s="1" t="n">
        <x:v>4</x:v>
      </x:c>
      <x:c r="AY97" s="1" t="n">
        <x:v>0.85</x:v>
      </x:c>
      <x:c r="AZ97" s="1" t="n">
        <x:v>1.3</x:v>
      </x:c>
      <x:c r="BA97" s="29" t="n">
        <x:f>ROUND(U97*AY97,0)</x:f>
        <x:v>21250</x:v>
      </x:c>
      <x:c r="BB97" s="29" t="n">
        <x:f>ROUND(U97*AZ97,0)</x:f>
        <x:v>32500</x:v>
      </x:c>
    </x:row>
    <x:row r="98" ht="72" customHeight="1">
      <x:c r="A98" s="12" t="str">
        <x:v>A-902</x:v>
      </x:c>
      <x:c r="B98" s="12" t="str">
        <x:v>06.2</x:v>
      </x:c>
      <x:c r="C98" s="12" t="str">
        <x:v>KI-097</x:v>
      </x:c>
      <x:c r="D98" s="12" t="str">
        <x:v>Cam10 v1</x:v>
      </x:c>
      <x:c r="E98" s="12" t="str">
        <x:v>07</x:v>
      </x:c>
      <x:c r="F98" s="12" t="str">
        <x:v>STÍLUS</x:v>
      </x:c>
      <x:c r="G98" s="12" t="str">
        <x:v>Kiegészítők</x:v>
      </x:c>
      <x:c r="H98" s="19" t="str">
        <x:v>Törölközőtartók, akasztók, adagoló és textil</x:v>
      </x:c>
      <x:c r="I98" s="19" t="str">
        <x:v>UNKNOWN</x:v>
      </x:c>
      <x:c r="J98" s="19" t="str">
        <x:v>UNKNOWN</x:v>
      </x:c>
      <x:c r="K98" s="19" t="str">
        <x:v>UNKNOWN</x:v>
      </x:c>
      <x:c r="L98" s="19" t="str">
        <x:v>UNKNOWN – felmérés/gyári adat kell</x:v>
      </x:c>
      <x:c r="M98" s="19" t="str">
        <x:v>Kyoto Ink: grafit / füstszürke / taupe</x:v>
      </x:c>
      <x:c r="N98" s="19" t="str">
        <x:v>PENDING – műszaki specifikáció szerint</x:v>
      </x:c>
      <x:c r="O98" s="19" t="n">
        <x:v>1</x:v>
      </x:c>
      <x:c r="P98" s="19" t="str">
        <x:v>csomag</x:v>
      </x:c>
      <x:c r="Q98" s="20" t="n">
        <x:v>35000</x:v>
      </x:c>
      <x:c r="R98" s="20" t="n">
        <x:v>0</x:v>
      </x:c>
      <x:c r="S98" s="20" t="n">
        <x:v>0</x:v>
      </x:c>
      <x:c r="T98" s="20" t="n">
        <x:v>0</x:v>
      </x:c>
      <x:c r="U98" s="21" t="n">
        <x:f>O98*Q98+SUM(R98:T98)</x:f>
        <x:v>35000</x:v>
      </x:c>
      <x:c r="V98" s="19" t="str">
        <x:v>előzetes becslés</x:v>
      </x:c>
      <x:c r="W98" s="19" t="str">
        <x:v>CP0 tervezői előirányzat, nem webshopár; baseline 07</x:v>
      </x:c>
      <x:c r="X98" s="19" t="str">
        <x:v>2026-10-26</x:v>
      </x:c>
      <x:c r="Y98" s="19" t="str">
        <x:v>UNKNOWN – ajánlatban visszaigazolandó</x:v>
      </x:c>
      <x:c r="Z98" s="19" t="str">
        <x:v>C</x:v>
      </x:c>
      <x:c r="AA98" s="19" t="str">
        <x:v>PENDING</x:v>
      </x:c>
      <x:c r="AB98" s="19" t="str">
        <x:v>PENDING</x:v>
      </x:c>
      <x:c r="AC98" s="19" t="str">
        <x:v>nem megrendelt</x:v>
      </x:c>
      <x:c r="AD98" s="19" t="str">
        <x:v>Beszerzési felelős / Péter</x:v>
      </x:c>
      <x:c r="AE98" s="19" t="str">
        <x:v>PENDING – méret, csatlakozás, anyagminta, teljes bekerülés</x:v>
      </x:c>
      <x:c r="AF98" s="19" t="str">
        <x:v>CP0 becslési csomag: segédanyag és munkadíj a megnevezett tartalom szerint; külön szállítás a 14 sorban. Nem ingyenes szállítás.</x:v>
      </x:c>
      <x:c r="AG98" s="20" t="n">
        <x:v>35000</x:v>
      </x:c>
      <x:c r="AH98" s="21" t="n">
        <x:f>O98*AG98+SUM(R98:T98)</x:f>
        <x:v>35000</x:v>
      </x:c>
      <x:c r="AI98" s="19" t="str">
        <x:v>PENDING</x:v>
      </x:c>
      <x:c r="AJ98" s="19" t="str">
        <x:v>PENDING</x:v>
      </x:c>
      <x:c r="AK98" s="19" t="str">
        <x:v>PENDING</x:v>
      </x:c>
      <x:c r="AL98" s="19" t="str">
        <x:v>PENDING</x:v>
      </x:c>
      <x:c r="AM98" s="19" t="str">
        <x:v>PENDING</x:v>
      </x:c>
      <x:c r="AN98" s="1" t="str">
        <x:v>KI-097</x:v>
      </x:c>
      <x:c r="AO98" s="1" t="str">
        <x:v>drawings/P-01_alaprajz.pdf</x:v>
      </x:c>
      <x:c r="AP98" s="1" t="str">
        <x:v>NINCS MODELL / nem térbeli költségsor; szakági kapcsolat igazolandó</x:v>
      </x:c>
      <x:c r="AQ98" s="1" t="str">
        <x:v>késztermék / szakági munka</x:v>
      </x:c>
      <x:c r="AR98" s="1" t="str">
        <x:v>felmérés/gyártói rajz szükséges</x:v>
      </x:c>
      <x:c r="AS98" s="1" t="str">
        <x:v>HUF</x:v>
      </x:c>
      <x:c r="AT98" s="1" t="n">
        <x:v>1</x:v>
      </x:c>
      <x:c r="AU98" s="1" t="str">
        <x:v>nincs visszaigazolt ajánlati érvényesség</x:v>
      </x:c>
      <x:c r="AV98" s="1" t="str">
        <x:v>KI-151 központi keret; daruzás KI-137</x:v>
      </x:c>
      <x:c r="AW98" s="1" t="str">
        <x:v>KI-014 asztalos / KI-106 villamos / KI-026 és KI-096 víz / KI-127 fal</x:v>
      </x:c>
      <x:c r="AX98" s="1" t="n">
        <x:v>6</x:v>
      </x:c>
      <x:c r="AY98" s="1" t="n">
        <x:v>0.85</x:v>
      </x:c>
      <x:c r="AZ98" s="1" t="n">
        <x:v>1.3</x:v>
      </x:c>
      <x:c r="BA98" s="29" t="n">
        <x:f>ROUND(U98*AY98,0)</x:f>
        <x:v>29750</x:v>
      </x:c>
      <x:c r="BB98" s="29" t="n">
        <x:f>ROUND(U98*AZ98,0)</x:f>
        <x:v>45500</x:v>
      </x:c>
    </x:row>
    <x:row r="99" ht="72" customHeight="1">
      <x:c r="A99" s="12" t="str">
        <x:v>A-902</x:v>
      </x:c>
      <x:c r="B99" s="12" t="str">
        <x:v>06.1</x:v>
      </x:c>
      <x:c r="C99" s="12" t="str">
        <x:v>KI-098</x:v>
      </x:c>
      <x:c r="D99" s="12" t="str">
        <x:v>CP3/render_handoff/manifest_CP3.json</x:v>
      </x:c>
      <x:c r="E99" s="12" t="str">
        <x:v>07</x:v>
      </x:c>
      <x:c r="F99" s="12" t="str">
        <x:v>STÍLUS</x:v>
      </x:c>
      <x:c r="G99" s="12" t="str">
        <x:v>Asztalos</x:v>
      </x:c>
      <x:c r="H99" s="19" t="str">
        <x:v>Mosdó alatti tároló és szerelés</x:v>
      </x:c>
      <x:c r="I99" s="19" t="str">
        <x:v>UNKNOWN</x:v>
      </x:c>
      <x:c r="J99" s="19" t="str">
        <x:v>UNKNOWN</x:v>
      </x:c>
      <x:c r="K99" s="19" t="str">
        <x:v>UNKNOWN</x:v>
      </x:c>
      <x:c r="L99" s="19" t="str">
        <x:v>B61-01: 600×450×350 mm</x:v>
      </x:c>
      <x:c r="M99" s="19" t="str">
        <x:v>Kyoto Ink: grafit / füstszürke / taupe</x:v>
      </x:c>
      <x:c r="N99" s="19" t="str">
        <x:v>PENDING – műszaki specifikáció szerint</x:v>
      </x:c>
      <x:c r="O99" s="19" t="n">
        <x:v>1</x:v>
      </x:c>
      <x:c r="P99" s="19" t="str">
        <x:v>csomag</x:v>
      </x:c>
      <x:c r="Q99" s="20" t="n">
        <x:v>100000</x:v>
      </x:c>
      <x:c r="R99" s="20" t="n">
        <x:v>0</x:v>
      </x:c>
      <x:c r="S99" s="20" t="n">
        <x:v>0</x:v>
      </x:c>
      <x:c r="T99" s="20" t="n">
        <x:v>0</x:v>
      </x:c>
      <x:c r="U99" s="21" t="n">
        <x:f>O99*Q99+SUM(R99:T99)</x:f>
        <x:v>100000</x:v>
      </x:c>
      <x:c r="V99" s="19" t="str">
        <x:v>előzetes becslés</x:v>
      </x:c>
      <x:c r="W99" s="19" t="str">
        <x:v>CP0 tervezői előirányzat, nem webshopár; baseline 07</x:v>
      </x:c>
      <x:c r="X99" s="19" t="str">
        <x:v>2026-10-26</x:v>
      </x:c>
      <x:c r="Y99" s="19" t="str">
        <x:v>UNKNOWN – ajánlatban visszaigazolandó</x:v>
      </x:c>
      <x:c r="Z99" s="19" t="str">
        <x:v>B</x:v>
      </x:c>
      <x:c r="AA99" s="19" t="str">
        <x:v>PENDING</x:v>
      </x:c>
      <x:c r="AB99" s="19" t="str">
        <x:v>PENDING</x:v>
      </x:c>
      <x:c r="AC99" s="19" t="str">
        <x:v>nem megrendelt</x:v>
      </x:c>
      <x:c r="AD99" s="19" t="str">
        <x:v>Asztalos és belsőépítész</x:v>
      </x:c>
      <x:c r="AE99" s="19" t="str">
        <x:v>PENDING – méret, csatlakozás, anyagminta, teljes bekerülés</x:v>
      </x:c>
      <x:c r="AF99" s="19" t="str">
        <x:v>CP0 becslési csomag: segédanyag és munkadíj a megnevezett tartalom szerint; külön szállítás a 14 sorban. Nem ingyenes szállítás.</x:v>
      </x:c>
      <x:c r="AG99" s="20" t="n">
        <x:v>100000</x:v>
      </x:c>
      <x:c r="AH99" s="21" t="n">
        <x:f>O99*AG99+SUM(R99:T99)</x:f>
        <x:v>100000</x:v>
      </x:c>
      <x:c r="AI99" s="19" t="str">
        <x:v>PENDING</x:v>
      </x:c>
      <x:c r="AJ99" s="19" t="str">
        <x:v>PENDING</x:v>
      </x:c>
      <x:c r="AK99" s="19" t="str">
        <x:v>PENDING</x:v>
      </x:c>
      <x:c r="AL99" s="19" t="str">
        <x:v>PENDING</x:v>
      </x:c>
      <x:c r="AM99" s="19" t="str">
        <x:v>PENDING</x:v>
      </x:c>
      <x:c r="AN99" s="1" t="str">
        <x:v>B61-01</x:v>
      </x:c>
      <x:c r="AO99" s="1" t="str">
        <x:v>CP3/drawings/B61-01_CP3.pdf</x:v>
      </x:c>
      <x:c r="AP99" s="1" t="str">
        <x:v>CP3_B61-01</x:v>
      </x:c>
      <x:c r="AQ99" s="1" t="str">
        <x:v>egyedi gyártás</x:v>
      </x:c>
      <x:c r="AR99" s="1" t="str">
        <x:v>R02 méretezett ajánlati terv; nem helyszíni méret</x:v>
      </x:c>
      <x:c r="AS99" s="1" t="str">
        <x:v>HUF</x:v>
      </x:c>
      <x:c r="AT99" s="1" t="n">
        <x:v>1</x:v>
      </x:c>
      <x:c r="AU99" s="1" t="str">
        <x:v>nincs visszaigazolt ajánlati érvényesség</x:v>
      </x:c>
      <x:c r="AV99" s="1" t="str">
        <x:v>KI-151 központi keret; daruzás KI-137</x:v>
      </x:c>
      <x:c r="AW99" s="1" t="str">
        <x:v>KI-014 asztalos / KI-106 villamos / KI-026 és KI-096 víz / KI-127 fal</x:v>
      </x:c>
      <x:c r="AX99" s="1" t="n">
        <x:v>4</x:v>
      </x:c>
      <x:c r="AY99" s="1" t="n">
        <x:v>0.85</x:v>
      </x:c>
      <x:c r="AZ99" s="1" t="n">
        <x:v>1.3</x:v>
      </x:c>
      <x:c r="BA99" s="29" t="n">
        <x:f>ROUND(U99*AY99,0)</x:f>
        <x:v>85000</x:v>
      </x:c>
      <x:c r="BB99" s="29" t="n">
        <x:f>ROUND(U99*AZ99,0)</x:f>
        <x:v>130000</x:v>
      </x:c>
    </x:row>
    <x:row r="100" ht="72" customHeight="1">
      <x:c r="A100" s="12" t="str">
        <x:v>A-902</x:v>
      </x:c>
      <x:c r="B100" s="12" t="str">
        <x:v>06.1</x:v>
      </x:c>
      <x:c r="C100" s="12" t="str">
        <x:v>KI-099</x:v>
      </x:c>
      <x:c r="D100" s="12" t="str">
        <x:v>NEM RENDERELT</x:v>
      </x:c>
      <x:c r="E100" s="12" t="str">
        <x:v>07</x:v>
      </x:c>
      <x:c r="F100" s="12" t="str">
        <x:v>STÍLUS</x:v>
      </x:c>
      <x:c r="G100" s="12" t="str">
        <x:v>Asztalos</x:v>
      </x:c>
      <x:c r="H100" s="19" t="str">
        <x:v>Tükör és rögzítés</x:v>
      </x:c>
      <x:c r="I100" s="19" t="str">
        <x:v>UNKNOWN</x:v>
      </x:c>
      <x:c r="J100" s="19" t="str">
        <x:v>UNKNOWN</x:v>
      </x:c>
      <x:c r="K100" s="19" t="str">
        <x:v>UNKNOWN</x:v>
      </x:c>
      <x:c r="L100" s="19" t="str">
        <x:v>UNKNOWN – felmérés/gyári adat kell</x:v>
      </x:c>
      <x:c r="M100" s="19" t="str">
        <x:v>Kyoto Ink: grafit / füstszürke / taupe</x:v>
      </x:c>
      <x:c r="N100" s="19" t="str">
        <x:v>PENDING – műszaki specifikáció szerint</x:v>
      </x:c>
      <x:c r="O100" s="19" t="n">
        <x:v>1</x:v>
      </x:c>
      <x:c r="P100" s="19" t="str">
        <x:v>csomag</x:v>
      </x:c>
      <x:c r="Q100" s="20" t="n">
        <x:v>45000</x:v>
      </x:c>
      <x:c r="R100" s="20" t="n">
        <x:v>0</x:v>
      </x:c>
      <x:c r="S100" s="20" t="n">
        <x:v>0</x:v>
      </x:c>
      <x:c r="T100" s="20" t="n">
        <x:v>0</x:v>
      </x:c>
      <x:c r="U100" s="21" t="n">
        <x:f>O100*Q100+SUM(R100:T100)</x:f>
        <x:v>45000</x:v>
      </x:c>
      <x:c r="V100" s="19" t="str">
        <x:v>előzetes becslés</x:v>
      </x:c>
      <x:c r="W100" s="19" t="str">
        <x:v>CP0 tervezői előirányzat, nem webshopár; baseline 07</x:v>
      </x:c>
      <x:c r="X100" s="19" t="str">
        <x:v>2026-10-26</x:v>
      </x:c>
      <x:c r="Y100" s="19" t="str">
        <x:v>UNKNOWN – ajánlatban visszaigazolandó</x:v>
      </x:c>
      <x:c r="Z100" s="19" t="str">
        <x:v>B</x:v>
      </x:c>
      <x:c r="AA100" s="19" t="str">
        <x:v>PENDING</x:v>
      </x:c>
      <x:c r="AB100" s="19" t="str">
        <x:v>PENDING</x:v>
      </x:c>
      <x:c r="AC100" s="19" t="str">
        <x:v>nem megrendelt</x:v>
      </x:c>
      <x:c r="AD100" s="19" t="str">
        <x:v>Asztalos és belsőépítész</x:v>
      </x:c>
      <x:c r="AE100" s="19" t="str">
        <x:v>PENDING – méret, csatlakozás, anyagminta, teljes bekerülés</x:v>
      </x:c>
      <x:c r="AF100" s="19" t="str">
        <x:v>CP0 becslési csomag: segédanyag és munkadíj a megnevezett tartalom szerint; külön szállítás a 14 sorban. Nem ingyenes szállítás.</x:v>
      </x:c>
      <x:c r="AG100" s="20" t="n">
        <x:v>45000</x:v>
      </x:c>
      <x:c r="AH100" s="21" t="n">
        <x:f>O100*AG100+SUM(R100:T100)</x:f>
        <x:v>45000</x:v>
      </x:c>
      <x:c r="AI100" s="19" t="str">
        <x:v>PENDING</x:v>
      </x:c>
      <x:c r="AJ100" s="19" t="str">
        <x:v>PENDING</x:v>
      </x:c>
      <x:c r="AK100" s="19" t="str">
        <x:v>PENDING</x:v>
      </x:c>
      <x:c r="AL100" s="19" t="str">
        <x:v>PENDING</x:v>
      </x:c>
      <x:c r="AM100" s="19" t="str">
        <x:v>PENDING</x:v>
      </x:c>
      <x:c r="AN100" s="1" t="str">
        <x:v>KI-099</x:v>
      </x:c>
      <x:c r="AO100" s="1" t="str">
        <x:v>drawings/P-01_alaprajz.pdf</x:v>
      </x:c>
      <x:c r="AP100" s="1" t="str">
        <x:v>NINCS MODELL / nem térbeli költségsor; szakági kapcsolat igazolandó</x:v>
      </x:c>
      <x:c r="AQ100" s="1" t="str">
        <x:v>késztermék / szakági munka</x:v>
      </x:c>
      <x:c r="AR100" s="1" t="str">
        <x:v>felmérés/gyártói rajz szükséges</x:v>
      </x:c>
      <x:c r="AS100" s="1" t="str">
        <x:v>HUF</x:v>
      </x:c>
      <x:c r="AT100" s="1" t="n">
        <x:v>1</x:v>
      </x:c>
      <x:c r="AU100" s="1" t="str">
        <x:v>nincs visszaigazolt ajánlati érvényesség</x:v>
      </x:c>
      <x:c r="AV100" s="1" t="str">
        <x:v>KI-151 központi keret; daruzás KI-137</x:v>
      </x:c>
      <x:c r="AW100" s="1" t="str">
        <x:v>KI-014 asztalos / KI-106 villamos / KI-026 és KI-096 víz / KI-127 fal</x:v>
      </x:c>
      <x:c r="AX100" s="1" t="n">
        <x:v>6</x:v>
      </x:c>
      <x:c r="AY100" s="1" t="n">
        <x:v>0.85</x:v>
      </x:c>
      <x:c r="AZ100" s="1" t="n">
        <x:v>1.3</x:v>
      </x:c>
      <x:c r="BA100" s="29" t="n">
        <x:f>ROUND(U100*AY100,0)</x:f>
        <x:v>38250</x:v>
      </x:c>
      <x:c r="BB100" s="29" t="n">
        <x:f>ROUND(U100*AZ100,0)</x:f>
        <x:v>58500</x:v>
      </x:c>
    </x:row>
    <x:row r="101" ht="72" customHeight="1">
      <x:c r="A101" s="12" t="str">
        <x:v>A-902</x:v>
      </x:c>
      <x:c r="B101" s="12" t="str">
        <x:v>06.1</x:v>
      </x:c>
      <x:c r="C101" s="12" t="str">
        <x:v>KI-100</x:v>
      </x:c>
      <x:c r="D101" s="12" t="str">
        <x:v>NEM RENDERELT</x:v>
      </x:c>
      <x:c r="E101" s="12" t="str">
        <x:v>07</x:v>
      </x:c>
      <x:c r="F101" s="12" t="str">
        <x:v>STÍLUS</x:v>
      </x:c>
      <x:c r="G101" s="12" t="str">
        <x:v>Kiegészítők</x:v>
      </x:c>
      <x:c r="H101" s="19" t="str">
        <x:v>Kád melletti tároló, törölközőtartó, textil</x:v>
      </x:c>
      <x:c r="I101" s="19" t="str">
        <x:v>UNKNOWN</x:v>
      </x:c>
      <x:c r="J101" s="19" t="str">
        <x:v>UNKNOWN</x:v>
      </x:c>
      <x:c r="K101" s="19" t="str">
        <x:v>UNKNOWN</x:v>
      </x:c>
      <x:c r="L101" s="19" t="str">
        <x:v>UNKNOWN – felmérés/gyári adat kell</x:v>
      </x:c>
      <x:c r="M101" s="19" t="str">
        <x:v>Kyoto Ink: grafit / füstszürke / taupe</x:v>
      </x:c>
      <x:c r="N101" s="19" t="str">
        <x:v>PENDING – műszaki specifikáció szerint</x:v>
      </x:c>
      <x:c r="O101" s="19" t="n">
        <x:v>1</x:v>
      </x:c>
      <x:c r="P101" s="19" t="str">
        <x:v>csomag</x:v>
      </x:c>
      <x:c r="Q101" s="20" t="n">
        <x:v>40000</x:v>
      </x:c>
      <x:c r="R101" s="20" t="n">
        <x:v>0</x:v>
      </x:c>
      <x:c r="S101" s="20" t="n">
        <x:v>0</x:v>
      </x:c>
      <x:c r="T101" s="20" t="n">
        <x:v>0</x:v>
      </x:c>
      <x:c r="U101" s="21" t="n">
        <x:f>O101*Q101+SUM(R101:T101)</x:f>
        <x:v>40000</x:v>
      </x:c>
      <x:c r="V101" s="19" t="str">
        <x:v>előzetes becslés</x:v>
      </x:c>
      <x:c r="W101" s="19" t="str">
        <x:v>CP0 tervezői előirányzat, nem webshopár; baseline 07</x:v>
      </x:c>
      <x:c r="X101" s="19" t="str">
        <x:v>2026-10-26</x:v>
      </x:c>
      <x:c r="Y101" s="19" t="str">
        <x:v>UNKNOWN – ajánlatban visszaigazolandó</x:v>
      </x:c>
      <x:c r="Z101" s="19" t="str">
        <x:v>C</x:v>
      </x:c>
      <x:c r="AA101" s="19" t="str">
        <x:v>PENDING</x:v>
      </x:c>
      <x:c r="AB101" s="19" t="str">
        <x:v>PENDING</x:v>
      </x:c>
      <x:c r="AC101" s="19" t="str">
        <x:v>nem megrendelt</x:v>
      </x:c>
      <x:c r="AD101" s="19" t="str">
        <x:v>Beszerzési felelős / Péter</x:v>
      </x:c>
      <x:c r="AE101" s="19" t="str">
        <x:v>PENDING – méret, csatlakozás, anyagminta, teljes bekerülés</x:v>
      </x:c>
      <x:c r="AF101" s="19" t="str">
        <x:v>CP0 becslési csomag: segédanyag és munkadíj a megnevezett tartalom szerint; külön szállítás a 14 sorban. Nem ingyenes szállítás.</x:v>
      </x:c>
      <x:c r="AG101" s="20" t="n">
        <x:v>40000</x:v>
      </x:c>
      <x:c r="AH101" s="21" t="n">
        <x:f>O101*AG101+SUM(R101:T101)</x:f>
        <x:v>40000</x:v>
      </x:c>
      <x:c r="AI101" s="19" t="str">
        <x:v>PENDING</x:v>
      </x:c>
      <x:c r="AJ101" s="19" t="str">
        <x:v>PENDING</x:v>
      </x:c>
      <x:c r="AK101" s="19" t="str">
        <x:v>PENDING</x:v>
      </x:c>
      <x:c r="AL101" s="19" t="str">
        <x:v>PENDING</x:v>
      </x:c>
      <x:c r="AM101" s="19" t="str">
        <x:v>PENDING</x:v>
      </x:c>
      <x:c r="AN101" s="1" t="str">
        <x:v>KI-100</x:v>
      </x:c>
      <x:c r="AO101" s="1" t="str">
        <x:v>drawings/P-01_alaprajz.pdf</x:v>
      </x:c>
      <x:c r="AP101" s="1" t="str">
        <x:v>NINCS MODELL / nem térbeli költségsor; szakági kapcsolat igazolandó</x:v>
      </x:c>
      <x:c r="AQ101" s="1" t="str">
        <x:v>késztermék / szakági munka</x:v>
      </x:c>
      <x:c r="AR101" s="1" t="str">
        <x:v>felmérés/gyártói rajz szükséges</x:v>
      </x:c>
      <x:c r="AS101" s="1" t="str">
        <x:v>HUF</x:v>
      </x:c>
      <x:c r="AT101" s="1" t="n">
        <x:v>1</x:v>
      </x:c>
      <x:c r="AU101" s="1" t="str">
        <x:v>nincs visszaigazolt ajánlati érvényesség</x:v>
      </x:c>
      <x:c r="AV101" s="1" t="str">
        <x:v>KI-151 központi keret; daruzás KI-137</x:v>
      </x:c>
      <x:c r="AW101" s="1" t="str">
        <x:v>KI-014 asztalos / KI-106 villamos / KI-026 és KI-096 víz / KI-127 fal</x:v>
      </x:c>
      <x:c r="AX101" s="1" t="n">
        <x:v>6</x:v>
      </x:c>
      <x:c r="AY101" s="1" t="n">
        <x:v>0.85</x:v>
      </x:c>
      <x:c r="AZ101" s="1" t="n">
        <x:v>1.3</x:v>
      </x:c>
      <x:c r="BA101" s="29" t="n">
        <x:f>ROUND(U101*AY101,0)</x:f>
        <x:v>34000</x:v>
      </x:c>
      <x:c r="BB101" s="29" t="n">
        <x:f>ROUND(U101*AZ101,0)</x:f>
        <x:v>52000</x:v>
      </x:c>
    </x:row>
    <x:row r="102" ht="72" customHeight="1">
      <x:c r="A102" s="12" t="str">
        <x:v>A-902</x:v>
      </x:c>
      <x:c r="B102" s="12" t="str">
        <x:v>08</x:v>
      </x:c>
      <x:c r="C102" s="12" t="str">
        <x:v>KI-101</x:v>
      </x:c>
      <x:c r="D102" s="12" t="str">
        <x:v>CP3/render_handoff/manifest_CP3.json</x:v>
      </x:c>
      <x:c r="E102" s="12" t="str">
        <x:v>07</x:v>
      </x:c>
      <x:c r="F102" s="12" t="str">
        <x:v>STÍLUS</x:v>
      </x:c>
      <x:c r="G102" s="12" t="str">
        <x:v>Asztalos</x:v>
      </x:c>
      <x:c r="H102" s="19" t="str">
        <x:v>WC keskeny tároló és tükör</x:v>
      </x:c>
      <x:c r="I102" s="19" t="str">
        <x:v>UNKNOWN</x:v>
      </x:c>
      <x:c r="J102" s="19" t="str">
        <x:v>UNKNOWN</x:v>
      </x:c>
      <x:c r="K102" s="19" t="str">
        <x:v>UNKNOWN</x:v>
      </x:c>
      <x:c r="L102" s="19" t="str">
        <x:v>WC-01: 450×180×700 mm</x:v>
      </x:c>
      <x:c r="M102" s="19" t="str">
        <x:v>Kyoto Ink: grafit / füstszürke / taupe</x:v>
      </x:c>
      <x:c r="N102" s="19" t="str">
        <x:v>PENDING – műszaki specifikáció szerint</x:v>
      </x:c>
      <x:c r="O102" s="19" t="n">
        <x:v>1</x:v>
      </x:c>
      <x:c r="P102" s="19" t="str">
        <x:v>csomag</x:v>
      </x:c>
      <x:c r="Q102" s="20" t="n">
        <x:v>50000</x:v>
      </x:c>
      <x:c r="R102" s="20" t="n">
        <x:v>0</x:v>
      </x:c>
      <x:c r="S102" s="20" t="n">
        <x:v>0</x:v>
      </x:c>
      <x:c r="T102" s="20" t="n">
        <x:v>0</x:v>
      </x:c>
      <x:c r="U102" s="21" t="n">
        <x:f>O102*Q102+SUM(R102:T102)</x:f>
        <x:v>50000</x:v>
      </x:c>
      <x:c r="V102" s="19" t="str">
        <x:v>előzetes becslés</x:v>
      </x:c>
      <x:c r="W102" s="19" t="str">
        <x:v>CP0 tervezői előirányzat, nem webshopár; baseline 07</x:v>
      </x:c>
      <x:c r="X102" s="19" t="str">
        <x:v>2026-10-26</x:v>
      </x:c>
      <x:c r="Y102" s="19" t="str">
        <x:v>UNKNOWN – ajánlatban visszaigazolandó</x:v>
      </x:c>
      <x:c r="Z102" s="19" t="str">
        <x:v>B</x:v>
      </x:c>
      <x:c r="AA102" s="19" t="str">
        <x:v>PENDING</x:v>
      </x:c>
      <x:c r="AB102" s="19" t="str">
        <x:v>PENDING</x:v>
      </x:c>
      <x:c r="AC102" s="19" t="str">
        <x:v>nem megrendelt</x:v>
      </x:c>
      <x:c r="AD102" s="19" t="str">
        <x:v>Asztalos és belsőépítész</x:v>
      </x:c>
      <x:c r="AE102" s="19" t="str">
        <x:v>PENDING – méret, csatlakozás, anyagminta, teljes bekerülés</x:v>
      </x:c>
      <x:c r="AF102" s="19" t="str">
        <x:v>CP0 becslési csomag: segédanyag és munkadíj a megnevezett tartalom szerint; külön szállítás a 14 sorban. Nem ingyenes szállítás.</x:v>
      </x:c>
      <x:c r="AG102" s="20" t="n">
        <x:v>50000</x:v>
      </x:c>
      <x:c r="AH102" s="21" t="n">
        <x:f>O102*AG102+SUM(R102:T102)</x:f>
        <x:v>50000</x:v>
      </x:c>
      <x:c r="AI102" s="19" t="str">
        <x:v>PENDING</x:v>
      </x:c>
      <x:c r="AJ102" s="19" t="str">
        <x:v>PENDING</x:v>
      </x:c>
      <x:c r="AK102" s="19" t="str">
        <x:v>PENDING</x:v>
      </x:c>
      <x:c r="AL102" s="19" t="str">
        <x:v>PENDING</x:v>
      </x:c>
      <x:c r="AM102" s="19" t="str">
        <x:v>PENDING</x:v>
      </x:c>
      <x:c r="AN102" s="1" t="str">
        <x:v>WC-01</x:v>
      </x:c>
      <x:c r="AO102" s="1" t="str">
        <x:v>CP3/drawings/WC-01_CP3.pdf</x:v>
      </x:c>
      <x:c r="AP102" s="1" t="str">
        <x:v>CP3_WC-01</x:v>
      </x:c>
      <x:c r="AQ102" s="1" t="str">
        <x:v>egyedi gyártás</x:v>
      </x:c>
      <x:c r="AR102" s="1" t="str">
        <x:v>R02 méretezett ajánlati terv; nem helyszíni méret</x:v>
      </x:c>
      <x:c r="AS102" s="1" t="str">
        <x:v>HUF</x:v>
      </x:c>
      <x:c r="AT102" s="1" t="n">
        <x:v>1</x:v>
      </x:c>
      <x:c r="AU102" s="1" t="str">
        <x:v>nincs visszaigazolt ajánlati érvényesség</x:v>
      </x:c>
      <x:c r="AV102" s="1" t="str">
        <x:v>KI-151 központi keret; daruzás KI-137</x:v>
      </x:c>
      <x:c r="AW102" s="1" t="str">
        <x:v>KI-014 asztalos / KI-106 villamos / KI-026 és KI-096 víz / KI-127 fal</x:v>
      </x:c>
      <x:c r="AX102" s="1" t="n">
        <x:v>4</x:v>
      </x:c>
      <x:c r="AY102" s="1" t="n">
        <x:v>0.85</x:v>
      </x:c>
      <x:c r="AZ102" s="1" t="n">
        <x:v>1.3</x:v>
      </x:c>
      <x:c r="BA102" s="29" t="n">
        <x:f>ROUND(U102*AY102,0)</x:f>
        <x:v>42500</x:v>
      </x:c>
      <x:c r="BB102" s="29" t="n">
        <x:f>ROUND(U102*AZ102,0)</x:f>
        <x:v>65000</x:v>
      </x:c>
    </x:row>
    <x:row r="103" ht="72" customHeight="1">
      <x:c r="A103" s="12" t="str">
        <x:v>A-902</x:v>
      </x:c>
      <x:c r="B103" s="12" t="str">
        <x:v>08</x:v>
      </x:c>
      <x:c r="C103" s="12" t="str">
        <x:v>KI-102</x:v>
      </x:c>
      <x:c r="D103" s="12" t="str">
        <x:v>NEM RENDERELT</x:v>
      </x:c>
      <x:c r="E103" s="12" t="str">
        <x:v>07</x:v>
      </x:c>
      <x:c r="F103" s="12" t="str">
        <x:v>STÍLUS</x:v>
      </x:c>
      <x:c r="G103" s="12" t="str">
        <x:v>Kiegészítők</x:v>
      </x:c>
      <x:c r="H103" s="19" t="str">
        <x:v>Papírtartó, kefe, szappanadagoló, kis hulladékgyűjtő</x:v>
      </x:c>
      <x:c r="I103" s="19" t="str">
        <x:v>UNKNOWN</x:v>
      </x:c>
      <x:c r="J103" s="19" t="str">
        <x:v>UNKNOWN</x:v>
      </x:c>
      <x:c r="K103" s="19" t="str">
        <x:v>UNKNOWN</x:v>
      </x:c>
      <x:c r="L103" s="19" t="str">
        <x:v>UNKNOWN – felmérés/gyári adat kell</x:v>
      </x:c>
      <x:c r="M103" s="19" t="str">
        <x:v>Kyoto Ink: grafit / füstszürke / taupe</x:v>
      </x:c>
      <x:c r="N103" s="19" t="str">
        <x:v>PENDING – műszaki specifikáció szerint</x:v>
      </x:c>
      <x:c r="O103" s="19" t="n">
        <x:v>1</x:v>
      </x:c>
      <x:c r="P103" s="19" t="str">
        <x:v>csomag</x:v>
      </x:c>
      <x:c r="Q103" s="20" t="n">
        <x:v>25000</x:v>
      </x:c>
      <x:c r="R103" s="20" t="n">
        <x:v>0</x:v>
      </x:c>
      <x:c r="S103" s="20" t="n">
        <x:v>0</x:v>
      </x:c>
      <x:c r="T103" s="20" t="n">
        <x:v>0</x:v>
      </x:c>
      <x:c r="U103" s="21" t="n">
        <x:f>O103*Q103+SUM(R103:T103)</x:f>
        <x:v>25000</x:v>
      </x:c>
      <x:c r="V103" s="19" t="str">
        <x:v>előzetes becslés</x:v>
      </x:c>
      <x:c r="W103" s="19" t="str">
        <x:v>CP0 tervezői előirányzat, nem webshopár; baseline 07</x:v>
      </x:c>
      <x:c r="X103" s="19" t="str">
        <x:v>2026-10-26</x:v>
      </x:c>
      <x:c r="Y103" s="19" t="str">
        <x:v>UNKNOWN – ajánlatban visszaigazolandó</x:v>
      </x:c>
      <x:c r="Z103" s="19" t="str">
        <x:v>C</x:v>
      </x:c>
      <x:c r="AA103" s="19" t="str">
        <x:v>PENDING</x:v>
      </x:c>
      <x:c r="AB103" s="19" t="str">
        <x:v>PENDING</x:v>
      </x:c>
      <x:c r="AC103" s="19" t="str">
        <x:v>nem megrendelt</x:v>
      </x:c>
      <x:c r="AD103" s="19" t="str">
        <x:v>Beszerzési felelős / Péter</x:v>
      </x:c>
      <x:c r="AE103" s="19" t="str">
        <x:v>PENDING – méret, csatlakozás, anyagminta, teljes bekerülés</x:v>
      </x:c>
      <x:c r="AF103" s="19" t="str">
        <x:v>CP0 becslési csomag: segédanyag és munkadíj a megnevezett tartalom szerint; külön szállítás a 14 sorban. Nem ingyenes szállítás.</x:v>
      </x:c>
      <x:c r="AG103" s="20" t="n">
        <x:v>25000</x:v>
      </x:c>
      <x:c r="AH103" s="21" t="n">
        <x:f>O103*AG103+SUM(R103:T103)</x:f>
        <x:v>25000</x:v>
      </x:c>
      <x:c r="AI103" s="19" t="str">
        <x:v>PENDING</x:v>
      </x:c>
      <x:c r="AJ103" s="19" t="str">
        <x:v>PENDING</x:v>
      </x:c>
      <x:c r="AK103" s="19" t="str">
        <x:v>PENDING</x:v>
      </x:c>
      <x:c r="AL103" s="19" t="str">
        <x:v>PENDING</x:v>
      </x:c>
      <x:c r="AM103" s="19" t="str">
        <x:v>PENDING</x:v>
      </x:c>
      <x:c r="AN103" s="1" t="str">
        <x:v>KI-102</x:v>
      </x:c>
      <x:c r="AO103" s="1" t="str">
        <x:v>drawings/P-01_alaprajz.pdf</x:v>
      </x:c>
      <x:c r="AP103" s="1" t="str">
        <x:v>NINCS MODELL / nem térbeli költségsor; szakági kapcsolat igazolandó</x:v>
      </x:c>
      <x:c r="AQ103" s="1" t="str">
        <x:v>késztermék / szakági munka</x:v>
      </x:c>
      <x:c r="AR103" s="1" t="str">
        <x:v>felmérés/gyártói rajz szükséges</x:v>
      </x:c>
      <x:c r="AS103" s="1" t="str">
        <x:v>HUF</x:v>
      </x:c>
      <x:c r="AT103" s="1" t="n">
        <x:v>1</x:v>
      </x:c>
      <x:c r="AU103" s="1" t="str">
        <x:v>nincs visszaigazolt ajánlati érvényesség</x:v>
      </x:c>
      <x:c r="AV103" s="1" t="str">
        <x:v>KI-151 központi keret; daruzás KI-137</x:v>
      </x:c>
      <x:c r="AW103" s="1" t="str">
        <x:v>KI-014 asztalos / KI-106 villamos / KI-026 és KI-096 víz / KI-127 fal</x:v>
      </x:c>
      <x:c r="AX103" s="1" t="n">
        <x:v>6</x:v>
      </x:c>
      <x:c r="AY103" s="1" t="n">
        <x:v>0.85</x:v>
      </x:c>
      <x:c r="AZ103" s="1" t="n">
        <x:v>1.3</x:v>
      </x:c>
      <x:c r="BA103" s="29" t="n">
        <x:f>ROUND(U103*AY103,0)</x:f>
        <x:v>21250</x:v>
      </x:c>
      <x:c r="BB103" s="29" t="n">
        <x:f>ROUND(U103*AZ103,0)</x:f>
        <x:v>32500</x:v>
      </x:c>
    </x:row>
    <x:row r="104" ht="72" customHeight="1">
      <x:c r="A104" s="12" t="str">
        <x:v>A-902</x:v>
      </x:c>
      <x:c r="B104" s="12" t="str">
        <x:v>06.1 / 06.2 / 08</x:v>
      </x:c>
      <x:c r="C104" s="12" t="str">
        <x:v>KI-103</x:v>
      </x:c>
      <x:c r="D104" s="12" t="str">
        <x:v>NEM RENDERELT</x:v>
      </x:c>
      <x:c r="E104" s="12" t="str">
        <x:v>07</x:v>
      </x:c>
      <x:c r="F104" s="12" t="str">
        <x:v>STÍLUS</x:v>
      </x:c>
      <x:c r="G104" s="12" t="str">
        <x:v>Vízszerelés</x:v>
      </x:c>
      <x:c r="H104" s="19" t="str">
        <x:v>Meglévő szaniterek, szellőzés és tömítések felülvizsgálata</x:v>
      </x:c>
      <x:c r="I104" s="19" t="str">
        <x:v>UNKNOWN</x:v>
      </x:c>
      <x:c r="J104" s="19" t="str">
        <x:v>UNKNOWN</x:v>
      </x:c>
      <x:c r="K104" s="19" t="str">
        <x:v>UNKNOWN</x:v>
      </x:c>
      <x:c r="L104" s="19" t="str">
        <x:v>UNKNOWN – felmérés/gyári adat kell</x:v>
      </x:c>
      <x:c r="M104" s="19" t="str">
        <x:v>Kyoto Ink: grafit / füstszürke / taupe</x:v>
      </x:c>
      <x:c r="N104" s="19" t="str">
        <x:v>PENDING – műszaki specifikáció szerint</x:v>
      </x:c>
      <x:c r="O104" s="19" t="n">
        <x:v>1</x:v>
      </x:c>
      <x:c r="P104" s="19" t="str">
        <x:v>csomag</x:v>
      </x:c>
      <x:c r="Q104" s="20" t="n">
        <x:v>35000</x:v>
      </x:c>
      <x:c r="R104" s="20" t="n">
        <x:v>0</x:v>
      </x:c>
      <x:c r="S104" s="20" t="n">
        <x:v>0</x:v>
      </x:c>
      <x:c r="T104" s="20" t="n">
        <x:v>0</x:v>
      </x:c>
      <x:c r="U104" s="21" t="n">
        <x:f>O104*Q104+SUM(R104:T104)</x:f>
        <x:v>35000</x:v>
      </x:c>
      <x:c r="V104" s="19" t="str">
        <x:v>előzetes becslés</x:v>
      </x:c>
      <x:c r="W104" s="19" t="str">
        <x:v>CP0 tervezői előirányzat, nem webshopár; baseline 07</x:v>
      </x:c>
      <x:c r="X104" s="19" t="str">
        <x:v>2026-10-26</x:v>
      </x:c>
      <x:c r="Y104" s="19" t="str">
        <x:v>UNKNOWN – ajánlatban visszaigazolandó</x:v>
      </x:c>
      <x:c r="Z104" s="19" t="str">
        <x:v>C</x:v>
      </x:c>
      <x:c r="AA104" s="19" t="str">
        <x:v>PENDING</x:v>
      </x:c>
      <x:c r="AB104" s="19" t="str">
        <x:v>PENDING</x:v>
      </x:c>
      <x:c r="AC104" s="19" t="str">
        <x:v>nem megrendelt</x:v>
      </x:c>
      <x:c r="AD104" s="19" t="str">
        <x:v>Vízszerelő</x:v>
      </x:c>
      <x:c r="AE104" s="19" t="str">
        <x:v>PENDING – méret, csatlakozás, anyagminta, teljes bekerülés</x:v>
      </x:c>
      <x:c r="AF104" s="19" t="str">
        <x:v>CP0 becslési csomag: segédanyag és munkadíj a megnevezett tartalom szerint; külön szállítás a 14 sorban. Nem ingyenes szállítás.</x:v>
      </x:c>
      <x:c r="AG104" s="20" t="n">
        <x:v>35000</x:v>
      </x:c>
      <x:c r="AH104" s="21" t="n">
        <x:f>O104*AG104+SUM(R104:T104)</x:f>
        <x:v>35000</x:v>
      </x:c>
      <x:c r="AI104" s="19" t="str">
        <x:v>PENDING</x:v>
      </x:c>
      <x:c r="AJ104" s="19" t="str">
        <x:v>PENDING</x:v>
      </x:c>
      <x:c r="AK104" s="19" t="str">
        <x:v>PENDING</x:v>
      </x:c>
      <x:c r="AL104" s="19" t="str">
        <x:v>PENDING</x:v>
      </x:c>
      <x:c r="AM104" s="19" t="str">
        <x:v>PENDING</x:v>
      </x:c>
      <x:c r="AN104" s="1" t="str">
        <x:v>KI-103</x:v>
      </x:c>
      <x:c r="AO104" s="1" t="str">
        <x:v>drawings/P-01_alaprajz.pdf</x:v>
      </x:c>
      <x:c r="AP104" s="1" t="str">
        <x:v>KI_EX-BATH61; KI_EX-WC08; KI_EX-WC62</x:v>
      </x:c>
      <x:c r="AQ104" s="1" t="str">
        <x:v>késztermék / szakági munka</x:v>
      </x:c>
      <x:c r="AR104" s="1" t="str">
        <x:v>felmérés/gyártói rajz szükséges</x:v>
      </x:c>
      <x:c r="AS104" s="1" t="str">
        <x:v>HUF</x:v>
      </x:c>
      <x:c r="AT104" s="1" t="n">
        <x:v>1</x:v>
      </x:c>
      <x:c r="AU104" s="1" t="str">
        <x:v>nincs visszaigazolt ajánlati érvényesség</x:v>
      </x:c>
      <x:c r="AV104" s="1" t="str">
        <x:v>KI-151 központi keret; daruzás KI-137</x:v>
      </x:c>
      <x:c r="AW104" s="1" t="str">
        <x:v>KI-014 asztalos / KI-106 villamos / KI-026 és KI-096 víz / KI-127 fal</x:v>
      </x:c>
      <x:c r="AX104" s="1" t="n">
        <x:v>6</x:v>
      </x:c>
      <x:c r="AY104" s="1" t="n">
        <x:v>0.85</x:v>
      </x:c>
      <x:c r="AZ104" s="1" t="n">
        <x:v>1.3</x:v>
      </x:c>
      <x:c r="BA104" s="29" t="n">
        <x:f>ROUND(U104*AY104,0)</x:f>
        <x:v>29750</x:v>
      </x:c>
      <x:c r="BB104" s="29" t="n">
        <x:f>ROUND(U104*AZ104,0)</x:f>
        <x:v>45500</x:v>
      </x:c>
    </x:row>
    <x:row r="105" ht="72" customHeight="1">
      <x:c r="A105" s="12" t="str">
        <x:v>A-902</x:v>
      </x:c>
      <x:c r="B105" s="12" t="str">
        <x:v>teljes lakás</x:v>
      </x:c>
      <x:c r="C105" s="12" t="str">
        <x:v>KI-104</x:v>
      </x:c>
      <x:c r="D105" s="12" t="str">
        <x:v>NEM RENDERELT</x:v>
      </x:c>
      <x:c r="E105" s="12" t="str">
        <x:v>10</x:v>
      </x:c>
      <x:c r="F105" s="12" t="str">
        <x:v>STÍLUS</x:v>
      </x:c>
      <x:c r="G105" s="12" t="str">
        <x:v>Villamos</x:v>
      </x:c>
      <x:c r="H105" s="19" t="str">
        <x:v>Hue Bridge és hálózati csatlakozás</x:v>
      </x:c>
      <x:c r="I105" s="19" t="str">
        <x:v>UNKNOWN</x:v>
      </x:c>
      <x:c r="J105" s="19" t="str">
        <x:v>UNKNOWN</x:v>
      </x:c>
      <x:c r="K105" s="19" t="str">
        <x:v>UNKNOWN</x:v>
      </x:c>
      <x:c r="L105" s="19" t="str">
        <x:v>UNKNOWN – felmérés/gyári adat kell</x:v>
      </x:c>
      <x:c r="M105" s="19" t="str">
        <x:v>Kyoto Ink: grafit / füstszürke / taupe</x:v>
      </x:c>
      <x:c r="N105" s="19" t="str">
        <x:v>PENDING – műszaki specifikáció szerint</x:v>
      </x:c>
      <x:c r="O105" s="19" t="n">
        <x:v>1</x:v>
      </x:c>
      <x:c r="P105" s="19" t="str">
        <x:v>csomag</x:v>
      </x:c>
      <x:c r="Q105" s="20" t="n">
        <x:v>40000</x:v>
      </x:c>
      <x:c r="R105" s="20" t="n">
        <x:v>0</x:v>
      </x:c>
      <x:c r="S105" s="20" t="n">
        <x:v>0</x:v>
      </x:c>
      <x:c r="T105" s="20" t="n">
        <x:v>0</x:v>
      </x:c>
      <x:c r="U105" s="21" t="n">
        <x:f>O105*Q105+SUM(R105:T105)</x:f>
        <x:v>40000</x:v>
      </x:c>
      <x:c r="V105" s="19" t="str">
        <x:v>előzetes becslés</x:v>
      </x:c>
      <x:c r="W105" s="19" t="str">
        <x:v>CP0 tervezői előirányzat, nem webshopár; baseline 10</x:v>
      </x:c>
      <x:c r="X105" s="19" t="str">
        <x:v>2026-10-26</x:v>
      </x:c>
      <x:c r="Y105" s="19" t="str">
        <x:v>UNKNOWN – ajánlatban visszaigazolandó</x:v>
      </x:c>
      <x:c r="Z105" s="19" t="str">
        <x:v>C</x:v>
      </x:c>
      <x:c r="AA105" s="19" t="str">
        <x:v>PENDING</x:v>
      </x:c>
      <x:c r="AB105" s="19" t="str">
        <x:v>PENDING</x:v>
      </x:c>
      <x:c r="AC105" s="19" t="str">
        <x:v>nem megrendelt</x:v>
      </x:c>
      <x:c r="AD105" s="19" t="str">
        <x:v>Villanyszerelő</x:v>
      </x:c>
      <x:c r="AE105" s="19" t="str">
        <x:v>PENDING – méret, csatlakozás, anyagminta, teljes bekerülés</x:v>
      </x:c>
      <x:c r="AF105" s="19" t="str">
        <x:v>CP0 becslési csomag: segédanyag és munkadíj a megnevezett tartalom szerint; külön szállítás a 14 sorban. Nem ingyenes szállítás.</x:v>
      </x:c>
      <x:c r="AG105" s="20" t="n">
        <x:v>40000</x:v>
      </x:c>
      <x:c r="AH105" s="21" t="n">
        <x:f>O105*AG105+SUM(R105:T105)</x:f>
        <x:v>40000</x:v>
      </x:c>
      <x:c r="AI105" s="19" t="str">
        <x:v>PENDING</x:v>
      </x:c>
      <x:c r="AJ105" s="19" t="str">
        <x:v>PENDING</x:v>
      </x:c>
      <x:c r="AK105" s="19" t="str">
        <x:v>PENDING</x:v>
      </x:c>
      <x:c r="AL105" s="19" t="str">
        <x:v>PENDING</x:v>
      </x:c>
      <x:c r="AM105" s="19" t="str">
        <x:v>PENDING</x:v>
      </x:c>
      <x:c r="AN105" s="1" t="str">
        <x:v>KI-104</x:v>
      </x:c>
      <x:c r="AO105" s="1" t="str">
        <x:v>drawings/P-01_alaprajz.pdf</x:v>
      </x:c>
      <x:c r="AP105" s="1" t="str">
        <x:v>NINCS MODELL / nem térbeli költségsor; szakági kapcsolat igazolandó</x:v>
      </x:c>
      <x:c r="AQ105" s="1" t="str">
        <x:v>késztermék / szakági munka</x:v>
      </x:c>
      <x:c r="AR105" s="1" t="str">
        <x:v>felmérés/gyártói rajz szükséges</x:v>
      </x:c>
      <x:c r="AS105" s="1" t="str">
        <x:v>HUF</x:v>
      </x:c>
      <x:c r="AT105" s="1" t="n">
        <x:v>1</x:v>
      </x:c>
      <x:c r="AU105" s="1" t="str">
        <x:v>nincs visszaigazolt ajánlati érvényesség</x:v>
      </x:c>
      <x:c r="AV105" s="1" t="str">
        <x:v>KI-151 központi keret; daruzás KI-137</x:v>
      </x:c>
      <x:c r="AW105" s="1" t="str">
        <x:v>KI-014 asztalos / KI-106 villamos / KI-026 és KI-096 víz / KI-127 fal</x:v>
      </x:c>
      <x:c r="AX105" s="1" t="n">
        <x:v>6</x:v>
      </x:c>
      <x:c r="AY105" s="1" t="n">
        <x:v>0.85</x:v>
      </x:c>
      <x:c r="AZ105" s="1" t="n">
        <x:v>1.3</x:v>
      </x:c>
      <x:c r="BA105" s="29" t="n">
        <x:f>ROUND(U105*AY105,0)</x:f>
        <x:v>34000</x:v>
      </x:c>
      <x:c r="BB105" s="29" t="n">
        <x:f>ROUND(U105*AZ105,0)</x:f>
        <x:v>52000</x:v>
      </x:c>
    </x:row>
    <x:row r="106" ht="72" customHeight="1">
      <x:c r="A106" s="12" t="str">
        <x:v>A-902</x:v>
      </x:c>
      <x:c r="B106" s="12" t="str">
        <x:v>teljes lakás</x:v>
      </x:c>
      <x:c r="C106" s="12" t="str">
        <x:v>KI-105</x:v>
      </x:c>
      <x:c r="D106" s="12" t="str">
        <x:v>NEM RENDERELT</x:v>
      </x:c>
      <x:c r="E106" s="12" t="str">
        <x:v>10</x:v>
      </x:c>
      <x:c r="F106" s="12" t="str">
        <x:v>STÍLUS</x:v>
      </x:c>
      <x:c r="G106" s="12" t="str">
        <x:v>Villamos</x:v>
      </x:c>
      <x:c r="H106" s="19" t="str">
        <x:v>Hue vezérlők és kapcsolómodulok</x:v>
      </x:c>
      <x:c r="I106" s="19" t="str">
        <x:v>UNKNOWN</x:v>
      </x:c>
      <x:c r="J106" s="19" t="str">
        <x:v>UNKNOWN</x:v>
      </x:c>
      <x:c r="K106" s="19" t="str">
        <x:v>UNKNOWN</x:v>
      </x:c>
      <x:c r="L106" s="19" t="str">
        <x:v>UNKNOWN – felmérés/gyári adat kell</x:v>
      </x:c>
      <x:c r="M106" s="19" t="str">
        <x:v>Kyoto Ink: grafit / füstszürke / taupe</x:v>
      </x:c>
      <x:c r="N106" s="19" t="str">
        <x:v>PENDING – műszaki specifikáció szerint</x:v>
      </x:c>
      <x:c r="O106" s="19" t="n">
        <x:v>1</x:v>
      </x:c>
      <x:c r="P106" s="19" t="str">
        <x:v>csomag</x:v>
      </x:c>
      <x:c r="Q106" s="20" t="n">
        <x:v>100000</x:v>
      </x:c>
      <x:c r="R106" s="20" t="n">
        <x:v>0</x:v>
      </x:c>
      <x:c r="S106" s="20" t="n">
        <x:v>0</x:v>
      </x:c>
      <x:c r="T106" s="20" t="n">
        <x:v>0</x:v>
      </x:c>
      <x:c r="U106" s="21" t="n">
        <x:f>O106*Q106+SUM(R106:T106)</x:f>
        <x:v>100000</x:v>
      </x:c>
      <x:c r="V106" s="19" t="str">
        <x:v>előzetes becslés</x:v>
      </x:c>
      <x:c r="W106" s="19" t="str">
        <x:v>CP0 tervezői előirányzat, nem webshopár; baseline 10</x:v>
      </x:c>
      <x:c r="X106" s="19" t="str">
        <x:v>2026-10-26</x:v>
      </x:c>
      <x:c r="Y106" s="19" t="str">
        <x:v>UNKNOWN – ajánlatban visszaigazolandó</x:v>
      </x:c>
      <x:c r="Z106" s="19" t="str">
        <x:v>C</x:v>
      </x:c>
      <x:c r="AA106" s="19" t="str">
        <x:v>PENDING</x:v>
      </x:c>
      <x:c r="AB106" s="19" t="str">
        <x:v>PENDING</x:v>
      </x:c>
      <x:c r="AC106" s="19" t="str">
        <x:v>nem megrendelt</x:v>
      </x:c>
      <x:c r="AD106" s="19" t="str">
        <x:v>Villanyszerelő</x:v>
      </x:c>
      <x:c r="AE106" s="19" t="str">
        <x:v>PENDING – méret, csatlakozás, anyagminta, teljes bekerülés</x:v>
      </x:c>
      <x:c r="AF106" s="19" t="str">
        <x:v>CP0 becslési csomag: segédanyag és munkadíj a megnevezett tartalom szerint; külön szállítás a 14 sorban. Nem ingyenes szállítás.</x:v>
      </x:c>
      <x:c r="AG106" s="20" t="n">
        <x:v>100000</x:v>
      </x:c>
      <x:c r="AH106" s="21" t="n">
        <x:f>O106*AG106+SUM(R106:T106)</x:f>
        <x:v>100000</x:v>
      </x:c>
      <x:c r="AI106" s="19" t="str">
        <x:v>PENDING</x:v>
      </x:c>
      <x:c r="AJ106" s="19" t="str">
        <x:v>PENDING</x:v>
      </x:c>
      <x:c r="AK106" s="19" t="str">
        <x:v>PENDING</x:v>
      </x:c>
      <x:c r="AL106" s="19" t="str">
        <x:v>PENDING</x:v>
      </x:c>
      <x:c r="AM106" s="19" t="str">
        <x:v>PENDING</x:v>
      </x:c>
      <x:c r="AN106" s="1" t="str">
        <x:v>KI-105</x:v>
      </x:c>
      <x:c r="AO106" s="1" t="str">
        <x:v>drawings/P-01_alaprajz.pdf</x:v>
      </x:c>
      <x:c r="AP106" s="1" t="str">
        <x:v>NINCS MODELL / nem térbeli költségsor; szakági kapcsolat igazolandó</x:v>
      </x:c>
      <x:c r="AQ106" s="1" t="str">
        <x:v>késztermék / szakági munka</x:v>
      </x:c>
      <x:c r="AR106" s="1" t="str">
        <x:v>felmérés/gyártói rajz szükséges</x:v>
      </x:c>
      <x:c r="AS106" s="1" t="str">
        <x:v>HUF</x:v>
      </x:c>
      <x:c r="AT106" s="1" t="n">
        <x:v>1</x:v>
      </x:c>
      <x:c r="AU106" s="1" t="str">
        <x:v>nincs visszaigazolt ajánlati érvényesség</x:v>
      </x:c>
      <x:c r="AV106" s="1" t="str">
        <x:v>KI-151 központi keret; daruzás KI-137</x:v>
      </x:c>
      <x:c r="AW106" s="1" t="str">
        <x:v>KI-014 asztalos / KI-106 villamos / KI-026 és KI-096 víz / KI-127 fal</x:v>
      </x:c>
      <x:c r="AX106" s="1" t="n">
        <x:v>6</x:v>
      </x:c>
      <x:c r="AY106" s="1" t="n">
        <x:v>0.85</x:v>
      </x:c>
      <x:c r="AZ106" s="1" t="n">
        <x:v>1.3</x:v>
      </x:c>
      <x:c r="BA106" s="29" t="n">
        <x:f>ROUND(U106*AY106,0)</x:f>
        <x:v>85000</x:v>
      </x:c>
      <x:c r="BB106" s="29" t="n">
        <x:f>ROUND(U106*AZ106,0)</x:f>
        <x:v>130000</x:v>
      </x:c>
    </x:row>
    <x:row r="107" ht="72" customHeight="1">
      <x:c r="A107" s="12" t="str">
        <x:v>A-902</x:v>
      </x:c>
      <x:c r="B107" s="12" t="str">
        <x:v>teljes lakás</x:v>
      </x:c>
      <x:c r="C107" s="12" t="str">
        <x:v>KI-106</x:v>
      </x:c>
      <x:c r="D107" s="12" t="str">
        <x:v>NEM RENDERELT</x:v>
      </x:c>
      <x:c r="E107" s="12" t="str">
        <x:v>10</x:v>
      </x:c>
      <x:c r="F107" s="12" t="str">
        <x:v>STÍLUS</x:v>
      </x:c>
      <x:c r="G107" s="12" t="str">
        <x:v>Villamos</x:v>
      </x:c>
      <x:c r="H107" s="19" t="str">
        <x:v>Villamos kábel, csatlakozó, doboz és kábelrejtés</x:v>
      </x:c>
      <x:c r="I107" s="19" t="str">
        <x:v>UNKNOWN</x:v>
      </x:c>
      <x:c r="J107" s="19" t="str">
        <x:v>UNKNOWN</x:v>
      </x:c>
      <x:c r="K107" s="19" t="str">
        <x:v>UNKNOWN</x:v>
      </x:c>
      <x:c r="L107" s="19" t="str">
        <x:v>UNKNOWN – felmérés/gyári adat kell</x:v>
      </x:c>
      <x:c r="M107" s="19" t="str">
        <x:v>Kyoto Ink: grafit / füstszürke / taupe</x:v>
      </x:c>
      <x:c r="N107" s="19" t="str">
        <x:v>PENDING – műszaki specifikáció szerint</x:v>
      </x:c>
      <x:c r="O107" s="19" t="n">
        <x:v>1</x:v>
      </x:c>
      <x:c r="P107" s="19" t="str">
        <x:v>csomag</x:v>
      </x:c>
      <x:c r="Q107" s="20" t="n">
        <x:v>100000</x:v>
      </x:c>
      <x:c r="R107" s="20" t="n">
        <x:v>0</x:v>
      </x:c>
      <x:c r="S107" s="20" t="n">
        <x:v>0</x:v>
      </x:c>
      <x:c r="T107" s="20" t="n">
        <x:v>0</x:v>
      </x:c>
      <x:c r="U107" s="21" t="n">
        <x:f>O107*Q107+SUM(R107:T107)</x:f>
        <x:v>100000</x:v>
      </x:c>
      <x:c r="V107" s="19" t="str">
        <x:v>előzetes becslés</x:v>
      </x:c>
      <x:c r="W107" s="19" t="str">
        <x:v>CP0 tervezői előirányzat, nem webshopár; baseline 10</x:v>
      </x:c>
      <x:c r="X107" s="19" t="str">
        <x:v>2026-10-26</x:v>
      </x:c>
      <x:c r="Y107" s="19" t="str">
        <x:v>UNKNOWN – ajánlatban visszaigazolandó</x:v>
      </x:c>
      <x:c r="Z107" s="19" t="str">
        <x:v>C</x:v>
      </x:c>
      <x:c r="AA107" s="19" t="str">
        <x:v>PENDING</x:v>
      </x:c>
      <x:c r="AB107" s="19" t="str">
        <x:v>PENDING</x:v>
      </x:c>
      <x:c r="AC107" s="19" t="str">
        <x:v>nem megrendelt</x:v>
      </x:c>
      <x:c r="AD107" s="19" t="str">
        <x:v>Villanyszerelő</x:v>
      </x:c>
      <x:c r="AE107" s="19" t="str">
        <x:v>PENDING – méret, csatlakozás, anyagminta, teljes bekerülés</x:v>
      </x:c>
      <x:c r="AF107" s="19" t="str">
        <x:v>CP0 becslési csomag: segédanyag és munkadíj a megnevezett tartalom szerint; külön szállítás a 14 sorban. Nem ingyenes szállítás.</x:v>
      </x:c>
      <x:c r="AG107" s="20" t="n">
        <x:v>100000</x:v>
      </x:c>
      <x:c r="AH107" s="21" t="n">
        <x:f>O107*AG107+SUM(R107:T107)</x:f>
        <x:v>100000</x:v>
      </x:c>
      <x:c r="AI107" s="19" t="str">
        <x:v>PENDING</x:v>
      </x:c>
      <x:c r="AJ107" s="19" t="str">
        <x:v>PENDING</x:v>
      </x:c>
      <x:c r="AK107" s="19" t="str">
        <x:v>PENDING</x:v>
      </x:c>
      <x:c r="AL107" s="19" t="str">
        <x:v>PENDING</x:v>
      </x:c>
      <x:c r="AM107" s="19" t="str">
        <x:v>PENDING</x:v>
      </x:c>
      <x:c r="AN107" s="1" t="str">
        <x:v>KI-106</x:v>
      </x:c>
      <x:c r="AO107" s="1" t="str">
        <x:v>drawings/P-01_alaprajz.pdf</x:v>
      </x:c>
      <x:c r="AP107" s="1" t="str">
        <x:v>NINCS MODELL / nem térbeli költségsor; szakági kapcsolat igazolandó</x:v>
      </x:c>
      <x:c r="AQ107" s="1" t="str">
        <x:v>késztermék / szakági munka</x:v>
      </x:c>
      <x:c r="AR107" s="1" t="str">
        <x:v>felmérés/gyártói rajz szükséges</x:v>
      </x:c>
      <x:c r="AS107" s="1" t="str">
        <x:v>HUF</x:v>
      </x:c>
      <x:c r="AT107" s="1" t="n">
        <x:v>1</x:v>
      </x:c>
      <x:c r="AU107" s="1" t="str">
        <x:v>nincs visszaigazolt ajánlati érvényesség</x:v>
      </x:c>
      <x:c r="AV107" s="1" t="str">
        <x:v>KI-151 központi keret; daruzás KI-137</x:v>
      </x:c>
      <x:c r="AW107" s="1" t="str">
        <x:v>KI-014 asztalos / KI-106 villamos / KI-026 és KI-096 víz / KI-127 fal</x:v>
      </x:c>
      <x:c r="AX107" s="1" t="n">
        <x:v>6</x:v>
      </x:c>
      <x:c r="AY107" s="1" t="n">
        <x:v>0.85</x:v>
      </x:c>
      <x:c r="AZ107" s="1" t="n">
        <x:v>1.3</x:v>
      </x:c>
      <x:c r="BA107" s="29" t="n">
        <x:f>ROUND(U107*AY107,0)</x:f>
        <x:v>85000</x:v>
      </x:c>
      <x:c r="BB107" s="29" t="n">
        <x:f>ROUND(U107*AZ107,0)</x:f>
        <x:v>130000</x:v>
      </x:c>
    </x:row>
    <x:row r="108" ht="72" customHeight="1">
      <x:c r="A108" s="12" t="str">
        <x:v>A-902</x:v>
      </x:c>
      <x:c r="B108" s="12" t="str">
        <x:v>teljes lakás</x:v>
      </x:c>
      <x:c r="C108" s="12" t="str">
        <x:v>KI-107</x:v>
      </x:c>
      <x:c r="D108" s="12" t="str">
        <x:v>NEM RENDERELT</x:v>
      </x:c>
      <x:c r="E108" s="12" t="str">
        <x:v>10</x:v>
      </x:c>
      <x:c r="F108" s="12" t="str">
        <x:v>STÍLUS</x:v>
      </x:c>
      <x:c r="G108" s="12" t="str">
        <x:v>Villamos</x:v>
      </x:c>
      <x:c r="H108" s="19" t="str">
        <x:v>Villanyszerelés, mérések, címkézés</x:v>
      </x:c>
      <x:c r="I108" s="19" t="str">
        <x:v>UNKNOWN</x:v>
      </x:c>
      <x:c r="J108" s="19" t="str">
        <x:v>UNKNOWN</x:v>
      </x:c>
      <x:c r="K108" s="19" t="str">
        <x:v>UNKNOWN</x:v>
      </x:c>
      <x:c r="L108" s="19" t="str">
        <x:v>UNKNOWN – felmérés/gyári adat kell</x:v>
      </x:c>
      <x:c r="M108" s="19" t="str">
        <x:v>Kyoto Ink: grafit / füstszürke / taupe</x:v>
      </x:c>
      <x:c r="N108" s="19" t="str">
        <x:v>PENDING – műszaki specifikáció szerint</x:v>
      </x:c>
      <x:c r="O108" s="19" t="n">
        <x:v>1</x:v>
      </x:c>
      <x:c r="P108" s="19" t="str">
        <x:v>csomag</x:v>
      </x:c>
      <x:c r="Q108" s="20" t="n">
        <x:v>220000</x:v>
      </x:c>
      <x:c r="R108" s="20" t="n">
        <x:v>0</x:v>
      </x:c>
      <x:c r="S108" s="20" t="n">
        <x:v>0</x:v>
      </x:c>
      <x:c r="T108" s="20" t="n">
        <x:v>0</x:v>
      </x:c>
      <x:c r="U108" s="21" t="n">
        <x:f>O108*Q108+SUM(R108:T108)</x:f>
        <x:v>220000</x:v>
      </x:c>
      <x:c r="V108" s="19" t="str">
        <x:v>előzetes becslés</x:v>
      </x:c>
      <x:c r="W108" s="19" t="str">
        <x:v>CP0 tervezői előirányzat, nem webshopár; baseline 10</x:v>
      </x:c>
      <x:c r="X108" s="19" t="str">
        <x:v>2026-10-26</x:v>
      </x:c>
      <x:c r="Y108" s="19" t="str">
        <x:v>UNKNOWN – ajánlatban visszaigazolandó</x:v>
      </x:c>
      <x:c r="Z108" s="19" t="str">
        <x:v>C</x:v>
      </x:c>
      <x:c r="AA108" s="19" t="str">
        <x:v>PENDING</x:v>
      </x:c>
      <x:c r="AB108" s="19" t="str">
        <x:v>PENDING</x:v>
      </x:c>
      <x:c r="AC108" s="19" t="str">
        <x:v>nem megrendelt</x:v>
      </x:c>
      <x:c r="AD108" s="19" t="str">
        <x:v>Villanyszerelő</x:v>
      </x:c>
      <x:c r="AE108" s="19" t="str">
        <x:v>PENDING – méret, csatlakozás, anyagminta, teljes bekerülés</x:v>
      </x:c>
      <x:c r="AF108" s="19" t="str">
        <x:v>CP0 becslési csomag: segédanyag és munkadíj a megnevezett tartalom szerint; külön szállítás a 14 sorban. Nem ingyenes szállítás.</x:v>
      </x:c>
      <x:c r="AG108" s="20" t="n">
        <x:v>220000</x:v>
      </x:c>
      <x:c r="AH108" s="21" t="n">
        <x:f>O108*AG108+SUM(R108:T108)</x:f>
        <x:v>220000</x:v>
      </x:c>
      <x:c r="AI108" s="19" t="str">
        <x:v>PENDING</x:v>
      </x:c>
      <x:c r="AJ108" s="19" t="str">
        <x:v>PENDING</x:v>
      </x:c>
      <x:c r="AK108" s="19" t="str">
        <x:v>PENDING</x:v>
      </x:c>
      <x:c r="AL108" s="19" t="str">
        <x:v>PENDING</x:v>
      </x:c>
      <x:c r="AM108" s="19" t="str">
        <x:v>PENDING</x:v>
      </x:c>
      <x:c r="AN108" s="1" t="str">
        <x:v>KI-107</x:v>
      </x:c>
      <x:c r="AO108" s="1" t="str">
        <x:v>drawings/P-01_alaprajz.pdf</x:v>
      </x:c>
      <x:c r="AP108" s="1" t="str">
        <x:v>NINCS MODELL / nem térbeli költségsor; szakági kapcsolat igazolandó</x:v>
      </x:c>
      <x:c r="AQ108" s="1" t="str">
        <x:v>késztermék / szakági munka</x:v>
      </x:c>
      <x:c r="AR108" s="1" t="str">
        <x:v>felmérés/gyártói rajz szükséges</x:v>
      </x:c>
      <x:c r="AS108" s="1" t="str">
        <x:v>HUF</x:v>
      </x:c>
      <x:c r="AT108" s="1" t="n">
        <x:v>1</x:v>
      </x:c>
      <x:c r="AU108" s="1" t="str">
        <x:v>nincs visszaigazolt ajánlati érvényesség</x:v>
      </x:c>
      <x:c r="AV108" s="1" t="str">
        <x:v>KI-151 központi keret; daruzás KI-137</x:v>
      </x:c>
      <x:c r="AW108" s="1" t="str">
        <x:v>KI-014 asztalos / KI-106 villamos / KI-026 és KI-096 víz / KI-127 fal</x:v>
      </x:c>
      <x:c r="AX108" s="1" t="n">
        <x:v>6</x:v>
      </x:c>
      <x:c r="AY108" s="1" t="n">
        <x:v>0.85</x:v>
      </x:c>
      <x:c r="AZ108" s="1" t="n">
        <x:v>1.3</x:v>
      </x:c>
      <x:c r="BA108" s="29" t="n">
        <x:f>ROUND(U108*AY108,0)</x:f>
        <x:v>187000</x:v>
      </x:c>
      <x:c r="BB108" s="29" t="n">
        <x:f>ROUND(U108*AZ108,0)</x:f>
        <x:v>286000</x:v>
      </x:c>
    </x:row>
    <x:row r="109" ht="72" customHeight="1">
      <x:c r="A109" s="12" t="str">
        <x:v>A-902</x:v>
      </x:c>
      <x:c r="B109" s="12" t="str">
        <x:v>teljes lakás</x:v>
      </x:c>
      <x:c r="C109" s="12" t="str">
        <x:v>KI-108</x:v>
      </x:c>
      <x:c r="D109" s="12" t="str">
        <x:v>NEM RENDERELT</x:v>
      </x:c>
      <x:c r="E109" s="12" t="str">
        <x:v>10</x:v>
      </x:c>
      <x:c r="F109" s="12" t="str">
        <x:v>STÍLUS</x:v>
      </x:c>
      <x:c r="G109" s="12" t="str">
        <x:v>Villamos</x:v>
      </x:c>
      <x:c r="H109" s="19" t="str">
        <x:v>Hue programozás, jelenetek, próbaüzem</x:v>
      </x:c>
      <x:c r="I109" s="19" t="str">
        <x:v>UNKNOWN</x:v>
      </x:c>
      <x:c r="J109" s="19" t="str">
        <x:v>UNKNOWN</x:v>
      </x:c>
      <x:c r="K109" s="19" t="str">
        <x:v>UNKNOWN</x:v>
      </x:c>
      <x:c r="L109" s="19" t="str">
        <x:v>UNKNOWN – felmérés/gyári adat kell</x:v>
      </x:c>
      <x:c r="M109" s="19" t="str">
        <x:v>Kyoto Ink: grafit / füstszürke / taupe</x:v>
      </x:c>
      <x:c r="N109" s="19" t="str">
        <x:v>PENDING – műszaki specifikáció szerint</x:v>
      </x:c>
      <x:c r="O109" s="19" t="n">
        <x:v>1</x:v>
      </x:c>
      <x:c r="P109" s="19" t="str">
        <x:v>csomag</x:v>
      </x:c>
      <x:c r="Q109" s="20" t="n">
        <x:v>80000</x:v>
      </x:c>
      <x:c r="R109" s="20" t="n">
        <x:v>0</x:v>
      </x:c>
      <x:c r="S109" s="20" t="n">
        <x:v>0</x:v>
      </x:c>
      <x:c r="T109" s="20" t="n">
        <x:v>0</x:v>
      </x:c>
      <x:c r="U109" s="21" t="n">
        <x:f>O109*Q109+SUM(R109:T109)</x:f>
        <x:v>80000</x:v>
      </x:c>
      <x:c r="V109" s="19" t="str">
        <x:v>előzetes becslés</x:v>
      </x:c>
      <x:c r="W109" s="19" t="str">
        <x:v>CP0 tervezői előirányzat, nem webshopár; baseline 10</x:v>
      </x:c>
      <x:c r="X109" s="19" t="str">
        <x:v>2026-10-26</x:v>
      </x:c>
      <x:c r="Y109" s="19" t="str">
        <x:v>UNKNOWN – ajánlatban visszaigazolandó</x:v>
      </x:c>
      <x:c r="Z109" s="19" t="str">
        <x:v>C</x:v>
      </x:c>
      <x:c r="AA109" s="19" t="str">
        <x:v>PENDING</x:v>
      </x:c>
      <x:c r="AB109" s="19" t="str">
        <x:v>PENDING</x:v>
      </x:c>
      <x:c r="AC109" s="19" t="str">
        <x:v>nem megrendelt</x:v>
      </x:c>
      <x:c r="AD109" s="19" t="str">
        <x:v>Villanyszerelő</x:v>
      </x:c>
      <x:c r="AE109" s="19" t="str">
        <x:v>PENDING – méret, csatlakozás, anyagminta, teljes bekerülés</x:v>
      </x:c>
      <x:c r="AF109" s="19" t="str">
        <x:v>CP0 becslési csomag: segédanyag és munkadíj a megnevezett tartalom szerint; külön szállítás a 14 sorban. Nem ingyenes szállítás.</x:v>
      </x:c>
      <x:c r="AG109" s="20" t="n">
        <x:v>80000</x:v>
      </x:c>
      <x:c r="AH109" s="21" t="n">
        <x:f>O109*AG109+SUM(R109:T109)</x:f>
        <x:v>80000</x:v>
      </x:c>
      <x:c r="AI109" s="19" t="str">
        <x:v>PENDING</x:v>
      </x:c>
      <x:c r="AJ109" s="19" t="str">
        <x:v>PENDING</x:v>
      </x:c>
      <x:c r="AK109" s="19" t="str">
        <x:v>PENDING</x:v>
      </x:c>
      <x:c r="AL109" s="19" t="str">
        <x:v>PENDING</x:v>
      </x:c>
      <x:c r="AM109" s="19" t="str">
        <x:v>PENDING</x:v>
      </x:c>
      <x:c r="AN109" s="1" t="str">
        <x:v>KI-108</x:v>
      </x:c>
      <x:c r="AO109" s="1" t="str">
        <x:v>drawings/P-01_alaprajz.pdf</x:v>
      </x:c>
      <x:c r="AP109" s="1" t="str">
        <x:v>NINCS MODELL / nem térbeli költségsor; szakági kapcsolat igazolandó</x:v>
      </x:c>
      <x:c r="AQ109" s="1" t="str">
        <x:v>késztermék / szakági munka</x:v>
      </x:c>
      <x:c r="AR109" s="1" t="str">
        <x:v>felmérés/gyártói rajz szükséges</x:v>
      </x:c>
      <x:c r="AS109" s="1" t="str">
        <x:v>HUF</x:v>
      </x:c>
      <x:c r="AT109" s="1" t="n">
        <x:v>1</x:v>
      </x:c>
      <x:c r="AU109" s="1" t="str">
        <x:v>nincs visszaigazolt ajánlati érvényesség</x:v>
      </x:c>
      <x:c r="AV109" s="1" t="str">
        <x:v>KI-151 központi keret; daruzás KI-137</x:v>
      </x:c>
      <x:c r="AW109" s="1" t="str">
        <x:v>KI-014 asztalos / KI-106 villamos / KI-026 és KI-096 víz / KI-127 fal</x:v>
      </x:c>
      <x:c r="AX109" s="1" t="n">
        <x:v>6</x:v>
      </x:c>
      <x:c r="AY109" s="1" t="n">
        <x:v>0.85</x:v>
      </x:c>
      <x:c r="AZ109" s="1" t="n">
        <x:v>1.3</x:v>
      </x:c>
      <x:c r="BA109" s="29" t="n">
        <x:f>ROUND(U109*AY109,0)</x:f>
        <x:v>68000</x:v>
      </x:c>
      <x:c r="BB109" s="29" t="n">
        <x:f>ROUND(U109*AZ109,0)</x:f>
        <x:v>104000</x:v>
      </x:c>
    </x:row>
    <x:row r="110" ht="72" customHeight="1">
      <x:c r="A110" s="12" t="str">
        <x:v>A-902</x:v>
      </x:c>
      <x:c r="B110" s="12" t="str">
        <x:v>03</x:v>
      </x:c>
      <x:c r="C110" s="12" t="str">
        <x:v>KI-109</x:v>
      </x:c>
      <x:c r="D110" s="12" t="str">
        <x:v>Cam03 v2; Cam12 v1</x:v>
      </x:c>
      <x:c r="E110" s="12" t="str">
        <x:v>10</x:v>
      </x:c>
      <x:c r="F110" s="12" t="str">
        <x:v>STÍLUS</x:v>
      </x:c>
      <x:c r="G110" s="12" t="str">
        <x:v>Villamos</x:v>
      </x:c>
      <x:c r="H110" s="19" t="str">
        <x:v>Somar függeszték és Hue E27</x:v>
      </x:c>
      <x:c r="I110" s="19" t="str">
        <x:v>UNKNOWN</x:v>
      </x:c>
      <x:c r="J110" s="19" t="str">
        <x:v>L00148FA05</x:v>
      </x:c>
      <x:c r="K110" s="19" t="str">
        <x:v>https://kavehome.com/hu/en/p/somar-ceiling-lamp-made-with-synthetic-fibres-and-steel-rods-o76cm</x:v>
      </x:c>
      <x:c r="L110" s="19" t="str">
        <x:v>76×76×300 teljes; búratest magassága külön igazolandó</x:v>
      </x:c>
      <x:c r="M110" s="19" t="str">
        <x:v>fehér</x:v>
      </x:c>
      <x:c r="N110" s="19" t="str">
        <x:v>szintetikus rost, acélpálca</x:v>
      </x:c>
      <x:c r="O110" s="19" t="n">
        <x:v>1</x:v>
      </x:c>
      <x:c r="P110" s="19" t="str">
        <x:v>csomag</x:v>
      </x:c>
      <x:c r="Q110" s="20" t="n">
        <x:v>260000</x:v>
      </x:c>
      <x:c r="R110" s="20" t="n">
        <x:v>0</x:v>
      </x:c>
      <x:c r="S110" s="20" t="n">
        <x:v>0</x:v>
      </x:c>
      <x:c r="T110" s="20" t="n">
        <x:v>0</x:v>
      </x:c>
      <x:c r="U110" s="21" t="n">
        <x:f>O110*Q110+SUM(R110:T110)</x:f>
        <x:v>260000</x:v>
      </x:c>
      <x:c r="V110" s="19" t="str">
        <x:v>előzetes becslés</x:v>
      </x:c>
      <x:c r="W110" s="19" t="str">
        <x:v>mai HU lekérés 429; ár nem frissen igazolt</x:v>
      </x:c>
      <x:c r="X110" s="19" t="str">
        <x:v>2026-10-26</x:v>
      </x:c>
      <x:c r="Y110" s="19" t="str">
        <x:v>UNKNOWN – ajánlatban visszaigazolandó</x:v>
      </x:c>
      <x:c r="Z110" s="19" t="str">
        <x:v>C</x:v>
      </x:c>
      <x:c r="AA110" s="19" t="str">
        <x:v>A gyári Somar laposabb búra, mint a konyhai render felfújt gömbje; a render igazodjon a gyárihoz.</x:v>
      </x:c>
      <x:c r="AB110" s="19" t="str">
        <x:v>PENDING</x:v>
      </x:c>
      <x:c r="AC110" s="19" t="str">
        <x:v>nem megrendelt</x:v>
      </x:c>
      <x:c r="AD110" s="19" t="str">
        <x:v>Villanyszerelő</x:v>
      </x:c>
      <x:c r="AE110" s="19" t="str">
        <x:v>PENDING – méret, csatlakozás, anyagminta, teljes bekerülés</x:v>
      </x:c>
      <x:c r="AF110" s="19" t="str">
        <x:v>E27 Hue fizikai beférés; függesztési magasság; max40W korábbi adat, szerb oldal25W: gyártói címke dönt. Nincs automatikus kompatibilitás. Csomagelőirányzat maradt, nem puszta termékár.</x:v>
      </x:c>
      <x:c r="AG110" s="20" t="n">
        <x:v>260000</x:v>
      </x:c>
      <x:c r="AH110" s="21" t="n">
        <x:f>O110*AG110+SUM(R110:T110)</x:f>
        <x:v>260000</x:v>
      </x:c>
      <x:c r="AI110" s="19" t="str">
        <x:v>Somar megtartva. A névtelen papírbúra csere nem kellően igazolt, megtakarítást nem számolunk rá.</x:v>
      </x:c>
      <x:c r="AJ110" s="19" t="str">
        <x:v>PENDING</x:v>
      </x:c>
      <x:c r="AK110" s="19" t="str">
        <x:v>PENDING</x:v>
      </x:c>
      <x:c r="AL110" s="19" t="str">
        <x:v>Kave Home Brisia, egygömbös Ø50 | https://kavehome.com/hu/en/p/brisia-metal-ceiling-lamp-with-brushed-brass-finish-and-1-frosted-glass-ball-o50cm | alternatíva, nem plusz lámpa</x:v>
      </x:c>
      <x:c r="AM110" s="19" t="str">
        <x:v>PENDING</x:v>
      </x:c>
      <x:c r="AN110" s="1" t="str">
        <x:v>KI-109</x:v>
      </x:c>
      <x:c r="AO110" s="1" t="str">
        <x:v>drawings/P-01_alaprajz.pdf</x:v>
      </x:c>
      <x:c r="AP110" s="1" t="str">
        <x:v>R06_Somar_*</x:v>
      </x:c>
      <x:c r="AQ110" s="1" t="str">
        <x:v>késztermék / szakági munka</x:v>
      </x:c>
      <x:c r="AR110" s="1" t="str">
        <x:v>Ø760×360mm búra, E27; fotó alapján rekonstruált bordás forma</x:v>
      </x:c>
      <x:c r="AS110" s="1" t="str">
        <x:v>HUF</x:v>
      </x:c>
      <x:c r="AT110" s="1" t="n">
        <x:v>1</x:v>
      </x:c>
      <x:c r="AU110" s="1" t="str">
        <x:v>nincs visszaigazolt ajánlati érvényesség</x:v>
      </x:c>
      <x:c r="AV110" s="1" t="str">
        <x:v>KI-151 központi keret; daruzás KI-137</x:v>
      </x:c>
      <x:c r="AW110" s="1" t="str">
        <x:v>KI-014 asztalos / KI-106 villamos / KI-026 és KI-096 víz / KI-127 fal</x:v>
      </x:c>
      <x:c r="AX110" s="1" t="n">
        <x:v>6</x:v>
      </x:c>
      <x:c r="AY110" s="1" t="n">
        <x:v>0.85</x:v>
      </x:c>
      <x:c r="AZ110" s="1" t="n">
        <x:v>1.3</x:v>
      </x:c>
      <x:c r="BA110" s="29" t="n">
        <x:f>ROUND(U110*AY110,0)</x:f>
        <x:v>221000</x:v>
      </x:c>
      <x:c r="BB110" s="29" t="n">
        <x:f>ROUND(U110*AZ110,0)</x:f>
        <x:v>338000</x:v>
      </x:c>
    </x:row>
    <x:row r="111" ht="72" customHeight="1">
      <x:c r="A111" s="12" t="str">
        <x:v>A-902</x:v>
      </x:c>
      <x:c r="B111" s="12" t="str">
        <x:v>01 / 07 / 08</x:v>
      </x:c>
      <x:c r="C111" s="12" t="str">
        <x:v>KI-110</x:v>
      </x:c>
      <x:c r="D111" s="12" t="str">
        <x:v>NEM RENDERELT</x:v>
      </x:c>
      <x:c r="E111" s="12" t="str">
        <x:v>10</x:v>
      </x:c>
      <x:c r="F111" s="12" t="str">
        <x:v>STÍLUS</x:v>
      </x:c>
      <x:c r="G111" s="12" t="str">
        <x:v>Villamos</x:v>
      </x:c>
      <x:c r="H111" s="19" t="str">
        <x:v>Négy Hue-kompatibilis általános lámpatest/izzó</x:v>
      </x:c>
      <x:c r="I111" s="19" t="str">
        <x:v>UNKNOWN</x:v>
      </x:c>
      <x:c r="J111" s="19" t="str">
        <x:v>UNKNOWN</x:v>
      </x:c>
      <x:c r="K111" s="19" t="str">
        <x:v>UNKNOWN</x:v>
      </x:c>
      <x:c r="L111" s="19" t="str">
        <x:v>UNKNOWN – felmérés/gyári adat kell</x:v>
      </x:c>
      <x:c r="M111" s="19" t="str">
        <x:v>Kyoto Ink: grafit / füstszürke / taupe</x:v>
      </x:c>
      <x:c r="N111" s="19" t="str">
        <x:v>PENDING – műszaki specifikáció szerint</x:v>
      </x:c>
      <x:c r="O111" s="19" t="n">
        <x:v>1</x:v>
      </x:c>
      <x:c r="P111" s="19" t="str">
        <x:v>csomag</x:v>
      </x:c>
      <x:c r="Q111" s="20" t="n">
        <x:v>130000</x:v>
      </x:c>
      <x:c r="R111" s="20" t="n">
        <x:v>0</x:v>
      </x:c>
      <x:c r="S111" s="20" t="n">
        <x:v>0</x:v>
      </x:c>
      <x:c r="T111" s="20" t="n">
        <x:v>0</x:v>
      </x:c>
      <x:c r="U111" s="21" t="n">
        <x:f>O111*Q111+SUM(R111:T111)</x:f>
        <x:v>130000</x:v>
      </x:c>
      <x:c r="V111" s="19" t="str">
        <x:v>előzetes becslés</x:v>
      </x:c>
      <x:c r="W111" s="19" t="str">
        <x:v>CP0 tervezői előirányzat, nem webshopár; baseline 10</x:v>
      </x:c>
      <x:c r="X111" s="19" t="str">
        <x:v>2026-10-26</x:v>
      </x:c>
      <x:c r="Y111" s="19" t="str">
        <x:v>UNKNOWN – ajánlatban visszaigazolandó</x:v>
      </x:c>
      <x:c r="Z111" s="19" t="str">
        <x:v>C</x:v>
      </x:c>
      <x:c r="AA111" s="19" t="str">
        <x:v>PENDING</x:v>
      </x:c>
      <x:c r="AB111" s="19" t="str">
        <x:v>PENDING</x:v>
      </x:c>
      <x:c r="AC111" s="19" t="str">
        <x:v>nem megrendelt</x:v>
      </x:c>
      <x:c r="AD111" s="19" t="str">
        <x:v>Villanyszerelő</x:v>
      </x:c>
      <x:c r="AE111" s="19" t="str">
        <x:v>PENDING – méret, csatlakozás, anyagminta, teljes bekerülés</x:v>
      </x:c>
      <x:c r="AF111" s="19" t="str">
        <x:v>CP0 becslési csomag: segédanyag és munkadíj a megnevezett tartalom szerint; külön szállítás a 14 sorban. Nem ingyenes szállítás.</x:v>
      </x:c>
      <x:c r="AG111" s="20" t="n">
        <x:v>130000</x:v>
      </x:c>
      <x:c r="AH111" s="21" t="n">
        <x:f>O111*AG111+SUM(R111:T111)</x:f>
        <x:v>130000</x:v>
      </x:c>
      <x:c r="AI111" s="19" t="str">
        <x:v>PENDING</x:v>
      </x:c>
      <x:c r="AJ111" s="19" t="str">
        <x:v>PENDING</x:v>
      </x:c>
      <x:c r="AK111" s="19" t="str">
        <x:v>PENDING</x:v>
      </x:c>
      <x:c r="AL111" s="19" t="str">
        <x:v>PENDING</x:v>
      </x:c>
      <x:c r="AM111" s="19" t="str">
        <x:v>PENDING</x:v>
      </x:c>
      <x:c r="AN111" s="1" t="str">
        <x:v>KI-110</x:v>
      </x:c>
      <x:c r="AO111" s="1" t="str">
        <x:v>drawings/P-01_alaprajz.pdf</x:v>
      </x:c>
      <x:c r="AP111" s="1" t="str">
        <x:v>NINCS MODELL / nem térbeli költségsor; szakági kapcsolat igazolandó</x:v>
      </x:c>
      <x:c r="AQ111" s="1" t="str">
        <x:v>késztermék / szakági munka</x:v>
      </x:c>
      <x:c r="AR111" s="1" t="str">
        <x:v>felmérés/gyártói rajz szükséges</x:v>
      </x:c>
      <x:c r="AS111" s="1" t="str">
        <x:v>HUF</x:v>
      </x:c>
      <x:c r="AT111" s="1" t="n">
        <x:v>1</x:v>
      </x:c>
      <x:c r="AU111" s="1" t="str">
        <x:v>nincs visszaigazolt ajánlati érvényesség</x:v>
      </x:c>
      <x:c r="AV111" s="1" t="str">
        <x:v>KI-151 központi keret; daruzás KI-137</x:v>
      </x:c>
      <x:c r="AW111" s="1" t="str">
        <x:v>KI-014 asztalos / KI-106 villamos / KI-026 és KI-096 víz / KI-127 fal</x:v>
      </x:c>
      <x:c r="AX111" s="1" t="n">
        <x:v>6</x:v>
      </x:c>
      <x:c r="AY111" s="1" t="n">
        <x:v>0.85</x:v>
      </x:c>
      <x:c r="AZ111" s="1" t="n">
        <x:v>1.3</x:v>
      </x:c>
      <x:c r="BA111" s="29" t="n">
        <x:f>ROUND(U111*AY111,0)</x:f>
        <x:v>110500</x:v>
      </x:c>
      <x:c r="BB111" s="29" t="n">
        <x:f>ROUND(U111*AZ111,0)</x:f>
        <x:v>169000</x:v>
      </x:c>
    </x:row>
    <x:row r="112" ht="72" customHeight="1">
      <x:c r="A112" s="12" t="str">
        <x:v>A-902</x:v>
      </x:c>
      <x:c r="B112" s="12" t="str">
        <x:v>02</x:v>
      </x:c>
      <x:c r="C112" s="12" t="str">
        <x:v>KI-111</x:v>
      </x:c>
      <x:c r="D112" s="12" t="str">
        <x:v>Cam03 v2</x:v>
      </x:c>
      <x:c r="E112" s="12" t="str">
        <x:v>10</x:v>
      </x:c>
      <x:c r="F112" s="12" t="str">
        <x:v>STÍLUS</x:v>
      </x:c>
      <x:c r="G112" s="12" t="str">
        <x:v>Villamos</x:v>
      </x:c>
      <x:c r="H112" s="19" t="str">
        <x:v>ML03 általános fény és FL01 falikar, Hue fényforrások</x:v>
      </x:c>
      <x:c r="I112" s="19" t="str">
        <x:v>UNKNOWN</x:v>
      </x:c>
      <x:c r="J112" s="19" t="str">
        <x:v>UNKNOWN</x:v>
      </x:c>
      <x:c r="K112" s="19" t="str">
        <x:v>UNKNOWN</x:v>
      </x:c>
      <x:c r="L112" s="19" t="str">
        <x:v>UNKNOWN – felmérés/gyári adat kell</x:v>
      </x:c>
      <x:c r="M112" s="19" t="str">
        <x:v>Kyoto Ink: grafit / füstszürke / taupe</x:v>
      </x:c>
      <x:c r="N112" s="19" t="str">
        <x:v>PENDING – műszaki specifikáció szerint</x:v>
      </x:c>
      <x:c r="O112" s="19" t="n">
        <x:v>1</x:v>
      </x:c>
      <x:c r="P112" s="19" t="str">
        <x:v>csomag</x:v>
      </x:c>
      <x:c r="Q112" s="20" t="n">
        <x:v>85000</x:v>
      </x:c>
      <x:c r="R112" s="20" t="n">
        <x:v>0</x:v>
      </x:c>
      <x:c r="S112" s="20" t="n">
        <x:v>0</x:v>
      </x:c>
      <x:c r="T112" s="20" t="n">
        <x:v>0</x:v>
      </x:c>
      <x:c r="U112" s="21" t="n">
        <x:f>O112*Q112+SUM(R112:T112)</x:f>
        <x:v>85000</x:v>
      </x:c>
      <x:c r="V112" s="19" t="str">
        <x:v>előzetes becslés</x:v>
      </x:c>
      <x:c r="W112" s="19" t="str">
        <x:v>CP0 tervezői előirányzat, nem webshopár; baseline 10</x:v>
      </x:c>
      <x:c r="X112" s="19" t="str">
        <x:v>2026-10-26</x:v>
      </x:c>
      <x:c r="Y112" s="19" t="str">
        <x:v>UNKNOWN – ajánlatban visszaigazolandó</x:v>
      </x:c>
      <x:c r="Z112" s="19" t="str">
        <x:v>C</x:v>
      </x:c>
      <x:c r="AA112" s="19" t="str">
        <x:v>PENDING</x:v>
      </x:c>
      <x:c r="AB112" s="19" t="str">
        <x:v>PENDING</x:v>
      </x:c>
      <x:c r="AC112" s="19" t="str">
        <x:v>nem megrendelt</x:v>
      </x:c>
      <x:c r="AD112" s="19" t="str">
        <x:v>Villanyszerelő</x:v>
      </x:c>
      <x:c r="AE112" s="19" t="str">
        <x:v>PENDING – méret, csatlakozás, anyagminta, teljes bekerülés</x:v>
      </x:c>
      <x:c r="AF112" s="19" t="str">
        <x:v>CP0 becslési csomag: segédanyag és munkadíj a megnevezett tartalom szerint; külön szállítás a 14 sorban. Nem ingyenes szállítás.</x:v>
      </x:c>
      <x:c r="AG112" s="20" t="n">
        <x:v>85000</x:v>
      </x:c>
      <x:c r="AH112" s="21" t="n">
        <x:f>O112*AG112+SUM(R112:T112)</x:f>
        <x:v>85000</x:v>
      </x:c>
      <x:c r="AI112" s="19" t="str">
        <x:v>PENDING</x:v>
      </x:c>
      <x:c r="AJ112" s="19" t="str">
        <x:v>PENDING</x:v>
      </x:c>
      <x:c r="AK112" s="19" t="str">
        <x:v>PENDING</x:v>
      </x:c>
      <x:c r="AL112" s="19" t="str">
        <x:v>PENDING</x:v>
      </x:c>
      <x:c r="AM112" s="19" t="str">
        <x:v>PENDING</x:v>
      </x:c>
      <x:c r="AN112" s="1" t="str">
        <x:v>KI-111</x:v>
      </x:c>
      <x:c r="AO112" s="1" t="str">
        <x:v>drawings/P-01_alaprajz.pdf</x:v>
      </x:c>
      <x:c r="AP112" s="1" t="str">
        <x:v>NINCS MODELL / nem térbeli költségsor; szakági kapcsolat igazolandó</x:v>
      </x:c>
      <x:c r="AQ112" s="1" t="str">
        <x:v>késztermék / szakági munka</x:v>
      </x:c>
      <x:c r="AR112" s="1" t="str">
        <x:v>felmérés/gyártói rajz szükséges</x:v>
      </x:c>
      <x:c r="AS112" s="1" t="str">
        <x:v>HUF</x:v>
      </x:c>
      <x:c r="AT112" s="1" t="n">
        <x:v>1</x:v>
      </x:c>
      <x:c r="AU112" s="1" t="str">
        <x:v>nincs visszaigazolt ajánlati érvényesség</x:v>
      </x:c>
      <x:c r="AV112" s="1" t="str">
        <x:v>KI-151 központi keret; daruzás KI-137</x:v>
      </x:c>
      <x:c r="AW112" s="1" t="str">
        <x:v>KI-014 asztalos / KI-106 villamos / KI-026 és KI-096 víz / KI-127 fal</x:v>
      </x:c>
      <x:c r="AX112" s="1" t="n">
        <x:v>6</x:v>
      </x:c>
      <x:c r="AY112" s="1" t="n">
        <x:v>0.85</x:v>
      </x:c>
      <x:c r="AZ112" s="1" t="n">
        <x:v>1.3</x:v>
      </x:c>
      <x:c r="BA112" s="29" t="n">
        <x:f>ROUND(U112*AY112,0)</x:f>
        <x:v>72250</x:v>
      </x:c>
      <x:c r="BB112" s="29" t="n">
        <x:f>ROUND(U112*AZ112,0)</x:f>
        <x:v>110500</x:v>
      </x:c>
    </x:row>
    <x:row r="113" ht="72" customHeight="1">
      <x:c r="A113" s="12" t="str">
        <x:v>A-902</x:v>
      </x:c>
      <x:c r="B113" s="12" t="str">
        <x:v>02</x:v>
      </x:c>
      <x:c r="C113" s="12" t="str">
        <x:v>KI-112</x:v>
      </x:c>
      <x:c r="D113" s="12" t="str">
        <x:v>Cam03 v2</x:v>
      </x:c>
      <x:c r="E113" s="12" t="str">
        <x:v>10</x:v>
      </x:c>
      <x:c r="F113" s="12" t="str">
        <x:v>STÍLUS</x:v>
      </x:c>
      <x:c r="G113" s="12" t="str">
        <x:v>Villamos</x:v>
      </x:c>
      <x:c r="H113" s="19" t="str">
        <x:v>Pultvilágítás szalag, táp, vezérlő, profil és fedél</x:v>
      </x:c>
      <x:c r="I113" s="19" t="str">
        <x:v>UNKNOWN</x:v>
      </x:c>
      <x:c r="J113" s="19" t="str">
        <x:v>UNKNOWN</x:v>
      </x:c>
      <x:c r="K113" s="19" t="str">
        <x:v>UNKNOWN</x:v>
      </x:c>
      <x:c r="L113" s="19" t="str">
        <x:v>UNKNOWN – felmérés/gyári adat kell</x:v>
      </x:c>
      <x:c r="M113" s="19" t="str">
        <x:v>Kyoto Ink: grafit / füstszürke / taupe</x:v>
      </x:c>
      <x:c r="N113" s="19" t="str">
        <x:v>PENDING – műszaki specifikáció szerint</x:v>
      </x:c>
      <x:c r="O113" s="19" t="n">
        <x:v>1</x:v>
      </x:c>
      <x:c r="P113" s="19" t="str">
        <x:v>csomag</x:v>
      </x:c>
      <x:c r="Q113" s="20" t="n">
        <x:v>65000</x:v>
      </x:c>
      <x:c r="R113" s="20" t="n">
        <x:v>0</x:v>
      </x:c>
      <x:c r="S113" s="20" t="n">
        <x:v>0</x:v>
      </x:c>
      <x:c r="T113" s="20" t="n">
        <x:v>0</x:v>
      </x:c>
      <x:c r="U113" s="21" t="n">
        <x:f>O113*Q113+SUM(R113:T113)</x:f>
        <x:v>65000</x:v>
      </x:c>
      <x:c r="V113" s="19" t="str">
        <x:v>előzetes becslés</x:v>
      </x:c>
      <x:c r="W113" s="19" t="str">
        <x:v>CP0 tervezői előirányzat, nem webshopár; baseline 10</x:v>
      </x:c>
      <x:c r="X113" s="19" t="str">
        <x:v>2026-10-26</x:v>
      </x:c>
      <x:c r="Y113" s="19" t="str">
        <x:v>UNKNOWN – ajánlatban visszaigazolandó</x:v>
      </x:c>
      <x:c r="Z113" s="19" t="str">
        <x:v>C</x:v>
      </x:c>
      <x:c r="AA113" s="19" t="str">
        <x:v>PENDING</x:v>
      </x:c>
      <x:c r="AB113" s="19" t="str">
        <x:v>PENDING</x:v>
      </x:c>
      <x:c r="AC113" s="19" t="str">
        <x:v>nem megrendelt</x:v>
      </x:c>
      <x:c r="AD113" s="19" t="str">
        <x:v>Villanyszerelő</x:v>
      </x:c>
      <x:c r="AE113" s="19" t="str">
        <x:v>PENDING – méret, csatlakozás, anyagminta, teljes bekerülés</x:v>
      </x:c>
      <x:c r="AF113" s="19" t="str">
        <x:v>CP0 becslési csomag: segédanyag és munkadíj a megnevezett tartalom szerint; külön szállítás a 14 sorban. Nem ingyenes szállítás.</x:v>
      </x:c>
      <x:c r="AG113" s="20" t="n">
        <x:v>65000</x:v>
      </x:c>
      <x:c r="AH113" s="21" t="n">
        <x:f>O113*AG113+SUM(R113:T113)</x:f>
        <x:v>65000</x:v>
      </x:c>
      <x:c r="AI113" s="19" t="str">
        <x:v>PENDING</x:v>
      </x:c>
      <x:c r="AJ113" s="19" t="str">
        <x:v>PENDING</x:v>
      </x:c>
      <x:c r="AK113" s="19" t="str">
        <x:v>PENDING</x:v>
      </x:c>
      <x:c r="AL113" s="19" t="str">
        <x:v>PENDING</x:v>
      </x:c>
      <x:c r="AM113" s="19" t="str">
        <x:v>PENDING</x:v>
      </x:c>
      <x:c r="AN113" s="1" t="str">
        <x:v>KI-112</x:v>
      </x:c>
      <x:c r="AO113" s="1" t="str">
        <x:v>drawings/P-01_alaprajz.pdf</x:v>
      </x:c>
      <x:c r="AP113" s="1" t="str">
        <x:v>NINCS MODELL / nem térbeli költségsor; szakági kapcsolat igazolandó</x:v>
      </x:c>
      <x:c r="AQ113" s="1" t="str">
        <x:v>késztermék / szakági munka</x:v>
      </x:c>
      <x:c r="AR113" s="1" t="str">
        <x:v>felmérés/gyártói rajz szükséges</x:v>
      </x:c>
      <x:c r="AS113" s="1" t="str">
        <x:v>HUF</x:v>
      </x:c>
      <x:c r="AT113" s="1" t="n">
        <x:v>1</x:v>
      </x:c>
      <x:c r="AU113" s="1" t="str">
        <x:v>nincs visszaigazolt ajánlati érvényesség</x:v>
      </x:c>
      <x:c r="AV113" s="1" t="str">
        <x:v>KI-151 központi keret; daruzás KI-137</x:v>
      </x:c>
      <x:c r="AW113" s="1" t="str">
        <x:v>KI-014 asztalos / KI-106 villamos / KI-026 és KI-096 víz / KI-127 fal</x:v>
      </x:c>
      <x:c r="AX113" s="1" t="n">
        <x:v>6</x:v>
      </x:c>
      <x:c r="AY113" s="1" t="n">
        <x:v>0.85</x:v>
      </x:c>
      <x:c r="AZ113" s="1" t="n">
        <x:v>1.3</x:v>
      </x:c>
      <x:c r="BA113" s="29" t="n">
        <x:f>ROUND(U113*AY113,0)</x:f>
        <x:v>55250</x:v>
      </x:c>
      <x:c r="BB113" s="29" t="n">
        <x:f>ROUND(U113*AZ113,0)</x:f>
        <x:v>84500</x:v>
      </x:c>
    </x:row>
    <x:row r="114" ht="72" customHeight="1">
      <x:c r="A114" s="12" t="str">
        <x:v>A-902</x:v>
      </x:c>
      <x:c r="B114" s="12" t="str">
        <x:v>04</x:v>
      </x:c>
      <x:c r="C114" s="12" t="str">
        <x:v>KI-113</x:v>
      </x:c>
      <x:c r="D114" s="12" t="str">
        <x:v>Cam02 v1; Cam12 v1</x:v>
      </x:c>
      <x:c r="E114" s="12" t="str">
        <x:v>10</x:v>
      </x:c>
      <x:c r="F114" s="12" t="str">
        <x:v>STÍLUS</x:v>
      </x:c>
      <x:c r="G114" s="12" t="str">
        <x:v>Villamos</x:v>
      </x:c>
      <x:c r="H114" s="19" t="str">
        <x:v>ML05 Hue mennyezeti lámpa</x:v>
      </x:c>
      <x:c r="I114" s="19" t="str">
        <x:v>Philips</x:v>
      </x:c>
      <x:c r="J114" s="19" t="str">
        <x:v>4115931P6; EAN8718696176436</x:v>
      </x:c>
      <x:c r="K114" s="19" t="str">
        <x:v>https://www.alkonylampa.hu/enrave-hue-m-led-mennyezeti-lampa-feher-philips-87</x:v>
      </x:c>
      <x:c r="L114" s="19" t="str">
        <x:v>Ø38,1×8,4</x:v>
      </x:c>
      <x:c r="M114" s="19" t="str">
        <x:v>fehér</x:v>
      </x:c>
      <x:c r="N114" s="19" t="str">
        <x:v>fém/szintetikus, beépített LED</x:v>
      </x:c>
      <x:c r="O114" s="19" t="n">
        <x:v>1</x:v>
      </x:c>
      <x:c r="P114" s="19" t="str">
        <x:v>db</x:v>
      </x:c>
      <x:c r="Q114" s="20" t="n">
        <x:v>86190</x:v>
      </x:c>
      <x:c r="R114" s="20" t="n">
        <x:v>0</x:v>
      </x:c>
      <x:c r="S114" s="20" t="n">
        <x:v>0</x:v>
      </x:c>
      <x:c r="T114" s="20" t="n">
        <x:v>0</x:v>
      </x:c>
      <x:c r="U114" s="21" t="n">
        <x:f>O114*Q114+SUM(R114:T114)</x:f>
        <x:v>86190</x:v>
      </x:c>
      <x:c r="V114" s="19" t="str">
        <x:v>ellenőrzött webshopár</x:v>
      </x:c>
      <x:c r="W114" s="19" t="str">
        <x:v>https://www.alkonylampa.hu/enrave-hue-m-led-mennyezeti-lampa-feher-philips-87</x:v>
      </x:c>
      <x:c r="X114" s="19" t="str">
        <x:v>2026-10-26</x:v>
      </x:c>
      <x:c r="Y114" s="19" t="str">
        <x:v>8–14 munkanap; oldal2év magyar jótállás</x:v>
      </x:c>
      <x:c r="Z114" s="19" t="str">
        <x:v>A</x:v>
      </x:c>
      <x:c r="AA114" s="19" t="str">
        <x:v>Visszafogott fehér korong, közeli funkcionális irány. Render mennyezeti fényhatás nem gyári fotometria. White Ambiance, nem RGB.</x:v>
      </x:c>
      <x:c r="AB114" s="19" t="str">
        <x:v>PENDING</x:v>
      </x:c>
      <x:c r="AC114" s="19" t="str">
        <x:v>nem megrendelt</x:v>
      </x:c>
      <x:c r="AD114" s="19" t="str">
        <x:v>Villanyszerelő</x:v>
      </x:c>
      <x:c r="AE114" s="19" t="str">
        <x:v>PENDING – méret, csatlakozás, anyagminta, teljes bekerülés</x:v>
      </x:c>
      <x:c r="AF114" s="19" t="str">
        <x:v>Gyártói Signify katalógus: IP20,19,2W,2200–6500K. HF-rögzítés és kapcsolás villanyszerelői kapu.</x:v>
      </x:c>
      <x:c r="AG114" s="20" t="n">
        <x:v>86190</x:v>
      </x:c>
      <x:c r="AH114" s="21" t="n">
        <x:f>O114*AG114+SUM(R114:T114)</x:f>
        <x:v>86190</x:v>
      </x:c>
      <x:c r="AI114" s="19" t="str">
        <x:v>PENDING</x:v>
      </x:c>
      <x:c r="AJ114" s="19" t="str">
        <x:v>PENDING</x:v>
      </x:c>
      <x:c r="AK114" s="19" t="str">
        <x:v>8–14 munkanap; oldal2év magyar jótállás</x:v>
      </x:c>
      <x:c r="AL114" s="19" t="str">
        <x:v>PENDING</x:v>
      </x:c>
      <x:c r="AM114" s="19" t="str">
        <x:v>PENDING</x:v>
      </x:c>
      <x:c r="AN114" s="1" t="str">
        <x:v>KI-113</x:v>
      </x:c>
      <x:c r="AO114" s="1" t="str">
        <x:v>drawings/P-01_alaprajz.pdf</x:v>
      </x:c>
      <x:c r="AP114" s="1" t="str">
        <x:v>NINCS MODELL / nem térbeli költségsor; szakági kapcsolat igazolandó</x:v>
      </x:c>
      <x:c r="AQ114" s="1" t="str">
        <x:v>késztermék / szakági munka</x:v>
      </x:c>
      <x:c r="AR114" s="1" t="str">
        <x:v>felmérés/gyártói rajz szükséges</x:v>
      </x:c>
      <x:c r="AS114" s="1" t="str">
        <x:v>HUF</x:v>
      </x:c>
      <x:c r="AT114" s="1" t="n">
        <x:v>1</x:v>
      </x:c>
      <x:c r="AU114" s="1" t="str">
        <x:v>nincs visszaigazolt ajánlati érvényesség</x:v>
      </x:c>
      <x:c r="AV114" s="1" t="str">
        <x:v>KI-151 központi keret; daruzás KI-137</x:v>
      </x:c>
      <x:c r="AW114" s="1" t="str">
        <x:v>KI-014 asztalos / KI-106 villamos / KI-026 és KI-096 víz / KI-127 fal</x:v>
      </x:c>
      <x:c r="AX114" s="1" t="n">
        <x:v>6</x:v>
      </x:c>
      <x:c r="AY114" s="1" t="n">
        <x:v>1</x:v>
      </x:c>
      <x:c r="AZ114" s="1" t="n">
        <x:v>1.12</x:v>
      </x:c>
      <x:c r="BA114" s="29" t="n">
        <x:f>ROUND(U114*AY114,0)</x:f>
        <x:v>86190</x:v>
      </x:c>
      <x:c r="BB114" s="29" t="n">
        <x:f>ROUND(U114*AZ114,0)</x:f>
        <x:v>96533</x:v>
      </x:c>
    </x:row>
    <x:row r="115" ht="72" customHeight="1">
      <x:c r="A115" s="12" t="str">
        <x:v>A-902</x:v>
      </x:c>
      <x:c r="B115" s="12" t="str">
        <x:v>04</x:v>
      </x:c>
      <x:c r="C115" s="12" t="str">
        <x:v>KI-114</x:v>
      </x:c>
      <x:c r="D115" s="12" t="str">
        <x:v>CP3/render_handoff/manifest_CP3.json</x:v>
      </x:c>
      <x:c r="E115" s="12" t="str">
        <x:v>10</x:v>
      </x:c>
      <x:c r="F115" s="12" t="str">
        <x:v>STÍLUS</x:v>
      </x:c>
      <x:c r="G115" s="12" t="str">
        <x:v>Villamos</x:v>
      </x:c>
      <x:c r="H115" s="19" t="str">
        <x:v>W01 felső, függőleges és alsó vonalfény komplett</x:v>
      </x:c>
      <x:c r="I115" s="19" t="str">
        <x:v>UNKNOWN</x:v>
      </x:c>
      <x:c r="J115" s="19" t="str">
        <x:v>Loox5 LED2074 833.74.308; GL-C-009P jelölt</x:v>
      </x:c>
      <x:c r="K115" s="19" t="str">
        <x:v>https://files.hafele.co.uk/catalogfiles/www/25-1010.pdf</x:v>
      </x:c>
      <x:c r="L115" s="19" t="str">
        <x:v>Felső2,60m + függőleges2,33m + alsó3,30m; összes8,23m,10m rendelés</x:v>
      </x:c>
      <x:c r="M115" s="19" t="str">
        <x:v>Kyoto Ink: grafit / füstszürke / taupe</x:v>
      </x:c>
      <x:c r="N115" s="19" t="str">
        <x:v>12V;2700K;9,6W/m;CRI&gt;90;2×60W táp</x:v>
      </x:c>
      <x:c r="O115" s="19" t="n">
        <x:v>1</x:v>
      </x:c>
      <x:c r="P115" s="19" t="str">
        <x:v>csomag</x:v>
      </x:c>
      <x:c r="Q115" s="20" t="n">
        <x:v>150000</x:v>
      </x:c>
      <x:c r="R115" s="20" t="n">
        <x:v>0</x:v>
      </x:c>
      <x:c r="S115" s="20" t="n">
        <x:v>0</x:v>
      </x:c>
      <x:c r="T115" s="20" t="n">
        <x:v>0</x:v>
      </x:c>
      <x:c r="U115" s="21" t="n">
        <x:f>O115*Q115+SUM(R115:T115)</x:f>
        <x:v>150000</x:v>
      </x:c>
      <x:c r="V115" s="19" t="str">
        <x:v>előzetes becslés</x:v>
      </x:c>
      <x:c r="W115" s="19" t="str">
        <x:v>CP0 tervezői előirányzat, nem webshopár; baseline 10</x:v>
      </x:c>
      <x:c r="X115" s="19" t="str">
        <x:v>2026-10-26</x:v>
      </x:c>
      <x:c r="Y115" s="19" t="str">
        <x:v>UNKNOWN – ajánlatban visszaigazolandó</x:v>
      </x:c>
      <x:c r="Z115" s="19" t="str">
        <x:v>C</x:v>
      </x:c>
      <x:c r="AA115" s="19" t="str">
        <x:v>PENDING</x:v>
      </x:c>
      <x:c r="AB115" s="19" t="str">
        <x:v>PENDING</x:v>
      </x:c>
      <x:c r="AC115" s="19" t="str">
        <x:v>nem megrendelt</x:v>
      </x:c>
      <x:c r="AD115" s="19" t="str">
        <x:v>Villanyszerelő</x:v>
      </x:c>
      <x:c r="AE115" s="19" t="str">
        <x:v>PENDING – méret, csatlakozás, anyagminta, teljes bekerülés</x:v>
      </x:c>
      <x:c r="AF115" s="19" t="str">
        <x:v>R05/data/W01_light_circuit.json:47,328W és31,680W körök. PS-A két párhuzamos ág, mind4m alatt. Hue és hőpróba, PSU/profile SKU nyitott. Tételes45000+25000+24000+24000+12000+20000=150000Ft becslés.</x:v>
      </x:c>
      <x:c r="AG115" s="20" t="n">
        <x:v>150000</x:v>
      </x:c>
      <x:c r="AH115" s="21" t="n">
        <x:f>O115*AG115+SUM(R115:T115)</x:f>
        <x:v>150000</x:v>
      </x:c>
      <x:c r="AI115" s="19" t="str">
        <x:v>R05 főváltozat tartalma; korábbi fiók-/aszimmetria-elhagyás nincs automatikusan kiválasztva.</x:v>
      </x:c>
      <x:c r="AJ115" s="19" t="str">
        <x:v>PENDING</x:v>
      </x:c>
      <x:c r="AK115" s="19" t="str">
        <x:v>PENDING</x:v>
      </x:c>
      <x:c r="AL115" s="19" t="str">
        <x:v>PENDING</x:v>
      </x:c>
      <x:c r="AM115" s="19" t="str">
        <x:v>PENDING</x:v>
      </x:c>
      <x:c r="AN115" s="1" t="str">
        <x:v>TV-03</x:v>
      </x:c>
      <x:c r="AO115" s="1" t="str">
        <x:v>CP3/drawings/TV-03_CP3.pdf</x:v>
      </x:c>
      <x:c r="AP115" s="1" t="str">
        <x:v>CP3_TV-03</x:v>
      </x:c>
      <x:c r="AQ115" s="1" t="str">
        <x:v>egyedi gyártás</x:v>
      </x:c>
      <x:c r="AR115" s="1" t="str">
        <x:v>R02 méretezett ajánlati terv; nem helyszíni méret</x:v>
      </x:c>
      <x:c r="AS115" s="1" t="str">
        <x:v>HUF</x:v>
      </x:c>
      <x:c r="AT115" s="1" t="n">
        <x:v>1</x:v>
      </x:c>
      <x:c r="AU115" s="1" t="str">
        <x:v>nincs visszaigazolt ajánlati érvényesség</x:v>
      </x:c>
      <x:c r="AV115" s="1" t="str">
        <x:v>KI-151 központi keret; daruzás KI-137</x:v>
      </x:c>
      <x:c r="AW115" s="1" t="str">
        <x:v>KI-014 asztalos / KI-106 villamos / KI-026 és KI-096 víz / KI-127 fal</x:v>
      </x:c>
      <x:c r="AX115" s="1" t="n">
        <x:v>4</x:v>
      </x:c>
      <x:c r="AY115" s="1" t="n">
        <x:v>0.85</x:v>
      </x:c>
      <x:c r="AZ115" s="1" t="n">
        <x:v>1.3</x:v>
      </x:c>
      <x:c r="BA115" s="29" t="n">
        <x:f>ROUND(U115*AY115,0)</x:f>
        <x:v>127500</x:v>
      </x:c>
      <x:c r="BB115" s="29" t="n">
        <x:f>ROUND(U115*AZ115,0)</x:f>
        <x:v>195000</x:v>
      </x:c>
    </x:row>
    <x:row r="116" ht="72" customHeight="1">
      <x:c r="A116" s="12" t="str">
        <x:v>A-902</x:v>
      </x:c>
      <x:c r="B116" s="12" t="str">
        <x:v>04</x:v>
      </x:c>
      <x:c r="C116" s="12" t="str">
        <x:v>KI-115</x:v>
      </x:c>
      <x:c r="D116" s="12" t="str">
        <x:v>Cam02 v1; Cam12 v1</x:v>
      </x:c>
      <x:c r="E116" s="12" t="str">
        <x:v>10</x:v>
      </x:c>
      <x:c r="F116" s="12" t="str">
        <x:v>STÍLUS</x:v>
      </x:c>
      <x:c r="G116" s="12" t="str">
        <x:v>Villamos</x:v>
      </x:c>
      <x:c r="H116" s="19" t="str">
        <x:v>W02/W07 grafikai falmosás komplett</x:v>
      </x:c>
      <x:c r="I116" s="19" t="str">
        <x:v>UNKNOWN</x:v>
      </x:c>
      <x:c r="J116" s="19" t="str">
        <x:v>UNKNOWN</x:v>
      </x:c>
      <x:c r="K116" s="19" t="str">
        <x:v>UNKNOWN</x:v>
      </x:c>
      <x:c r="L116" s="19" t="str">
        <x:v>UNKNOWN – felmérés/gyári adat kell</x:v>
      </x:c>
      <x:c r="M116" s="19" t="str">
        <x:v>Kyoto Ink: grafit / füstszürke / taupe</x:v>
      </x:c>
      <x:c r="N116" s="19" t="str">
        <x:v>PENDING – műszaki specifikáció szerint</x:v>
      </x:c>
      <x:c r="O116" s="19" t="n">
        <x:v>1</x:v>
      </x:c>
      <x:c r="P116" s="19" t="str">
        <x:v>csomag</x:v>
      </x:c>
      <x:c r="Q116" s="20" t="n">
        <x:v>65000</x:v>
      </x:c>
      <x:c r="R116" s="20" t="n">
        <x:v>0</x:v>
      </x:c>
      <x:c r="S116" s="20" t="n">
        <x:v>0</x:v>
      </x:c>
      <x:c r="T116" s="20" t="n">
        <x:v>0</x:v>
      </x:c>
      <x:c r="U116" s="21" t="n">
        <x:f>O116*Q116+SUM(R116:T116)</x:f>
        <x:v>65000</x:v>
      </x:c>
      <x:c r="V116" s="19" t="str">
        <x:v>előzetes becslés</x:v>
      </x:c>
      <x:c r="W116" s="19" t="str">
        <x:v>CP0 tervezői előirányzat, nem webshopár; baseline 10</x:v>
      </x:c>
      <x:c r="X116" s="19" t="str">
        <x:v>2026-10-26</x:v>
      </x:c>
      <x:c r="Y116" s="19" t="str">
        <x:v>UNKNOWN – ajánlatban visszaigazolandó</x:v>
      </x:c>
      <x:c r="Z116" s="19" t="str">
        <x:v>C</x:v>
      </x:c>
      <x:c r="AA116" s="19" t="str">
        <x:v>PENDING</x:v>
      </x:c>
      <x:c r="AB116" s="19" t="str">
        <x:v>PENDING</x:v>
      </x:c>
      <x:c r="AC116" s="19" t="str">
        <x:v>nem megrendelt</x:v>
      </x:c>
      <x:c r="AD116" s="19" t="str">
        <x:v>Villanyszerelő</x:v>
      </x:c>
      <x:c r="AE116" s="19" t="str">
        <x:v>PENDING – méret, csatlakozás, anyagminta, teljes bekerülés</x:v>
      </x:c>
      <x:c r="AF116" s="19" t="str">
        <x:v>CP0 becslési csomag: segédanyag és munkadíj a megnevezett tartalom szerint; külön szállítás a 14 sorban. Nem ingyenes szállítás.</x:v>
      </x:c>
      <x:c r="AG116" s="20" t="n">
        <x:v>65000</x:v>
      </x:c>
      <x:c r="AH116" s="21" t="n">
        <x:f>O116*AG116+SUM(R116:T116)</x:f>
        <x:v>65000</x:v>
      </x:c>
      <x:c r="AI116" s="19" t="str">
        <x:v>PENDING</x:v>
      </x:c>
      <x:c r="AJ116" s="19" t="str">
        <x:v>PENDING</x:v>
      </x:c>
      <x:c r="AK116" s="19" t="str">
        <x:v>PENDING</x:v>
      </x:c>
      <x:c r="AL116" s="19" t="str">
        <x:v>PENDING</x:v>
      </x:c>
      <x:c r="AM116" s="19" t="str">
        <x:v>PENDING</x:v>
      </x:c>
      <x:c r="AN116" s="1" t="str">
        <x:v>KI-115</x:v>
      </x:c>
      <x:c r="AO116" s="1" t="str">
        <x:v>drawings/P-01_alaprajz.pdf</x:v>
      </x:c>
      <x:c r="AP116" s="1" t="str">
        <x:v>NINCS MODELL / nem térbeli költségsor; szakági kapcsolat igazolandó</x:v>
      </x:c>
      <x:c r="AQ116" s="1" t="str">
        <x:v>késztermék / szakági munka</x:v>
      </x:c>
      <x:c r="AR116" s="1" t="str">
        <x:v>felmérés/gyártói rajz szükséges</x:v>
      </x:c>
      <x:c r="AS116" s="1" t="str">
        <x:v>HUF</x:v>
      </x:c>
      <x:c r="AT116" s="1" t="n">
        <x:v>1</x:v>
      </x:c>
      <x:c r="AU116" s="1" t="str">
        <x:v>nincs visszaigazolt ajánlati érvényesség</x:v>
      </x:c>
      <x:c r="AV116" s="1" t="str">
        <x:v>KI-151 központi keret; daruzás KI-137</x:v>
      </x:c>
      <x:c r="AW116" s="1" t="str">
        <x:v>KI-014 asztalos / KI-106 villamos / KI-026 és KI-096 víz / KI-127 fal</x:v>
      </x:c>
      <x:c r="AX116" s="1" t="n">
        <x:v>6</x:v>
      </x:c>
      <x:c r="AY116" s="1" t="n">
        <x:v>0.85</x:v>
      </x:c>
      <x:c r="AZ116" s="1" t="n">
        <x:v>1.3</x:v>
      </x:c>
      <x:c r="BA116" s="29" t="n">
        <x:f>ROUND(U116*AY116,0)</x:f>
        <x:v>55250</x:v>
      </x:c>
      <x:c r="BB116" s="29" t="n">
        <x:f>ROUND(U116*AZ116,0)</x:f>
        <x:v>84500</x:v>
      </x:c>
    </x:row>
    <x:row r="117" ht="72" customHeight="1">
      <x:c r="A117" s="12" t="str">
        <x:v>A-902</x:v>
      </x:c>
      <x:c r="B117" s="12" t="str">
        <x:v>05.1</x:v>
      </x:c>
      <x:c r="C117" s="12" t="str">
        <x:v>KI-116</x:v>
      </x:c>
      <x:c r="D117" s="12" t="str">
        <x:v>Cam04 v1</x:v>
      </x:c>
      <x:c r="E117" s="12" t="str">
        <x:v>10</x:v>
      </x:c>
      <x:c r="F117" s="12" t="str">
        <x:v>STÍLUS</x:v>
      </x:c>
      <x:c r="G117" s="12" t="str">
        <x:v>Villamos</x:v>
      </x:c>
      <x:c r="H117" s="19" t="str">
        <x:v>ML06 mennyezeti Hue lámpa</x:v>
      </x:c>
      <x:c r="I117" s="19" t="str">
        <x:v>Philips</x:v>
      </x:c>
      <x:c r="J117" s="19" t="str">
        <x:v>4115931P6; EAN8718696176436</x:v>
      </x:c>
      <x:c r="K117" s="19" t="str">
        <x:v>https://www.alkonylampa.hu/enrave-hue-m-led-mennyezeti-lampa-feher-philips-87</x:v>
      </x:c>
      <x:c r="L117" s="19" t="str">
        <x:v>Ø38,1×8,4</x:v>
      </x:c>
      <x:c r="M117" s="19" t="str">
        <x:v>fehér</x:v>
      </x:c>
      <x:c r="N117" s="19" t="str">
        <x:v>fém/szintetikus, beépített LED</x:v>
      </x:c>
      <x:c r="O117" s="19" t="n">
        <x:v>1</x:v>
      </x:c>
      <x:c r="P117" s="19" t="str">
        <x:v>db</x:v>
      </x:c>
      <x:c r="Q117" s="20" t="n">
        <x:v>86190</x:v>
      </x:c>
      <x:c r="R117" s="20" t="n">
        <x:v>0</x:v>
      </x:c>
      <x:c r="S117" s="20" t="n">
        <x:v>0</x:v>
      </x:c>
      <x:c r="T117" s="20" t="n">
        <x:v>0</x:v>
      </x:c>
      <x:c r="U117" s="21" t="n">
        <x:f>O117*Q117+SUM(R117:T117)</x:f>
        <x:v>86190</x:v>
      </x:c>
      <x:c r="V117" s="19" t="str">
        <x:v>ellenőrzött webshopár</x:v>
      </x:c>
      <x:c r="W117" s="19" t="str">
        <x:v>https://www.alkonylampa.hu/enrave-hue-m-led-mennyezeti-lampa-feher-philips-87</x:v>
      </x:c>
      <x:c r="X117" s="19" t="str">
        <x:v>2026-10-26</x:v>
      </x:c>
      <x:c r="Y117" s="19" t="str">
        <x:v>8–14 munkanap; oldal2év magyar jótállás</x:v>
      </x:c>
      <x:c r="Z117" s="19" t="str">
        <x:v>A</x:v>
      </x:c>
      <x:c r="AA117" s="19" t="str">
        <x:v>Visszafogott fehér korong, közeli funkcionális irány. Render mennyezeti fényhatás nem gyári fotometria. White Ambiance, nem RGB.</x:v>
      </x:c>
      <x:c r="AB117" s="19" t="str">
        <x:v>PENDING</x:v>
      </x:c>
      <x:c r="AC117" s="19" t="str">
        <x:v>nem megrendelt</x:v>
      </x:c>
      <x:c r="AD117" s="19" t="str">
        <x:v>Villanyszerelő</x:v>
      </x:c>
      <x:c r="AE117" s="19" t="str">
        <x:v>PENDING – méret, csatlakozás, anyagminta, teljes bekerülés</x:v>
      </x:c>
      <x:c r="AF117" s="19" t="str">
        <x:v>Gyártói Signify katalógus: IP20,19,2W,2200–6500K. HF-rögzítés és kapcsolás villanyszerelői kapu.</x:v>
      </x:c>
      <x:c r="AG117" s="20" t="n">
        <x:v>86190</x:v>
      </x:c>
      <x:c r="AH117" s="21" t="n">
        <x:f>O117*AG117+SUM(R117:T117)</x:f>
        <x:v>86190</x:v>
      </x:c>
      <x:c r="AI117" s="19" t="str">
        <x:v>PENDING</x:v>
      </x:c>
      <x:c r="AJ117" s="19" t="str">
        <x:v>PENDING</x:v>
      </x:c>
      <x:c r="AK117" s="19" t="str">
        <x:v>8–14 munkanap; oldal2év magyar jótállás</x:v>
      </x:c>
      <x:c r="AL117" s="19" t="str">
        <x:v>PENDING</x:v>
      </x:c>
      <x:c r="AM117" s="19" t="str">
        <x:v>PENDING</x:v>
      </x:c>
      <x:c r="AN117" s="1" t="str">
        <x:v>KI-116</x:v>
      </x:c>
      <x:c r="AO117" s="1" t="str">
        <x:v>drawings/P-01_alaprajz.pdf</x:v>
      </x:c>
      <x:c r="AP117" s="1" t="str">
        <x:v>NINCS MODELL / nem térbeli költségsor; szakági kapcsolat igazolandó</x:v>
      </x:c>
      <x:c r="AQ117" s="1" t="str">
        <x:v>késztermék / szakági munka</x:v>
      </x:c>
      <x:c r="AR117" s="1" t="str">
        <x:v>felmérés/gyártói rajz szükséges</x:v>
      </x:c>
      <x:c r="AS117" s="1" t="str">
        <x:v>HUF</x:v>
      </x:c>
      <x:c r="AT117" s="1" t="n">
        <x:v>1</x:v>
      </x:c>
      <x:c r="AU117" s="1" t="str">
        <x:v>nincs visszaigazolt ajánlati érvényesség</x:v>
      </x:c>
      <x:c r="AV117" s="1" t="str">
        <x:v>KI-151 központi keret; daruzás KI-137</x:v>
      </x:c>
      <x:c r="AW117" s="1" t="str">
        <x:v>KI-014 asztalos / KI-106 villamos / KI-026 és KI-096 víz / KI-127 fal</x:v>
      </x:c>
      <x:c r="AX117" s="1" t="n">
        <x:v>6</x:v>
      </x:c>
      <x:c r="AY117" s="1" t="n">
        <x:v>1</x:v>
      </x:c>
      <x:c r="AZ117" s="1" t="n">
        <x:v>1.12</x:v>
      </x:c>
      <x:c r="BA117" s="29" t="n">
        <x:f>ROUND(U117*AY117,0)</x:f>
        <x:v>86190</x:v>
      </x:c>
      <x:c r="BB117" s="29" t="n">
        <x:f>ROUND(U117*AZ117,0)</x:f>
        <x:v>96533</x:v>
      </x:c>
    </x:row>
    <x:row r="118" ht="72" customHeight="1">
      <x:c r="A118" s="12" t="str">
        <x:v>A-902</x:v>
      </x:c>
      <x:c r="B118" s="12" t="str">
        <x:v>05.1</x:v>
      </x:c>
      <x:c r="C118" s="12" t="str">
        <x:v>KI-117</x:v>
      </x:c>
      <x:c r="D118" s="12" t="str">
        <x:v>Cam04 v1</x:v>
      </x:c>
      <x:c r="E118" s="12" t="str">
        <x:v>10</x:v>
      </x:c>
      <x:c r="F118" s="12" t="str">
        <x:v>STÍLUS</x:v>
      </x:c>
      <x:c r="G118" s="12" t="str">
        <x:v>Villamos</x:v>
      </x:c>
      <x:c r="H118" s="19" t="str">
        <x:v>2×EGLO RONDO 85264 Ø200 opálgömb + 2×Hue E27</x:v>
      </x:c>
      <x:c r="I118" s="19" t="str">
        <x:v>EGLO</x:v>
      </x:c>
      <x:c r="J118" s="19" t="str">
        <x:v>85264</x:v>
      </x:c>
      <x:c r="K118" s="19" t="str">
        <x:v>https://www.egloshop.hu/85264-eglo-rondo-asztali-lampa</x:v>
      </x:c>
      <x:c r="L118" s="19" t="str">
        <x:v>Ø200×200 mm; E27</x:v>
      </x:c>
      <x:c r="M118" s="19" t="str">
        <x:v>Kyoto Ink: grafit / füstszürke / taupe</x:v>
      </x:c>
      <x:c r="N118" s="19" t="str">
        <x:v>PENDING – műszaki specifikáció szerint</x:v>
      </x:c>
      <x:c r="O118" s="19" t="n">
        <x:v>1</x:v>
      </x:c>
      <x:c r="P118" s="19" t="str">
        <x:v>csomag</x:v>
      </x:c>
      <x:c r="Q118" s="20" t="n">
        <x:v>21980</x:v>
      </x:c>
      <x:c r="R118" s="20" t="n">
        <x:v>0</x:v>
      </x:c>
      <x:c r="S118" s="20" t="n">
        <x:v>0</x:v>
      </x:c>
      <x:c r="T118" s="20" t="n">
        <x:v>24000</x:v>
      </x:c>
      <x:c r="U118" s="21" t="n">
        <x:f>O118*Q118+SUM(R118:T118)</x:f>
        <x:v>45980</x:v>
      </x:c>
      <x:c r="V118" s="19" t="str">
        <x:v>előzetes becslés</x:v>
      </x:c>
      <x:c r="W118" s="19" t="str">
        <x:v>2×10990 Ft ellenőrzött lámpaár; 24000 Ft Hue előirányzat változatlan</x:v>
      </x:c>
      <x:c r="X118" s="19" t="str">
        <x:v>2026-10-27</x:v>
      </x:c>
      <x:c r="Y118" s="19" t="str">
        <x:v>UNKNOWN – ajánlatban visszaigazolandó</x:v>
      </x:c>
      <x:c r="Z118" s="19" t="str">
        <x:v>C</x:v>
      </x:c>
      <x:c r="AA118" s="19" t="str">
        <x:v>Kisebb gömb közelebb áll a célképhez; fehér talp a sötét referencia helyett.</x:v>
      </x:c>
      <x:c r="AB118" s="19" t="str">
        <x:v>PENDING</x:v>
      </x:c>
      <x:c r="AC118" s="19" t="str">
        <x:v>nem megrendelt</x:v>
      </x:c>
      <x:c r="AD118" s="19" t="str">
        <x:v>Villanyszerelő</x:v>
      </x:c>
      <x:c r="AE118" s="19" t="str">
        <x:v>PENDING – méret, csatlakozás, anyagminta, teljes bekerülés</x:v>
      </x:c>
      <x:c r="AF118" s="19" t="str">
        <x:v>CP0 becslési csomag: segédanyag és munkadíj a megnevezett tartalom szerint; külön szállítás a 14 sorban. Nem ingyenes szállítás.</x:v>
      </x:c>
      <x:c r="AG118" s="20" t="n">
        <x:v>21980</x:v>
      </x:c>
      <x:c r="AH118" s="21" t="n">
        <x:f>O118*AG118+SUM(R118:T118)</x:f>
        <x:v>45980</x:v>
      </x:c>
      <x:c r="AI118" s="19" t="str">
        <x:v>PENDING</x:v>
      </x:c>
      <x:c r="AJ118" s="19" t="str">
        <x:v>PENDING</x:v>
      </x:c>
      <x:c r="AK118" s="19" t="str">
        <x:v>magyar címre és darabszámra nem visszaigazolt</x:v>
      </x:c>
      <x:c r="AL118" s="19" t="str">
        <x:v>Philips Hue Go V2 EU akcentuslámpa | https://www.obi.hu/philips-hue-lampak/philips-hue-go-hordozhato-led-es-asztali-lampa-akkumulatorral/p/4285656 | eltérés miatt nem főjelölt</x:v>
      </x:c>
      <x:c r="AM118" s="19" t="str">
        <x:v>PENDING</x:v>
      </x:c>
      <x:c r="AN118" s="1" t="str">
        <x:v>KI-117</x:v>
      </x:c>
      <x:c r="AO118" s="1" t="str">
        <x:v>drawings/P-01_alaprajz.pdf</x:v>
      </x:c>
      <x:c r="AP118" s="1" t="str">
        <x:v>NINCS MODELL / nem térbeli költségsor; szakági kapcsolat igazolandó</x:v>
      </x:c>
      <x:c r="AQ118" s="1" t="str">
        <x:v>késztermék / szakági munka</x:v>
      </x:c>
      <x:c r="AR118" s="1" t="str">
        <x:v>gyártói termékoldal/adatlap</x:v>
      </x:c>
      <x:c r="AS118" s="1" t="str">
        <x:v>HUF</x:v>
      </x:c>
      <x:c r="AT118" s="1" t="n">
        <x:v>1</x:v>
      </x:c>
      <x:c r="AU118" s="1" t="str">
        <x:v>nincs visszaigazolt ajánlati érvényesség</x:v>
      </x:c>
      <x:c r="AV118" s="1" t="str">
        <x:v>KI-151 központi keret; daruzás KI-137</x:v>
      </x:c>
      <x:c r="AW118" s="1" t="str">
        <x:v>KI-014 asztalos / KI-106 villamos / KI-026 és KI-096 víz / KI-127 fal</x:v>
      </x:c>
      <x:c r="AX118" s="1" t="n">
        <x:v>6</x:v>
      </x:c>
      <x:c r="AY118" s="1" t="n">
        <x:v>1</x:v>
      </x:c>
      <x:c r="AZ118" s="1" t="n">
        <x:v>1.12</x:v>
      </x:c>
      <x:c r="BA118" s="29" t="n">
        <x:f>ROUND(U118*AY118,0)</x:f>
        <x:v>45980</x:v>
      </x:c>
      <x:c r="BB118" s="29" t="n">
        <x:f>ROUND(U118*AZ118,0)</x:f>
        <x:v>51498</x:v>
      </x:c>
    </x:row>
    <x:row r="119" ht="72" customHeight="1">
      <x:c r="A119" s="12" t="str">
        <x:v>A-902</x:v>
      </x:c>
      <x:c r="B119" s="12" t="str">
        <x:v>05.1</x:v>
      </x:c>
      <x:c r="C119" s="12" t="str">
        <x:v>KI-118</x:v>
      </x:c>
      <x:c r="D119" s="12" t="str">
        <x:v>CP3/render_handoff/manifest_CP3.json</x:v>
      </x:c>
      <x:c r="E119" s="12" t="str">
        <x:v>10</x:v>
      </x:c>
      <x:c r="F119" s="12" t="str">
        <x:v>STÍLUS</x:v>
      </x:c>
      <x:c r="G119" s="12" t="str">
        <x:v>Villamos</x:v>
      </x:c>
      <x:c r="H119" s="19" t="str">
        <x:v>Fejvég rejtett fénye szalag/táp/profil</x:v>
      </x:c>
      <x:c r="I119" s="19" t="str">
        <x:v>UNKNOWN</x:v>
      </x:c>
      <x:c r="J119" s="19" t="str">
        <x:v>UNKNOWN</x:v>
      </x:c>
      <x:c r="K119" s="19" t="str">
        <x:v>UNKNOWN</x:v>
      </x:c>
      <x:c r="L119" s="19" t="str">
        <x:v>HB-01: 2700×60×1500 mm</x:v>
      </x:c>
      <x:c r="M119" s="19" t="str">
        <x:v>Kyoto Ink: grafit / füstszürke / taupe</x:v>
      </x:c>
      <x:c r="N119" s="19" t="str">
        <x:v>PENDING – műszaki specifikáció szerint</x:v>
      </x:c>
      <x:c r="O119" s="19" t="n">
        <x:v>1</x:v>
      </x:c>
      <x:c r="P119" s="19" t="str">
        <x:v>csomag</x:v>
      </x:c>
      <x:c r="Q119" s="20" t="n">
        <x:v>70000</x:v>
      </x:c>
      <x:c r="R119" s="20" t="n">
        <x:v>0</x:v>
      </x:c>
      <x:c r="S119" s="20" t="n">
        <x:v>0</x:v>
      </x:c>
      <x:c r="T119" s="20" t="n">
        <x:v>0</x:v>
      </x:c>
      <x:c r="U119" s="21" t="n">
        <x:f>O119*Q119+SUM(R119:T119)</x:f>
        <x:v>70000</x:v>
      </x:c>
      <x:c r="V119" s="19" t="str">
        <x:v>előzetes becslés</x:v>
      </x:c>
      <x:c r="W119" s="19" t="str">
        <x:v>CP0 tervezői előirányzat, nem webshopár; baseline 10</x:v>
      </x:c>
      <x:c r="X119" s="19" t="str">
        <x:v>2026-10-26</x:v>
      </x:c>
      <x:c r="Y119" s="19" t="str">
        <x:v>UNKNOWN – ajánlatban visszaigazolandó</x:v>
      </x:c>
      <x:c r="Z119" s="19" t="str">
        <x:v>C</x:v>
      </x:c>
      <x:c r="AA119" s="19" t="str">
        <x:v>PENDING</x:v>
      </x:c>
      <x:c r="AB119" s="19" t="str">
        <x:v>PENDING</x:v>
      </x:c>
      <x:c r="AC119" s="19" t="str">
        <x:v>nem megrendelt</x:v>
      </x:c>
      <x:c r="AD119" s="19" t="str">
        <x:v>Villanyszerelő</x:v>
      </x:c>
      <x:c r="AE119" s="19" t="str">
        <x:v>PENDING – méret, csatlakozás, anyagminta, teljes bekerülés</x:v>
      </x:c>
      <x:c r="AF119" s="19" t="str">
        <x:v>CP0 becslési csomag: segédanyag és munkadíj a megnevezett tartalom szerint; külön szállítás a 14 sorban. Nem ingyenes szállítás.</x:v>
      </x:c>
      <x:c r="AG119" s="20" t="n">
        <x:v>70000</x:v>
      </x:c>
      <x:c r="AH119" s="21" t="n">
        <x:f>O119*AG119+SUM(R119:T119)</x:f>
        <x:v>70000</x:v>
      </x:c>
      <x:c r="AI119" s="19" t="str">
        <x:v>PENDING</x:v>
      </x:c>
      <x:c r="AJ119" s="19" t="str">
        <x:v>PENDING</x:v>
      </x:c>
      <x:c r="AK119" s="19" t="str">
        <x:v>PENDING</x:v>
      </x:c>
      <x:c r="AL119" s="19" t="str">
        <x:v>PENDING</x:v>
      </x:c>
      <x:c r="AM119" s="19" t="str">
        <x:v>PENDING</x:v>
      </x:c>
      <x:c r="AN119" s="1" t="str">
        <x:v>HB-01</x:v>
      </x:c>
      <x:c r="AO119" s="1" t="str">
        <x:v>CP3/drawings/HB-01_CP3.pdf</x:v>
      </x:c>
      <x:c r="AP119" s="1" t="str">
        <x:v>CP3_HB-01</x:v>
      </x:c>
      <x:c r="AQ119" s="1" t="str">
        <x:v>egyedi gyártás</x:v>
      </x:c>
      <x:c r="AR119" s="1" t="str">
        <x:v>R02 méretezett ajánlati terv; nem helyszíni méret</x:v>
      </x:c>
      <x:c r="AS119" s="1" t="str">
        <x:v>HUF</x:v>
      </x:c>
      <x:c r="AT119" s="1" t="n">
        <x:v>1</x:v>
      </x:c>
      <x:c r="AU119" s="1" t="str">
        <x:v>nincs visszaigazolt ajánlati érvényesség</x:v>
      </x:c>
      <x:c r="AV119" s="1" t="str">
        <x:v>KI-151 központi keret; daruzás KI-137</x:v>
      </x:c>
      <x:c r="AW119" s="1" t="str">
        <x:v>KI-014 asztalos / KI-106 villamos / KI-026 és KI-096 víz / KI-127 fal</x:v>
      </x:c>
      <x:c r="AX119" s="1" t="n">
        <x:v>4</x:v>
      </x:c>
      <x:c r="AY119" s="1" t="n">
        <x:v>0.85</x:v>
      </x:c>
      <x:c r="AZ119" s="1" t="n">
        <x:v>1.3</x:v>
      </x:c>
      <x:c r="BA119" s="29" t="n">
        <x:f>ROUND(U119*AY119,0)</x:f>
        <x:v>59500</x:v>
      </x:c>
      <x:c r="BB119" s="29" t="n">
        <x:f>ROUND(U119*AZ119,0)</x:f>
        <x:v>91000</x:v>
      </x:c>
    </x:row>
    <x:row r="120" ht="72" customHeight="1">
      <x:c r="A120" s="12" t="str">
        <x:v>A-902</x:v>
      </x:c>
      <x:c r="B120" s="12" t="str">
        <x:v>05.1</x:v>
      </x:c>
      <x:c r="C120" s="12" t="str">
        <x:v>KI-119</x:v>
      </x:c>
      <x:c r="D120" s="12" t="str">
        <x:v>Cam04 v1</x:v>
      </x:c>
      <x:c r="E120" s="12" t="str">
        <x:v>10</x:v>
      </x:c>
      <x:c r="F120" s="12" t="str">
        <x:v>STÍLUS</x:v>
      </x:c>
      <x:c r="G120" s="12" t="str">
        <x:v>Villamos</x:v>
      </x:c>
      <x:c r="H120" s="19" t="str">
        <x:v>Szekrénybelső fények szerelése és terhelt próbája</x:v>
      </x:c>
      <x:c r="I120" s="19" t="str">
        <x:v>UNKNOWN</x:v>
      </x:c>
      <x:c r="J120" s="19" t="str">
        <x:v>UNKNOWN</x:v>
      </x:c>
      <x:c r="K120" s="19" t="str">
        <x:v>UNKNOWN</x:v>
      </x:c>
      <x:c r="L120" s="19" t="str">
        <x:v>UNKNOWN – felmérés/gyári adat kell</x:v>
      </x:c>
      <x:c r="M120" s="19" t="str">
        <x:v>Kyoto Ink: grafit / füstszürke / taupe</x:v>
      </x:c>
      <x:c r="N120" s="19" t="str">
        <x:v>PENDING – műszaki specifikáció szerint</x:v>
      </x:c>
      <x:c r="O120" s="19" t="n">
        <x:v>1</x:v>
      </x:c>
      <x:c r="P120" s="19" t="str">
        <x:v>csomag</x:v>
      </x:c>
      <x:c r="Q120" s="20" t="n">
        <x:v>137000</x:v>
      </x:c>
      <x:c r="R120" s="20" t="n">
        <x:v>0</x:v>
      </x:c>
      <x:c r="S120" s="20" t="n">
        <x:v>0</x:v>
      </x:c>
      <x:c r="T120" s="20" t="n">
        <x:v>0</x:v>
      </x:c>
      <x:c r="U120" s="21" t="n">
        <x:f>O120*Q120+SUM(R120:T120)</x:f>
        <x:v>137000</x:v>
      </x:c>
      <x:c r="V120" s="19" t="str">
        <x:v>előzetes becslés</x:v>
      </x:c>
      <x:c r="W120" s="19" t="str">
        <x:v>68 db ×1500 Ft +35000 Ft mérés/beállítás; előirányzat</x:v>
      </x:c>
      <x:c r="X120" s="19" t="str">
        <x:v>2026-10-27</x:v>
      </x:c>
      <x:c r="Y120" s="19" t="str">
        <x:v>UNKNOWN – ajánlatban visszaigazolandó</x:v>
      </x:c>
      <x:c r="Z120" s="19" t="str">
        <x:v>C</x:v>
      </x:c>
      <x:c r="AA120" s="19" t="str">
        <x:v>PENDING</x:v>
      </x:c>
      <x:c r="AB120" s="19" t="str">
        <x:v>PENDING</x:v>
      </x:c>
      <x:c r="AC120" s="19" t="str">
        <x:v>nem megrendelt</x:v>
      </x:c>
      <x:c r="AD120" s="19" t="str">
        <x:v>Villanyszerelő</x:v>
      </x:c>
      <x:c r="AE120" s="19" t="str">
        <x:v>PENDING – méret, csatlakozás, anyagminta, teljes bekerülés</x:v>
      </x:c>
      <x:c r="AF120" s="19" t="str">
        <x:v>WN érzékelés és kábelút helyszíni próba; TRÅDFRI nem automatikusan Hue-képes.</x:v>
      </x:c>
      <x:c r="AG120" s="20" t="n">
        <x:v>137000</x:v>
      </x:c>
      <x:c r="AH120" s="21" t="n">
        <x:f>O120*AG120+SUM(R120:T120)</x:f>
        <x:v>137000</x:v>
      </x:c>
      <x:c r="AI120" s="19" t="str">
        <x:v>R05 főváltozat tartalma; korábbi fiók-/aszimmetria-elhagyás nincs automatikusan kiválasztva.</x:v>
      </x:c>
      <x:c r="AJ120" s="19" t="str">
        <x:v>PENDING</x:v>
      </x:c>
      <x:c r="AK120" s="19" t="str">
        <x:v>PENDING</x:v>
      </x:c>
      <x:c r="AL120" s="19" t="str">
        <x:v>PENDING</x:v>
      </x:c>
      <x:c r="AM120" s="19" t="str">
        <x:v>PENDING</x:v>
      </x:c>
      <x:c r="AN120" s="1" t="str">
        <x:v>KI-119</x:v>
      </x:c>
      <x:c r="AO120" s="1" t="str">
        <x:v>drawings/P-01_alaprajz.pdf</x:v>
      </x:c>
      <x:c r="AP120" s="1" t="str">
        <x:v>NINCS MODELL / nem térbeli költségsor; szakági kapcsolat igazolandó</x:v>
      </x:c>
      <x:c r="AQ120" s="1" t="str">
        <x:v>késztermék / szakági munka</x:v>
      </x:c>
      <x:c r="AR120" s="1" t="str">
        <x:v>felmérés/gyártói rajz szükséges</x:v>
      </x:c>
      <x:c r="AS120" s="1" t="str">
        <x:v>HUF</x:v>
      </x:c>
      <x:c r="AT120" s="1" t="n">
        <x:v>1</x:v>
      </x:c>
      <x:c r="AU120" s="1" t="str">
        <x:v>nincs visszaigazolt ajánlati érvényesség</x:v>
      </x:c>
      <x:c r="AV120" s="1" t="str">
        <x:v>KI-151 központi keret; daruzás KI-137</x:v>
      </x:c>
      <x:c r="AW120" s="1" t="str">
        <x:v>KI-014 asztalos / KI-106 villamos / KI-026 és KI-096 víz / KI-127 fal</x:v>
      </x:c>
      <x:c r="AX120" s="1" t="n">
        <x:v>6</x:v>
      </x:c>
      <x:c r="AY120" s="1" t="n">
        <x:v>0.8</x:v>
      </x:c>
      <x:c r="AZ120" s="1" t="n">
        <x:v>1.4</x:v>
      </x:c>
      <x:c r="BA120" s="29" t="n">
        <x:f>ROUND(U120*AY120,0)</x:f>
        <x:v>109600</x:v>
      </x:c>
      <x:c r="BB120" s="29" t="n">
        <x:f>ROUND(U120*AZ120,0)</x:f>
        <x:v>191800</x:v>
      </x:c>
    </x:row>
    <x:row r="121" ht="72" customHeight="1">
      <x:c r="A121" s="12" t="str">
        <x:v>A-902</x:v>
      </x:c>
      <x:c r="B121" s="12" t="str">
        <x:v>06.1 / 06.2</x:v>
      </x:c>
      <x:c r="C121" s="12" t="str">
        <x:v>KI-120</x:v>
      </x:c>
      <x:c r="D121" s="12" t="str">
        <x:v>Cam10 v1</x:v>
      </x:c>
      <x:c r="E121" s="12" t="str">
        <x:v>10</x:v>
      </x:c>
      <x:c r="F121" s="12" t="str">
        <x:v>STÍLUS</x:v>
      </x:c>
      <x:c r="G121" s="12" t="str">
        <x:v>Villamos</x:v>
      </x:c>
      <x:c r="H121" s="19" t="str">
        <x:v>Két fürdő mennyezeti és mosdó feletti gyári Hue lámpái</x:v>
      </x:c>
      <x:c r="I121" s="19" t="str">
        <x:v>UNKNOWN</x:v>
      </x:c>
      <x:c r="J121" s="19" t="str">
        <x:v>UNKNOWN</x:v>
      </x:c>
      <x:c r="K121" s="19" t="str">
        <x:v>UNKNOWN</x:v>
      </x:c>
      <x:c r="L121" s="19" t="str">
        <x:v>UNKNOWN – felmérés/gyári adat kell</x:v>
      </x:c>
      <x:c r="M121" s="19" t="str">
        <x:v>Kyoto Ink: grafit / füstszürke / taupe</x:v>
      </x:c>
      <x:c r="N121" s="19" t="str">
        <x:v>PENDING – műszaki specifikáció szerint</x:v>
      </x:c>
      <x:c r="O121" s="19" t="n">
        <x:v>1</x:v>
      </x:c>
      <x:c r="P121" s="19" t="str">
        <x:v>csomag</x:v>
      </x:c>
      <x:c r="Q121" s="20" t="n">
        <x:v>180000</x:v>
      </x:c>
      <x:c r="R121" s="20" t="n">
        <x:v>0</x:v>
      </x:c>
      <x:c r="S121" s="20" t="n">
        <x:v>0</x:v>
      </x:c>
      <x:c r="T121" s="20" t="n">
        <x:v>0</x:v>
      </x:c>
      <x:c r="U121" s="21" t="n">
        <x:f>O121*Q121+SUM(R121:T121)</x:f>
        <x:v>180000</x:v>
      </x:c>
      <x:c r="V121" s="19" t="str">
        <x:v>előzetes becslés</x:v>
      </x:c>
      <x:c r="W121" s="19" t="str">
        <x:v>CP0 tervezői előirányzat, nem webshopár; baseline 10</x:v>
      </x:c>
      <x:c r="X121" s="19" t="str">
        <x:v>2026-10-26</x:v>
      </x:c>
      <x:c r="Y121" s="19" t="str">
        <x:v>UNKNOWN – ajánlatban visszaigazolandó</x:v>
      </x:c>
      <x:c r="Z121" s="19" t="str">
        <x:v>C</x:v>
      </x:c>
      <x:c r="AA121" s="19" t="str">
        <x:v>PENDING</x:v>
      </x:c>
      <x:c r="AB121" s="19" t="str">
        <x:v>PENDING</x:v>
      </x:c>
      <x:c r="AC121" s="19" t="str">
        <x:v>nem megrendelt</x:v>
      </x:c>
      <x:c r="AD121" s="19" t="str">
        <x:v>Villanyszerelő</x:v>
      </x:c>
      <x:c r="AE121" s="19" t="str">
        <x:v>PENDING – méret, csatlakozás, anyagminta, teljes bekerülés</x:v>
      </x:c>
      <x:c r="AF121" s="19" t="str">
        <x:v>CP0 becslési csomag: segédanyag és munkadíj a megnevezett tartalom szerint; külön szállítás a 14 sorban. Nem ingyenes szállítás.</x:v>
      </x:c>
      <x:c r="AG121" s="20" t="n">
        <x:v>180000</x:v>
      </x:c>
      <x:c r="AH121" s="21" t="n">
        <x:f>O121*AG121+SUM(R121:T121)</x:f>
        <x:v>180000</x:v>
      </x:c>
      <x:c r="AI121" s="19" t="str">
        <x:v>PENDING</x:v>
      </x:c>
      <x:c r="AJ121" s="19" t="str">
        <x:v>PENDING</x:v>
      </x:c>
      <x:c r="AK121" s="19" t="str">
        <x:v>PENDING</x:v>
      </x:c>
      <x:c r="AL121" s="19" t="str">
        <x:v>PENDING</x:v>
      </x:c>
      <x:c r="AM121" s="19" t="str">
        <x:v>PENDING</x:v>
      </x:c>
      <x:c r="AN121" s="1" t="str">
        <x:v>KI-120</x:v>
      </x:c>
      <x:c r="AO121" s="1" t="str">
        <x:v>drawings/P-01_alaprajz.pdf</x:v>
      </x:c>
      <x:c r="AP121" s="1" t="str">
        <x:v>NINCS MODELL / nem térbeli költségsor; szakági kapcsolat igazolandó</x:v>
      </x:c>
      <x:c r="AQ121" s="1" t="str">
        <x:v>késztermék / szakági munka</x:v>
      </x:c>
      <x:c r="AR121" s="1" t="str">
        <x:v>felmérés/gyártói rajz szükséges</x:v>
      </x:c>
      <x:c r="AS121" s="1" t="str">
        <x:v>HUF</x:v>
      </x:c>
      <x:c r="AT121" s="1" t="n">
        <x:v>1</x:v>
      </x:c>
      <x:c r="AU121" s="1" t="str">
        <x:v>nincs visszaigazolt ajánlati érvényesség</x:v>
      </x:c>
      <x:c r="AV121" s="1" t="str">
        <x:v>KI-151 központi keret; daruzás KI-137</x:v>
      </x:c>
      <x:c r="AW121" s="1" t="str">
        <x:v>KI-014 asztalos / KI-106 villamos / KI-026 és KI-096 víz / KI-127 fal</x:v>
      </x:c>
      <x:c r="AX121" s="1" t="n">
        <x:v>6</x:v>
      </x:c>
      <x:c r="AY121" s="1" t="n">
        <x:v>0.85</x:v>
      </x:c>
      <x:c r="AZ121" s="1" t="n">
        <x:v>1.3</x:v>
      </x:c>
      <x:c r="BA121" s="29" t="n">
        <x:f>ROUND(U121*AY121,0)</x:f>
        <x:v>153000</x:v>
      </x:c>
      <x:c r="BB121" s="29" t="n">
        <x:f>ROUND(U121*AZ121,0)</x:f>
        <x:v>234000</x:v>
      </x:c>
    </x:row>
    <x:row r="122" ht="72" customHeight="1">
      <x:c r="A122" s="12" t="str">
        <x:v>A-902</x:v>
      </x:c>
      <x:c r="B122" s="12" t="str">
        <x:v>06.1 / 06.2</x:v>
      </x:c>
      <x:c r="C122" s="12" t="str">
        <x:v>KI-121</x:v>
      </x:c>
      <x:c r="D122" s="12" t="str">
        <x:v>Cam10 v1</x:v>
      </x:c>
      <x:c r="E122" s="12" t="str">
        <x:v>10</x:v>
      </x:c>
      <x:c r="F122" s="12" t="str">
        <x:v>STÍLUS</x:v>
      </x:c>
      <x:c r="G122" s="12" t="str">
        <x:v>Villamos</x:v>
      </x:c>
      <x:c r="H122" s="19" t="str">
        <x:v>06.2 két külön rejtett fény és védett szerelvényrendszer</x:v>
      </x:c>
      <x:c r="I122" s="19" t="str">
        <x:v>UNKNOWN</x:v>
      </x:c>
      <x:c r="J122" s="19" t="str">
        <x:v>UNKNOWN</x:v>
      </x:c>
      <x:c r="K122" s="19" t="str">
        <x:v>UNKNOWN</x:v>
      </x:c>
      <x:c r="L122" s="19" t="str">
        <x:v>UNKNOWN – felmérés/gyári adat kell</x:v>
      </x:c>
      <x:c r="M122" s="19" t="str">
        <x:v>Kyoto Ink: grafit / füstszürke / taupe</x:v>
      </x:c>
      <x:c r="N122" s="19" t="str">
        <x:v>PENDING – műszaki specifikáció szerint</x:v>
      </x:c>
      <x:c r="O122" s="19" t="n">
        <x:v>1</x:v>
      </x:c>
      <x:c r="P122" s="19" t="str">
        <x:v>csomag</x:v>
      </x:c>
      <x:c r="Q122" s="20" t="n">
        <x:v>120000</x:v>
      </x:c>
      <x:c r="R122" s="20" t="n">
        <x:v>0</x:v>
      </x:c>
      <x:c r="S122" s="20" t="n">
        <x:v>0</x:v>
      </x:c>
      <x:c r="T122" s="20" t="n">
        <x:v>0</x:v>
      </x:c>
      <x:c r="U122" s="21" t="n">
        <x:f>O122*Q122+SUM(R122:T122)</x:f>
        <x:v>120000</x:v>
      </x:c>
      <x:c r="V122" s="19" t="str">
        <x:v>előzetes becslés</x:v>
      </x:c>
      <x:c r="W122" s="19" t="str">
        <x:v>CP0 tervezői előirányzat, nem webshopár; baseline 10</x:v>
      </x:c>
      <x:c r="X122" s="19" t="str">
        <x:v>2026-10-26</x:v>
      </x:c>
      <x:c r="Y122" s="19" t="str">
        <x:v>UNKNOWN – ajánlatban visszaigazolandó</x:v>
      </x:c>
      <x:c r="Z122" s="19" t="str">
        <x:v>C</x:v>
      </x:c>
      <x:c r="AA122" s="19" t="str">
        <x:v>PENDING</x:v>
      </x:c>
      <x:c r="AB122" s="19" t="str">
        <x:v>PENDING</x:v>
      </x:c>
      <x:c r="AC122" s="19" t="str">
        <x:v>nem megrendelt</x:v>
      </x:c>
      <x:c r="AD122" s="19" t="str">
        <x:v>Villanyszerelő</x:v>
      </x:c>
      <x:c r="AE122" s="19" t="str">
        <x:v>PENDING – méret, csatlakozás, anyagminta, teljes bekerülés</x:v>
      </x:c>
      <x:c r="AF122" s="19" t="str">
        <x:v>CP0 becslési csomag: segédanyag és munkadíj a megnevezett tartalom szerint; külön szállítás a 14 sorban. Nem ingyenes szállítás.</x:v>
      </x:c>
      <x:c r="AG122" s="20" t="n">
        <x:v>120000</x:v>
      </x:c>
      <x:c r="AH122" s="21" t="n">
        <x:f>O122*AG122+SUM(R122:T122)</x:f>
        <x:v>120000</x:v>
      </x:c>
      <x:c r="AI122" s="19" t="str">
        <x:v>PENDING</x:v>
      </x:c>
      <x:c r="AJ122" s="19" t="str">
        <x:v>PENDING</x:v>
      </x:c>
      <x:c r="AK122" s="19" t="str">
        <x:v>PENDING</x:v>
      </x:c>
      <x:c r="AL122" s="19" t="str">
        <x:v>PENDING</x:v>
      </x:c>
      <x:c r="AM122" s="19" t="str">
        <x:v>PENDING</x:v>
      </x:c>
      <x:c r="AN122" s="1" t="str">
        <x:v>KI-121</x:v>
      </x:c>
      <x:c r="AO122" s="1" t="str">
        <x:v>drawings/P-01_alaprajz.pdf</x:v>
      </x:c>
      <x:c r="AP122" s="1" t="str">
        <x:v>NINCS MODELL / nem térbeli költségsor; szakági kapcsolat igazolandó</x:v>
      </x:c>
      <x:c r="AQ122" s="1" t="str">
        <x:v>késztermék / szakági munka</x:v>
      </x:c>
      <x:c r="AR122" s="1" t="str">
        <x:v>felmérés/gyártói rajz szükséges</x:v>
      </x:c>
      <x:c r="AS122" s="1" t="str">
        <x:v>HUF</x:v>
      </x:c>
      <x:c r="AT122" s="1" t="n">
        <x:v>1</x:v>
      </x:c>
      <x:c r="AU122" s="1" t="str">
        <x:v>nincs visszaigazolt ajánlati érvényesség</x:v>
      </x:c>
      <x:c r="AV122" s="1" t="str">
        <x:v>KI-151 központi keret; daruzás KI-137</x:v>
      </x:c>
      <x:c r="AW122" s="1" t="str">
        <x:v>KI-014 asztalos / KI-106 villamos / KI-026 és KI-096 víz / KI-127 fal</x:v>
      </x:c>
      <x:c r="AX122" s="1" t="n">
        <x:v>6</x:v>
      </x:c>
      <x:c r="AY122" s="1" t="n">
        <x:v>0.85</x:v>
      </x:c>
      <x:c r="AZ122" s="1" t="n">
        <x:v>1.3</x:v>
      </x:c>
      <x:c r="BA122" s="29" t="n">
        <x:f>ROUND(U122*AY122,0)</x:f>
        <x:v>102000</x:v>
      </x:c>
      <x:c r="BB122" s="29" t="n">
        <x:f>ROUND(U122*AZ122,0)</x:f>
        <x:v>156000</x:v>
      </x:c>
    </x:row>
    <x:row r="123" ht="72" customHeight="1">
      <x:c r="A123" s="12" t="str">
        <x:v>A-902</x:v>
      </x:c>
      <x:c r="B123" s="12" t="str">
        <x:v>06.1 / 06.2</x:v>
      </x:c>
      <x:c r="C123" s="12" t="str">
        <x:v>KI-122</x:v>
      </x:c>
      <x:c r="D123" s="12" t="str">
        <x:v>Cam10 v1</x:v>
      </x:c>
      <x:c r="E123" s="12" t="str">
        <x:v>10</x:v>
      </x:c>
      <x:c r="F123" s="12" t="str">
        <x:v>STÍLUS</x:v>
      </x:c>
      <x:c r="G123" s="12" t="str">
        <x:v>Villamos</x:v>
      </x:c>
      <x:c r="H123" s="19" t="str">
        <x:v>Fürdő tápegységek száraz oldali szervizelhelyezése</x:v>
      </x:c>
      <x:c r="I123" s="19" t="str">
        <x:v>UNKNOWN</x:v>
      </x:c>
      <x:c r="J123" s="19" t="str">
        <x:v>UNKNOWN</x:v>
      </x:c>
      <x:c r="K123" s="19" t="str">
        <x:v>UNKNOWN</x:v>
      </x:c>
      <x:c r="L123" s="19" t="str">
        <x:v>UNKNOWN – felmérés/gyári adat kell</x:v>
      </x:c>
      <x:c r="M123" s="19" t="str">
        <x:v>Kyoto Ink: grafit / füstszürke / taupe</x:v>
      </x:c>
      <x:c r="N123" s="19" t="str">
        <x:v>PENDING – műszaki specifikáció szerint</x:v>
      </x:c>
      <x:c r="O123" s="19" t="n">
        <x:v>1</x:v>
      </x:c>
      <x:c r="P123" s="19" t="str">
        <x:v>csomag</x:v>
      </x:c>
      <x:c r="Q123" s="20" t="n">
        <x:v>40000</x:v>
      </x:c>
      <x:c r="R123" s="20" t="n">
        <x:v>0</x:v>
      </x:c>
      <x:c r="S123" s="20" t="n">
        <x:v>0</x:v>
      </x:c>
      <x:c r="T123" s="20" t="n">
        <x:v>0</x:v>
      </x:c>
      <x:c r="U123" s="21" t="n">
        <x:f>O123*Q123+SUM(R123:T123)</x:f>
        <x:v>40000</x:v>
      </x:c>
      <x:c r="V123" s="19" t="str">
        <x:v>előzetes becslés</x:v>
      </x:c>
      <x:c r="W123" s="19" t="str">
        <x:v>CP0 tervezői előirányzat, nem webshopár; baseline 10</x:v>
      </x:c>
      <x:c r="X123" s="19" t="str">
        <x:v>2026-10-26</x:v>
      </x:c>
      <x:c r="Y123" s="19" t="str">
        <x:v>UNKNOWN – ajánlatban visszaigazolandó</x:v>
      </x:c>
      <x:c r="Z123" s="19" t="str">
        <x:v>C</x:v>
      </x:c>
      <x:c r="AA123" s="19" t="str">
        <x:v>PENDING</x:v>
      </x:c>
      <x:c r="AB123" s="19" t="str">
        <x:v>PENDING</x:v>
      </x:c>
      <x:c r="AC123" s="19" t="str">
        <x:v>nem megrendelt</x:v>
      </x:c>
      <x:c r="AD123" s="19" t="str">
        <x:v>Villanyszerelő</x:v>
      </x:c>
      <x:c r="AE123" s="19" t="str">
        <x:v>PENDING – méret, csatlakozás, anyagminta, teljes bekerülés</x:v>
      </x:c>
      <x:c r="AF123" s="19" t="str">
        <x:v>CP0 becslési csomag: segédanyag és munkadíj a megnevezett tartalom szerint; külön szállítás a 14 sorban. Nem ingyenes szállítás.</x:v>
      </x:c>
      <x:c r="AG123" s="20" t="n">
        <x:v>40000</x:v>
      </x:c>
      <x:c r="AH123" s="21" t="n">
        <x:f>O123*AG123+SUM(R123:T123)</x:f>
        <x:v>40000</x:v>
      </x:c>
      <x:c r="AI123" s="19" t="str">
        <x:v>PENDING</x:v>
      </x:c>
      <x:c r="AJ123" s="19" t="str">
        <x:v>PENDING</x:v>
      </x:c>
      <x:c r="AK123" s="19" t="str">
        <x:v>PENDING</x:v>
      </x:c>
      <x:c r="AL123" s="19" t="str">
        <x:v>PENDING</x:v>
      </x:c>
      <x:c r="AM123" s="19" t="str">
        <x:v>PENDING</x:v>
      </x:c>
      <x:c r="AN123" s="1" t="str">
        <x:v>KI-122</x:v>
      </x:c>
      <x:c r="AO123" s="1" t="str">
        <x:v>drawings/P-01_alaprajz.pdf</x:v>
      </x:c>
      <x:c r="AP123" s="1" t="str">
        <x:v>NINCS MODELL / nem térbeli költségsor; szakági kapcsolat igazolandó</x:v>
      </x:c>
      <x:c r="AQ123" s="1" t="str">
        <x:v>késztermék / szakági munka</x:v>
      </x:c>
      <x:c r="AR123" s="1" t="str">
        <x:v>felmérés/gyártói rajz szükséges</x:v>
      </x:c>
      <x:c r="AS123" s="1" t="str">
        <x:v>HUF</x:v>
      </x:c>
      <x:c r="AT123" s="1" t="n">
        <x:v>1</x:v>
      </x:c>
      <x:c r="AU123" s="1" t="str">
        <x:v>nincs visszaigazolt ajánlati érvényesség</x:v>
      </x:c>
      <x:c r="AV123" s="1" t="str">
        <x:v>KI-151 központi keret; daruzás KI-137</x:v>
      </x:c>
      <x:c r="AW123" s="1" t="str">
        <x:v>KI-014 asztalos / KI-106 villamos / KI-026 és KI-096 víz / KI-127 fal</x:v>
      </x:c>
      <x:c r="AX123" s="1" t="n">
        <x:v>6</x:v>
      </x:c>
      <x:c r="AY123" s="1" t="n">
        <x:v>0.85</x:v>
      </x:c>
      <x:c r="AZ123" s="1" t="n">
        <x:v>1.3</x:v>
      </x:c>
      <x:c r="BA123" s="29" t="n">
        <x:f>ROUND(U123*AY123,0)</x:f>
        <x:v>34000</x:v>
      </x:c>
      <x:c r="BB123" s="29" t="n">
        <x:f>ROUND(U123*AZ123,0)</x:f>
        <x:v>52000</x:v>
      </x:c>
    </x:row>
    <x:row r="124" ht="72" customHeight="1">
      <x:c r="A124" s="12" t="str">
        <x:v>A-902</x:v>
      </x:c>
      <x:c r="B124" s="12" t="str">
        <x:v>04 / 07</x:v>
      </x:c>
      <x:c r="C124" s="12" t="str">
        <x:v>KI-123</x:v>
      </x:c>
      <x:c r="D124" s="12" t="str">
        <x:v>CP3/render_handoff/manifest_CP3.json</x:v>
      </x:c>
      <x:c r="E124" s="12" t="str">
        <x:v>11</x:v>
      </x:c>
      <x:c r="F124" s="12" t="str">
        <x:v>STÍLUS</x:v>
      </x:c>
      <x:c r="G124" s="12" t="str">
        <x:v>Falfelület</x:v>
      </x:c>
      <x:c r="H124" s="19" t="str">
        <x:v>W02 papírhatású vlies</x:v>
      </x:c>
      <x:c r="I124" s="19" t="str">
        <x:v>UNKNOWN</x:v>
      </x:c>
      <x:c r="J124" s="19" t="str">
        <x:v>UNKNOWN</x:v>
      </x:c>
      <x:c r="K124" s="19" t="str">
        <x:v>UNKNOWN</x:v>
      </x:c>
      <x:c r="L124" s="19" t="str">
        <x:v>ART-02: 2100×36×2880 mm</x:v>
      </x:c>
      <x:c r="M124" s="19" t="str">
        <x:v>Kyoto Ink: grafit / füstszürke / taupe</x:v>
      </x:c>
      <x:c r="N124" s="19" t="str">
        <x:v>PENDING – műszaki specifikáció szerint</x:v>
      </x:c>
      <x:c r="O124" s="19" t="n">
        <x:v>1</x:v>
      </x:c>
      <x:c r="P124" s="19" t="str">
        <x:v>csomag</x:v>
      </x:c>
      <x:c r="Q124" s="20" t="n">
        <x:v>0</x:v>
      </x:c>
      <x:c r="R124" s="20" t="n">
        <x:v>0</x:v>
      </x:c>
      <x:c r="S124" s="20" t="n">
        <x:v>0</x:v>
      </x:c>
      <x:c r="T124" s="20" t="n">
        <x:v>0</x:v>
      </x:c>
      <x:c r="U124" s="21" t="n">
        <x:f>O124*Q124+SUM(R124:T124)</x:f>
        <x:v>0</x:v>
      </x:c>
      <x:c r="V124" s="19" t="str">
        <x:v>előzetes becslés</x:v>
      </x:c>
      <x:c r="W124" s="19" t="str">
        <x:v>V3.3 tervezői előirányzat 2026-10-26; ajánlat szükséges</x:v>
      </x:c>
      <x:c r="X124" s="19" t="str">
        <x:v>2026-10-26</x:v>
      </x:c>
      <x:c r="Y124" s="19" t="str">
        <x:v>UNKNOWN – ajánlatban visszaigazolandó</x:v>
      </x:c>
      <x:c r="Z124" s="19" t="str">
        <x:v>B</x:v>
      </x:c>
      <x:c r="AA124" s="19" t="str">
        <x:v>PENDING</x:v>
      </x:c>
      <x:c r="AB124" s="19" t="str">
        <x:v>PENDING</x:v>
      </x:c>
      <x:c r="AC124" s="19" t="str">
        <x:v>nem megrendelt</x:v>
      </x:c>
      <x:c r="AD124" s="19" t="str">
        <x:v>Tapétázó és belsőépítész</x:v>
      </x:c>
      <x:c r="AE124" s="19" t="str">
        <x:v>PENDING – méret, csatlakozás, anyagminta, teljes bekerülés</x:v>
      </x:c>
      <x:c r="AF124" s="19" t="str">
        <x:v>W02 nettó6,048m²; anyag/nyomat KI-132, hordozó/él/szerelés KI-133, grafika KI-131. Ez a hivatkozósor nem összegezhető többlet.</x:v>
      </x:c>
      <x:c r="AG124" s="20" t="n">
        <x:v>0</x:v>
      </x:c>
      <x:c r="AH124" s="21" t="n">
        <x:f>O124*AG124+SUM(R124:T124)</x:f>
        <x:v>0</x:v>
      </x:c>
      <x:c r="AI124" s="19" t="str">
        <x:v>R05 főváltozat tartalma; korábbi fiók-/aszimmetria-elhagyás nincs automatikusan kiválasztva.</x:v>
      </x:c>
      <x:c r="AJ124" s="19" t="str">
        <x:v>PENDING</x:v>
      </x:c>
      <x:c r="AK124" s="19" t="str">
        <x:v>PENDING</x:v>
      </x:c>
      <x:c r="AL124" s="19" t="str">
        <x:v>PENDING</x:v>
      </x:c>
      <x:c r="AM124" s="19" t="str">
        <x:v>PENDING</x:v>
      </x:c>
      <x:c r="AN124" s="1" t="str">
        <x:v>ART-02</x:v>
      </x:c>
      <x:c r="AO124" s="1" t="str">
        <x:v>CP3/drawings/ART-02_CP3.pdf</x:v>
      </x:c>
      <x:c r="AP124" s="1" t="str">
        <x:v>CP3_ART-02</x:v>
      </x:c>
      <x:c r="AQ124" s="1" t="str">
        <x:v>egyedi gyártás</x:v>
      </x:c>
      <x:c r="AR124" s="1" t="str">
        <x:v>R02 méretezett ajánlati terv; nem helyszíni méret</x:v>
      </x:c>
      <x:c r="AS124" s="1" t="str">
        <x:v>HUF</x:v>
      </x:c>
      <x:c r="AT124" s="1" t="n">
        <x:v>1</x:v>
      </x:c>
      <x:c r="AU124" s="1" t="str">
        <x:v>nincs visszaigazolt ajánlati érvényesség</x:v>
      </x:c>
      <x:c r="AV124" s="1" t="str">
        <x:v>KI-151 központi keret; daruzás KI-137</x:v>
      </x:c>
      <x:c r="AW124" s="1" t="str">
        <x:v>KI-014 asztalos / KI-106 villamos / KI-026 és KI-096 víz / KI-127 fal</x:v>
      </x:c>
      <x:c r="AX124" s="1" t="n">
        <x:v>4</x:v>
      </x:c>
      <x:c r="AY124" s="1" t="n">
        <x:v>0.85</x:v>
      </x:c>
      <x:c r="AZ124" s="1" t="n">
        <x:v>1.3</x:v>
      </x:c>
      <x:c r="BA124" s="29" t="n">
        <x:f>ROUND(U124*AY124,0)</x:f>
        <x:v>0</x:v>
      </x:c>
      <x:c r="BB124" s="29" t="n">
        <x:f>ROUND(U124*AZ124,0)</x:f>
        <x:v>0</x:v>
      </x:c>
    </x:row>
    <x:row r="125" ht="72" customHeight="1">
      <x:c r="A125" s="12" t="str">
        <x:v>A-902</x:v>
      </x:c>
      <x:c r="B125" s="12" t="str">
        <x:v>04 / 07</x:v>
      </x:c>
      <x:c r="C125" s="12" t="str">
        <x:v>KI-124</x:v>
      </x:c>
      <x:c r="D125" s="12" t="str">
        <x:v>CP3/render_handoff/manifest_CP3.json</x:v>
      </x:c>
      <x:c r="E125" s="12" t="str">
        <x:v>11</x:v>
      </x:c>
      <x:c r="F125" s="12" t="str">
        <x:v>STÍLUS</x:v>
      </x:c>
      <x:c r="G125" s="12" t="str">
        <x:v>Falfelület</x:v>
      </x:c>
      <x:c r="H125" s="19" t="str">
        <x:v>W07 folytató tapéta és grafikai vonal</x:v>
      </x:c>
      <x:c r="I125" s="19" t="str">
        <x:v>UNKNOWN</x:v>
      </x:c>
      <x:c r="J125" s="19" t="str">
        <x:v>UNKNOWN</x:v>
      </x:c>
      <x:c r="K125" s="19" t="str">
        <x:v>UNKNOWN</x:v>
      </x:c>
      <x:c r="L125" s="19" t="str">
        <x:v>ART-07: 1530×18×2880 mm</x:v>
      </x:c>
      <x:c r="M125" s="19" t="str">
        <x:v>Kyoto Ink: grafit / füstszürke / taupe</x:v>
      </x:c>
      <x:c r="N125" s="19" t="str">
        <x:v>MAT-06</x:v>
      </x:c>
      <x:c r="O125" s="19" t="n">
        <x:v>1</x:v>
      </x:c>
      <x:c r="P125" s="19" t="str">
        <x:v>csomag</x:v>
      </x:c>
      <x:c r="Q125" s="20" t="n">
        <x:v>45000</x:v>
      </x:c>
      <x:c r="R125" s="20" t="n">
        <x:v>0</x:v>
      </x:c>
      <x:c r="S125" s="20" t="n">
        <x:v>0</x:v>
      </x:c>
      <x:c r="T125" s="20" t="n">
        <x:v>0</x:v>
      </x:c>
      <x:c r="U125" s="21" t="n">
        <x:f>O125*Q125+SUM(R125:T125)</x:f>
        <x:v>45000</x:v>
      </x:c>
      <x:c r="V125" s="19" t="str">
        <x:v>előzetes becslés</x:v>
      </x:c>
      <x:c r="W125" s="19" t="str">
        <x:v>CP0 tervezői előirányzat, nem webshopár; baseline 11</x:v>
      </x:c>
      <x:c r="X125" s="19" t="str">
        <x:v>2026-10-26</x:v>
      </x:c>
      <x:c r="Y125" s="19" t="str">
        <x:v>UNKNOWN – ajánlatban visszaigazolandó</x:v>
      </x:c>
      <x:c r="Z125" s="19" t="str">
        <x:v>B</x:v>
      </x:c>
      <x:c r="AA125" s="19" t="str">
        <x:v>PENDING</x:v>
      </x:c>
      <x:c r="AB125" s="19" t="str">
        <x:v>PENDING</x:v>
      </x:c>
      <x:c r="AC125" s="19" t="str">
        <x:v>nem megrendelt</x:v>
      </x:c>
      <x:c r="AD125" s="19" t="str">
        <x:v>Tapétázó és belsőépítész</x:v>
      </x:c>
      <x:c r="AE125" s="19" t="str">
        <x:v>PENDING – méret, csatlakozás, anyagminta, teljes bekerülés</x:v>
      </x:c>
      <x:c r="AF125" s="19" t="str">
        <x:v>CP0 becslési csomag: segédanyag és munkadíj a megnevezett tartalom szerint; külön szállítás a 14 sorban. Nem ingyenes szállítás.</x:v>
      </x:c>
      <x:c r="AG125" s="20" t="n">
        <x:v>45000</x:v>
      </x:c>
      <x:c r="AH125" s="21" t="n">
        <x:f>O125*AG125+SUM(R125:T125)</x:f>
        <x:v>45000</x:v>
      </x:c>
      <x:c r="AI125" s="19" t="str">
        <x:v>R05 főváltozat tartalma; korábbi fiók-/aszimmetria-elhagyás nincs automatikusan kiválasztva.</x:v>
      </x:c>
      <x:c r="AJ125" s="19" t="str">
        <x:v>PENDING</x:v>
      </x:c>
      <x:c r="AK125" s="19" t="str">
        <x:v>PENDING</x:v>
      </x:c>
      <x:c r="AL125" s="19" t="str">
        <x:v>PENDING</x:v>
      </x:c>
      <x:c r="AM125" s="19" t="str">
        <x:v>PENDING</x:v>
      </x:c>
      <x:c r="AN125" s="1" t="str">
        <x:v>ART-07</x:v>
      </x:c>
      <x:c r="AO125" s="1" t="str">
        <x:v>CP3/drawings/ART-07_CP3.pdf</x:v>
      </x:c>
      <x:c r="AP125" s="1" t="str">
        <x:v>CP3_ART-07</x:v>
      </x:c>
      <x:c r="AQ125" s="1" t="str">
        <x:v>egyedi gyártás</x:v>
      </x:c>
      <x:c r="AR125" s="1" t="str">
        <x:v>R02 méretezett ajánlati terv; nem helyszíni méret</x:v>
      </x:c>
      <x:c r="AS125" s="1" t="str">
        <x:v>HUF</x:v>
      </x:c>
      <x:c r="AT125" s="1" t="n">
        <x:v>1</x:v>
      </x:c>
      <x:c r="AU125" s="1" t="str">
        <x:v>nincs visszaigazolt ajánlati érvényesség</x:v>
      </x:c>
      <x:c r="AV125" s="1" t="str">
        <x:v>KI-151 központi keret; daruzás KI-137</x:v>
      </x:c>
      <x:c r="AW125" s="1" t="str">
        <x:v>KI-014 asztalos / KI-106 villamos / KI-026 és KI-096 víz / KI-127 fal</x:v>
      </x:c>
      <x:c r="AX125" s="1" t="n">
        <x:v>4</x:v>
      </x:c>
      <x:c r="AY125" s="1" t="n">
        <x:v>0.85</x:v>
      </x:c>
      <x:c r="AZ125" s="1" t="n">
        <x:v>1.3</x:v>
      </x:c>
      <x:c r="BA125" s="29" t="n">
        <x:f>ROUND(U125*AY125,0)</x:f>
        <x:v>38250</x:v>
      </x:c>
      <x:c r="BB125" s="29" t="n">
        <x:f>ROUND(U125*AZ125,0)</x:f>
        <x:v>58500</x:v>
      </x:c>
    </x:row>
    <x:row r="126" ht="72" customHeight="1">
      <x:c r="A126" s="12" t="str">
        <x:v>A-902</x:v>
      </x:c>
      <x:c r="B126" s="12" t="str">
        <x:v>04 / 07</x:v>
      </x:c>
      <x:c r="C126" s="12" t="str">
        <x:v>KI-125</x:v>
      </x:c>
      <x:c r="D126" s="12" t="str">
        <x:v>Cam12 v1; Cam03 v2</x:v>
      </x:c>
      <x:c r="E126" s="12" t="str">
        <x:v>11</x:v>
      </x:c>
      <x:c r="F126" s="12" t="str">
        <x:v>STÍLUS</x:v>
      </x:c>
      <x:c r="G126" s="12" t="str">
        <x:v>Falfelület</x:v>
      </x:c>
      <x:c r="H126" s="19" t="str">
        <x:v>W03 és szemöldök tapéta</x:v>
      </x:c>
      <x:c r="I126" s="19" t="str">
        <x:v>UNKNOWN</x:v>
      </x:c>
      <x:c r="J126" s="19" t="str">
        <x:v>UNKNOWN</x:v>
      </x:c>
      <x:c r="K126" s="19" t="str">
        <x:v>UNKNOWN</x:v>
      </x:c>
      <x:c r="L126" s="19" t="str">
        <x:v>UNKNOWN – felmérés/gyári adat kell</x:v>
      </x:c>
      <x:c r="M126" s="19" t="str">
        <x:v>Kyoto Ink: grafit / füstszürke / taupe</x:v>
      </x:c>
      <x:c r="N126" s="19" t="str">
        <x:v>PENDING – műszaki specifikáció szerint</x:v>
      </x:c>
      <x:c r="O126" s="19" t="n">
        <x:v>1</x:v>
      </x:c>
      <x:c r="P126" s="19" t="str">
        <x:v>csomag</x:v>
      </x:c>
      <x:c r="Q126" s="20" t="n">
        <x:v>40000</x:v>
      </x:c>
      <x:c r="R126" s="20" t="n">
        <x:v>0</x:v>
      </x:c>
      <x:c r="S126" s="20" t="n">
        <x:v>0</x:v>
      </x:c>
      <x:c r="T126" s="20" t="n">
        <x:v>0</x:v>
      </x:c>
      <x:c r="U126" s="21" t="n">
        <x:f>O126*Q126+SUM(R126:T126)</x:f>
        <x:v>40000</x:v>
      </x:c>
      <x:c r="V126" s="19" t="str">
        <x:v>előzetes becslés</x:v>
      </x:c>
      <x:c r="W126" s="19" t="str">
        <x:v>CP0 tervezői előirányzat, nem webshopár; baseline 11</x:v>
      </x:c>
      <x:c r="X126" s="19" t="str">
        <x:v>2026-10-26</x:v>
      </x:c>
      <x:c r="Y126" s="19" t="str">
        <x:v>UNKNOWN – ajánlatban visszaigazolandó</x:v>
      </x:c>
      <x:c r="Z126" s="19" t="str">
        <x:v>B</x:v>
      </x:c>
      <x:c r="AA126" s="19" t="str">
        <x:v>PENDING</x:v>
      </x:c>
      <x:c r="AB126" s="19" t="str">
        <x:v>PENDING</x:v>
      </x:c>
      <x:c r="AC126" s="19" t="str">
        <x:v>nem megrendelt</x:v>
      </x:c>
      <x:c r="AD126" s="19" t="str">
        <x:v>Tapétázó és belsőépítész</x:v>
      </x:c>
      <x:c r="AE126" s="19" t="str">
        <x:v>PENDING – méret, csatlakozás, anyagminta, teljes bekerülés</x:v>
      </x:c>
      <x:c r="AF126" s="19" t="str">
        <x:v>CP0 becslési csomag: segédanyag és munkadíj a megnevezett tartalom szerint; külön szállítás a 14 sorban. Nem ingyenes szállítás.</x:v>
      </x:c>
      <x:c r="AG126" s="20" t="n">
        <x:v>40000</x:v>
      </x:c>
      <x:c r="AH126" s="21" t="n">
        <x:f>O126*AG126+SUM(R126:T126)</x:f>
        <x:v>40000</x:v>
      </x:c>
      <x:c r="AI126" s="19" t="str">
        <x:v>PENDING</x:v>
      </x:c>
      <x:c r="AJ126" s="19" t="str">
        <x:v>PENDING</x:v>
      </x:c>
      <x:c r="AK126" s="19" t="str">
        <x:v>PENDING</x:v>
      </x:c>
      <x:c r="AL126" s="19" t="str">
        <x:v>PENDING</x:v>
      </x:c>
      <x:c r="AM126" s="19" t="str">
        <x:v>PENDING</x:v>
      </x:c>
      <x:c r="AN126" s="1" t="str">
        <x:v>KI-125</x:v>
      </x:c>
      <x:c r="AO126" s="1" t="str">
        <x:v>drawings/P-01_alaprajz.pdf</x:v>
      </x:c>
      <x:c r="AP126" s="1" t="str">
        <x:v>NINCS MODELL / nem térbeli költségsor; szakági kapcsolat igazolandó</x:v>
      </x:c>
      <x:c r="AQ126" s="1" t="str">
        <x:v>késztermék / szakági munka</x:v>
      </x:c>
      <x:c r="AR126" s="1" t="str">
        <x:v>felmérés/gyártói rajz szükséges</x:v>
      </x:c>
      <x:c r="AS126" s="1" t="str">
        <x:v>HUF</x:v>
      </x:c>
      <x:c r="AT126" s="1" t="n">
        <x:v>1</x:v>
      </x:c>
      <x:c r="AU126" s="1" t="str">
        <x:v>nincs visszaigazolt ajánlati érvényesség</x:v>
      </x:c>
      <x:c r="AV126" s="1" t="str">
        <x:v>KI-151 központi keret; daruzás KI-137</x:v>
      </x:c>
      <x:c r="AW126" s="1" t="str">
        <x:v>KI-014 asztalos / KI-106 villamos / KI-026 és KI-096 víz / KI-127 fal</x:v>
      </x:c>
      <x:c r="AX126" s="1" t="n">
        <x:v>6</x:v>
      </x:c>
      <x:c r="AY126" s="1" t="n">
        <x:v>0.85</x:v>
      </x:c>
      <x:c r="AZ126" s="1" t="n">
        <x:v>1.3</x:v>
      </x:c>
      <x:c r="BA126" s="29" t="n">
        <x:f>ROUND(U126*AY126,0)</x:f>
        <x:v>34000</x:v>
      </x:c>
      <x:c r="BB126" s="29" t="n">
        <x:f>ROUND(U126*AZ126,0)</x:f>
        <x:v>52000</x:v>
      </x:c>
    </x:row>
    <x:row r="127" ht="72" customHeight="1">
      <x:c r="A127" s="12" t="str">
        <x:v>A-902</x:v>
      </x:c>
      <x:c r="B127" s="12" t="str">
        <x:v>04 / 07</x:v>
      </x:c>
      <x:c r="C127" s="12" t="str">
        <x:v>KI-126</x:v>
      </x:c>
      <x:c r="D127" s="12" t="str">
        <x:v>Cam12 v1; Cam03 v2</x:v>
      </x:c>
      <x:c r="E127" s="12" t="str">
        <x:v>11</x:v>
      </x:c>
      <x:c r="F127" s="12" t="str">
        <x:v>STÍLUS</x:v>
      </x:c>
      <x:c r="G127" s="12" t="str">
        <x:v>Falfelület</x:v>
      </x:c>
      <x:c r="H127" s="19" t="str">
        <x:v>W04 tömör mezők tapéta</x:v>
      </x:c>
      <x:c r="I127" s="19" t="str">
        <x:v>UNKNOWN</x:v>
      </x:c>
      <x:c r="J127" s="19" t="str">
        <x:v>UNKNOWN</x:v>
      </x:c>
      <x:c r="K127" s="19" t="str">
        <x:v>UNKNOWN</x:v>
      </x:c>
      <x:c r="L127" s="19" t="str">
        <x:v>UNKNOWN – felmérés/gyári adat kell</x:v>
      </x:c>
      <x:c r="M127" s="19" t="str">
        <x:v>Kyoto Ink: grafit / füstszürke / taupe</x:v>
      </x:c>
      <x:c r="N127" s="19" t="str">
        <x:v>PENDING – műszaki specifikáció szerint</x:v>
      </x:c>
      <x:c r="O127" s="19" t="n">
        <x:v>1</x:v>
      </x:c>
      <x:c r="P127" s="19" t="str">
        <x:v>csomag</x:v>
      </x:c>
      <x:c r="Q127" s="20" t="n">
        <x:v>30000</x:v>
      </x:c>
      <x:c r="R127" s="20" t="n">
        <x:v>0</x:v>
      </x:c>
      <x:c r="S127" s="20" t="n">
        <x:v>0</x:v>
      </x:c>
      <x:c r="T127" s="20" t="n">
        <x:v>0</x:v>
      </x:c>
      <x:c r="U127" s="21" t="n">
        <x:f>O127*Q127+SUM(R127:T127)</x:f>
        <x:v>30000</x:v>
      </x:c>
      <x:c r="V127" s="19" t="str">
        <x:v>előzetes becslés</x:v>
      </x:c>
      <x:c r="W127" s="19" t="str">
        <x:v>CP0 tervezői előirányzat, nem webshopár; baseline 11</x:v>
      </x:c>
      <x:c r="X127" s="19" t="str">
        <x:v>2026-10-26</x:v>
      </x:c>
      <x:c r="Y127" s="19" t="str">
        <x:v>UNKNOWN – ajánlatban visszaigazolandó</x:v>
      </x:c>
      <x:c r="Z127" s="19" t="str">
        <x:v>B</x:v>
      </x:c>
      <x:c r="AA127" s="19" t="str">
        <x:v>PENDING</x:v>
      </x:c>
      <x:c r="AB127" s="19" t="str">
        <x:v>PENDING</x:v>
      </x:c>
      <x:c r="AC127" s="19" t="str">
        <x:v>nem megrendelt</x:v>
      </x:c>
      <x:c r="AD127" s="19" t="str">
        <x:v>Tapétázó és belsőépítész</x:v>
      </x:c>
      <x:c r="AE127" s="19" t="str">
        <x:v>PENDING – méret, csatlakozás, anyagminta, teljes bekerülés</x:v>
      </x:c>
      <x:c r="AF127" s="19" t="str">
        <x:v>CP0 becslési csomag: segédanyag és munkadíj a megnevezett tartalom szerint; külön szállítás a 14 sorban. Nem ingyenes szállítás.</x:v>
      </x:c>
      <x:c r="AG127" s="20" t="n">
        <x:v>30000</x:v>
      </x:c>
      <x:c r="AH127" s="21" t="n">
        <x:f>O127*AG127+SUM(R127:T127)</x:f>
        <x:v>30000</x:v>
      </x:c>
      <x:c r="AI127" s="19" t="str">
        <x:v>PENDING</x:v>
      </x:c>
      <x:c r="AJ127" s="19" t="str">
        <x:v>PENDING</x:v>
      </x:c>
      <x:c r="AK127" s="19" t="str">
        <x:v>PENDING</x:v>
      </x:c>
      <x:c r="AL127" s="19" t="str">
        <x:v>PENDING</x:v>
      </x:c>
      <x:c r="AM127" s="19" t="str">
        <x:v>PENDING</x:v>
      </x:c>
      <x:c r="AN127" s="1" t="str">
        <x:v>KI-126</x:v>
      </x:c>
      <x:c r="AO127" s="1" t="str">
        <x:v>drawings/P-01_alaprajz.pdf</x:v>
      </x:c>
      <x:c r="AP127" s="1" t="str">
        <x:v>NINCS MODELL / nem térbeli költségsor; szakági kapcsolat igazolandó</x:v>
      </x:c>
      <x:c r="AQ127" s="1" t="str">
        <x:v>késztermék / szakági munka</x:v>
      </x:c>
      <x:c r="AR127" s="1" t="str">
        <x:v>felmérés/gyártói rajz szükséges</x:v>
      </x:c>
      <x:c r="AS127" s="1" t="str">
        <x:v>HUF</x:v>
      </x:c>
      <x:c r="AT127" s="1" t="n">
        <x:v>1</x:v>
      </x:c>
      <x:c r="AU127" s="1" t="str">
        <x:v>nincs visszaigazolt ajánlati érvényesség</x:v>
      </x:c>
      <x:c r="AV127" s="1" t="str">
        <x:v>KI-151 központi keret; daruzás KI-137</x:v>
      </x:c>
      <x:c r="AW127" s="1" t="str">
        <x:v>KI-014 asztalos / KI-106 villamos / KI-026 és KI-096 víz / KI-127 fal</x:v>
      </x:c>
      <x:c r="AX127" s="1" t="n">
        <x:v>6</x:v>
      </x:c>
      <x:c r="AY127" s="1" t="n">
        <x:v>0.85</x:v>
      </x:c>
      <x:c r="AZ127" s="1" t="n">
        <x:v>1.3</x:v>
      </x:c>
      <x:c r="BA127" s="29" t="n">
        <x:f>ROUND(U127*AY127,0)</x:f>
        <x:v>25500</x:v>
      </x:c>
      <x:c r="BB127" s="29" t="n">
        <x:f>ROUND(U127*AZ127,0)</x:f>
        <x:v>39000</x:v>
      </x:c>
    </x:row>
    <x:row r="128" ht="72" customHeight="1">
      <x:c r="A128" s="12" t="str">
        <x:v>A-902</x:v>
      </x:c>
      <x:c r="B128" s="12" t="str">
        <x:v>04 / 07</x:v>
      </x:c>
      <x:c r="C128" s="12" t="str">
        <x:v>KI-127</x:v>
      </x:c>
      <x:c r="D128" s="12" t="str">
        <x:v>CP3/render_handoff/manifest_CP3.json</x:v>
      </x:c>
      <x:c r="E128" s="12" t="str">
        <x:v>11</x:v>
      </x:c>
      <x:c r="F128" s="12" t="str">
        <x:v>STÍLUS</x:v>
      </x:c>
      <x:c r="G128" s="12" t="str">
        <x:v>Falfelület</x:v>
      </x:c>
      <x:c r="H128" s="19" t="str">
        <x:v>Alapozó, ragasztó és faljavítás</x:v>
      </x:c>
      <x:c r="I128" s="19" t="str">
        <x:v>UNKNOWN</x:v>
      </x:c>
      <x:c r="J128" s="19" t="str">
        <x:v>UNKNOWN</x:v>
      </x:c>
      <x:c r="K128" s="19" t="str">
        <x:v>UNKNOWN</x:v>
      </x:c>
      <x:c r="L128" s="19" t="str">
        <x:v>ART-07: 1530×18×2880 mm</x:v>
      </x:c>
      <x:c r="M128" s="19" t="str">
        <x:v>Kyoto Ink: grafit / füstszürke / taupe</x:v>
      </x:c>
      <x:c r="N128" s="19" t="str">
        <x:v>PENDING – műszaki specifikáció szerint</x:v>
      </x:c>
      <x:c r="O128" s="19" t="n">
        <x:v>1</x:v>
      </x:c>
      <x:c r="P128" s="19" t="str">
        <x:v>csomag</x:v>
      </x:c>
      <x:c r="Q128" s="20" t="n">
        <x:v>65000</x:v>
      </x:c>
      <x:c r="R128" s="20" t="n">
        <x:v>0</x:v>
      </x:c>
      <x:c r="S128" s="20" t="n">
        <x:v>0</x:v>
      </x:c>
      <x:c r="T128" s="20" t="n">
        <x:v>0</x:v>
      </x:c>
      <x:c r="U128" s="21" t="n">
        <x:f>O128*Q128+SUM(R128:T128)</x:f>
        <x:v>65000</x:v>
      </x:c>
      <x:c r="V128" s="19" t="str">
        <x:v>előzetes becslés</x:v>
      </x:c>
      <x:c r="W128" s="19" t="str">
        <x:v>CP0 tervezői előirányzat, nem webshopár; baseline 11</x:v>
      </x:c>
      <x:c r="X128" s="19" t="str">
        <x:v>2026-10-26</x:v>
      </x:c>
      <x:c r="Y128" s="19" t="str">
        <x:v>UNKNOWN – ajánlatban visszaigazolandó</x:v>
      </x:c>
      <x:c r="Z128" s="19" t="str">
        <x:v>B</x:v>
      </x:c>
      <x:c r="AA128" s="19" t="str">
        <x:v>PENDING</x:v>
      </x:c>
      <x:c r="AB128" s="19" t="str">
        <x:v>PENDING</x:v>
      </x:c>
      <x:c r="AC128" s="19" t="str">
        <x:v>nem megrendelt</x:v>
      </x:c>
      <x:c r="AD128" s="19" t="str">
        <x:v>Tapétázó és belsőépítész</x:v>
      </x:c>
      <x:c r="AE128" s="19" t="str">
        <x:v>PENDING – méret, csatlakozás, anyagminta, teljes bekerülés</x:v>
      </x:c>
      <x:c r="AF128" s="19" t="str">
        <x:v>CP0 becslési csomag: segédanyag és munkadíj a megnevezett tartalom szerint; külön szállítás a 14 sorban. Nem ingyenes szállítás.</x:v>
      </x:c>
      <x:c r="AG128" s="20" t="n">
        <x:v>65000</x:v>
      </x:c>
      <x:c r="AH128" s="21" t="n">
        <x:f>O128*AG128+SUM(R128:T128)</x:f>
        <x:v>65000</x:v>
      </x:c>
      <x:c r="AI128" s="19" t="str">
        <x:v>PENDING</x:v>
      </x:c>
      <x:c r="AJ128" s="19" t="str">
        <x:v>PENDING</x:v>
      </x:c>
      <x:c r="AK128" s="19" t="str">
        <x:v>PENDING</x:v>
      </x:c>
      <x:c r="AL128" s="19" t="str">
        <x:v>PENDING</x:v>
      </x:c>
      <x:c r="AM128" s="19" t="str">
        <x:v>PENDING</x:v>
      </x:c>
      <x:c r="AN128" s="1" t="str">
        <x:v>ART-07</x:v>
      </x:c>
      <x:c r="AO128" s="1" t="str">
        <x:v>CP3/drawings/ART-07_CP3.pdf</x:v>
      </x:c>
      <x:c r="AP128" s="1" t="str">
        <x:v>CP3_ART-07</x:v>
      </x:c>
      <x:c r="AQ128" s="1" t="str">
        <x:v>egyedi gyártás</x:v>
      </x:c>
      <x:c r="AR128" s="1" t="str">
        <x:v>R02 méretezett ajánlati terv; nem helyszíni méret</x:v>
      </x:c>
      <x:c r="AS128" s="1" t="str">
        <x:v>HUF</x:v>
      </x:c>
      <x:c r="AT128" s="1" t="n">
        <x:v>1</x:v>
      </x:c>
      <x:c r="AU128" s="1" t="str">
        <x:v>nincs visszaigazolt ajánlati érvényesség</x:v>
      </x:c>
      <x:c r="AV128" s="1" t="str">
        <x:v>KI-151 központi keret; daruzás KI-137</x:v>
      </x:c>
      <x:c r="AW128" s="1" t="str">
        <x:v>KI-014 asztalos / KI-106 villamos / KI-026 és KI-096 víz / KI-127 fal</x:v>
      </x:c>
      <x:c r="AX128" s="1" t="n">
        <x:v>4</x:v>
      </x:c>
      <x:c r="AY128" s="1" t="n">
        <x:v>0.85</x:v>
      </x:c>
      <x:c r="AZ128" s="1" t="n">
        <x:v>1.3</x:v>
      </x:c>
      <x:c r="BA128" s="29" t="n">
        <x:f>ROUND(U128*AY128,0)</x:f>
        <x:v>55250</x:v>
      </x:c>
      <x:c r="BB128" s="29" t="n">
        <x:f>ROUND(U128*AZ128,0)</x:f>
        <x:v>84500</x:v>
      </x:c>
    </x:row>
    <x:row r="129" ht="72" customHeight="1">
      <x:c r="A129" s="12" t="str">
        <x:v>A-902</x:v>
      </x:c>
      <x:c r="B129" s="12" t="str">
        <x:v>04 / 07</x:v>
      </x:c>
      <x:c r="C129" s="12" t="str">
        <x:v>KI-128</x:v>
      </x:c>
      <x:c r="D129" s="12" t="str">
        <x:v>CP3/render_handoff/manifest_CP3.json</x:v>
      </x:c>
      <x:c r="E129" s="12" t="str">
        <x:v>11</x:v>
      </x:c>
      <x:c r="F129" s="12" t="str">
        <x:v>STÍLUS</x:v>
      </x:c>
      <x:c r="G129" s="12" t="str">
        <x:v>Falfelület</x:v>
      </x:c>
      <x:c r="H129" s="19" t="str">
        <x:v>Tapétázás, sarkok, élek és kapcsolók körbevágása</x:v>
      </x:c>
      <x:c r="I129" s="19" t="str">
        <x:v>UNKNOWN</x:v>
      </x:c>
      <x:c r="J129" s="19" t="str">
        <x:v>UNKNOWN</x:v>
      </x:c>
      <x:c r="K129" s="19" t="str">
        <x:v>UNKNOWN</x:v>
      </x:c>
      <x:c r="L129" s="19" t="str">
        <x:v>ART-07: 1530×18×2880 mm</x:v>
      </x:c>
      <x:c r="M129" s="19" t="str">
        <x:v>Kyoto Ink: grafit / füstszürke / taupe</x:v>
      </x:c>
      <x:c r="N129" s="19" t="str">
        <x:v>PENDING – műszaki specifikáció szerint</x:v>
      </x:c>
      <x:c r="O129" s="19" t="n">
        <x:v>1</x:v>
      </x:c>
      <x:c r="P129" s="19" t="str">
        <x:v>csomag</x:v>
      </x:c>
      <x:c r="Q129" s="20" t="n">
        <x:v>100000</x:v>
      </x:c>
      <x:c r="R129" s="20" t="n">
        <x:v>0</x:v>
      </x:c>
      <x:c r="S129" s="20" t="n">
        <x:v>0</x:v>
      </x:c>
      <x:c r="T129" s="20" t="n">
        <x:v>0</x:v>
      </x:c>
      <x:c r="U129" s="21" t="n">
        <x:f>O129*Q129+SUM(R129:T129)</x:f>
        <x:v>100000</x:v>
      </x:c>
      <x:c r="V129" s="19" t="str">
        <x:v>előzetes becslés</x:v>
      </x:c>
      <x:c r="W129" s="19" t="str">
        <x:v>CP0 tervezői előirányzat, nem webshopár; baseline 11</x:v>
      </x:c>
      <x:c r="X129" s="19" t="str">
        <x:v>2026-10-26</x:v>
      </x:c>
      <x:c r="Y129" s="19" t="str">
        <x:v>UNKNOWN – ajánlatban visszaigazolandó</x:v>
      </x:c>
      <x:c r="Z129" s="19" t="str">
        <x:v>B</x:v>
      </x:c>
      <x:c r="AA129" s="19" t="str">
        <x:v>PENDING</x:v>
      </x:c>
      <x:c r="AB129" s="19" t="str">
        <x:v>PENDING</x:v>
      </x:c>
      <x:c r="AC129" s="19" t="str">
        <x:v>nem megrendelt</x:v>
      </x:c>
      <x:c r="AD129" s="19" t="str">
        <x:v>Tapétázó és belsőépítész</x:v>
      </x:c>
      <x:c r="AE129" s="19" t="str">
        <x:v>PENDING – méret, csatlakozás, anyagminta, teljes bekerülés</x:v>
      </x:c>
      <x:c r="AF129" s="19" t="str">
        <x:v>CP0 becslési csomag: segédanyag és munkadíj a megnevezett tartalom szerint; külön szállítás a 14 sorban. Nem ingyenes szállítás.</x:v>
      </x:c>
      <x:c r="AG129" s="20" t="n">
        <x:v>100000</x:v>
      </x:c>
      <x:c r="AH129" s="21" t="n">
        <x:f>O129*AG129+SUM(R129:T129)</x:f>
        <x:v>100000</x:v>
      </x:c>
      <x:c r="AI129" s="19" t="str">
        <x:v>PENDING</x:v>
      </x:c>
      <x:c r="AJ129" s="19" t="str">
        <x:v>PENDING</x:v>
      </x:c>
      <x:c r="AK129" s="19" t="str">
        <x:v>PENDING</x:v>
      </x:c>
      <x:c r="AL129" s="19" t="str">
        <x:v>PENDING</x:v>
      </x:c>
      <x:c r="AM129" s="19" t="str">
        <x:v>PENDING</x:v>
      </x:c>
      <x:c r="AN129" s="1" t="str">
        <x:v>ART-07</x:v>
      </x:c>
      <x:c r="AO129" s="1" t="str">
        <x:v>CP3/drawings/ART-07_CP3.pdf</x:v>
      </x:c>
      <x:c r="AP129" s="1" t="str">
        <x:v>CP3_ART-07</x:v>
      </x:c>
      <x:c r="AQ129" s="1" t="str">
        <x:v>egyedi gyártás</x:v>
      </x:c>
      <x:c r="AR129" s="1" t="str">
        <x:v>R02 méretezett ajánlati terv; nem helyszíni méret</x:v>
      </x:c>
      <x:c r="AS129" s="1" t="str">
        <x:v>HUF</x:v>
      </x:c>
      <x:c r="AT129" s="1" t="n">
        <x:v>1</x:v>
      </x:c>
      <x:c r="AU129" s="1" t="str">
        <x:v>nincs visszaigazolt ajánlati érvényesség</x:v>
      </x:c>
      <x:c r="AV129" s="1" t="str">
        <x:v>KI-151 központi keret; daruzás KI-137</x:v>
      </x:c>
      <x:c r="AW129" s="1" t="str">
        <x:v>KI-014 asztalos / KI-106 villamos / KI-026 és KI-096 víz / KI-127 fal</x:v>
      </x:c>
      <x:c r="AX129" s="1" t="n">
        <x:v>4</x:v>
      </x:c>
      <x:c r="AY129" s="1" t="n">
        <x:v>0.85</x:v>
      </x:c>
      <x:c r="AZ129" s="1" t="n">
        <x:v>1.3</x:v>
      </x:c>
      <x:c r="BA129" s="29" t="n">
        <x:f>ROUND(U129*AY129,0)</x:f>
        <x:v>85000</x:v>
      </x:c>
      <x:c r="BB129" s="29" t="n">
        <x:f>ROUND(U129*AZ129,0)</x:f>
        <x:v>130000</x:v>
      </x:c>
    </x:row>
    <x:row r="130" ht="72" customHeight="1">
      <x:c r="A130" s="12" t="str">
        <x:v>A-902</x:v>
      </x:c>
      <x:c r="B130" s="12" t="str">
        <x:v>04 / 07</x:v>
      </x:c>
      <x:c r="C130" s="12" t="str">
        <x:v>KI-129</x:v>
      </x:c>
      <x:c r="D130" s="12" t="str">
        <x:v>Cam12 v1; Cam03 v2</x:v>
      </x:c>
      <x:c r="E130" s="12" t="str">
        <x:v>11</x:v>
      </x:c>
      <x:c r="F130" s="12" t="str">
        <x:v>STÍLUS</x:v>
      </x:c>
      <x:c r="G130" s="12" t="str">
        <x:v>Falfelület</x:v>
      </x:c>
      <x:c r="H130" s="19" t="str">
        <x:v>Szabási és illesztési veszteség</x:v>
      </x:c>
      <x:c r="I130" s="19" t="str">
        <x:v>UNKNOWN</x:v>
      </x:c>
      <x:c r="J130" s="19" t="str">
        <x:v>UNKNOWN</x:v>
      </x:c>
      <x:c r="K130" s="19" t="str">
        <x:v>UNKNOWN</x:v>
      </x:c>
      <x:c r="L130" s="19" t="str">
        <x:v>UNKNOWN – felmérés/gyári adat kell</x:v>
      </x:c>
      <x:c r="M130" s="19" t="str">
        <x:v>Kyoto Ink: grafit / füstszürke / taupe</x:v>
      </x:c>
      <x:c r="N130" s="19" t="str">
        <x:v>PENDING – műszaki specifikáció szerint</x:v>
      </x:c>
      <x:c r="O130" s="19" t="n">
        <x:v>1</x:v>
      </x:c>
      <x:c r="P130" s="19" t="str">
        <x:v>csomag</x:v>
      </x:c>
      <x:c r="Q130" s="20" t="n">
        <x:v>35000</x:v>
      </x:c>
      <x:c r="R130" s="20" t="n">
        <x:v>0</x:v>
      </x:c>
      <x:c r="S130" s="20" t="n">
        <x:v>0</x:v>
      </x:c>
      <x:c r="T130" s="20" t="n">
        <x:v>0</x:v>
      </x:c>
      <x:c r="U130" s="21" t="n">
        <x:f>O130*Q130+SUM(R130:T130)</x:f>
        <x:v>35000</x:v>
      </x:c>
      <x:c r="V130" s="19" t="str">
        <x:v>előzetes becslés</x:v>
      </x:c>
      <x:c r="W130" s="19" t="str">
        <x:v>CP0 tervezői előirányzat, nem webshopár; baseline 11</x:v>
      </x:c>
      <x:c r="X130" s="19" t="str">
        <x:v>2026-10-26</x:v>
      </x:c>
      <x:c r="Y130" s="19" t="str">
        <x:v>UNKNOWN – ajánlatban visszaigazolandó</x:v>
      </x:c>
      <x:c r="Z130" s="19" t="str">
        <x:v>B</x:v>
      </x:c>
      <x:c r="AA130" s="19" t="str">
        <x:v>PENDING</x:v>
      </x:c>
      <x:c r="AB130" s="19" t="str">
        <x:v>PENDING</x:v>
      </x:c>
      <x:c r="AC130" s="19" t="str">
        <x:v>nem megrendelt</x:v>
      </x:c>
      <x:c r="AD130" s="19" t="str">
        <x:v>Tapétázó és belsőépítész</x:v>
      </x:c>
      <x:c r="AE130" s="19" t="str">
        <x:v>PENDING – méret, csatlakozás, anyagminta, teljes bekerülés</x:v>
      </x:c>
      <x:c r="AF130" s="19" t="str">
        <x:v>CP0 becslési csomag: segédanyag és munkadíj a megnevezett tartalom szerint; külön szállítás a 14 sorban. Nem ingyenes szállítás.</x:v>
      </x:c>
      <x:c r="AG130" s="20" t="n">
        <x:v>35000</x:v>
      </x:c>
      <x:c r="AH130" s="21" t="n">
        <x:f>O130*AG130+SUM(R130:T130)</x:f>
        <x:v>35000</x:v>
      </x:c>
      <x:c r="AI130" s="19" t="str">
        <x:v>PENDING</x:v>
      </x:c>
      <x:c r="AJ130" s="19" t="str">
        <x:v>PENDING</x:v>
      </x:c>
      <x:c r="AK130" s="19" t="str">
        <x:v>PENDING</x:v>
      </x:c>
      <x:c r="AL130" s="19" t="str">
        <x:v>PENDING</x:v>
      </x:c>
      <x:c r="AM130" s="19" t="str">
        <x:v>PENDING</x:v>
      </x:c>
      <x:c r="AN130" s="1" t="str">
        <x:v>KI-129</x:v>
      </x:c>
      <x:c r="AO130" s="1" t="str">
        <x:v>drawings/P-01_alaprajz.pdf</x:v>
      </x:c>
      <x:c r="AP130" s="1" t="str">
        <x:v>NINCS MODELL / nem térbeli költségsor; szakági kapcsolat igazolandó</x:v>
      </x:c>
      <x:c r="AQ130" s="1" t="str">
        <x:v>késztermék / szakági munka</x:v>
      </x:c>
      <x:c r="AR130" s="1" t="str">
        <x:v>felmérés/gyártói rajz szükséges</x:v>
      </x:c>
      <x:c r="AS130" s="1" t="str">
        <x:v>HUF</x:v>
      </x:c>
      <x:c r="AT130" s="1" t="n">
        <x:v>1</x:v>
      </x:c>
      <x:c r="AU130" s="1" t="str">
        <x:v>nincs visszaigazolt ajánlati érvényesség</x:v>
      </x:c>
      <x:c r="AV130" s="1" t="str">
        <x:v>KI-151 központi keret; daruzás KI-137</x:v>
      </x:c>
      <x:c r="AW130" s="1" t="str">
        <x:v>KI-014 asztalos / KI-106 villamos / KI-026 és KI-096 víz / KI-127 fal</x:v>
      </x:c>
      <x:c r="AX130" s="1" t="n">
        <x:v>6</x:v>
      </x:c>
      <x:c r="AY130" s="1" t="n">
        <x:v>0.85</x:v>
      </x:c>
      <x:c r="AZ130" s="1" t="n">
        <x:v>1.3</x:v>
      </x:c>
      <x:c r="BA130" s="29" t="n">
        <x:f>ROUND(U130*AY130,0)</x:f>
        <x:v>29750</x:v>
      </x:c>
      <x:c r="BB130" s="29" t="n">
        <x:f>ROUND(U130*AZ130,0)</x:f>
        <x:v>45500</x:v>
      </x:c>
    </x:row>
    <x:row r="131" ht="72" customHeight="1">
      <x:c r="A131" s="12" t="str">
        <x:v>A-902</x:v>
      </x:c>
      <x:c r="B131" s="12" t="str">
        <x:v>05.1</x:v>
      </x:c>
      <x:c r="C131" s="12" t="str">
        <x:v>KI-130</x:v>
      </x:c>
      <x:c r="D131" s="12" t="str">
        <x:v>Cam04 v1; Cam11 v2</x:v>
      </x:c>
      <x:c r="E131" s="12" t="str">
        <x:v>11</x:v>
      </x:c>
      <x:c r="F131" s="12" t="str">
        <x:v>STÍLUS</x:v>
      </x:c>
      <x:c r="G131" s="12" t="str">
        <x:v>Falfelület</x:v>
      </x:c>
      <x:c r="H131" s="19" t="str">
        <x:v>Fejvég feletti és ablak melletti vlies felrakással</x:v>
      </x:c>
      <x:c r="I131" s="19" t="str">
        <x:v>UNKNOWN</x:v>
      </x:c>
      <x:c r="J131" s="19" t="str">
        <x:v>UNKNOWN</x:v>
      </x:c>
      <x:c r="K131" s="19" t="str">
        <x:v>UNKNOWN</x:v>
      </x:c>
      <x:c r="L131" s="19" t="str">
        <x:v>UNKNOWN – felmérés/gyári adat kell</x:v>
      </x:c>
      <x:c r="M131" s="19" t="str">
        <x:v>Kyoto Ink: grafit / füstszürke / taupe</x:v>
      </x:c>
      <x:c r="N131" s="19" t="str">
        <x:v>PENDING – műszaki specifikáció szerint</x:v>
      </x:c>
      <x:c r="O131" s="19" t="n">
        <x:v>1</x:v>
      </x:c>
      <x:c r="P131" s="19" t="str">
        <x:v>csomag</x:v>
      </x:c>
      <x:c r="Q131" s="20" t="n">
        <x:v>90000</x:v>
      </x:c>
      <x:c r="R131" s="20" t="n">
        <x:v>0</x:v>
      </x:c>
      <x:c r="S131" s="20" t="n">
        <x:v>0</x:v>
      </x:c>
      <x:c r="T131" s="20" t="n">
        <x:v>0</x:v>
      </x:c>
      <x:c r="U131" s="21" t="n">
        <x:f>O131*Q131+SUM(R131:T131)</x:f>
        <x:v>90000</x:v>
      </x:c>
      <x:c r="V131" s="19" t="str">
        <x:v>előzetes becslés</x:v>
      </x:c>
      <x:c r="W131" s="19" t="str">
        <x:v>CP0 tervezői előirányzat, nem webshopár; baseline 11</x:v>
      </x:c>
      <x:c r="X131" s="19" t="str">
        <x:v>2026-10-26</x:v>
      </x:c>
      <x:c r="Y131" s="19" t="str">
        <x:v>UNKNOWN – ajánlatban visszaigazolandó</x:v>
      </x:c>
      <x:c r="Z131" s="19" t="str">
        <x:v>B</x:v>
      </x:c>
      <x:c r="AA131" s="19" t="str">
        <x:v>PENDING</x:v>
      </x:c>
      <x:c r="AB131" s="19" t="str">
        <x:v>PENDING</x:v>
      </x:c>
      <x:c r="AC131" s="19" t="str">
        <x:v>nem megrendelt</x:v>
      </x:c>
      <x:c r="AD131" s="19" t="str">
        <x:v>Tapétázó és belsőépítész</x:v>
      </x:c>
      <x:c r="AE131" s="19" t="str">
        <x:v>PENDING – méret, csatlakozás, anyagminta, teljes bekerülés</x:v>
      </x:c>
      <x:c r="AF131" s="19" t="str">
        <x:v>CP0 becslési csomag: segédanyag és munkadíj a megnevezett tartalom szerint; külön szállítás a 14 sorban. Nem ingyenes szállítás.</x:v>
      </x:c>
      <x:c r="AG131" s="20" t="n">
        <x:v>90000</x:v>
      </x:c>
      <x:c r="AH131" s="21" t="n">
        <x:f>O131*AG131+SUM(R131:T131)</x:f>
        <x:v>90000</x:v>
      </x:c>
      <x:c r="AI131" s="19" t="str">
        <x:v>PENDING</x:v>
      </x:c>
      <x:c r="AJ131" s="19" t="str">
        <x:v>PENDING</x:v>
      </x:c>
      <x:c r="AK131" s="19" t="str">
        <x:v>PENDING</x:v>
      </x:c>
      <x:c r="AL131" s="19" t="str">
        <x:v>PENDING</x:v>
      </x:c>
      <x:c r="AM131" s="19" t="str">
        <x:v>PENDING</x:v>
      </x:c>
      <x:c r="AN131" s="1" t="str">
        <x:v>KI-130</x:v>
      </x:c>
      <x:c r="AO131" s="1" t="str">
        <x:v>drawings/P-01_alaprajz.pdf</x:v>
      </x:c>
      <x:c r="AP131" s="1" t="str">
        <x:v>NINCS MODELL / nem térbeli költségsor; szakági kapcsolat igazolandó</x:v>
      </x:c>
      <x:c r="AQ131" s="1" t="str">
        <x:v>késztermék / szakági munka</x:v>
      </x:c>
      <x:c r="AR131" s="1" t="str">
        <x:v>felmérés/gyártói rajz szükséges</x:v>
      </x:c>
      <x:c r="AS131" s="1" t="str">
        <x:v>HUF</x:v>
      </x:c>
      <x:c r="AT131" s="1" t="n">
        <x:v>1</x:v>
      </x:c>
      <x:c r="AU131" s="1" t="str">
        <x:v>nincs visszaigazolt ajánlati érvényesség</x:v>
      </x:c>
      <x:c r="AV131" s="1" t="str">
        <x:v>KI-151 központi keret; daruzás KI-137</x:v>
      </x:c>
      <x:c r="AW131" s="1" t="str">
        <x:v>KI-014 asztalos / KI-106 villamos / KI-026 és KI-096 víz / KI-127 fal</x:v>
      </x:c>
      <x:c r="AX131" s="1" t="n">
        <x:v>6</x:v>
      </x:c>
      <x:c r="AY131" s="1" t="n">
        <x:v>0.85</x:v>
      </x:c>
      <x:c r="AZ131" s="1" t="n">
        <x:v>1.3</x:v>
      </x:c>
      <x:c r="BA131" s="29" t="n">
        <x:f>ROUND(U131*AY131,0)</x:f>
        <x:v>76500</x:v>
      </x:c>
      <x:c r="BB131" s="29" t="n">
        <x:f>ROUND(U131*AZ131,0)</x:f>
        <x:v>117000</x:v>
      </x:c>
    </x:row>
    <x:row r="132" ht="72" customHeight="1">
      <x:c r="A132" s="12" t="str">
        <x:v>A-902</x:v>
      </x:c>
      <x:c r="B132" s="12" t="str">
        <x:v>04</x:v>
      </x:c>
      <x:c r="C132" s="12" t="str">
        <x:v>KI-131</x:v>
      </x:c>
      <x:c r="D132" s="12" t="str">
        <x:v>CP3/render_handoff/manifest_CP3.json</x:v>
      </x:c>
      <x:c r="E132" s="12" t="str">
        <x:v>12</x:v>
      </x:c>
      <x:c r="F132" s="12" t="str">
        <x:v>STÍLUS</x:v>
      </x:c>
      <x:c r="G132" s="12" t="str">
        <x:v>Művészet</x:v>
      </x:c>
      <x:c r="H132" s="19" t="str">
        <x:v>W02 eredeti tusgrafika előállítása és nyomdai előkészítése</x:v>
      </x:c>
      <x:c r="I132" s="19" t="str">
        <x:v>UNKNOWN</x:v>
      </x:c>
      <x:c r="J132" s="19" t="str">
        <x:v>UNKNOWN</x:v>
      </x:c>
      <x:c r="K132" s="19" t="str">
        <x:v>UNKNOWN</x:v>
      </x:c>
      <x:c r="L132" s="19" t="str">
        <x:v>ART-02: 2100×36×2880 mm</x:v>
      </x:c>
      <x:c r="M132" s="19" t="str">
        <x:v>Kyoto Ink: grafit / füstszürke / taupe</x:v>
      </x:c>
      <x:c r="N132" s="19" t="str">
        <x:v>PENDING – műszaki specifikáció szerint</x:v>
      </x:c>
      <x:c r="O132" s="19" t="n">
        <x:v>1</x:v>
      </x:c>
      <x:c r="P132" s="19" t="str">
        <x:v>csomag</x:v>
      </x:c>
      <x:c r="Q132" s="20" t="n">
        <x:v>60000</x:v>
      </x:c>
      <x:c r="R132" s="20" t="n">
        <x:v>0</x:v>
      </x:c>
      <x:c r="S132" s="20" t="n">
        <x:v>0</x:v>
      </x:c>
      <x:c r="T132" s="20" t="n">
        <x:v>0</x:v>
      </x:c>
      <x:c r="U132" s="21" t="n">
        <x:f>O132*Q132+SUM(R132:T132)</x:f>
        <x:v>60000</x:v>
      </x:c>
      <x:c r="V132" s="19" t="str">
        <x:v>előzetes becslés</x:v>
      </x:c>
      <x:c r="W132" s="19" t="str">
        <x:v>CP0 tervezői előirányzat, nem webshopár; baseline 12</x:v>
      </x:c>
      <x:c r="X132" s="19" t="str">
        <x:v>2026-10-26</x:v>
      </x:c>
      <x:c r="Y132" s="19" t="str">
        <x:v>UNKNOWN – ajánlatban visszaigazolandó</x:v>
      </x:c>
      <x:c r="Z132" s="19" t="str">
        <x:v>B</x:v>
      </x:c>
      <x:c r="AA132" s="19" t="str">
        <x:v>PENDING</x:v>
      </x:c>
      <x:c r="AB132" s="19" t="str">
        <x:v>PENDING</x:v>
      </x:c>
      <x:c r="AC132" s="19" t="str">
        <x:v>nem megrendelt</x:v>
      </x:c>
      <x:c r="AD132" s="19" t="str">
        <x:v>Beszerzési felelős / Péter</x:v>
      </x:c>
      <x:c r="AE132" s="19" t="str">
        <x:v>PENDING – méret, csatlakozás, anyagminta, teljes bekerülés</x:v>
      </x:c>
      <x:c r="AF132" s="19" t="str">
        <x:v>CP0 becslési csomag: segédanyag és munkadíj a megnevezett tartalom szerint; külön szállítás a 14 sorban. Nem ingyenes szállítás.</x:v>
      </x:c>
      <x:c r="AG132" s="20" t="n">
        <x:v>60000</x:v>
      </x:c>
      <x:c r="AH132" s="21" t="n">
        <x:f>O132*AG132+SUM(R132:T132)</x:f>
        <x:v>60000</x:v>
      </x:c>
      <x:c r="AI132" s="19" t="str">
        <x:v>PENDING</x:v>
      </x:c>
      <x:c r="AJ132" s="19" t="str">
        <x:v>PENDING</x:v>
      </x:c>
      <x:c r="AK132" s="19" t="str">
        <x:v>PENDING</x:v>
      </x:c>
      <x:c r="AL132" s="19" t="str">
        <x:v>PENDING</x:v>
      </x:c>
      <x:c r="AM132" s="19" t="str">
        <x:v>PENDING</x:v>
      </x:c>
      <x:c r="AN132" s="1" t="str">
        <x:v>ART-02</x:v>
      </x:c>
      <x:c r="AO132" s="1" t="str">
        <x:v>CP3/drawings/ART-02_CP3.pdf</x:v>
      </x:c>
      <x:c r="AP132" s="1" t="str">
        <x:v>CP3_ART-02</x:v>
      </x:c>
      <x:c r="AQ132" s="1" t="str">
        <x:v>egyedi gyártás</x:v>
      </x:c>
      <x:c r="AR132" s="1" t="str">
        <x:v>R02 méretezett ajánlati terv; nem helyszíni méret</x:v>
      </x:c>
      <x:c r="AS132" s="1" t="str">
        <x:v>HUF</x:v>
      </x:c>
      <x:c r="AT132" s="1" t="n">
        <x:v>1</x:v>
      </x:c>
      <x:c r="AU132" s="1" t="str">
        <x:v>nincs visszaigazolt ajánlati érvényesség</x:v>
      </x:c>
      <x:c r="AV132" s="1" t="str">
        <x:v>KI-151 központi keret; daruzás KI-137</x:v>
      </x:c>
      <x:c r="AW132" s="1" t="str">
        <x:v>KI-014 asztalos / KI-106 villamos / KI-026 és KI-096 víz / KI-127 fal</x:v>
      </x:c>
      <x:c r="AX132" s="1" t="n">
        <x:v>4</x:v>
      </x:c>
      <x:c r="AY132" s="1" t="n">
        <x:v>0.85</x:v>
      </x:c>
      <x:c r="AZ132" s="1" t="n">
        <x:v>1.3</x:v>
      </x:c>
      <x:c r="BA132" s="29" t="n">
        <x:f>ROUND(U132*AY132,0)</x:f>
        <x:v>51000</x:v>
      </x:c>
      <x:c r="BB132" s="29" t="n">
        <x:f>ROUND(U132*AZ132,0)</x:f>
        <x:v>78000</x:v>
      </x:c>
    </x:row>
    <x:row r="133" ht="72" customHeight="1">
      <x:c r="A133" s="12" t="str">
        <x:v>A-902</x:v>
      </x:c>
      <x:c r="B133" s="12" t="str">
        <x:v>04</x:v>
      </x:c>
      <x:c r="C133" s="12" t="str">
        <x:v>KI-132</x:v>
      </x:c>
      <x:c r="D133" s="12" t="str">
        <x:v>CP3/render_handoff/manifest_CP3.json</x:v>
      </x:c>
      <x:c r="E133" s="12" t="str">
        <x:v>12</x:v>
      </x:c>
      <x:c r="F133" s="12" t="str">
        <x:v>STÍLUS</x:v>
      </x:c>
      <x:c r="G133" s="12" t="str">
        <x:v>Művészet</x:v>
      </x:c>
      <x:c r="H133" s="19" t="str">
        <x:v>W02 teljes magasságú szövethatású nyomat</x:v>
      </x:c>
      <x:c r="I133" s="19" t="str">
        <x:v>Vescom jelölt</x:v>
      </x:c>
      <x:c r="J133" s="19" t="str">
        <x:v>Bely+Print1040.01</x:v>
      </x:c>
      <x:c r="K133" s="19" t="str">
        <x:v>https://vescom.com/en/products/belyprint</x:v>
      </x:c>
      <x:c r="L133" s="19" t="str">
        <x:v>2100×2880 mm nettó; 2×1050 mm mező, nyomdai szabás egyeztetendő</x:v>
      </x:c>
      <x:c r="M133" s="19" t="str">
        <x:v>Kyoto Ink: grafit / füstszürke / taupe</x:v>
      </x:c>
      <x:c r="N133" s="19" t="str">
        <x:v>MAT-05</x:v>
      </x:c>
      <x:c r="O133" s="19" t="n">
        <x:v>8</x:v>
      </x:c>
      <x:c r="P133" s="19" t="str">
        <x:v>m²</x:v>
      </x:c>
      <x:c r="Q133" s="20" t="n">
        <x:v>28000</x:v>
      </x:c>
      <x:c r="R133" s="20" t="n">
        <x:v>0</x:v>
      </x:c>
      <x:c r="S133" s="20" t="n">
        <x:v>0</x:v>
      </x:c>
      <x:c r="T133" s="20" t="n">
        <x:v>0</x:v>
      </x:c>
      <x:c r="U133" s="21" t="n">
        <x:f>O133*Q133+SUM(R133:T133)</x:f>
        <x:v>224000</x:v>
      </x:c>
      <x:c r="V133" s="19" t="str">
        <x:v>előzetes becslés</x:v>
      </x:c>
      <x:c r="W133" s="19" t="str">
        <x:v>R05:8,0m²×28000Ft gyártási előirányzat; Vescom hordozó műszaki adat ellenőrzött, ár nem</x:v>
      </x:c>
      <x:c r="X133" s="19" t="str">
        <x:v>2026-10-26</x:v>
      </x:c>
      <x:c r="Y133" s="19" t="str">
        <x:v>UNKNOWN – ajánlatban visszaigazolandó</x:v>
      </x:c>
      <x:c r="Z133" s="19" t="str">
        <x:v>B</x:v>
      </x:c>
      <x:c r="AA133" s="19" t="str">
        <x:v>PENDING</x:v>
      </x:c>
      <x:c r="AB133" s="19" t="str">
        <x:v>PENDING</x:v>
      </x:c>
      <x:c r="AC133" s="19" t="str">
        <x:v>nem megrendelt</x:v>
      </x:c>
      <x:c r="AD133" s="19" t="str">
        <x:v>Beszerzési felelős / Péter</x:v>
      </x:c>
      <x:c r="AE133" s="19" t="str">
        <x:v>PENDING – méret, csatlakozás, anyagminta, teljes bekerülés</x:v>
      </x:c>
      <x:c r="AF133" s="19" t="str">
        <x:v>Sík szövethatású nyomat, nincs térbeli relief. KI-131 grafika; KI-133 hordozó/rögzítés. Nem számolható külön keretezett kép is.</x:v>
      </x:c>
      <x:c r="AG133" s="20" t="n">
        <x:v>22000</x:v>
      </x:c>
      <x:c r="AH133" s="21" t="n">
        <x:f>O133*AG133+SUM(R133:T133)</x:f>
        <x:v>176000</x:v>
      </x:c>
      <x:c r="AI133" s="19" t="str">
        <x:v>Ugyanazon8m²rendelési mennyiség; prémium vinil-szövethatás helyett matt vlies nyomat 22000Ft/m²előirányzattal. Eltérés: a szövés tapintása és tisztíthatósága változik; hordozó SKU még kiválasztandó; nem jóváhagyott. Nettó projektmegtakarítás 48000 Ft, bruttó költségek különbsége.</x:v>
      </x:c>
      <x:c r="AJ133" s="19" t="str">
        <x:v>PENDING</x:v>
      </x:c>
      <x:c r="AK133" s="19" t="str">
        <x:v>PENDING</x:v>
      </x:c>
      <x:c r="AL133" s="19" t="str">
        <x:v>PENDING</x:v>
      </x:c>
      <x:c r="AM133" s="19" t="str">
        <x:v>PENDING</x:v>
      </x:c>
      <x:c r="AN133" s="1" t="str">
        <x:v>ART-02</x:v>
      </x:c>
      <x:c r="AO133" s="1" t="str">
        <x:v>CP3/drawings/ART-02_CP3.pdf</x:v>
      </x:c>
      <x:c r="AP133" s="1" t="str">
        <x:v>CP3_ART-02</x:v>
      </x:c>
      <x:c r="AQ133" s="1" t="str">
        <x:v>egyedi gyártás</x:v>
      </x:c>
      <x:c r="AR133" s="1" t="str">
        <x:v>R02 méretezett ajánlati terv; nem helyszíni méret</x:v>
      </x:c>
      <x:c r="AS133" s="1" t="str">
        <x:v>HUF</x:v>
      </x:c>
      <x:c r="AT133" s="1" t="n">
        <x:v>1</x:v>
      </x:c>
      <x:c r="AU133" s="1" t="str">
        <x:v>nincs visszaigazolt ajánlati érvényesség</x:v>
      </x:c>
      <x:c r="AV133" s="1" t="str">
        <x:v>KI-151 központi keret; daruzás KI-137</x:v>
      </x:c>
      <x:c r="AW133" s="1" t="str">
        <x:v>KI-014 asztalos / KI-106 villamos / KI-026 és KI-096 víz / KI-127 fal</x:v>
      </x:c>
      <x:c r="AX133" s="1" t="n">
        <x:v>4</x:v>
      </x:c>
      <x:c r="AY133" s="1" t="n">
        <x:v>0.7</x:v>
      </x:c>
      <x:c r="AZ133" s="1" t="n">
        <x:v>1.6</x:v>
      </x:c>
      <x:c r="BA133" s="29" t="n">
        <x:f>ROUND(U133*AY133,0)</x:f>
        <x:v>156800</x:v>
      </x:c>
      <x:c r="BB133" s="29" t="n">
        <x:f>ROUND(U133*AZ133,0)</x:f>
        <x:v>358400</x:v>
      </x:c>
    </x:row>
    <x:row r="134" ht="72" customHeight="1">
      <x:c r="A134" s="12" t="str">
        <x:v>A-902</x:v>
      </x:c>
      <x:c r="B134" s="12" t="str">
        <x:v>04</x:v>
      </x:c>
      <x:c r="C134" s="12" t="str">
        <x:v>KI-133</x:v>
      </x:c>
      <x:c r="D134" s="12" t="str">
        <x:v>CP3/render_handoff/manifest_CP3.json</x:v>
      </x:c>
      <x:c r="E134" s="12" t="str">
        <x:v>12</x:v>
      </x:c>
      <x:c r="F134" s="12" t="str">
        <x:v>STÍLUS</x:v>
      </x:c>
      <x:c r="G134" s="12" t="str">
        <x:v>Művészet</x:v>
      </x:c>
      <x:c r="H134" s="19" t="str">
        <x:v>W02 keret nélküli hordozó, élképzés és szerelés</x:v>
      </x:c>
      <x:c r="I134" s="19" t="str">
        <x:v>UNKNOWN</x:v>
      </x:c>
      <x:c r="J134" s="19" t="str">
        <x:v>UNKNOWN</x:v>
      </x:c>
      <x:c r="K134" s="19" t="str">
        <x:v>UNKNOWN</x:v>
      </x:c>
      <x:c r="L134" s="19" t="str">
        <x:v>ART-02: 2100×36×2880 mm</x:v>
      </x:c>
      <x:c r="M134" s="19" t="str">
        <x:v>Kyoto Ink: grafit / füstszürke / taupe</x:v>
      </x:c>
      <x:c r="N134" s="19" t="str">
        <x:v>PENDING – műszaki specifikáció szerint</x:v>
      </x:c>
      <x:c r="O134" s="19" t="n">
        <x:v>1</x:v>
      </x:c>
      <x:c r="P134" s="19" t="str">
        <x:v>csomag</x:v>
      </x:c>
      <x:c r="Q134" s="20" t="n">
        <x:v>177000</x:v>
      </x:c>
      <x:c r="R134" s="20" t="n">
        <x:v>0</x:v>
      </x:c>
      <x:c r="S134" s="20" t="n">
        <x:v>0</x:v>
      </x:c>
      <x:c r="T134" s="20" t="n">
        <x:v>0</x:v>
      </x:c>
      <x:c r="U134" s="21" t="n">
        <x:f>O134*Q134+SUM(R134:T134)</x:f>
        <x:v>177000</x:v>
      </x:c>
      <x:c r="V134" s="19" t="str">
        <x:v>előzetes becslés</x:v>
      </x:c>
      <x:c r="W134" s="19" t="str">
        <x:v>61000 hordozó+36000 szerelőlécek/rögzítés+24000 él/sarok+56000 helyi szerelés; becslés</x:v>
      </x:c>
      <x:c r="X134" s="19" t="str">
        <x:v>2026-10-26</x:v>
      </x:c>
      <x:c r="Y134" s="19" t="str">
        <x:v>UNKNOWN – ajánlatban visszaigazolandó</x:v>
      </x:c>
      <x:c r="Z134" s="19" t="str">
        <x:v>B</x:v>
      </x:c>
      <x:c r="AA134" s="19" t="str">
        <x:v>PENDING</x:v>
      </x:c>
      <x:c r="AB134" s="19" t="str">
        <x:v>PENDING</x:v>
      </x:c>
      <x:c r="AC134" s="19" t="str">
        <x:v>nem megrendelt</x:v>
      </x:c>
      <x:c r="AD134" s="19" t="str">
        <x:v>Beszerzési felelős / Péter</x:v>
      </x:c>
      <x:c r="AE134" s="19" t="str">
        <x:v>PENDING – méret, csatlakozás, anyagminta, teljes bekerülés</x:v>
      </x:c>
      <x:c r="AF134" s="19" t="str">
        <x:v>6,048m²nettó;18mm lap+18mm tervezett szerelőlégrés. Szállítás/felhordás központi KI-151, nincs duplázás.</x:v>
      </x:c>
      <x:c r="AG134" s="20" t="n">
        <x:v>177000</x:v>
      </x:c>
      <x:c r="AH134" s="21" t="n">
        <x:f>O134*AG134+SUM(R134:T134)</x:f>
        <x:v>177000</x:v>
      </x:c>
      <x:c r="AI134" s="19" t="str">
        <x:v>R05 főváltozat tartalma; korábbi fiók-/aszimmetria-elhagyás nincs automatikusan kiválasztva.</x:v>
      </x:c>
      <x:c r="AJ134" s="19" t="str">
        <x:v>PENDING</x:v>
      </x:c>
      <x:c r="AK134" s="19" t="str">
        <x:v>PENDING</x:v>
      </x:c>
      <x:c r="AL134" s="19" t="str">
        <x:v>PENDING</x:v>
      </x:c>
      <x:c r="AM134" s="19" t="str">
        <x:v>PENDING</x:v>
      </x:c>
      <x:c r="AN134" s="1" t="str">
        <x:v>ART-02</x:v>
      </x:c>
      <x:c r="AO134" s="1" t="str">
        <x:v>CP3/drawings/ART-02_CP3.pdf</x:v>
      </x:c>
      <x:c r="AP134" s="1" t="str">
        <x:v>CP3_ART-02</x:v>
      </x:c>
      <x:c r="AQ134" s="1" t="str">
        <x:v>egyedi gyártás</x:v>
      </x:c>
      <x:c r="AR134" s="1" t="str">
        <x:v>R02 méretezett ajánlati terv; nem helyszíni méret</x:v>
      </x:c>
      <x:c r="AS134" s="1" t="str">
        <x:v>HUF</x:v>
      </x:c>
      <x:c r="AT134" s="1" t="n">
        <x:v>1</x:v>
      </x:c>
      <x:c r="AU134" s="1" t="str">
        <x:v>nincs visszaigazolt ajánlati érvényesség</x:v>
      </x:c>
      <x:c r="AV134" s="1" t="str">
        <x:v>KI-151 központi keret; daruzás KI-137</x:v>
      </x:c>
      <x:c r="AW134" s="1" t="str">
        <x:v>KI-014 asztalos / KI-106 villamos / KI-026 és KI-096 víz / KI-127 fal</x:v>
      </x:c>
      <x:c r="AX134" s="1" t="n">
        <x:v>4</x:v>
      </x:c>
      <x:c r="AY134" s="1" t="n">
        <x:v>0.7</x:v>
      </x:c>
      <x:c r="AZ134" s="1" t="n">
        <x:v>1.5</x:v>
      </x:c>
      <x:c r="BA134" s="29" t="n">
        <x:f>ROUND(U134*AY134,0)</x:f>
        <x:v>123900</x:v>
      </x:c>
      <x:c r="BB134" s="29" t="n">
        <x:f>ROUND(U134*AZ134,0)</x:f>
        <x:v>265500</x:v>
      </x:c>
    </x:row>
    <x:row r="135" ht="72" customHeight="1">
      <x:c r="A135" s="12" t="str">
        <x:v>A-902</x:v>
      </x:c>
      <x:c r="B135" s="12" t="str">
        <x:v>04</x:v>
      </x:c>
      <x:c r="C135" s="12" t="str">
        <x:v>KI-134</x:v>
      </x:c>
      <x:c r="D135" s="12" t="str">
        <x:v>Cam12 v1; Cam02 v1</x:v>
      </x:c>
      <x:c r="E135" s="12" t="str">
        <x:v>12</x:v>
      </x:c>
      <x:c r="F135" s="12" t="str">
        <x:v>STÍLUS</x:v>
      </x:c>
      <x:c r="G135" s="12" t="str">
        <x:v>Művészet</x:v>
      </x:c>
      <x:c r="H135" s="19" t="str">
        <x:v>Nappali párnák és takaró</x:v>
      </x:c>
      <x:c r="I135" s="19" t="str">
        <x:v>UNKNOWN</x:v>
      </x:c>
      <x:c r="J135" s="19" t="str">
        <x:v>UNKNOWN</x:v>
      </x:c>
      <x:c r="K135" s="19" t="str">
        <x:v>UNKNOWN</x:v>
      </x:c>
      <x:c r="L135" s="19" t="str">
        <x:v>UNKNOWN – felmérés/gyári adat kell</x:v>
      </x:c>
      <x:c r="M135" s="19" t="str">
        <x:v>Kyoto Ink: grafit / füstszürke / taupe</x:v>
      </x:c>
      <x:c r="N135" s="19" t="str">
        <x:v>PENDING – műszaki specifikáció szerint</x:v>
      </x:c>
      <x:c r="O135" s="19" t="n">
        <x:v>1</x:v>
      </x:c>
      <x:c r="P135" s="19" t="str">
        <x:v>csomag</x:v>
      </x:c>
      <x:c r="Q135" s="20" t="n">
        <x:v>40000</x:v>
      </x:c>
      <x:c r="R135" s="20" t="n">
        <x:v>0</x:v>
      </x:c>
      <x:c r="S135" s="20" t="n">
        <x:v>0</x:v>
      </x:c>
      <x:c r="T135" s="20" t="n">
        <x:v>0</x:v>
      </x:c>
      <x:c r="U135" s="21" t="n">
        <x:f>O135*Q135+SUM(R135:T135)</x:f>
        <x:v>40000</x:v>
      </x:c>
      <x:c r="V135" s="19" t="str">
        <x:v>előzetes becslés</x:v>
      </x:c>
      <x:c r="W135" s="19" t="str">
        <x:v>CP0 tervezői előirányzat, nem webshopár; baseline 12</x:v>
      </x:c>
      <x:c r="X135" s="19" t="str">
        <x:v>2026-10-26</x:v>
      </x:c>
      <x:c r="Y135" s="19" t="str">
        <x:v>UNKNOWN – ajánlatban visszaigazolandó</x:v>
      </x:c>
      <x:c r="Z135" s="19" t="str">
        <x:v>B</x:v>
      </x:c>
      <x:c r="AA135" s="19" t="str">
        <x:v>PENDING</x:v>
      </x:c>
      <x:c r="AB135" s="19" t="str">
        <x:v>PENDING</x:v>
      </x:c>
      <x:c r="AC135" s="19" t="str">
        <x:v>nem megrendelt</x:v>
      </x:c>
      <x:c r="AD135" s="19" t="str">
        <x:v>Beszerzési felelős / Péter</x:v>
      </x:c>
      <x:c r="AE135" s="19" t="str">
        <x:v>PENDING – méret, csatlakozás, anyagminta, teljes bekerülés</x:v>
      </x:c>
      <x:c r="AF135" s="19" t="str">
        <x:v>CP0 becslési csomag: segédanyag és munkadíj a megnevezett tartalom szerint; külön szállítás a 14 sorban. Nem ingyenes szállítás.</x:v>
      </x:c>
      <x:c r="AG135" s="20" t="n">
        <x:v>40000</x:v>
      </x:c>
      <x:c r="AH135" s="21" t="n">
        <x:f>O135*AG135+SUM(R135:T135)</x:f>
        <x:v>40000</x:v>
      </x:c>
      <x:c r="AI135" s="19" t="str">
        <x:v>PENDING</x:v>
      </x:c>
      <x:c r="AJ135" s="19" t="str">
        <x:v>PENDING</x:v>
      </x:c>
      <x:c r="AK135" s="19" t="str">
        <x:v>PENDING</x:v>
      </x:c>
      <x:c r="AL135" s="19" t="str">
        <x:v>PENDING</x:v>
      </x:c>
      <x:c r="AM135" s="19" t="str">
        <x:v>PENDING</x:v>
      </x:c>
      <x:c r="AN135" s="1" t="str">
        <x:v>KI-134</x:v>
      </x:c>
      <x:c r="AO135" s="1" t="str">
        <x:v>drawings/P-01_alaprajz.pdf</x:v>
      </x:c>
      <x:c r="AP135" s="1" t="str">
        <x:v>NINCS MODELL / nem térbeli költségsor; szakági kapcsolat igazolandó</x:v>
      </x:c>
      <x:c r="AQ135" s="1" t="str">
        <x:v>késztermék / szakági munka</x:v>
      </x:c>
      <x:c r="AR135" s="1" t="str">
        <x:v>felmérés/gyártói rajz szükséges</x:v>
      </x:c>
      <x:c r="AS135" s="1" t="str">
        <x:v>HUF</x:v>
      </x:c>
      <x:c r="AT135" s="1" t="n">
        <x:v>1</x:v>
      </x:c>
      <x:c r="AU135" s="1" t="str">
        <x:v>nincs visszaigazolt ajánlati érvényesség</x:v>
      </x:c>
      <x:c r="AV135" s="1" t="str">
        <x:v>KI-151 központi keret; daruzás KI-137</x:v>
      </x:c>
      <x:c r="AW135" s="1" t="str">
        <x:v>KI-014 asztalos / KI-106 villamos / KI-026 és KI-096 víz / KI-127 fal</x:v>
      </x:c>
      <x:c r="AX135" s="1" t="n">
        <x:v>6</x:v>
      </x:c>
      <x:c r="AY135" s="1" t="n">
        <x:v>0.85</x:v>
      </x:c>
      <x:c r="AZ135" s="1" t="n">
        <x:v>1.3</x:v>
      </x:c>
      <x:c r="BA135" s="29" t="n">
        <x:f>ROUND(U135*AY135,0)</x:f>
        <x:v>34000</x:v>
      </x:c>
      <x:c r="BB135" s="29" t="n">
        <x:f>ROUND(U135*AZ135,0)</x:f>
        <x:v>52000</x:v>
      </x:c>
    </x:row>
    <x:row r="136" ht="72" customHeight="1">
      <x:c r="A136" s="12" t="str">
        <x:v>A-902</x:v>
      </x:c>
      <x:c r="B136" s="12" t="str">
        <x:v>04</x:v>
      </x:c>
      <x:c r="C136" s="12" t="str">
        <x:v>KI-135</x:v>
      </x:c>
      <x:c r="D136" s="12" t="str">
        <x:v>Cam12 v1; Cam02 v1</x:v>
      </x:c>
      <x:c r="E136" s="12" t="str">
        <x:v>12</x:v>
      </x:c>
      <x:c r="F136" s="12" t="str">
        <x:v>STÍLUS</x:v>
      </x:c>
      <x:c r="G136" s="12" t="str">
        <x:v>Művészet</x:v>
      </x:c>
      <x:c r="H136" s="19" t="str">
        <x:v>Kerámiák, művészeti könyvek és kisebb növények</x:v>
      </x:c>
      <x:c r="I136" s="19" t="str">
        <x:v>UNKNOWN</x:v>
      </x:c>
      <x:c r="J136" s="19" t="str">
        <x:v>UNKNOWN</x:v>
      </x:c>
      <x:c r="K136" s="19" t="str">
        <x:v>UNKNOWN</x:v>
      </x:c>
      <x:c r="L136" s="19" t="str">
        <x:v>UNKNOWN – felmérés/gyári adat kell</x:v>
      </x:c>
      <x:c r="M136" s="19" t="str">
        <x:v>Kyoto Ink: grafit / füstszürke / taupe</x:v>
      </x:c>
      <x:c r="N136" s="19" t="str">
        <x:v>PENDING – műszaki specifikáció szerint</x:v>
      </x:c>
      <x:c r="O136" s="19" t="n">
        <x:v>1</x:v>
      </x:c>
      <x:c r="P136" s="19" t="str">
        <x:v>csomag</x:v>
      </x:c>
      <x:c r="Q136" s="20" t="n">
        <x:v>50000</x:v>
      </x:c>
      <x:c r="R136" s="20" t="n">
        <x:v>0</x:v>
      </x:c>
      <x:c r="S136" s="20" t="n">
        <x:v>0</x:v>
      </x:c>
      <x:c r="T136" s="20" t="n">
        <x:v>0</x:v>
      </x:c>
      <x:c r="U136" s="21" t="n">
        <x:f>O136*Q136+SUM(R136:T136)</x:f>
        <x:v>50000</x:v>
      </x:c>
      <x:c r="V136" s="19" t="str">
        <x:v>előzetes becslés</x:v>
      </x:c>
      <x:c r="W136" s="19" t="str">
        <x:v>CP0 tervezői előirányzat, nem webshopár; baseline 12</x:v>
      </x:c>
      <x:c r="X136" s="19" t="str">
        <x:v>2026-10-26</x:v>
      </x:c>
      <x:c r="Y136" s="19" t="str">
        <x:v>UNKNOWN – ajánlatban visszaigazolandó</x:v>
      </x:c>
      <x:c r="Z136" s="19" t="str">
        <x:v>B</x:v>
      </x:c>
      <x:c r="AA136" s="19" t="str">
        <x:v>PENDING</x:v>
      </x:c>
      <x:c r="AB136" s="19" t="str">
        <x:v>PENDING</x:v>
      </x:c>
      <x:c r="AC136" s="19" t="str">
        <x:v>nem megrendelt</x:v>
      </x:c>
      <x:c r="AD136" s="19" t="str">
        <x:v>Beszerzési felelős / Péter</x:v>
      </x:c>
      <x:c r="AE136" s="19" t="str">
        <x:v>PENDING – méret, csatlakozás, anyagminta, teljes bekerülés</x:v>
      </x:c>
      <x:c r="AF136" s="19" t="str">
        <x:v>CP0 becslési csomag: segédanyag és munkadíj a megnevezett tartalom szerint; külön szállítás a 14 sorban. Nem ingyenes szállítás.</x:v>
      </x:c>
      <x:c r="AG136" s="20" t="n">
        <x:v>50000</x:v>
      </x:c>
      <x:c r="AH136" s="21" t="n">
        <x:f>O136*AG136+SUM(R136:T136)</x:f>
        <x:v>50000</x:v>
      </x:c>
      <x:c r="AI136" s="19" t="str">
        <x:v>PENDING</x:v>
      </x:c>
      <x:c r="AJ136" s="19" t="str">
        <x:v>PENDING</x:v>
      </x:c>
      <x:c r="AK136" s="19" t="str">
        <x:v>PENDING</x:v>
      </x:c>
      <x:c r="AL136" s="19" t="str">
        <x:v>PENDING</x:v>
      </x:c>
      <x:c r="AM136" s="19" t="str">
        <x:v>PENDING</x:v>
      </x:c>
      <x:c r="AN136" s="1" t="str">
        <x:v>KI-135</x:v>
      </x:c>
      <x:c r="AO136" s="1" t="str">
        <x:v>drawings/P-01_alaprajz.pdf</x:v>
      </x:c>
      <x:c r="AP136" s="1" t="str">
        <x:v>NINCS MODELL / nem térbeli költségsor; szakági kapcsolat igazolandó</x:v>
      </x:c>
      <x:c r="AQ136" s="1" t="str">
        <x:v>késztermék / szakági munka</x:v>
      </x:c>
      <x:c r="AR136" s="1" t="str">
        <x:v>felmérés/gyártói rajz szükséges</x:v>
      </x:c>
      <x:c r="AS136" s="1" t="str">
        <x:v>HUF</x:v>
      </x:c>
      <x:c r="AT136" s="1" t="n">
        <x:v>1</x:v>
      </x:c>
      <x:c r="AU136" s="1" t="str">
        <x:v>nincs visszaigazolt ajánlati érvényesség</x:v>
      </x:c>
      <x:c r="AV136" s="1" t="str">
        <x:v>KI-151 központi keret; daruzás KI-137</x:v>
      </x:c>
      <x:c r="AW136" s="1" t="str">
        <x:v>KI-014 asztalos / KI-106 villamos / KI-026 és KI-096 víz / KI-127 fal</x:v>
      </x:c>
      <x:c r="AX136" s="1" t="n">
        <x:v>6</x:v>
      </x:c>
      <x:c r="AY136" s="1" t="n">
        <x:v>0.85</x:v>
      </x:c>
      <x:c r="AZ136" s="1" t="n">
        <x:v>1.3</x:v>
      </x:c>
      <x:c r="BA136" s="29" t="n">
        <x:f>ROUND(U136*AY136,0)</x:f>
        <x:v>42500</x:v>
      </x:c>
      <x:c r="BB136" s="29" t="n">
        <x:f>ROUND(U136*AZ136,0)</x:f>
        <x:v>65000</x:v>
      </x:c>
    </x:row>
    <x:row r="137" ht="72" customHeight="1">
      <x:c r="A137" s="12" t="str">
        <x:v>A-902</x:v>
      </x:c>
      <x:c r="B137" s="12" t="str">
        <x:v>09 terasz Ny</x:v>
      </x:c>
      <x:c r="C137" s="12" t="str">
        <x:v>KI-136</x:v>
      </x:c>
      <x:c r="D137" s="12" t="str">
        <x:v>NEM RENDERELT</x:v>
      </x:c>
      <x:c r="E137" s="12" t="str">
        <x:v>13a</x:v>
      </x:c>
      <x:c r="F137" s="12" t="str">
        <x:v>FIX</x:v>
      </x:c>
      <x:c r="G137" s="12" t="str">
        <x:v>Kert és terasz</x:v>
      </x:c>
      <x:c r="H137" s="19" t="str">
        <x:v>Jakuzzi – régi fix baseline feltételes kerete</x:v>
      </x:c>
      <x:c r="I137" s="19" t="str">
        <x:v>UNKNOWN</x:v>
      </x:c>
      <x:c r="J137" s="19" t="str">
        <x:v>UNKNOWN</x:v>
      </x:c>
      <x:c r="K137" s="19" t="str">
        <x:v>UNKNOWN</x:v>
      </x:c>
      <x:c r="L137" s="19" t="str">
        <x:v>UNKNOWN – felmérés/gyári adat kell</x:v>
      </x:c>
      <x:c r="M137" s="19" t="str">
        <x:v>Kyoto Ink: grafit / füstszürke / taupe</x:v>
      </x:c>
      <x:c r="N137" s="19" t="str">
        <x:v>PENDING – műszaki specifikáció szerint</x:v>
      </x:c>
      <x:c r="O137" s="19" t="n">
        <x:v>1</x:v>
      </x:c>
      <x:c r="P137" s="19" t="str">
        <x:v>csomag</x:v>
      </x:c>
      <x:c r="Q137" s="20" t="n">
        <x:v>1700000</x:v>
      </x:c>
      <x:c r="R137" s="20" t="n">
        <x:v>0</x:v>
      </x:c>
      <x:c r="S137" s="20" t="n">
        <x:v>0</x:v>
      </x:c>
      <x:c r="T137" s="20" t="n">
        <x:v>0</x:v>
      </x:c>
      <x:c r="U137" s="21" t="n">
        <x:f>O137*Q137+SUM(R137:T137)</x:f>
        <x:v>1700000</x:v>
      </x:c>
      <x:c r="V137" s="19" t="str">
        <x:v>előzetes becslés</x:v>
      </x:c>
      <x:c r="W137" s="19" t="str">
        <x:v>CP0 tervezői előirányzat, nem webshopár; baseline 13a</x:v>
      </x:c>
      <x:c r="X137" s="19" t="str">
        <x:v>2026-10-26</x:v>
      </x:c>
      <x:c r="Y137" s="19" t="str">
        <x:v>UNKNOWN – ajánlatban visszaigazolandó</x:v>
      </x:c>
      <x:c r="Z137" s="19" t="str">
        <x:v>C</x:v>
      </x:c>
      <x:c r="AA137" s="19" t="str">
        <x:v>PENDING</x:v>
      </x:c>
      <x:c r="AB137" s="19" t="str">
        <x:v>PENDING</x:v>
      </x:c>
      <x:c r="AC137" s="19" t="str">
        <x:v>nem megrendelt</x:v>
      </x:c>
      <x:c r="AD137" s="19" t="str">
        <x:v>Kültéri kivitelező / statikus</x:v>
      </x:c>
      <x:c r="AE137" s="19" t="str">
        <x:v>PENDING – méret, csatlakozás, anyagminta, teljes bekerülés</x:v>
      </x:c>
      <x:c r="AF137" s="19" t="str">
        <x:v>CP0 becslési csomag: segédanyag és munkadíj a megnevezett tartalom szerint; külön szállítás a 14 sorban. Nem ingyenes szállítás.</x:v>
      </x:c>
      <x:c r="AG137" s="20" t="n">
        <x:v>1700000</x:v>
      </x:c>
      <x:c r="AH137" s="21" t="n">
        <x:f>O137*AG137+SUM(R137:T137)</x:f>
        <x:v>1700000</x:v>
      </x:c>
      <x:c r="AI137" s="19" t="str">
        <x:v>PENDING</x:v>
      </x:c>
      <x:c r="AJ137" s="19" t="str">
        <x:v>PENDING</x:v>
      </x:c>
      <x:c r="AK137" s="19" t="str">
        <x:v>PENDING</x:v>
      </x:c>
      <x:c r="AL137" s="19" t="str">
        <x:v>PENDING</x:v>
      </x:c>
      <x:c r="AM137" s="19" t="str">
        <x:v>PENDING</x:v>
      </x:c>
      <x:c r="AN137" s="1" t="str">
        <x:v>KI-136</x:v>
      </x:c>
      <x:c r="AO137" s="1" t="str">
        <x:v>drawings/P-01_alaprajz.pdf</x:v>
      </x:c>
      <x:c r="AP137" s="1" t="str">
        <x:v>KI_KI-136</x:v>
      </x:c>
      <x:c r="AQ137" s="1" t="str">
        <x:v>késztermék / szakági munka</x:v>
      </x:c>
      <x:c r="AR137" s="1" t="str">
        <x:v>felmérés/gyártói rajz szükséges</x:v>
      </x:c>
      <x:c r="AS137" s="1" t="str">
        <x:v>HUF</x:v>
      </x:c>
      <x:c r="AT137" s="1" t="n">
        <x:v>1</x:v>
      </x:c>
      <x:c r="AU137" s="1" t="str">
        <x:v>nincs visszaigazolt ajánlati érvényesség</x:v>
      </x:c>
      <x:c r="AV137" s="1" t="str">
        <x:v>KI-151 központi keret; daruzás KI-137</x:v>
      </x:c>
      <x:c r="AW137" s="1" t="str">
        <x:v>KI-014 asztalos / KI-106 villamos / KI-026 és KI-096 víz / KI-127 fal</x:v>
      </x:c>
      <x:c r="AX137" s="1" t="n">
        <x:v>6</x:v>
      </x:c>
      <x:c r="AY137" s="1" t="n">
        <x:v>0.85</x:v>
      </x:c>
      <x:c r="AZ137" s="1" t="n">
        <x:v>1.6</x:v>
      </x:c>
      <x:c r="BA137" s="29" t="n">
        <x:f>ROUND(U137*AY137,0)</x:f>
        <x:v>1445000</x:v>
      </x:c>
      <x:c r="BB137" s="29" t="n">
        <x:f>ROUND(U137*AZ137,0)</x:f>
        <x:v>2720000</x:v>
      </x:c>
    </x:row>
    <x:row r="138" ht="72" customHeight="1">
      <x:c r="A138" s="12" t="str">
        <x:v>A-902</x:v>
      </x:c>
      <x:c r="B138" s="12" t="str">
        <x:v>09 terasz Ny</x:v>
      </x:c>
      <x:c r="C138" s="12" t="str">
        <x:v>KI-137</x:v>
      </x:c>
      <x:c r="D138" s="12" t="str">
        <x:v>NEM RENDERELT</x:v>
      </x:c>
      <x:c r="E138" s="12" t="str">
        <x:v>13b</x:v>
      </x:c>
      <x:c r="F138" s="12" t="str">
        <x:v>FIX</x:v>
      </x:c>
      <x:c r="G138" s="12" t="str">
        <x:v>Kert és terasz</x:v>
      </x:c>
      <x:c r="H138" s="19" t="str">
        <x:v>Jakuzzi daruzás, szállítás és bekötés – feltételes</x:v>
      </x:c>
      <x:c r="I138" s="19" t="str">
        <x:v>UNKNOWN</x:v>
      </x:c>
      <x:c r="J138" s="19" t="str">
        <x:v>UNKNOWN</x:v>
      </x:c>
      <x:c r="K138" s="19" t="str">
        <x:v>UNKNOWN</x:v>
      </x:c>
      <x:c r="L138" s="19" t="str">
        <x:v>UNKNOWN – felmérés/gyári adat kell</x:v>
      </x:c>
      <x:c r="M138" s="19" t="str">
        <x:v>Kyoto Ink: grafit / füstszürke / taupe</x:v>
      </x:c>
      <x:c r="N138" s="19" t="str">
        <x:v>PENDING – műszaki specifikáció szerint</x:v>
      </x:c>
      <x:c r="O138" s="19" t="n">
        <x:v>1</x:v>
      </x:c>
      <x:c r="P138" s="19" t="str">
        <x:v>csomag</x:v>
      </x:c>
      <x:c r="Q138" s="20" t="n">
        <x:v>300000</x:v>
      </x:c>
      <x:c r="R138" s="20" t="n">
        <x:v>0</x:v>
      </x:c>
      <x:c r="S138" s="20" t="n">
        <x:v>0</x:v>
      </x:c>
      <x:c r="T138" s="20" t="n">
        <x:v>0</x:v>
      </x:c>
      <x:c r="U138" s="21" t="n">
        <x:f>O138*Q138+SUM(R138:T138)</x:f>
        <x:v>300000</x:v>
      </x:c>
      <x:c r="V138" s="19" t="str">
        <x:v>előzetes becslés</x:v>
      </x:c>
      <x:c r="W138" s="19" t="str">
        <x:v>CP0 tervezői előirányzat, nem webshopár; baseline 13b</x:v>
      </x:c>
      <x:c r="X138" s="19" t="str">
        <x:v>2026-10-26</x:v>
      </x:c>
      <x:c r="Y138" s="19" t="str">
        <x:v>UNKNOWN – ajánlatban visszaigazolandó</x:v>
      </x:c>
      <x:c r="Z138" s="19" t="str">
        <x:v>C</x:v>
      </x:c>
      <x:c r="AA138" s="19" t="str">
        <x:v>PENDING</x:v>
      </x:c>
      <x:c r="AB138" s="19" t="str">
        <x:v>PENDING</x:v>
      </x:c>
      <x:c r="AC138" s="19" t="str">
        <x:v>nem megrendelt</x:v>
      </x:c>
      <x:c r="AD138" s="19" t="str">
        <x:v>Kültéri kivitelező / statikus</x:v>
      </x:c>
      <x:c r="AE138" s="19" t="str">
        <x:v>PENDING – méret, csatlakozás, anyagminta, teljes bekerülés</x:v>
      </x:c>
      <x:c r="AF138" s="19" t="str">
        <x:v>CP0 becslési csomag: segédanyag és munkadíj a megnevezett tartalom szerint; külön szállítás a 14 sorban. Nem ingyenes szállítás.</x:v>
      </x:c>
      <x:c r="AG138" s="20" t="n">
        <x:v>300000</x:v>
      </x:c>
      <x:c r="AH138" s="21" t="n">
        <x:f>O138*AG138+SUM(R138:T138)</x:f>
        <x:v>300000</x:v>
      </x:c>
      <x:c r="AI138" s="19" t="str">
        <x:v>PENDING</x:v>
      </x:c>
      <x:c r="AJ138" s="19" t="str">
        <x:v>PENDING</x:v>
      </x:c>
      <x:c r="AK138" s="19" t="str">
        <x:v>PENDING</x:v>
      </x:c>
      <x:c r="AL138" s="19" t="str">
        <x:v>PENDING</x:v>
      </x:c>
      <x:c r="AM138" s="19" t="str">
        <x:v>PENDING</x:v>
      </x:c>
      <x:c r="AN138" s="1" t="str">
        <x:v>KI-137</x:v>
      </x:c>
      <x:c r="AO138" s="1" t="str">
        <x:v>drawings/P-01_alaprajz.pdf</x:v>
      </x:c>
      <x:c r="AP138" s="1" t="str">
        <x:v>NINCS MODELL / nem térbeli költségsor; szakági kapcsolat igazolandó</x:v>
      </x:c>
      <x:c r="AQ138" s="1" t="str">
        <x:v>késztermék / szakági munka</x:v>
      </x:c>
      <x:c r="AR138" s="1" t="str">
        <x:v>felmérés/gyártói rajz szükséges</x:v>
      </x:c>
      <x:c r="AS138" s="1" t="str">
        <x:v>HUF</x:v>
      </x:c>
      <x:c r="AT138" s="1" t="n">
        <x:v>1</x:v>
      </x:c>
      <x:c r="AU138" s="1" t="str">
        <x:v>nincs visszaigazolt ajánlati érvényesség</x:v>
      </x:c>
      <x:c r="AV138" s="1" t="str">
        <x:v>KI-151 központi keret; daruzás KI-137</x:v>
      </x:c>
      <x:c r="AW138" s="1" t="str">
        <x:v>KI-014 asztalos / KI-106 villamos / KI-026 és KI-096 víz / KI-127 fal</x:v>
      </x:c>
      <x:c r="AX138" s="1" t="n">
        <x:v>6</x:v>
      </x:c>
      <x:c r="AY138" s="1" t="n">
        <x:v>0.85</x:v>
      </x:c>
      <x:c r="AZ138" s="1" t="n">
        <x:v>1.6</x:v>
      </x:c>
      <x:c r="BA138" s="29" t="n">
        <x:f>ROUND(U138*AY138,0)</x:f>
        <x:v>255000</x:v>
      </x:c>
      <x:c r="BB138" s="29" t="n">
        <x:f>ROUND(U138*AZ138,0)</x:f>
        <x:v>480000</x:v>
      </x:c>
    </x:row>
    <x:row r="139" ht="72" customHeight="1">
      <x:c r="A139" s="12" t="str">
        <x:v>A-902</x:v>
      </x:c>
      <x:c r="B139" s="12" t="str">
        <x:v>10 terasz K</x:v>
      </x:c>
      <x:c r="C139" s="12" t="str">
        <x:v>KI-138</x:v>
      </x:c>
      <x:c r="D139" s="12" t="str">
        <x:v>NEM RENDERELT</x:v>
      </x:c>
      <x:c r="E139" s="12" t="str">
        <x:v>13c</x:v>
      </x:c>
      <x:c r="F139" s="12" t="str">
        <x:v>FIX</x:v>
      </x:c>
      <x:c r="G139" s="12" t="str">
        <x:v>Bútor</x:v>
      </x:c>
      <x:c r="H139" s="19" t="str">
        <x:v>Kültéri lounge-kanapé és párnák</x:v>
      </x:c>
      <x:c r="I139" s="19" t="str">
        <x:v>UNKNOWN</x:v>
      </x:c>
      <x:c r="J139" s="19" t="str">
        <x:v>UNKNOWN</x:v>
      </x:c>
      <x:c r="K139" s="19" t="str">
        <x:v>UNKNOWN</x:v>
      </x:c>
      <x:c r="L139" s="19" t="str">
        <x:v>UNKNOWN – felmérés/gyári adat kell</x:v>
      </x:c>
      <x:c r="M139" s="19" t="str">
        <x:v>Kyoto Ink: grafit / füstszürke / taupe</x:v>
      </x:c>
      <x:c r="N139" s="19" t="str">
        <x:v>PENDING – műszaki specifikáció szerint</x:v>
      </x:c>
      <x:c r="O139" s="19" t="n">
        <x:v>1</x:v>
      </x:c>
      <x:c r="P139" s="19" t="str">
        <x:v>csomag</x:v>
      </x:c>
      <x:c r="Q139" s="20" t="n">
        <x:v>350000</x:v>
      </x:c>
      <x:c r="R139" s="20" t="n">
        <x:v>0</x:v>
      </x:c>
      <x:c r="S139" s="20" t="n">
        <x:v>0</x:v>
      </x:c>
      <x:c r="T139" s="20" t="n">
        <x:v>0</x:v>
      </x:c>
      <x:c r="U139" s="21" t="n">
        <x:f>O139*Q139+SUM(R139:T139)</x:f>
        <x:v>350000</x:v>
      </x:c>
      <x:c r="V139" s="19" t="str">
        <x:v>előzetes becslés</x:v>
      </x:c>
      <x:c r="W139" s="19" t="str">
        <x:v>CP0 tervezői előirányzat, nem webshopár; baseline 13c</x:v>
      </x:c>
      <x:c r="X139" s="19" t="str">
        <x:v>2026-10-26</x:v>
      </x:c>
      <x:c r="Y139" s="19" t="str">
        <x:v>UNKNOWN – ajánlatban visszaigazolandó</x:v>
      </x:c>
      <x:c r="Z139" s="19" t="str">
        <x:v>C</x:v>
      </x:c>
      <x:c r="AA139" s="19" t="str">
        <x:v>PENDING</x:v>
      </x:c>
      <x:c r="AB139" s="19" t="str">
        <x:v>PENDING</x:v>
      </x:c>
      <x:c r="AC139" s="19" t="str">
        <x:v>nem megrendelt</x:v>
      </x:c>
      <x:c r="AD139" s="19" t="str">
        <x:v>Beszerzési felelős / Péter</x:v>
      </x:c>
      <x:c r="AE139" s="19" t="str">
        <x:v>PENDING – méret, csatlakozás, anyagminta, teljes bekerülés</x:v>
      </x:c>
      <x:c r="AF139" s="19" t="str">
        <x:v>CP0 becslési csomag: segédanyag és munkadíj a megnevezett tartalom szerint; külön szállítás a 14 sorban. Nem ingyenes szállítás.</x:v>
      </x:c>
      <x:c r="AG139" s="20" t="n">
        <x:v>350000</x:v>
      </x:c>
      <x:c r="AH139" s="21" t="n">
        <x:f>O139*AG139+SUM(R139:T139)</x:f>
        <x:v>350000</x:v>
      </x:c>
      <x:c r="AI139" s="19" t="str">
        <x:v>R05 főváltozat tartalma; korábbi fiók-/aszimmetria-elhagyás nincs automatikusan kiválasztva.</x:v>
      </x:c>
      <x:c r="AJ139" s="19" t="str">
        <x:v>PENDING</x:v>
      </x:c>
      <x:c r="AK139" s="19" t="str">
        <x:v>PENDING</x:v>
      </x:c>
      <x:c r="AL139" s="19" t="str">
        <x:v>PENDING</x:v>
      </x:c>
      <x:c r="AM139" s="19" t="str">
        <x:v>PENDING</x:v>
      </x:c>
      <x:c r="AN139" s="1" t="str">
        <x:v>KI-138</x:v>
      </x:c>
      <x:c r="AO139" s="1" t="str">
        <x:v>drawings/P-01_alaprajz.pdf</x:v>
      </x:c>
      <x:c r="AP139" s="1" t="str">
        <x:v>KI_KI-138</x:v>
      </x:c>
      <x:c r="AQ139" s="1" t="str">
        <x:v>késztermék / szakági munka</x:v>
      </x:c>
      <x:c r="AR139" s="1" t="str">
        <x:v>felmérés/gyártói rajz szükséges</x:v>
      </x:c>
      <x:c r="AS139" s="1" t="str">
        <x:v>HUF</x:v>
      </x:c>
      <x:c r="AT139" s="1" t="n">
        <x:v>1</x:v>
      </x:c>
      <x:c r="AU139" s="1" t="str">
        <x:v>nincs visszaigazolt ajánlati érvényesség</x:v>
      </x:c>
      <x:c r="AV139" s="1" t="str">
        <x:v>KI-151 központi keret; daruzás KI-137</x:v>
      </x:c>
      <x:c r="AW139" s="1" t="str">
        <x:v>KI-014 asztalos / KI-106 villamos / KI-026 és KI-096 víz / KI-127 fal</x:v>
      </x:c>
      <x:c r="AX139" s="1" t="n">
        <x:v>6</x:v>
      </x:c>
      <x:c r="AY139" s="1" t="n">
        <x:v>0.85</x:v>
      </x:c>
      <x:c r="AZ139" s="1" t="n">
        <x:v>1.3</x:v>
      </x:c>
      <x:c r="BA139" s="29" t="n">
        <x:f>ROUND(U139*AY139,0)</x:f>
        <x:v>297500</x:v>
      </x:c>
      <x:c r="BB139" s="29" t="n">
        <x:f>ROUND(U139*AZ139,0)</x:f>
        <x:v>455000</x:v>
      </x:c>
    </x:row>
    <x:row r="140" ht="72" customHeight="1">
      <x:c r="A140" s="12" t="str">
        <x:v>A-902</x:v>
      </x:c>
      <x:c r="B140" s="12" t="str">
        <x:v>10 terasz K</x:v>
      </x:c>
      <x:c r="C140" s="12" t="str">
        <x:v>KI-139</x:v>
      </x:c>
      <x:c r="D140" s="12" t="str">
        <x:v>NEM RENDERELT</x:v>
      </x:c>
      <x:c r="E140" s="12" t="str">
        <x:v>13c</x:v>
      </x:c>
      <x:c r="F140" s="12" t="str">
        <x:v>FIX</x:v>
      </x:c>
      <x:c r="G140" s="12" t="str">
        <x:v>Bútor</x:v>
      </x:c>
      <x:c r="H140" s="19" t="str">
        <x:v>Két kültéri fotel és párnák</x:v>
      </x:c>
      <x:c r="I140" s="19" t="str">
        <x:v>UNKNOWN</x:v>
      </x:c>
      <x:c r="J140" s="19" t="str">
        <x:v>UNKNOWN</x:v>
      </x:c>
      <x:c r="K140" s="19" t="str">
        <x:v>UNKNOWN</x:v>
      </x:c>
      <x:c r="L140" s="19" t="str">
        <x:v>UNKNOWN – felmérés/gyári adat kell</x:v>
      </x:c>
      <x:c r="M140" s="19" t="str">
        <x:v>Kyoto Ink: grafit / füstszürke / taupe</x:v>
      </x:c>
      <x:c r="N140" s="19" t="str">
        <x:v>PENDING – műszaki specifikáció szerint</x:v>
      </x:c>
      <x:c r="O140" s="19" t="n">
        <x:v>1</x:v>
      </x:c>
      <x:c r="P140" s="19" t="str">
        <x:v>csomag</x:v>
      </x:c>
      <x:c r="Q140" s="20" t="n">
        <x:v>180000</x:v>
      </x:c>
      <x:c r="R140" s="20" t="n">
        <x:v>0</x:v>
      </x:c>
      <x:c r="S140" s="20" t="n">
        <x:v>0</x:v>
      </x:c>
      <x:c r="T140" s="20" t="n">
        <x:v>0</x:v>
      </x:c>
      <x:c r="U140" s="21" t="n">
        <x:f>O140*Q140+SUM(R140:T140)</x:f>
        <x:v>180000</x:v>
      </x:c>
      <x:c r="V140" s="19" t="str">
        <x:v>előzetes becslés</x:v>
      </x:c>
      <x:c r="W140" s="19" t="str">
        <x:v>CP0 tervezői előirányzat, nem webshopár; baseline 13c</x:v>
      </x:c>
      <x:c r="X140" s="19" t="str">
        <x:v>2026-10-26</x:v>
      </x:c>
      <x:c r="Y140" s="19" t="str">
        <x:v>UNKNOWN – ajánlatban visszaigazolandó</x:v>
      </x:c>
      <x:c r="Z140" s="19" t="str">
        <x:v>C</x:v>
      </x:c>
      <x:c r="AA140" s="19" t="str">
        <x:v>PENDING</x:v>
      </x:c>
      <x:c r="AB140" s="19" t="str">
        <x:v>PENDING</x:v>
      </x:c>
      <x:c r="AC140" s="19" t="str">
        <x:v>nem megrendelt</x:v>
      </x:c>
      <x:c r="AD140" s="19" t="str">
        <x:v>Beszerzési felelős / Péter</x:v>
      </x:c>
      <x:c r="AE140" s="19" t="str">
        <x:v>PENDING – méret, csatlakozás, anyagminta, teljes bekerülés</x:v>
      </x:c>
      <x:c r="AF140" s="19" t="str">
        <x:v>CP0 becslési csomag: segédanyag és munkadíj a megnevezett tartalom szerint; külön szállítás a 14 sorban. Nem ingyenes szállítás.</x:v>
      </x:c>
      <x:c r="AG140" s="20" t="n">
        <x:v>180000</x:v>
      </x:c>
      <x:c r="AH140" s="21" t="n">
        <x:f>O140*AG140+SUM(R140:T140)</x:f>
        <x:v>180000</x:v>
      </x:c>
      <x:c r="AI140" s="19" t="str">
        <x:v>Konkrét kültéri fotelvariáns hiányzik; nem számolunk bizonyítatlan megtakarítást.</x:v>
      </x:c>
      <x:c r="AJ140" s="19" t="str">
        <x:v>PENDING</x:v>
      </x:c>
      <x:c r="AK140" s="19" t="str">
        <x:v>PENDING</x:v>
      </x:c>
      <x:c r="AL140" s="19" t="str">
        <x:v>PENDING</x:v>
      </x:c>
      <x:c r="AM140" s="19" t="str">
        <x:v>PENDING</x:v>
      </x:c>
      <x:c r="AN140" s="1" t="str">
        <x:v>KI-139</x:v>
      </x:c>
      <x:c r="AO140" s="1" t="str">
        <x:v>drawings/P-01_alaprajz.pdf</x:v>
      </x:c>
      <x:c r="AP140" s="1" t="str">
        <x:v>KI_KI-139-1; KI_KI-139-2</x:v>
      </x:c>
      <x:c r="AQ140" s="1" t="str">
        <x:v>késztermék / szakági munka</x:v>
      </x:c>
      <x:c r="AR140" s="1" t="str">
        <x:v>felmérés/gyártói rajz szükséges</x:v>
      </x:c>
      <x:c r="AS140" s="1" t="str">
        <x:v>HUF</x:v>
      </x:c>
      <x:c r="AT140" s="1" t="n">
        <x:v>1</x:v>
      </x:c>
      <x:c r="AU140" s="1" t="str">
        <x:v>nincs visszaigazolt ajánlati érvényesség</x:v>
      </x:c>
      <x:c r="AV140" s="1" t="str">
        <x:v>KI-151 központi keret; daruzás KI-137</x:v>
      </x:c>
      <x:c r="AW140" s="1" t="str">
        <x:v>KI-014 asztalos / KI-106 villamos / KI-026 és KI-096 víz / KI-127 fal</x:v>
      </x:c>
      <x:c r="AX140" s="1" t="n">
        <x:v>6</x:v>
      </x:c>
      <x:c r="AY140" s="1" t="n">
        <x:v>0.85</x:v>
      </x:c>
      <x:c r="AZ140" s="1" t="n">
        <x:v>1.3</x:v>
      </x:c>
      <x:c r="BA140" s="29" t="n">
        <x:f>ROUND(U140*AY140,0)</x:f>
        <x:v>153000</x:v>
      </x:c>
      <x:c r="BB140" s="29" t="n">
        <x:f>ROUND(U140*AZ140,0)</x:f>
        <x:v>234000</x:v>
      </x:c>
    </x:row>
    <x:row r="141" ht="72" customHeight="1">
      <x:c r="A141" s="12" t="str">
        <x:v>A-902</x:v>
      </x:c>
      <x:c r="B141" s="12" t="str">
        <x:v>10 terasz K</x:v>
      </x:c>
      <x:c r="C141" s="12" t="str">
        <x:v>KI-140</x:v>
      </x:c>
      <x:c r="D141" s="12" t="str">
        <x:v>NEM RENDERELT</x:v>
      </x:c>
      <x:c r="E141" s="12" t="str">
        <x:v>13c</x:v>
      </x:c>
      <x:c r="F141" s="12" t="str">
        <x:v>FIX</x:v>
      </x:c>
      <x:c r="G141" s="12" t="str">
        <x:v>Bútor</x:v>
      </x:c>
      <x:c r="H141" s="19" t="str">
        <x:v>Kültéri dohányzóasztal</x:v>
      </x:c>
      <x:c r="I141" s="19" t="str">
        <x:v>UNKNOWN</x:v>
      </x:c>
      <x:c r="J141" s="19" t="str">
        <x:v>UNKNOWN</x:v>
      </x:c>
      <x:c r="K141" s="19" t="str">
        <x:v>UNKNOWN</x:v>
      </x:c>
      <x:c r="L141" s="19" t="str">
        <x:v>UNKNOWN – felmérés/gyári adat kell</x:v>
      </x:c>
      <x:c r="M141" s="19" t="str">
        <x:v>Kyoto Ink: grafit / füstszürke / taupe</x:v>
      </x:c>
      <x:c r="N141" s="19" t="str">
        <x:v>PENDING – műszaki specifikáció szerint</x:v>
      </x:c>
      <x:c r="O141" s="19" t="n">
        <x:v>1</x:v>
      </x:c>
      <x:c r="P141" s="19" t="str">
        <x:v>csomag</x:v>
      </x:c>
      <x:c r="Q141" s="20" t="n">
        <x:v>70000</x:v>
      </x:c>
      <x:c r="R141" s="20" t="n">
        <x:v>0</x:v>
      </x:c>
      <x:c r="S141" s="20" t="n">
        <x:v>0</x:v>
      </x:c>
      <x:c r="T141" s="20" t="n">
        <x:v>0</x:v>
      </x:c>
      <x:c r="U141" s="21" t="n">
        <x:f>O141*Q141+SUM(R141:T141)</x:f>
        <x:v>70000</x:v>
      </x:c>
      <x:c r="V141" s="19" t="str">
        <x:v>előzetes becslés</x:v>
      </x:c>
      <x:c r="W141" s="19" t="str">
        <x:v>CP0 tervezői előirányzat, nem webshopár; baseline 13c</x:v>
      </x:c>
      <x:c r="X141" s="19" t="str">
        <x:v>2026-10-26</x:v>
      </x:c>
      <x:c r="Y141" s="19" t="str">
        <x:v>UNKNOWN – ajánlatban visszaigazolandó</x:v>
      </x:c>
      <x:c r="Z141" s="19" t="str">
        <x:v>C</x:v>
      </x:c>
      <x:c r="AA141" s="19" t="str">
        <x:v>PENDING</x:v>
      </x:c>
      <x:c r="AB141" s="19" t="str">
        <x:v>PENDING</x:v>
      </x:c>
      <x:c r="AC141" s="19" t="str">
        <x:v>nem megrendelt</x:v>
      </x:c>
      <x:c r="AD141" s="19" t="str">
        <x:v>Beszerzési felelős / Péter</x:v>
      </x:c>
      <x:c r="AE141" s="19" t="str">
        <x:v>PENDING – méret, csatlakozás, anyagminta, teljes bekerülés</x:v>
      </x:c>
      <x:c r="AF141" s="19" t="str">
        <x:v>CP0 becslési csomag: segédanyag és munkadíj a megnevezett tartalom szerint; külön szállítás a 14 sorban. Nem ingyenes szállítás.</x:v>
      </x:c>
      <x:c r="AG141" s="20" t="n">
        <x:v>70000</x:v>
      </x:c>
      <x:c r="AH141" s="21" t="n">
        <x:f>O141*AG141+SUM(R141:T141)</x:f>
        <x:v>70000</x:v>
      </x:c>
      <x:c r="AI141" s="19" t="str">
        <x:v>PENDING</x:v>
      </x:c>
      <x:c r="AJ141" s="19" t="str">
        <x:v>PENDING</x:v>
      </x:c>
      <x:c r="AK141" s="19" t="str">
        <x:v>PENDING</x:v>
      </x:c>
      <x:c r="AL141" s="19" t="str">
        <x:v>PENDING</x:v>
      </x:c>
      <x:c r="AM141" s="19" t="str">
        <x:v>PENDING</x:v>
      </x:c>
      <x:c r="AN141" s="1" t="str">
        <x:v>KI-140</x:v>
      </x:c>
      <x:c r="AO141" s="1" t="str">
        <x:v>drawings/P-01_alaprajz.pdf</x:v>
      </x:c>
      <x:c r="AP141" s="1" t="str">
        <x:v>KI_KI-140</x:v>
      </x:c>
      <x:c r="AQ141" s="1" t="str">
        <x:v>késztermék / szakági munka</x:v>
      </x:c>
      <x:c r="AR141" s="1" t="str">
        <x:v>felmérés/gyártói rajz szükséges</x:v>
      </x:c>
      <x:c r="AS141" s="1" t="str">
        <x:v>HUF</x:v>
      </x:c>
      <x:c r="AT141" s="1" t="n">
        <x:v>1</x:v>
      </x:c>
      <x:c r="AU141" s="1" t="str">
        <x:v>nincs visszaigazolt ajánlati érvényesség</x:v>
      </x:c>
      <x:c r="AV141" s="1" t="str">
        <x:v>KI-151 központi keret; daruzás KI-137</x:v>
      </x:c>
      <x:c r="AW141" s="1" t="str">
        <x:v>KI-014 asztalos / KI-106 villamos / KI-026 és KI-096 víz / KI-127 fal</x:v>
      </x:c>
      <x:c r="AX141" s="1" t="n">
        <x:v>6</x:v>
      </x:c>
      <x:c r="AY141" s="1" t="n">
        <x:v>0.85</x:v>
      </x:c>
      <x:c r="AZ141" s="1" t="n">
        <x:v>1.3</x:v>
      </x:c>
      <x:c r="BA141" s="29" t="n">
        <x:f>ROUND(U141*AY141,0)</x:f>
        <x:v>59500</x:v>
      </x:c>
      <x:c r="BB141" s="29" t="n">
        <x:f>ROUND(U141*AZ141,0)</x:f>
        <x:v>91000</x:v>
      </x:c>
    </x:row>
    <x:row r="142" ht="72" customHeight="1">
      <x:c r="A142" s="12" t="str">
        <x:v>A-902</x:v>
      </x:c>
      <x:c r="B142" s="12" t="str">
        <x:v>10 terasz K</x:v>
      </x:c>
      <x:c r="C142" s="12" t="str">
        <x:v>KI-141</x:v>
      </x:c>
      <x:c r="D142" s="12" t="str">
        <x:v>NEM RENDERELT</x:v>
      </x:c>
      <x:c r="E142" s="12" t="str">
        <x:v>13d</x:v>
      </x:c>
      <x:c r="F142" s="12" t="str">
        <x:v>FIX</x:v>
      </x:c>
      <x:c r="G142" s="12" t="str">
        <x:v>Bútor</x:v>
      </x:c>
      <x:c r="H142" s="19" t="str">
        <x:v>Kültéri étkezőasztal</x:v>
      </x:c>
      <x:c r="I142" s="19" t="str">
        <x:v>UNKNOWN</x:v>
      </x:c>
      <x:c r="J142" s="19" t="str">
        <x:v>UNKNOWN</x:v>
      </x:c>
      <x:c r="K142" s="19" t="str">
        <x:v>UNKNOWN</x:v>
      </x:c>
      <x:c r="L142" s="19" t="str">
        <x:v>UNKNOWN – felmérés/gyári adat kell</x:v>
      </x:c>
      <x:c r="M142" s="19" t="str">
        <x:v>Kyoto Ink: grafit / füstszürke / taupe</x:v>
      </x:c>
      <x:c r="N142" s="19" t="str">
        <x:v>PENDING – műszaki specifikáció szerint</x:v>
      </x:c>
      <x:c r="O142" s="19" t="n">
        <x:v>1</x:v>
      </x:c>
      <x:c r="P142" s="19" t="str">
        <x:v>csomag</x:v>
      </x:c>
      <x:c r="Q142" s="20" t="n">
        <x:v>180000</x:v>
      </x:c>
      <x:c r="R142" s="20" t="n">
        <x:v>0</x:v>
      </x:c>
      <x:c r="S142" s="20" t="n">
        <x:v>0</x:v>
      </x:c>
      <x:c r="T142" s="20" t="n">
        <x:v>0</x:v>
      </x:c>
      <x:c r="U142" s="21" t="n">
        <x:f>O142*Q142+SUM(R142:T142)</x:f>
        <x:v>180000</x:v>
      </x:c>
      <x:c r="V142" s="19" t="str">
        <x:v>előzetes becslés</x:v>
      </x:c>
      <x:c r="W142" s="19" t="str">
        <x:v>CP0 tervezői előirányzat, nem webshopár; baseline 13d</x:v>
      </x:c>
      <x:c r="X142" s="19" t="str">
        <x:v>2026-10-26</x:v>
      </x:c>
      <x:c r="Y142" s="19" t="str">
        <x:v>UNKNOWN – ajánlatban visszaigazolandó</x:v>
      </x:c>
      <x:c r="Z142" s="19" t="str">
        <x:v>C</x:v>
      </x:c>
      <x:c r="AA142" s="19" t="str">
        <x:v>PENDING</x:v>
      </x:c>
      <x:c r="AB142" s="19" t="str">
        <x:v>PENDING</x:v>
      </x:c>
      <x:c r="AC142" s="19" t="str">
        <x:v>nem megrendelt</x:v>
      </x:c>
      <x:c r="AD142" s="19" t="str">
        <x:v>Beszerzési felelős / Péter</x:v>
      </x:c>
      <x:c r="AE142" s="19" t="str">
        <x:v>PENDING – méret, csatlakozás, anyagminta, teljes bekerülés</x:v>
      </x:c>
      <x:c r="AF142" s="19" t="str">
        <x:v>CP0 becslési csomag: segédanyag és munkadíj a megnevezett tartalom szerint; külön szállítás a 14 sorban. Nem ingyenes szállítás.</x:v>
      </x:c>
      <x:c r="AG142" s="20" t="n">
        <x:v>180000</x:v>
      </x:c>
      <x:c r="AH142" s="21" t="n">
        <x:f>O142*AG142+SUM(R142:T142)</x:f>
        <x:v>180000</x:v>
      </x:c>
      <x:c r="AI142" s="19" t="str">
        <x:v>PENDING</x:v>
      </x:c>
      <x:c r="AJ142" s="19" t="str">
        <x:v>PENDING</x:v>
      </x:c>
      <x:c r="AK142" s="19" t="str">
        <x:v>PENDING</x:v>
      </x:c>
      <x:c r="AL142" s="19" t="str">
        <x:v>PENDING</x:v>
      </x:c>
      <x:c r="AM142" s="19" t="str">
        <x:v>PENDING</x:v>
      </x:c>
      <x:c r="AN142" s="1" t="str">
        <x:v>KI-141</x:v>
      </x:c>
      <x:c r="AO142" s="1" t="str">
        <x:v>drawings/P-01_alaprajz.pdf</x:v>
      </x:c>
      <x:c r="AP142" s="1" t="str">
        <x:v>KI_KI-141</x:v>
      </x:c>
      <x:c r="AQ142" s="1" t="str">
        <x:v>késztermék / szakági munka</x:v>
      </x:c>
      <x:c r="AR142" s="1" t="str">
        <x:v>felmérés/gyártói rajz szükséges</x:v>
      </x:c>
      <x:c r="AS142" s="1" t="str">
        <x:v>HUF</x:v>
      </x:c>
      <x:c r="AT142" s="1" t="n">
        <x:v>1</x:v>
      </x:c>
      <x:c r="AU142" s="1" t="str">
        <x:v>nincs visszaigazolt ajánlati érvényesség</x:v>
      </x:c>
      <x:c r="AV142" s="1" t="str">
        <x:v>KI-151 központi keret; daruzás KI-137</x:v>
      </x:c>
      <x:c r="AW142" s="1" t="str">
        <x:v>KI-014 asztalos / KI-106 villamos / KI-026 és KI-096 víz / KI-127 fal</x:v>
      </x:c>
      <x:c r="AX142" s="1" t="n">
        <x:v>6</x:v>
      </x:c>
      <x:c r="AY142" s="1" t="n">
        <x:v>0.85</x:v>
      </x:c>
      <x:c r="AZ142" s="1" t="n">
        <x:v>1.3</x:v>
      </x:c>
      <x:c r="BA142" s="29" t="n">
        <x:f>ROUND(U142*AY142,0)</x:f>
        <x:v>153000</x:v>
      </x:c>
      <x:c r="BB142" s="29" t="n">
        <x:f>ROUND(U142*AZ142,0)</x:f>
        <x:v>234000</x:v>
      </x:c>
    </x:row>
    <x:row r="143" ht="72" customHeight="1">
      <x:c r="A143" s="12" t="str">
        <x:v>A-902</x:v>
      </x:c>
      <x:c r="B143" s="12" t="str">
        <x:v>10 terasz K</x:v>
      </x:c>
      <x:c r="C143" s="12" t="str">
        <x:v>KI-142</x:v>
      </x:c>
      <x:c r="D143" s="12" t="str">
        <x:v>NEM RENDERELT</x:v>
      </x:c>
      <x:c r="E143" s="12" t="str">
        <x:v>13d</x:v>
      </x:c>
      <x:c r="F143" s="12" t="str">
        <x:v>FIX</x:v>
      </x:c>
      <x:c r="G143" s="12" t="str">
        <x:v>Bútor</x:v>
      </x:c>
      <x:c r="H143" s="19" t="str">
        <x:v>Hat kültéri étkezőszék</x:v>
      </x:c>
      <x:c r="I143" s="19" t="str">
        <x:v>UNKNOWN</x:v>
      </x:c>
      <x:c r="J143" s="19" t="str">
        <x:v>UNKNOWN</x:v>
      </x:c>
      <x:c r="K143" s="19" t="str">
        <x:v>UNKNOWN</x:v>
      </x:c>
      <x:c r="L143" s="19" t="str">
        <x:v>UNKNOWN – felmérés/gyári adat kell</x:v>
      </x:c>
      <x:c r="M143" s="19" t="str">
        <x:v>Kyoto Ink: grafit / füstszürke / taupe</x:v>
      </x:c>
      <x:c r="N143" s="19" t="str">
        <x:v>PENDING – műszaki specifikáció szerint</x:v>
      </x:c>
      <x:c r="O143" s="19" t="n">
        <x:v>1</x:v>
      </x:c>
      <x:c r="P143" s="19" t="str">
        <x:v>csomag</x:v>
      </x:c>
      <x:c r="Q143" s="20" t="n">
        <x:v>240000</x:v>
      </x:c>
      <x:c r="R143" s="20" t="n">
        <x:v>0</x:v>
      </x:c>
      <x:c r="S143" s="20" t="n">
        <x:v>0</x:v>
      </x:c>
      <x:c r="T143" s="20" t="n">
        <x:v>0</x:v>
      </x:c>
      <x:c r="U143" s="21" t="n">
        <x:f>O143*Q143+SUM(R143:T143)</x:f>
        <x:v>240000</x:v>
      </x:c>
      <x:c r="V143" s="19" t="str">
        <x:v>előzetes becslés</x:v>
      </x:c>
      <x:c r="W143" s="19" t="str">
        <x:v>CP0 tervezői előirányzat, nem webshopár; baseline 13d</x:v>
      </x:c>
      <x:c r="X143" s="19" t="str">
        <x:v>2026-10-26</x:v>
      </x:c>
      <x:c r="Y143" s="19" t="str">
        <x:v>UNKNOWN – ajánlatban visszaigazolandó</x:v>
      </x:c>
      <x:c r="Z143" s="19" t="str">
        <x:v>C</x:v>
      </x:c>
      <x:c r="AA143" s="19" t="str">
        <x:v>PENDING</x:v>
      </x:c>
      <x:c r="AB143" s="19" t="str">
        <x:v>PENDING</x:v>
      </x:c>
      <x:c r="AC143" s="19" t="str">
        <x:v>nem megrendelt</x:v>
      </x:c>
      <x:c r="AD143" s="19" t="str">
        <x:v>Beszerzési felelős / Péter</x:v>
      </x:c>
      <x:c r="AE143" s="19" t="str">
        <x:v>PENDING – méret, csatlakozás, anyagminta, teljes bekerülés</x:v>
      </x:c>
      <x:c r="AF143" s="19" t="str">
        <x:v>CP0 becslési csomag: segédanyag és munkadíj a megnevezett tartalom szerint; külön szállítás a 14 sorban. Nem ingyenes szállítás.</x:v>
      </x:c>
      <x:c r="AG143" s="20" t="n">
        <x:v>240000</x:v>
      </x:c>
      <x:c r="AH143" s="21" t="n">
        <x:f>O143*AG143+SUM(R143:T143)</x:f>
        <x:v>240000</x:v>
      </x:c>
      <x:c r="AI143" s="19" t="str">
        <x:v>PENDING</x:v>
      </x:c>
      <x:c r="AJ143" s="19" t="str">
        <x:v>PENDING</x:v>
      </x:c>
      <x:c r="AK143" s="19" t="str">
        <x:v>PENDING</x:v>
      </x:c>
      <x:c r="AL143" s="19" t="str">
        <x:v>PENDING</x:v>
      </x:c>
      <x:c r="AM143" s="19" t="str">
        <x:v>PENDING</x:v>
      </x:c>
      <x:c r="AN143" s="1" t="str">
        <x:v>KI-142</x:v>
      </x:c>
      <x:c r="AO143" s="1" t="str">
        <x:v>drawings/P-01_alaprajz.pdf</x:v>
      </x:c>
      <x:c r="AP143" s="1" t="str">
        <x:v>KI_KI-142-1; KI_KI-142-2; KI_KI-142-3; KI_KI-142-4; KI_KI-142-5; KI_KI-142-6</x:v>
      </x:c>
      <x:c r="AQ143" s="1" t="str">
        <x:v>késztermék / szakági munka</x:v>
      </x:c>
      <x:c r="AR143" s="1" t="str">
        <x:v>felmérés/gyártói rajz szükséges</x:v>
      </x:c>
      <x:c r="AS143" s="1" t="str">
        <x:v>HUF</x:v>
      </x:c>
      <x:c r="AT143" s="1" t="n">
        <x:v>1</x:v>
      </x:c>
      <x:c r="AU143" s="1" t="str">
        <x:v>nincs visszaigazolt ajánlati érvényesség</x:v>
      </x:c>
      <x:c r="AV143" s="1" t="str">
        <x:v>KI-151 központi keret; daruzás KI-137</x:v>
      </x:c>
      <x:c r="AW143" s="1" t="str">
        <x:v>KI-014 asztalos / KI-106 villamos / KI-026 és KI-096 víz / KI-127 fal</x:v>
      </x:c>
      <x:c r="AX143" s="1" t="n">
        <x:v>6</x:v>
      </x:c>
      <x:c r="AY143" s="1" t="n">
        <x:v>0.85</x:v>
      </x:c>
      <x:c r="AZ143" s="1" t="n">
        <x:v>1.3</x:v>
      </x:c>
      <x:c r="BA143" s="29" t="n">
        <x:f>ROUND(U143*AY143,0)</x:f>
        <x:v>204000</x:v>
      </x:c>
      <x:c r="BB143" s="29" t="n">
        <x:f>ROUND(U143*AZ143,0)</x:f>
        <x:v>312000</x:v>
      </x:c>
    </x:row>
    <x:row r="144" ht="72" customHeight="1">
      <x:c r="A144" s="12" t="str">
        <x:v>A-902</x:v>
      </x:c>
      <x:c r="B144" s="12" t="str">
        <x:v>10 terasz K</x:v>
      </x:c>
      <x:c r="C144" s="12" t="str">
        <x:v>KI-143</x:v>
      </x:c>
      <x:c r="D144" s="12" t="str">
        <x:v>NEM RENDERELT</x:v>
      </x:c>
      <x:c r="E144" s="12" t="str">
        <x:v>13d</x:v>
      </x:c>
      <x:c r="F144" s="12" t="str">
        <x:v>FIX</x:v>
      </x:c>
      <x:c r="G144" s="12" t="str">
        <x:v>Bútor</x:v>
      </x:c>
      <x:c r="H144" s="19" t="str">
        <x:v>Két napozó</x:v>
      </x:c>
      <x:c r="I144" s="19" t="str">
        <x:v>UNKNOWN</x:v>
      </x:c>
      <x:c r="J144" s="19" t="str">
        <x:v>UNKNOWN</x:v>
      </x:c>
      <x:c r="K144" s="19" t="str">
        <x:v>UNKNOWN</x:v>
      </x:c>
      <x:c r="L144" s="19" t="str">
        <x:v>UNKNOWN – felmérés/gyári adat kell</x:v>
      </x:c>
      <x:c r="M144" s="19" t="str">
        <x:v>Kyoto Ink: grafit / füstszürke / taupe</x:v>
      </x:c>
      <x:c r="N144" s="19" t="str">
        <x:v>PENDING – műszaki specifikáció szerint</x:v>
      </x:c>
      <x:c r="O144" s="19" t="n">
        <x:v>1</x:v>
      </x:c>
      <x:c r="P144" s="19" t="str">
        <x:v>csomag</x:v>
      </x:c>
      <x:c r="Q144" s="20" t="n">
        <x:v>130000</x:v>
      </x:c>
      <x:c r="R144" s="20" t="n">
        <x:v>0</x:v>
      </x:c>
      <x:c r="S144" s="20" t="n">
        <x:v>0</x:v>
      </x:c>
      <x:c r="T144" s="20" t="n">
        <x:v>0</x:v>
      </x:c>
      <x:c r="U144" s="21" t="n">
        <x:f>O144*Q144+SUM(R144:T144)</x:f>
        <x:v>130000</x:v>
      </x:c>
      <x:c r="V144" s="19" t="str">
        <x:v>előzetes becslés</x:v>
      </x:c>
      <x:c r="W144" s="19" t="str">
        <x:v>CP0 tervezői előirányzat, nem webshopár; baseline 13d</x:v>
      </x:c>
      <x:c r="X144" s="19" t="str">
        <x:v>2026-10-26</x:v>
      </x:c>
      <x:c r="Y144" s="19" t="str">
        <x:v>UNKNOWN – ajánlatban visszaigazolandó</x:v>
      </x:c>
      <x:c r="Z144" s="19" t="str">
        <x:v>C</x:v>
      </x:c>
      <x:c r="AA144" s="19" t="str">
        <x:v>PENDING</x:v>
      </x:c>
      <x:c r="AB144" s="19" t="str">
        <x:v>PENDING</x:v>
      </x:c>
      <x:c r="AC144" s="19" t="str">
        <x:v>nem megrendelt</x:v>
      </x:c>
      <x:c r="AD144" s="19" t="str">
        <x:v>Beszerzési felelős / Péter</x:v>
      </x:c>
      <x:c r="AE144" s="19" t="str">
        <x:v>PENDING – méret, csatlakozás, anyagminta, teljes bekerülés</x:v>
      </x:c>
      <x:c r="AF144" s="19" t="str">
        <x:v>CP0 becslési csomag: segédanyag és munkadíj a megnevezett tartalom szerint; külön szállítás a 14 sorban. Nem ingyenes szállítás.</x:v>
      </x:c>
      <x:c r="AG144" s="20" t="n">
        <x:v>130000</x:v>
      </x:c>
      <x:c r="AH144" s="21" t="n">
        <x:f>O144*AG144+SUM(R144:T144)</x:f>
        <x:v>130000</x:v>
      </x:c>
      <x:c r="AI144" s="19" t="str">
        <x:v>PENDING</x:v>
      </x:c>
      <x:c r="AJ144" s="19" t="str">
        <x:v>PENDING</x:v>
      </x:c>
      <x:c r="AK144" s="19" t="str">
        <x:v>PENDING</x:v>
      </x:c>
      <x:c r="AL144" s="19" t="str">
        <x:v>PENDING</x:v>
      </x:c>
      <x:c r="AM144" s="19" t="str">
        <x:v>PENDING</x:v>
      </x:c>
      <x:c r="AN144" s="1" t="str">
        <x:v>KI-143</x:v>
      </x:c>
      <x:c r="AO144" s="1" t="str">
        <x:v>drawings/P-01_alaprajz.pdf</x:v>
      </x:c>
      <x:c r="AP144" s="1" t="str">
        <x:v>KI_KI-143-1; KI_KI-143-2</x:v>
      </x:c>
      <x:c r="AQ144" s="1" t="str">
        <x:v>késztermék / szakági munka</x:v>
      </x:c>
      <x:c r="AR144" s="1" t="str">
        <x:v>felmérés/gyártói rajz szükséges</x:v>
      </x:c>
      <x:c r="AS144" s="1" t="str">
        <x:v>HUF</x:v>
      </x:c>
      <x:c r="AT144" s="1" t="n">
        <x:v>1</x:v>
      </x:c>
      <x:c r="AU144" s="1" t="str">
        <x:v>nincs visszaigazolt ajánlati érvényesség</x:v>
      </x:c>
      <x:c r="AV144" s="1" t="str">
        <x:v>KI-151 központi keret; daruzás KI-137</x:v>
      </x:c>
      <x:c r="AW144" s="1" t="str">
        <x:v>KI-014 asztalos / KI-106 villamos / KI-026 és KI-096 víz / KI-127 fal</x:v>
      </x:c>
      <x:c r="AX144" s="1" t="n">
        <x:v>6</x:v>
      </x:c>
      <x:c r="AY144" s="1" t="n">
        <x:v>0.85</x:v>
      </x:c>
      <x:c r="AZ144" s="1" t="n">
        <x:v>1.3</x:v>
      </x:c>
      <x:c r="BA144" s="29" t="n">
        <x:f>ROUND(U144*AY144,0)</x:f>
        <x:v>110500</x:v>
      </x:c>
      <x:c r="BB144" s="29" t="n">
        <x:f>ROUND(U144*AZ144,0)</x:f>
        <x:v>169000</x:v>
      </x:c>
    </x:row>
    <x:row r="145" ht="72" customHeight="1">
      <x:c r="A145" s="12" t="str">
        <x:v>A-902</x:v>
      </x:c>
      <x:c r="B145" s="12" t="str">
        <x:v>09 / 10 / 11 / 12 / 13 kültér</x:v>
      </x:c>
      <x:c r="C145" s="12" t="str">
        <x:v>KI-144</x:v>
      </x:c>
      <x:c r="D145" s="12" t="str">
        <x:v>NEM RENDERELT</x:v>
      </x:c>
      <x:c r="E145" s="12" t="str">
        <x:v>13e</x:v>
      </x:c>
      <x:c r="F145" s="12" t="str">
        <x:v>FIX</x:v>
      </x:c>
      <x:c r="G145" s="12" t="str">
        <x:v>Kert és terasz</x:v>
      </x:c>
      <x:c r="H145" s="19" t="str">
        <x:v>Kaspók, növények és gyökér-/vízvédelem</x:v>
      </x:c>
      <x:c r="I145" s="19" t="str">
        <x:v>UNKNOWN</x:v>
      </x:c>
      <x:c r="J145" s="19" t="str">
        <x:v>UNKNOWN</x:v>
      </x:c>
      <x:c r="K145" s="19" t="str">
        <x:v>UNKNOWN</x:v>
      </x:c>
      <x:c r="L145" s="19" t="str">
        <x:v>UNKNOWN – felmérés/gyári adat kell</x:v>
      </x:c>
      <x:c r="M145" s="19" t="str">
        <x:v>Kyoto Ink: grafit / füstszürke / taupe</x:v>
      </x:c>
      <x:c r="N145" s="19" t="str">
        <x:v>PENDING – műszaki specifikáció szerint</x:v>
      </x:c>
      <x:c r="O145" s="19" t="n">
        <x:v>1</x:v>
      </x:c>
      <x:c r="P145" s="19" t="str">
        <x:v>csomag</x:v>
      </x:c>
      <x:c r="Q145" s="20" t="n">
        <x:v>110000</x:v>
      </x:c>
      <x:c r="R145" s="20" t="n">
        <x:v>0</x:v>
      </x:c>
      <x:c r="S145" s="20" t="n">
        <x:v>0</x:v>
      </x:c>
      <x:c r="T145" s="20" t="n">
        <x:v>0</x:v>
      </x:c>
      <x:c r="U145" s="21" t="n">
        <x:f>O145*Q145+SUM(R145:T145)</x:f>
        <x:v>110000</x:v>
      </x:c>
      <x:c r="V145" s="19" t="str">
        <x:v>előzetes becslés</x:v>
      </x:c>
      <x:c r="W145" s="19" t="str">
        <x:v>CP0 tervezői előirányzat, nem webshopár; baseline 13e</x:v>
      </x:c>
      <x:c r="X145" s="19" t="str">
        <x:v>2026-10-26</x:v>
      </x:c>
      <x:c r="Y145" s="19" t="str">
        <x:v>UNKNOWN – ajánlatban visszaigazolandó</x:v>
      </x:c>
      <x:c r="Z145" s="19" t="str">
        <x:v>C</x:v>
      </x:c>
      <x:c r="AA145" s="19" t="str">
        <x:v>PENDING</x:v>
      </x:c>
      <x:c r="AB145" s="19" t="str">
        <x:v>PENDING</x:v>
      </x:c>
      <x:c r="AC145" s="19" t="str">
        <x:v>nem megrendelt</x:v>
      </x:c>
      <x:c r="AD145" s="19" t="str">
        <x:v>Kültéri kivitelező / statikus</x:v>
      </x:c>
      <x:c r="AE145" s="19" t="str">
        <x:v>PENDING – méret, csatlakozás, anyagminta, teljes bekerülés</x:v>
      </x:c>
      <x:c r="AF145" s="19" t="str">
        <x:v>CP0 becslési csomag: segédanyag és munkadíj a megnevezett tartalom szerint; külön szállítás a 14 sorban. Nem ingyenes szállítás.</x:v>
      </x:c>
      <x:c r="AG145" s="20" t="n">
        <x:v>110000</x:v>
      </x:c>
      <x:c r="AH145" s="21" t="n">
        <x:f>O145*AG145+SUM(R145:T145)</x:f>
        <x:v>110000</x:v>
      </x:c>
      <x:c r="AI145" s="19" t="str">
        <x:v>PENDING</x:v>
      </x:c>
      <x:c r="AJ145" s="19" t="str">
        <x:v>PENDING</x:v>
      </x:c>
      <x:c r="AK145" s="19" t="str">
        <x:v>PENDING</x:v>
      </x:c>
      <x:c r="AL145" s="19" t="str">
        <x:v>PENDING</x:v>
      </x:c>
      <x:c r="AM145" s="19" t="str">
        <x:v>PENDING</x:v>
      </x:c>
      <x:c r="AN145" s="1" t="str">
        <x:v>KI-144</x:v>
      </x:c>
      <x:c r="AO145" s="1" t="str">
        <x:v>drawings/P-01_alaprajz.pdf</x:v>
      </x:c>
      <x:c r="AP145" s="1" t="str">
        <x:v>NINCS MODELL / nem térbeli költségsor; szakági kapcsolat igazolandó</x:v>
      </x:c>
      <x:c r="AQ145" s="1" t="str">
        <x:v>késztermék / szakági munka</x:v>
      </x:c>
      <x:c r="AR145" s="1" t="str">
        <x:v>felmérés/gyártói rajz szükséges</x:v>
      </x:c>
      <x:c r="AS145" s="1" t="str">
        <x:v>HUF</x:v>
      </x:c>
      <x:c r="AT145" s="1" t="n">
        <x:v>1</x:v>
      </x:c>
      <x:c r="AU145" s="1" t="str">
        <x:v>nincs visszaigazolt ajánlati érvényesség</x:v>
      </x:c>
      <x:c r="AV145" s="1" t="str">
        <x:v>KI-151 központi keret; daruzás KI-137</x:v>
      </x:c>
      <x:c r="AW145" s="1" t="str">
        <x:v>KI-014 asztalos / KI-106 villamos / KI-026 és KI-096 víz / KI-127 fal</x:v>
      </x:c>
      <x:c r="AX145" s="1" t="n">
        <x:v>6</x:v>
      </x:c>
      <x:c r="AY145" s="1" t="n">
        <x:v>0.85</x:v>
      </x:c>
      <x:c r="AZ145" s="1" t="n">
        <x:v>1.3</x:v>
      </x:c>
      <x:c r="BA145" s="29" t="n">
        <x:f>ROUND(U145*AY145,0)</x:f>
        <x:v>93500</x:v>
      </x:c>
      <x:c r="BB145" s="29" t="n">
        <x:f>ROUND(U145*AZ145,0)</x:f>
        <x:v>143000</x:v>
      </x:c>
    </x:row>
    <x:row r="146" ht="72" customHeight="1">
      <x:c r="A146" s="12" t="str">
        <x:v>A-902</x:v>
      </x:c>
      <x:c r="B146" s="12" t="str">
        <x:v>09 / 10 / 11 / 12 / 13 kültér</x:v>
      </x:c>
      <x:c r="C146" s="12" t="str">
        <x:v>KI-145</x:v>
      </x:c>
      <x:c r="D146" s="12" t="str">
        <x:v>NEM RENDERELT</x:v>
      </x:c>
      <x:c r="E146" s="12" t="str">
        <x:v>13e</x:v>
      </x:c>
      <x:c r="F146" s="12" t="str">
        <x:v>FIX</x:v>
      </x:c>
      <x:c r="G146" s="12" t="str">
        <x:v>Kert és terasz</x:v>
      </x:c>
      <x:c r="H146" s="19" t="str">
        <x:v>Kültéri fények meglévő FL-pontokra</x:v>
      </x:c>
      <x:c r="I146" s="19" t="str">
        <x:v>UNKNOWN</x:v>
      </x:c>
      <x:c r="J146" s="19" t="str">
        <x:v>UNKNOWN</x:v>
      </x:c>
      <x:c r="K146" s="19" t="str">
        <x:v>UNKNOWN</x:v>
      </x:c>
      <x:c r="L146" s="19" t="str">
        <x:v>UNKNOWN – felmérés/gyári adat kell</x:v>
      </x:c>
      <x:c r="M146" s="19" t="str">
        <x:v>Kyoto Ink: grafit / füstszürke / taupe</x:v>
      </x:c>
      <x:c r="N146" s="19" t="str">
        <x:v>PENDING – műszaki specifikáció szerint</x:v>
      </x:c>
      <x:c r="O146" s="19" t="n">
        <x:v>1</x:v>
      </x:c>
      <x:c r="P146" s="19" t="str">
        <x:v>csomag</x:v>
      </x:c>
      <x:c r="Q146" s="20" t="n">
        <x:v>100000</x:v>
      </x:c>
      <x:c r="R146" s="20" t="n">
        <x:v>0</x:v>
      </x:c>
      <x:c r="S146" s="20" t="n">
        <x:v>0</x:v>
      </x:c>
      <x:c r="T146" s="20" t="n">
        <x:v>0</x:v>
      </x:c>
      <x:c r="U146" s="21" t="n">
        <x:f>O146*Q146+SUM(R146:T146)</x:f>
        <x:v>100000</x:v>
      </x:c>
      <x:c r="V146" s="19" t="str">
        <x:v>előzetes becslés</x:v>
      </x:c>
      <x:c r="W146" s="19" t="str">
        <x:v>CP0 tervezői előirányzat, nem webshopár; baseline 13e</x:v>
      </x:c>
      <x:c r="X146" s="19" t="str">
        <x:v>2026-10-26</x:v>
      </x:c>
      <x:c r="Y146" s="19" t="str">
        <x:v>UNKNOWN – ajánlatban visszaigazolandó</x:v>
      </x:c>
      <x:c r="Z146" s="19" t="str">
        <x:v>C</x:v>
      </x:c>
      <x:c r="AA146" s="19" t="str">
        <x:v>PENDING</x:v>
      </x:c>
      <x:c r="AB146" s="19" t="str">
        <x:v>PENDING</x:v>
      </x:c>
      <x:c r="AC146" s="19" t="str">
        <x:v>nem megrendelt</x:v>
      </x:c>
      <x:c r="AD146" s="19" t="str">
        <x:v>Kültéri kivitelező / statikus</x:v>
      </x:c>
      <x:c r="AE146" s="19" t="str">
        <x:v>PENDING – méret, csatlakozás, anyagminta, teljes bekerülés</x:v>
      </x:c>
      <x:c r="AF146" s="19" t="str">
        <x:v>CP0 becslési csomag: segédanyag és munkadíj a megnevezett tartalom szerint; külön szállítás a 14 sorban. Nem ingyenes szállítás.</x:v>
      </x:c>
      <x:c r="AG146" s="20" t="n">
        <x:v>100000</x:v>
      </x:c>
      <x:c r="AH146" s="21" t="n">
        <x:f>O146*AG146+SUM(R146:T146)</x:f>
        <x:v>100000</x:v>
      </x:c>
      <x:c r="AI146" s="19" t="str">
        <x:v>PENDING</x:v>
      </x:c>
      <x:c r="AJ146" s="19" t="str">
        <x:v>PENDING</x:v>
      </x:c>
      <x:c r="AK146" s="19" t="str">
        <x:v>PENDING</x:v>
      </x:c>
      <x:c r="AL146" s="19" t="str">
        <x:v>PENDING</x:v>
      </x:c>
      <x:c r="AM146" s="19" t="str">
        <x:v>PENDING</x:v>
      </x:c>
      <x:c r="AN146" s="1" t="str">
        <x:v>KI-145</x:v>
      </x:c>
      <x:c r="AO146" s="1" t="str">
        <x:v>drawings/P-01_alaprajz.pdf</x:v>
      </x:c>
      <x:c r="AP146" s="1" t="str">
        <x:v>NINCS MODELL / nem térbeli költségsor; szakági kapcsolat igazolandó</x:v>
      </x:c>
      <x:c r="AQ146" s="1" t="str">
        <x:v>késztermék / szakági munka</x:v>
      </x:c>
      <x:c r="AR146" s="1" t="str">
        <x:v>felmérés/gyártói rajz szükséges</x:v>
      </x:c>
      <x:c r="AS146" s="1" t="str">
        <x:v>HUF</x:v>
      </x:c>
      <x:c r="AT146" s="1" t="n">
        <x:v>1</x:v>
      </x:c>
      <x:c r="AU146" s="1" t="str">
        <x:v>nincs visszaigazolt ajánlati érvényesség</x:v>
      </x:c>
      <x:c r="AV146" s="1" t="str">
        <x:v>KI-151 központi keret; daruzás KI-137</x:v>
      </x:c>
      <x:c r="AW146" s="1" t="str">
        <x:v>KI-014 asztalos / KI-106 villamos / KI-026 és KI-096 víz / KI-127 fal</x:v>
      </x:c>
      <x:c r="AX146" s="1" t="n">
        <x:v>6</x:v>
      </x:c>
      <x:c r="AY146" s="1" t="n">
        <x:v>0.85</x:v>
      </x:c>
      <x:c r="AZ146" s="1" t="n">
        <x:v>1.3</x:v>
      </x:c>
      <x:c r="BA146" s="29" t="n">
        <x:f>ROUND(U146*AY146,0)</x:f>
        <x:v>85000</x:v>
      </x:c>
      <x:c r="BB146" s="29" t="n">
        <x:f>ROUND(U146*AZ146,0)</x:f>
        <x:v>130000</x:v>
      </x:c>
    </x:row>
    <x:row r="147" ht="72" customHeight="1">
      <x:c r="A147" s="12" t="str">
        <x:v>A-902</x:v>
      </x:c>
      <x:c r="B147" s="12" t="str">
        <x:v>09 / 10 / 11 / 12 / 13 kültér</x:v>
      </x:c>
      <x:c r="C147" s="12" t="str">
        <x:v>KI-146</x:v>
      </x:c>
      <x:c r="D147" s="12" t="str">
        <x:v>NEM RENDERELT</x:v>
      </x:c>
      <x:c r="E147" s="12" t="str">
        <x:v>13e</x:v>
      </x:c>
      <x:c r="F147" s="12" t="str">
        <x:v>FIX</x:v>
      </x:c>
      <x:c r="G147" s="12" t="str">
        <x:v>Kert és terasz</x:v>
      </x:c>
      <x:c r="H147" s="19" t="str">
        <x:v>Árnyékolás, igazolt szélálló rögzítéssel</x:v>
      </x:c>
      <x:c r="I147" s="19" t="str">
        <x:v>UNKNOWN</x:v>
      </x:c>
      <x:c r="J147" s="19" t="str">
        <x:v>UNKNOWN</x:v>
      </x:c>
      <x:c r="K147" s="19" t="str">
        <x:v>UNKNOWN</x:v>
      </x:c>
      <x:c r="L147" s="19" t="str">
        <x:v>UNKNOWN – felmérés/gyári adat kell</x:v>
      </x:c>
      <x:c r="M147" s="19" t="str">
        <x:v>Kyoto Ink: grafit / füstszürke / taupe</x:v>
      </x:c>
      <x:c r="N147" s="19" t="str">
        <x:v>PENDING – műszaki specifikáció szerint</x:v>
      </x:c>
      <x:c r="O147" s="19" t="n">
        <x:v>1</x:v>
      </x:c>
      <x:c r="P147" s="19" t="str">
        <x:v>csomag</x:v>
      </x:c>
      <x:c r="Q147" s="20" t="n">
        <x:v>150000</x:v>
      </x:c>
      <x:c r="R147" s="20" t="n">
        <x:v>0</x:v>
      </x:c>
      <x:c r="S147" s="20" t="n">
        <x:v>0</x:v>
      </x:c>
      <x:c r="T147" s="20" t="n">
        <x:v>0</x:v>
      </x:c>
      <x:c r="U147" s="21" t="n">
        <x:f>O147*Q147+SUM(R147:T147)</x:f>
        <x:v>150000</x:v>
      </x:c>
      <x:c r="V147" s="19" t="str">
        <x:v>előzetes becslés</x:v>
      </x:c>
      <x:c r="W147" s="19" t="str">
        <x:v>CP0 tervezői előirányzat, nem webshopár; baseline 13e</x:v>
      </x:c>
      <x:c r="X147" s="19" t="str">
        <x:v>2026-10-26</x:v>
      </x:c>
      <x:c r="Y147" s="19" t="str">
        <x:v>UNKNOWN – ajánlatban visszaigazolandó</x:v>
      </x:c>
      <x:c r="Z147" s="19" t="str">
        <x:v>C</x:v>
      </x:c>
      <x:c r="AA147" s="19" t="str">
        <x:v>PENDING</x:v>
      </x:c>
      <x:c r="AB147" s="19" t="str">
        <x:v>PENDING</x:v>
      </x:c>
      <x:c r="AC147" s="19" t="str">
        <x:v>nem megrendelt</x:v>
      </x:c>
      <x:c r="AD147" s="19" t="str">
        <x:v>Kültéri kivitelező / statikus</x:v>
      </x:c>
      <x:c r="AE147" s="19" t="str">
        <x:v>PENDING – méret, csatlakozás, anyagminta, teljes bekerülés</x:v>
      </x:c>
      <x:c r="AF147" s="19" t="str">
        <x:v>CP0 becslési csomag: segédanyag és munkadíj a megnevezett tartalom szerint; külön szállítás a 14 sorban. Nem ingyenes szállítás.</x:v>
      </x:c>
      <x:c r="AG147" s="20" t="n">
        <x:v>150000</x:v>
      </x:c>
      <x:c r="AH147" s="21" t="n">
        <x:f>O147*AG147+SUM(R147:T147)</x:f>
        <x:v>150000</x:v>
      </x:c>
      <x:c r="AI147" s="19" t="str">
        <x:v>PENDING</x:v>
      </x:c>
      <x:c r="AJ147" s="19" t="str">
        <x:v>PENDING</x:v>
      </x:c>
      <x:c r="AK147" s="19" t="str">
        <x:v>PENDING</x:v>
      </x:c>
      <x:c r="AL147" s="19" t="str">
        <x:v>PENDING</x:v>
      </x:c>
      <x:c r="AM147" s="19" t="str">
        <x:v>PENDING</x:v>
      </x:c>
      <x:c r="AN147" s="1" t="str">
        <x:v>KI-146</x:v>
      </x:c>
      <x:c r="AO147" s="1" t="str">
        <x:v>drawings/P-01_alaprajz.pdf</x:v>
      </x:c>
      <x:c r="AP147" s="1" t="str">
        <x:v>NINCS MODELL / nem térbeli költségsor; szakági kapcsolat igazolandó</x:v>
      </x:c>
      <x:c r="AQ147" s="1" t="str">
        <x:v>késztermék / szakági munka</x:v>
      </x:c>
      <x:c r="AR147" s="1" t="str">
        <x:v>felmérés/gyártói rajz szükséges</x:v>
      </x:c>
      <x:c r="AS147" s="1" t="str">
        <x:v>HUF</x:v>
      </x:c>
      <x:c r="AT147" s="1" t="n">
        <x:v>1</x:v>
      </x:c>
      <x:c r="AU147" s="1" t="str">
        <x:v>nincs visszaigazolt ajánlati érvényesség</x:v>
      </x:c>
      <x:c r="AV147" s="1" t="str">
        <x:v>KI-151 központi keret; daruzás KI-137</x:v>
      </x:c>
      <x:c r="AW147" s="1" t="str">
        <x:v>KI-014 asztalos / KI-106 villamos / KI-026 és KI-096 víz / KI-127 fal</x:v>
      </x:c>
      <x:c r="AX147" s="1" t="n">
        <x:v>6</x:v>
      </x:c>
      <x:c r="AY147" s="1" t="n">
        <x:v>0.85</x:v>
      </x:c>
      <x:c r="AZ147" s="1" t="n">
        <x:v>1.6</x:v>
      </x:c>
      <x:c r="BA147" s="29" t="n">
        <x:f>ROUND(U147*AY147,0)</x:f>
        <x:v>127500</x:v>
      </x:c>
      <x:c r="BB147" s="29" t="n">
        <x:f>ROUND(U147*AZ147,0)</x:f>
        <x:v>240000</x:v>
      </x:c>
    </x:row>
    <x:row r="148" ht="72" customHeight="1">
      <x:c r="A148" s="12" t="str">
        <x:v>A-902</x:v>
      </x:c>
      <x:c r="B148" s="12" t="str">
        <x:v>09 / 10 / 11 / 12 / 13 kültér</x:v>
      </x:c>
      <x:c r="C148" s="12" t="str">
        <x:v>KI-147</x:v>
      </x:c>
      <x:c r="D148" s="12" t="str">
        <x:v>NEM RENDERELT</x:v>
      </x:c>
      <x:c r="E148" s="12" t="str">
        <x:v>13e</x:v>
      </x:c>
      <x:c r="F148" s="12" t="str">
        <x:v>FIX</x:v>
      </x:c>
      <x:c r="G148" s="12" t="str">
        <x:v>Kert és terasz</x:v>
      </x:c>
      <x:c r="H148" s="19" t="str">
        <x:v>Kültéri párnatároló</x:v>
      </x:c>
      <x:c r="I148" s="19" t="str">
        <x:v>UNKNOWN</x:v>
      </x:c>
      <x:c r="J148" s="19" t="str">
        <x:v>UNKNOWN</x:v>
      </x:c>
      <x:c r="K148" s="19" t="str">
        <x:v>UNKNOWN</x:v>
      </x:c>
      <x:c r="L148" s="19" t="str">
        <x:v>UNKNOWN – felmérés/gyári adat kell</x:v>
      </x:c>
      <x:c r="M148" s="19" t="str">
        <x:v>Kyoto Ink: grafit / füstszürke / taupe</x:v>
      </x:c>
      <x:c r="N148" s="19" t="str">
        <x:v>PENDING – műszaki specifikáció szerint</x:v>
      </x:c>
      <x:c r="O148" s="19" t="n">
        <x:v>1</x:v>
      </x:c>
      <x:c r="P148" s="19" t="str">
        <x:v>csomag</x:v>
      </x:c>
      <x:c r="Q148" s="20" t="n">
        <x:v>60000</x:v>
      </x:c>
      <x:c r="R148" s="20" t="n">
        <x:v>0</x:v>
      </x:c>
      <x:c r="S148" s="20" t="n">
        <x:v>0</x:v>
      </x:c>
      <x:c r="T148" s="20" t="n">
        <x:v>0</x:v>
      </x:c>
      <x:c r="U148" s="21" t="n">
        <x:f>O148*Q148+SUM(R148:T148)</x:f>
        <x:v>60000</x:v>
      </x:c>
      <x:c r="V148" s="19" t="str">
        <x:v>előzetes becslés</x:v>
      </x:c>
      <x:c r="W148" s="19" t="str">
        <x:v>CP0 tervezői előirányzat, nem webshopár; baseline 13e</x:v>
      </x:c>
      <x:c r="X148" s="19" t="str">
        <x:v>2026-10-26</x:v>
      </x:c>
      <x:c r="Y148" s="19" t="str">
        <x:v>UNKNOWN – ajánlatban visszaigazolandó</x:v>
      </x:c>
      <x:c r="Z148" s="19" t="str">
        <x:v>C</x:v>
      </x:c>
      <x:c r="AA148" s="19" t="str">
        <x:v>PENDING</x:v>
      </x:c>
      <x:c r="AB148" s="19" t="str">
        <x:v>PENDING</x:v>
      </x:c>
      <x:c r="AC148" s="19" t="str">
        <x:v>nem megrendelt</x:v>
      </x:c>
      <x:c r="AD148" s="19" t="str">
        <x:v>Kültéri kivitelező / statikus</x:v>
      </x:c>
      <x:c r="AE148" s="19" t="str">
        <x:v>PENDING – méret, csatlakozás, anyagminta, teljes bekerülés</x:v>
      </x:c>
      <x:c r="AF148" s="19" t="str">
        <x:v>CP0 becslési csomag: segédanyag és munkadíj a megnevezett tartalom szerint; külön szállítás a 14 sorban. Nem ingyenes szállítás.</x:v>
      </x:c>
      <x:c r="AG148" s="20" t="n">
        <x:v>60000</x:v>
      </x:c>
      <x:c r="AH148" s="21" t="n">
        <x:f>O148*AG148+SUM(R148:T148)</x:f>
        <x:v>60000</x:v>
      </x:c>
      <x:c r="AI148" s="19" t="str">
        <x:v>PENDING</x:v>
      </x:c>
      <x:c r="AJ148" s="19" t="str">
        <x:v>PENDING</x:v>
      </x:c>
      <x:c r="AK148" s="19" t="str">
        <x:v>PENDING</x:v>
      </x:c>
      <x:c r="AL148" s="19" t="str">
        <x:v>PENDING</x:v>
      </x:c>
      <x:c r="AM148" s="19" t="str">
        <x:v>PENDING</x:v>
      </x:c>
      <x:c r="AN148" s="1" t="str">
        <x:v>KI-147</x:v>
      </x:c>
      <x:c r="AO148" s="1" t="str">
        <x:v>drawings/P-01_alaprajz.pdf</x:v>
      </x:c>
      <x:c r="AP148" s="1" t="str">
        <x:v>KI_KI-147</x:v>
      </x:c>
      <x:c r="AQ148" s="1" t="str">
        <x:v>késztermék / szakági munka</x:v>
      </x:c>
      <x:c r="AR148" s="1" t="str">
        <x:v>felmérés/gyártói rajz szükséges</x:v>
      </x:c>
      <x:c r="AS148" s="1" t="str">
        <x:v>HUF</x:v>
      </x:c>
      <x:c r="AT148" s="1" t="n">
        <x:v>1</x:v>
      </x:c>
      <x:c r="AU148" s="1" t="str">
        <x:v>nincs visszaigazolt ajánlati érvényesség</x:v>
      </x:c>
      <x:c r="AV148" s="1" t="str">
        <x:v>KI-151 központi keret; daruzás KI-137</x:v>
      </x:c>
      <x:c r="AW148" s="1" t="str">
        <x:v>KI-014 asztalos / KI-106 villamos / KI-026 és KI-096 víz / KI-127 fal</x:v>
      </x:c>
      <x:c r="AX148" s="1" t="n">
        <x:v>6</x:v>
      </x:c>
      <x:c r="AY148" s="1" t="n">
        <x:v>0.85</x:v>
      </x:c>
      <x:c r="AZ148" s="1" t="n">
        <x:v>1.3</x:v>
      </x:c>
      <x:c r="BA148" s="29" t="n">
        <x:f>ROUND(U148*AY148,0)</x:f>
        <x:v>51000</x:v>
      </x:c>
      <x:c r="BB148" s="29" t="n">
        <x:f>ROUND(U148*AZ148,0)</x:f>
        <x:v>78000</x:v>
      </x:c>
    </x:row>
    <x:row r="149" ht="72" customHeight="1">
      <x:c r="A149" s="12" t="str">
        <x:v>A-902</x:v>
      </x:c>
      <x:c r="B149" s="12" t="str">
        <x:v>09 / 10 / 11 / 12 / 13 kültér</x:v>
      </x:c>
      <x:c r="C149" s="12" t="str">
        <x:v>KI-148</x:v>
      </x:c>
      <x:c r="D149" s="12" t="str">
        <x:v>NEM RENDERELT</x:v>
      </x:c>
      <x:c r="E149" s="12" t="str">
        <x:v>13e</x:v>
      </x:c>
      <x:c r="F149" s="12" t="str">
        <x:v>FIX</x:v>
      </x:c>
      <x:c r="G149" s="12" t="str">
        <x:v>Kert és terasz</x:v>
      </x:c>
      <x:c r="H149" s="19" t="str">
        <x:v>Takaróponyva, téli tárolás és ápolószer</x:v>
      </x:c>
      <x:c r="I149" s="19" t="str">
        <x:v>UNKNOWN</x:v>
      </x:c>
      <x:c r="J149" s="19" t="str">
        <x:v>UNKNOWN</x:v>
      </x:c>
      <x:c r="K149" s="19" t="str">
        <x:v>UNKNOWN</x:v>
      </x:c>
      <x:c r="L149" s="19" t="str">
        <x:v>UNKNOWN – felmérés/gyári adat kell</x:v>
      </x:c>
      <x:c r="M149" s="19" t="str">
        <x:v>Kyoto Ink: grafit / füstszürke / taupe</x:v>
      </x:c>
      <x:c r="N149" s="19" t="str">
        <x:v>PENDING – műszaki specifikáció szerint</x:v>
      </x:c>
      <x:c r="O149" s="19" t="n">
        <x:v>1</x:v>
      </x:c>
      <x:c r="P149" s="19" t="str">
        <x:v>csomag</x:v>
      </x:c>
      <x:c r="Q149" s="20" t="n">
        <x:v>50000</x:v>
      </x:c>
      <x:c r="R149" s="20" t="n">
        <x:v>0</x:v>
      </x:c>
      <x:c r="S149" s="20" t="n">
        <x:v>0</x:v>
      </x:c>
      <x:c r="T149" s="20" t="n">
        <x:v>0</x:v>
      </x:c>
      <x:c r="U149" s="21" t="n">
        <x:f>O149*Q149+SUM(R149:T149)</x:f>
        <x:v>50000</x:v>
      </x:c>
      <x:c r="V149" s="19" t="str">
        <x:v>előzetes becslés</x:v>
      </x:c>
      <x:c r="W149" s="19" t="str">
        <x:v>CP0 tervezői előirányzat, nem webshopár; baseline 13e</x:v>
      </x:c>
      <x:c r="X149" s="19" t="str">
        <x:v>2026-10-26</x:v>
      </x:c>
      <x:c r="Y149" s="19" t="str">
        <x:v>UNKNOWN – ajánlatban visszaigazolandó</x:v>
      </x:c>
      <x:c r="Z149" s="19" t="str">
        <x:v>C</x:v>
      </x:c>
      <x:c r="AA149" s="19" t="str">
        <x:v>PENDING</x:v>
      </x:c>
      <x:c r="AB149" s="19" t="str">
        <x:v>PENDING</x:v>
      </x:c>
      <x:c r="AC149" s="19" t="str">
        <x:v>nem megrendelt</x:v>
      </x:c>
      <x:c r="AD149" s="19" t="str">
        <x:v>Kültéri kivitelező / statikus</x:v>
      </x:c>
      <x:c r="AE149" s="19" t="str">
        <x:v>PENDING – méret, csatlakozás, anyagminta, teljes bekerülés</x:v>
      </x:c>
      <x:c r="AF149" s="19" t="str">
        <x:v>CP0 becslési csomag: segédanyag és munkadíj a megnevezett tartalom szerint; külön szállítás a 14 sorban. Nem ingyenes szállítás.</x:v>
      </x:c>
      <x:c r="AG149" s="20" t="n">
        <x:v>50000</x:v>
      </x:c>
      <x:c r="AH149" s="21" t="n">
        <x:f>O149*AG149+SUM(R149:T149)</x:f>
        <x:v>50000</x:v>
      </x:c>
      <x:c r="AI149" s="19" t="str">
        <x:v>PENDING</x:v>
      </x:c>
      <x:c r="AJ149" s="19" t="str">
        <x:v>PENDING</x:v>
      </x:c>
      <x:c r="AK149" s="19" t="str">
        <x:v>PENDING</x:v>
      </x:c>
      <x:c r="AL149" s="19" t="str">
        <x:v>PENDING</x:v>
      </x:c>
      <x:c r="AM149" s="19" t="str">
        <x:v>PENDING</x:v>
      </x:c>
      <x:c r="AN149" s="1" t="str">
        <x:v>KI-148</x:v>
      </x:c>
      <x:c r="AO149" s="1" t="str">
        <x:v>drawings/P-01_alaprajz.pdf</x:v>
      </x:c>
      <x:c r="AP149" s="1" t="str">
        <x:v>NINCS MODELL / nem térbeli költségsor; szakági kapcsolat igazolandó</x:v>
      </x:c>
      <x:c r="AQ149" s="1" t="str">
        <x:v>késztermék / szakági munka</x:v>
      </x:c>
      <x:c r="AR149" s="1" t="str">
        <x:v>felmérés/gyártói rajz szükséges</x:v>
      </x:c>
      <x:c r="AS149" s="1" t="str">
        <x:v>HUF</x:v>
      </x:c>
      <x:c r="AT149" s="1" t="n">
        <x:v>1</x:v>
      </x:c>
      <x:c r="AU149" s="1" t="str">
        <x:v>nincs visszaigazolt ajánlati érvényesség</x:v>
      </x:c>
      <x:c r="AV149" s="1" t="str">
        <x:v>KI-151 központi keret; daruzás KI-137</x:v>
      </x:c>
      <x:c r="AW149" s="1" t="str">
        <x:v>KI-014 asztalos / KI-106 villamos / KI-026 és KI-096 víz / KI-127 fal</x:v>
      </x:c>
      <x:c r="AX149" s="1" t="n">
        <x:v>6</x:v>
      </x:c>
      <x:c r="AY149" s="1" t="n">
        <x:v>0.85</x:v>
      </x:c>
      <x:c r="AZ149" s="1" t="n">
        <x:v>1.3</x:v>
      </x:c>
      <x:c r="BA149" s="29" t="n">
        <x:f>ROUND(U149*AY149,0)</x:f>
        <x:v>42500</x:v>
      </x:c>
      <x:c r="BB149" s="29" t="n">
        <x:f>ROUND(U149*AZ149,0)</x:f>
        <x:v>65000</x:v>
      </x:c>
    </x:row>
    <x:row r="150" ht="72" customHeight="1">
      <x:c r="A150" s="12" t="str">
        <x:v>A-902</x:v>
      </x:c>
      <x:c r="B150" s="12" t="str">
        <x:v>09 / 10 / 11 / 12 / 13 kültér</x:v>
      </x:c>
      <x:c r="C150" s="12" t="str">
        <x:v>KI-149</x:v>
      </x:c>
      <x:c r="D150" s="12" t="str">
        <x:v>NEM RENDERELT</x:v>
      </x:c>
      <x:c r="E150" s="12" t="str">
        <x:v>13e</x:v>
      </x:c>
      <x:c r="F150" s="12" t="str">
        <x:v>FIX</x:v>
      </x:c>
      <x:c r="G150" s="12" t="str">
        <x:v>Kert és terasz</x:v>
      </x:c>
      <x:c r="H150" s="19" t="str">
        <x:v>Meglévő WPC, lépcsők, korlát és lefolyók ellenőrzése/tisztítása</x:v>
      </x:c>
      <x:c r="I150" s="19" t="str">
        <x:v>UNKNOWN</x:v>
      </x:c>
      <x:c r="J150" s="19" t="str">
        <x:v>UNKNOWN</x:v>
      </x:c>
      <x:c r="K150" s="19" t="str">
        <x:v>UNKNOWN</x:v>
      </x:c>
      <x:c r="L150" s="19" t="str">
        <x:v>UNKNOWN – felmérés/gyári adat kell</x:v>
      </x:c>
      <x:c r="M150" s="19" t="str">
        <x:v>Kyoto Ink: grafit / füstszürke / taupe</x:v>
      </x:c>
      <x:c r="N150" s="19" t="str">
        <x:v>PENDING – műszaki specifikáció szerint</x:v>
      </x:c>
      <x:c r="O150" s="19" t="n">
        <x:v>1</x:v>
      </x:c>
      <x:c r="P150" s="19" t="str">
        <x:v>csomag</x:v>
      </x:c>
      <x:c r="Q150" s="20" t="n">
        <x:v>70000</x:v>
      </x:c>
      <x:c r="R150" s="20" t="n">
        <x:v>0</x:v>
      </x:c>
      <x:c r="S150" s="20" t="n">
        <x:v>0</x:v>
      </x:c>
      <x:c r="T150" s="20" t="n">
        <x:v>0</x:v>
      </x:c>
      <x:c r="U150" s="21" t="n">
        <x:f>O150*Q150+SUM(R150:T150)</x:f>
        <x:v>70000</x:v>
      </x:c>
      <x:c r="V150" s="19" t="str">
        <x:v>előzetes becslés</x:v>
      </x:c>
      <x:c r="W150" s="19" t="str">
        <x:v>CP0 tervezői előirányzat, nem webshopár; baseline 13e</x:v>
      </x:c>
      <x:c r="X150" s="19" t="str">
        <x:v>2026-10-26</x:v>
      </x:c>
      <x:c r="Y150" s="19" t="str">
        <x:v>UNKNOWN – ajánlatban visszaigazolandó</x:v>
      </x:c>
      <x:c r="Z150" s="19" t="str">
        <x:v>C</x:v>
      </x:c>
      <x:c r="AA150" s="19" t="str">
        <x:v>PENDING</x:v>
      </x:c>
      <x:c r="AB150" s="19" t="str">
        <x:v>PENDING</x:v>
      </x:c>
      <x:c r="AC150" s="19" t="str">
        <x:v>nem megrendelt</x:v>
      </x:c>
      <x:c r="AD150" s="19" t="str">
        <x:v>Kültéri kivitelező / statikus</x:v>
      </x:c>
      <x:c r="AE150" s="19" t="str">
        <x:v>PENDING – méret, csatlakozás, anyagminta, teljes bekerülés</x:v>
      </x:c>
      <x:c r="AF150" s="19" t="str">
        <x:v>CP0 becslési csomag: segédanyag és munkadíj a megnevezett tartalom szerint; külön szállítás a 14 sorban. Nem ingyenes szállítás.</x:v>
      </x:c>
      <x:c r="AG150" s="20" t="n">
        <x:v>70000</x:v>
      </x:c>
      <x:c r="AH150" s="21" t="n">
        <x:f>O150*AG150+SUM(R150:T150)</x:f>
        <x:v>70000</x:v>
      </x:c>
      <x:c r="AI150" s="19" t="str">
        <x:v>PENDING</x:v>
      </x:c>
      <x:c r="AJ150" s="19" t="str">
        <x:v>PENDING</x:v>
      </x:c>
      <x:c r="AK150" s="19" t="str">
        <x:v>PENDING</x:v>
      </x:c>
      <x:c r="AL150" s="19" t="str">
        <x:v>PENDING</x:v>
      </x:c>
      <x:c r="AM150" s="19" t="str">
        <x:v>PENDING</x:v>
      </x:c>
      <x:c r="AN150" s="1" t="str">
        <x:v>KI-149</x:v>
      </x:c>
      <x:c r="AO150" s="1" t="str">
        <x:v>drawings/P-01_alaprajz.pdf</x:v>
      </x:c>
      <x:c r="AP150" s="1" t="str">
        <x:v>NINCS MODELL / nem térbeli költségsor; szakági kapcsolat igazolandó</x:v>
      </x:c>
      <x:c r="AQ150" s="1" t="str">
        <x:v>késztermék / szakági munka</x:v>
      </x:c>
      <x:c r="AR150" s="1" t="str">
        <x:v>felmérés/gyártói rajz szükséges</x:v>
      </x:c>
      <x:c r="AS150" s="1" t="str">
        <x:v>HUF</x:v>
      </x:c>
      <x:c r="AT150" s="1" t="n">
        <x:v>1</x:v>
      </x:c>
      <x:c r="AU150" s="1" t="str">
        <x:v>nincs visszaigazolt ajánlati érvényesség</x:v>
      </x:c>
      <x:c r="AV150" s="1" t="str">
        <x:v>KI-151 központi keret; daruzás KI-137</x:v>
      </x:c>
      <x:c r="AW150" s="1" t="str">
        <x:v>KI-014 asztalos / KI-106 villamos / KI-026 és KI-096 víz / KI-127 fal</x:v>
      </x:c>
      <x:c r="AX150" s="1" t="n">
        <x:v>6</x:v>
      </x:c>
      <x:c r="AY150" s="1" t="n">
        <x:v>0.85</x:v>
      </x:c>
      <x:c r="AZ150" s="1" t="n">
        <x:v>1.3</x:v>
      </x:c>
      <x:c r="BA150" s="29" t="n">
        <x:f>ROUND(U150*AY150,0)</x:f>
        <x:v>59500</x:v>
      </x:c>
      <x:c r="BB150" s="29" t="n">
        <x:f>ROUND(U150*AZ150,0)</x:f>
        <x:v>91000</x:v>
      </x:c>
    </x:row>
    <x:row r="151" ht="72" customHeight="1">
      <x:c r="A151" s="12" t="str">
        <x:v>A-902</x:v>
      </x:c>
      <x:c r="B151" s="12" t="str">
        <x:v>09 / 10 / 11 / 12 / 13 kültér</x:v>
      </x:c>
      <x:c r="C151" s="12" t="str">
        <x:v>KI-150</x:v>
      </x:c>
      <x:c r="D151" s="12" t="str">
        <x:v>NEM RENDERELT</x:v>
      </x:c>
      <x:c r="E151" s="12" t="str">
        <x:v>13e</x:v>
      </x:c>
      <x:c r="F151" s="12" t="str">
        <x:v>FIX</x:v>
      </x:c>
      <x:c r="G151" s="12" t="str">
        <x:v>Kert és terasz</x:v>
      </x:c>
      <x:c r="H151" s="19" t="str">
        <x:v>Kültéri lerakók és textilek</x:v>
      </x:c>
      <x:c r="I151" s="19" t="str">
        <x:v>UNKNOWN</x:v>
      </x:c>
      <x:c r="J151" s="19" t="str">
        <x:v>UNKNOWN</x:v>
      </x:c>
      <x:c r="K151" s="19" t="str">
        <x:v>UNKNOWN</x:v>
      </x:c>
      <x:c r="L151" s="19" t="str">
        <x:v>UNKNOWN – felmérés/gyári adat kell</x:v>
      </x:c>
      <x:c r="M151" s="19" t="str">
        <x:v>Kyoto Ink: grafit / füstszürke / taupe</x:v>
      </x:c>
      <x:c r="N151" s="19" t="str">
        <x:v>PENDING – műszaki specifikáció szerint</x:v>
      </x:c>
      <x:c r="O151" s="19" t="n">
        <x:v>1</x:v>
      </x:c>
      <x:c r="P151" s="19" t="str">
        <x:v>csomag</x:v>
      </x:c>
      <x:c r="Q151" s="20" t="n">
        <x:v>50000</x:v>
      </x:c>
      <x:c r="R151" s="20" t="n">
        <x:v>0</x:v>
      </x:c>
      <x:c r="S151" s="20" t="n">
        <x:v>0</x:v>
      </x:c>
      <x:c r="T151" s="20" t="n">
        <x:v>0</x:v>
      </x:c>
      <x:c r="U151" s="21" t="n">
        <x:f>O151*Q151+SUM(R151:T151)</x:f>
        <x:v>50000</x:v>
      </x:c>
      <x:c r="V151" s="19" t="str">
        <x:v>előzetes becslés</x:v>
      </x:c>
      <x:c r="W151" s="19" t="str">
        <x:v>CP0 tervezői előirányzat, nem webshopár; baseline 13e</x:v>
      </x:c>
      <x:c r="X151" s="19" t="str">
        <x:v>2026-10-26</x:v>
      </x:c>
      <x:c r="Y151" s="19" t="str">
        <x:v>UNKNOWN – ajánlatban visszaigazolandó</x:v>
      </x:c>
      <x:c r="Z151" s="19" t="str">
        <x:v>C</x:v>
      </x:c>
      <x:c r="AA151" s="19" t="str">
        <x:v>PENDING</x:v>
      </x:c>
      <x:c r="AB151" s="19" t="str">
        <x:v>PENDING</x:v>
      </x:c>
      <x:c r="AC151" s="19" t="str">
        <x:v>nem megrendelt</x:v>
      </x:c>
      <x:c r="AD151" s="19" t="str">
        <x:v>Kültéri kivitelező / statikus</x:v>
      </x:c>
      <x:c r="AE151" s="19" t="str">
        <x:v>PENDING – méret, csatlakozás, anyagminta, teljes bekerülés</x:v>
      </x:c>
      <x:c r="AF151" s="19" t="str">
        <x:v>CP0 becslési csomag: segédanyag és munkadíj a megnevezett tartalom szerint; külön szállítás a 14 sorban. Nem ingyenes szállítás.</x:v>
      </x:c>
      <x:c r="AG151" s="20" t="n">
        <x:v>50000</x:v>
      </x:c>
      <x:c r="AH151" s="21" t="n">
        <x:f>O151*AG151+SUM(R151:T151)</x:f>
        <x:v>50000</x:v>
      </x:c>
      <x:c r="AI151" s="19" t="str">
        <x:v>PENDING</x:v>
      </x:c>
      <x:c r="AJ151" s="19" t="str">
        <x:v>PENDING</x:v>
      </x:c>
      <x:c r="AK151" s="19" t="str">
        <x:v>PENDING</x:v>
      </x:c>
      <x:c r="AL151" s="19" t="str">
        <x:v>PENDING</x:v>
      </x:c>
      <x:c r="AM151" s="19" t="str">
        <x:v>PENDING</x:v>
      </x:c>
      <x:c r="AN151" s="1" t="str">
        <x:v>KI-150</x:v>
      </x:c>
      <x:c r="AO151" s="1" t="str">
        <x:v>drawings/P-01_alaprajz.pdf</x:v>
      </x:c>
      <x:c r="AP151" s="1" t="str">
        <x:v>NINCS MODELL / nem térbeli költségsor; szakági kapcsolat igazolandó</x:v>
      </x:c>
      <x:c r="AQ151" s="1" t="str">
        <x:v>késztermék / szakági munka</x:v>
      </x:c>
      <x:c r="AR151" s="1" t="str">
        <x:v>felmérés/gyártói rajz szükséges</x:v>
      </x:c>
      <x:c r="AS151" s="1" t="str">
        <x:v>HUF</x:v>
      </x:c>
      <x:c r="AT151" s="1" t="n">
        <x:v>1</x:v>
      </x:c>
      <x:c r="AU151" s="1" t="str">
        <x:v>nincs visszaigazolt ajánlati érvényesség</x:v>
      </x:c>
      <x:c r="AV151" s="1" t="str">
        <x:v>KI-151 központi keret; daruzás KI-137</x:v>
      </x:c>
      <x:c r="AW151" s="1" t="str">
        <x:v>KI-014 asztalos / KI-106 villamos / KI-026 és KI-096 víz / KI-127 fal</x:v>
      </x:c>
      <x:c r="AX151" s="1" t="n">
        <x:v>6</x:v>
      </x:c>
      <x:c r="AY151" s="1" t="n">
        <x:v>0.85</x:v>
      </x:c>
      <x:c r="AZ151" s="1" t="n">
        <x:v>1.3</x:v>
      </x:c>
      <x:c r="BA151" s="29" t="n">
        <x:f>ROUND(U151*AY151,0)</x:f>
        <x:v>42500</x:v>
      </x:c>
      <x:c r="BB151" s="29" t="n">
        <x:f>ROUND(U151*AZ151,0)</x:f>
        <x:v>65000</x:v>
      </x:c>
    </x:row>
    <x:row r="152" ht="72" customHeight="1">
      <x:c r="A152" s="12" t="str">
        <x:v>A-902</x:v>
      </x:c>
      <x:c r="B152" s="12" t="str">
        <x:v>teljes lakás</x:v>
      </x:c>
      <x:c r="C152" s="12" t="str">
        <x:v>KI-151</x:v>
      </x:c>
      <x:c r="D152" s="12" t="str">
        <x:v>NEM RENDERELT</x:v>
      </x:c>
      <x:c r="E152" s="12" t="str">
        <x:v>14</x:v>
      </x:c>
      <x:c r="F152" s="12" t="str">
        <x:v>FIX</x:v>
      </x:c>
      <x:c r="G152" s="12" t="str">
        <x:v>Logisztika</x:v>
      </x:c>
      <x:c r="H152" s="19" t="str">
        <x:v>Szállítás és emeletre felhordás</x:v>
      </x:c>
      <x:c r="I152" s="19" t="str">
        <x:v>UNKNOWN</x:v>
      </x:c>
      <x:c r="J152" s="19" t="str">
        <x:v>UNKNOWN</x:v>
      </x:c>
      <x:c r="K152" s="19" t="str">
        <x:v>UNKNOWN</x:v>
      </x:c>
      <x:c r="L152" s="19" t="str">
        <x:v>UNKNOWN – felmérés/gyári adat kell</x:v>
      </x:c>
      <x:c r="M152" s="19" t="str">
        <x:v>Kyoto Ink: grafit / füstszürke / taupe</x:v>
      </x:c>
      <x:c r="N152" s="19" t="str">
        <x:v>PENDING – műszaki specifikáció szerint</x:v>
      </x:c>
      <x:c r="O152" s="19" t="n">
        <x:v>1</x:v>
      </x:c>
      <x:c r="P152" s="19" t="str">
        <x:v>csomag</x:v>
      </x:c>
      <x:c r="Q152" s="20" t="n">
        <x:v>180000</x:v>
      </x:c>
      <x:c r="R152" s="20" t="n">
        <x:v>0</x:v>
      </x:c>
      <x:c r="S152" s="20" t="n">
        <x:v>0</x:v>
      </x:c>
      <x:c r="T152" s="20" t="n">
        <x:v>0</x:v>
      </x:c>
      <x:c r="U152" s="21" t="n">
        <x:f>O152*Q152+SUM(R152:T152)</x:f>
        <x:v>180000</x:v>
      </x:c>
      <x:c r="V152" s="19" t="str">
        <x:v>előzetes becslés</x:v>
      </x:c>
      <x:c r="W152" s="19" t="str">
        <x:v>CP0 tervezői előirányzat, nem webshopár; baseline 14</x:v>
      </x:c>
      <x:c r="X152" s="19" t="str">
        <x:v>2026-10-26</x:v>
      </x:c>
      <x:c r="Y152" s="19" t="str">
        <x:v>UNKNOWN – ajánlatban visszaigazolandó</x:v>
      </x:c>
      <x:c r="Z152" s="19" t="str">
        <x:v>C</x:v>
      </x:c>
      <x:c r="AA152" s="19" t="str">
        <x:v>PENDING</x:v>
      </x:c>
      <x:c r="AB152" s="19" t="str">
        <x:v>PENDING</x:v>
      </x:c>
      <x:c r="AC152" s="19" t="str">
        <x:v>nem megrendelt</x:v>
      </x:c>
      <x:c r="AD152" s="19" t="str">
        <x:v>Projektvezető</x:v>
      </x:c>
      <x:c r="AE152" s="19" t="str">
        <x:v>PENDING – méret, csatlakozás, anyagminta, teljes bekerülés</x:v>
      </x:c>
      <x:c r="AF152" s="19" t="str">
        <x:v>CP0 becslési csomag: segédanyag és munkadíj a megnevezett tartalom szerint; külön szállítás a 14 sorban. Nem ingyenes szállítás.</x:v>
      </x:c>
      <x:c r="AG152" s="20" t="n">
        <x:v>180000</x:v>
      </x:c>
      <x:c r="AH152" s="21" t="n">
        <x:f>O152*AG152+SUM(R152:T152)</x:f>
        <x:v>180000</x:v>
      </x:c>
      <x:c r="AI152" s="19" t="str">
        <x:v>PENDING</x:v>
      </x:c>
      <x:c r="AJ152" s="19" t="str">
        <x:v>PENDING</x:v>
      </x:c>
      <x:c r="AK152" s="19" t="str">
        <x:v>PENDING</x:v>
      </x:c>
      <x:c r="AL152" s="19" t="str">
        <x:v>PENDING</x:v>
      </x:c>
      <x:c r="AM152" s="19" t="str">
        <x:v>PENDING</x:v>
      </x:c>
      <x:c r="AN152" s="1" t="str">
        <x:v>KI-151</x:v>
      </x:c>
      <x:c r="AO152" s="1" t="str">
        <x:v>drawings/P-01_alaprajz.pdf</x:v>
      </x:c>
      <x:c r="AP152" s="1" t="str">
        <x:v>NINCS MODELL / nem térbeli költségsor; szakági kapcsolat igazolandó</x:v>
      </x:c>
      <x:c r="AQ152" s="1" t="str">
        <x:v>késztermék / szakági munka</x:v>
      </x:c>
      <x:c r="AR152" s="1" t="str">
        <x:v>felmérés/gyártói rajz szükséges</x:v>
      </x:c>
      <x:c r="AS152" s="1" t="str">
        <x:v>HUF</x:v>
      </x:c>
      <x:c r="AT152" s="1" t="n">
        <x:v>1</x:v>
      </x:c>
      <x:c r="AU152" s="1" t="str">
        <x:v>nincs visszaigazolt ajánlati érvényesség</x:v>
      </x:c>
      <x:c r="AV152" s="1" t="str">
        <x:v>KI-151 központi keret; daruzás KI-137</x:v>
      </x:c>
      <x:c r="AW152" s="1" t="str">
        <x:v>KI-014 asztalos / KI-106 villamos / KI-026 és KI-096 víz / KI-127 fal</x:v>
      </x:c>
      <x:c r="AX152" s="1" t="n">
        <x:v>6</x:v>
      </x:c>
      <x:c r="AY152" s="1" t="n">
        <x:v>0.85</x:v>
      </x:c>
      <x:c r="AZ152" s="1" t="n">
        <x:v>1.3</x:v>
      </x:c>
      <x:c r="BA152" s="29" t="n">
        <x:f>ROUND(U152*AY152,0)</x:f>
        <x:v>153000</x:v>
      </x:c>
      <x:c r="BB152" s="29" t="n">
        <x:f>ROUND(U152*AZ152,0)</x:f>
        <x:v>234000</x:v>
      </x:c>
    </x:row>
    <x:row r="153" ht="72" customHeight="1">
      <x:c r="A153" s="12" t="str">
        <x:v>A-902</x:v>
      </x:c>
      <x:c r="B153" s="12" t="str">
        <x:v>teljes lakás</x:v>
      </x:c>
      <x:c r="C153" s="12" t="str">
        <x:v>KI-152</x:v>
      </x:c>
      <x:c r="D153" s="12" t="str">
        <x:v>NEM RENDERELT</x:v>
      </x:c>
      <x:c r="E153" s="12" t="str">
        <x:v>14</x:v>
      </x:c>
      <x:c r="F153" s="12" t="str">
        <x:v>FIX</x:v>
      </x:c>
      <x:c r="G153" s="12" t="str">
        <x:v>Logisztika</x:v>
      </x:c>
      <x:c r="H153" s="19" t="str">
        <x:v>Standard bútorok összeszerelése</x:v>
      </x:c>
      <x:c r="I153" s="19" t="str">
        <x:v>UNKNOWN</x:v>
      </x:c>
      <x:c r="J153" s="19" t="str">
        <x:v>UNKNOWN</x:v>
      </x:c>
      <x:c r="K153" s="19" t="str">
        <x:v>UNKNOWN</x:v>
      </x:c>
      <x:c r="L153" s="19" t="str">
        <x:v>UNKNOWN – felmérés/gyári adat kell</x:v>
      </x:c>
      <x:c r="M153" s="19" t="str">
        <x:v>Kyoto Ink: grafit / füstszürke / taupe</x:v>
      </x:c>
      <x:c r="N153" s="19" t="str">
        <x:v>PENDING – műszaki specifikáció szerint</x:v>
      </x:c>
      <x:c r="O153" s="19" t="n">
        <x:v>1</x:v>
      </x:c>
      <x:c r="P153" s="19" t="str">
        <x:v>csomag</x:v>
      </x:c>
      <x:c r="Q153" s="20" t="n">
        <x:v>100000</x:v>
      </x:c>
      <x:c r="R153" s="20" t="n">
        <x:v>0</x:v>
      </x:c>
      <x:c r="S153" s="20" t="n">
        <x:v>0</x:v>
      </x:c>
      <x:c r="T153" s="20" t="n">
        <x:v>0</x:v>
      </x:c>
      <x:c r="U153" s="21" t="n">
        <x:f>O153*Q153+SUM(R153:T153)</x:f>
        <x:v>100000</x:v>
      </x:c>
      <x:c r="V153" s="19" t="str">
        <x:v>előzetes becslés</x:v>
      </x:c>
      <x:c r="W153" s="19" t="str">
        <x:v>CP0 tervezői előirányzat, nem webshopár; baseline 14</x:v>
      </x:c>
      <x:c r="X153" s="19" t="str">
        <x:v>2026-10-26</x:v>
      </x:c>
      <x:c r="Y153" s="19" t="str">
        <x:v>UNKNOWN – ajánlatban visszaigazolandó</x:v>
      </x:c>
      <x:c r="Z153" s="19" t="str">
        <x:v>C</x:v>
      </x:c>
      <x:c r="AA153" s="19" t="str">
        <x:v>PENDING</x:v>
      </x:c>
      <x:c r="AB153" s="19" t="str">
        <x:v>PENDING</x:v>
      </x:c>
      <x:c r="AC153" s="19" t="str">
        <x:v>nem megrendelt</x:v>
      </x:c>
      <x:c r="AD153" s="19" t="str">
        <x:v>Projektvezető</x:v>
      </x:c>
      <x:c r="AE153" s="19" t="str">
        <x:v>PENDING – méret, csatlakozás, anyagminta, teljes bekerülés</x:v>
      </x:c>
      <x:c r="AF153" s="19" t="str">
        <x:v>CP0 becslési csomag: segédanyag és munkadíj a megnevezett tartalom szerint; külön szállítás a 14 sorban. Nem ingyenes szállítás.</x:v>
      </x:c>
      <x:c r="AG153" s="20" t="n">
        <x:v>100000</x:v>
      </x:c>
      <x:c r="AH153" s="21" t="n">
        <x:f>O153*AG153+SUM(R153:T153)</x:f>
        <x:v>100000</x:v>
      </x:c>
      <x:c r="AI153" s="19" t="str">
        <x:v>PENDING</x:v>
      </x:c>
      <x:c r="AJ153" s="19" t="str">
        <x:v>PENDING</x:v>
      </x:c>
      <x:c r="AK153" s="19" t="str">
        <x:v>PENDING</x:v>
      </x:c>
      <x:c r="AL153" s="19" t="str">
        <x:v>PENDING</x:v>
      </x:c>
      <x:c r="AM153" s="19" t="str">
        <x:v>PENDING</x:v>
      </x:c>
      <x:c r="AN153" s="1" t="str">
        <x:v>KI-152</x:v>
      </x:c>
      <x:c r="AO153" s="1" t="str">
        <x:v>drawings/P-01_alaprajz.pdf</x:v>
      </x:c>
      <x:c r="AP153" s="1" t="str">
        <x:v>NINCS MODELL / nem térbeli költségsor; szakági kapcsolat igazolandó</x:v>
      </x:c>
      <x:c r="AQ153" s="1" t="str">
        <x:v>késztermék / szakági munka</x:v>
      </x:c>
      <x:c r="AR153" s="1" t="str">
        <x:v>felmérés/gyártói rajz szükséges</x:v>
      </x:c>
      <x:c r="AS153" s="1" t="str">
        <x:v>HUF</x:v>
      </x:c>
      <x:c r="AT153" s="1" t="n">
        <x:v>1</x:v>
      </x:c>
      <x:c r="AU153" s="1" t="str">
        <x:v>nincs visszaigazolt ajánlati érvényesség</x:v>
      </x:c>
      <x:c r="AV153" s="1" t="str">
        <x:v>KI-151 központi keret; daruzás KI-137</x:v>
      </x:c>
      <x:c r="AW153" s="1" t="str">
        <x:v>KI-014 asztalos / KI-106 villamos / KI-026 és KI-096 víz / KI-127 fal</x:v>
      </x:c>
      <x:c r="AX153" s="1" t="n">
        <x:v>6</x:v>
      </x:c>
      <x:c r="AY153" s="1" t="n">
        <x:v>0.85</x:v>
      </x:c>
      <x:c r="AZ153" s="1" t="n">
        <x:v>1.3</x:v>
      </x:c>
      <x:c r="BA153" s="29" t="n">
        <x:f>ROUND(U153*AY153,0)</x:f>
        <x:v>85000</x:v>
      </x:c>
      <x:c r="BB153" s="29" t="n">
        <x:f>ROUND(U153*AZ153,0)</x:f>
        <x:v>130000</x:v>
      </x:c>
    </x:row>
    <x:row r="154" ht="72" customHeight="1">
      <x:c r="A154" s="12" t="str">
        <x:v>A-902</x:v>
      </x:c>
      <x:c r="B154" s="12" t="str">
        <x:v>teljes lakás</x:v>
      </x:c>
      <x:c r="C154" s="12" t="str">
        <x:v>KI-153</x:v>
      </x:c>
      <x:c r="D154" s="12" t="str">
        <x:v>NEM RENDERELT</x:v>
      </x:c>
      <x:c r="E154" s="12" t="str">
        <x:v>14</x:v>
      </x:c>
      <x:c r="F154" s="12" t="str">
        <x:v>FIX</x:v>
      </x:c>
      <x:c r="G154" s="12" t="str">
        <x:v>Logisztika</x:v>
      </x:c>
      <x:c r="H154" s="19" t="str">
        <x:v>Padló- és élvédelem, csomagolás elszállítása</x:v>
      </x:c>
      <x:c r="I154" s="19" t="str">
        <x:v>UNKNOWN</x:v>
      </x:c>
      <x:c r="J154" s="19" t="str">
        <x:v>UNKNOWN</x:v>
      </x:c>
      <x:c r="K154" s="19" t="str">
        <x:v>UNKNOWN</x:v>
      </x:c>
      <x:c r="L154" s="19" t="str">
        <x:v>UNKNOWN – felmérés/gyári adat kell</x:v>
      </x:c>
      <x:c r="M154" s="19" t="str">
        <x:v>Kyoto Ink: grafit / füstszürke / taupe</x:v>
      </x:c>
      <x:c r="N154" s="19" t="str">
        <x:v>PENDING – műszaki specifikáció szerint</x:v>
      </x:c>
      <x:c r="O154" s="19" t="n">
        <x:v>1</x:v>
      </x:c>
      <x:c r="P154" s="19" t="str">
        <x:v>csomag</x:v>
      </x:c>
      <x:c r="Q154" s="20" t="n">
        <x:v>60000</x:v>
      </x:c>
      <x:c r="R154" s="20" t="n">
        <x:v>0</x:v>
      </x:c>
      <x:c r="S154" s="20" t="n">
        <x:v>0</x:v>
      </x:c>
      <x:c r="T154" s="20" t="n">
        <x:v>0</x:v>
      </x:c>
      <x:c r="U154" s="21" t="n">
        <x:f>O154*Q154+SUM(R154:T154)</x:f>
        <x:v>60000</x:v>
      </x:c>
      <x:c r="V154" s="19" t="str">
        <x:v>előzetes becslés</x:v>
      </x:c>
      <x:c r="W154" s="19" t="str">
        <x:v>CP0 tervezői előirányzat, nem webshopár; baseline 14</x:v>
      </x:c>
      <x:c r="X154" s="19" t="str">
        <x:v>2026-10-26</x:v>
      </x:c>
      <x:c r="Y154" s="19" t="str">
        <x:v>UNKNOWN – ajánlatban visszaigazolandó</x:v>
      </x:c>
      <x:c r="Z154" s="19" t="str">
        <x:v>C</x:v>
      </x:c>
      <x:c r="AA154" s="19" t="str">
        <x:v>PENDING</x:v>
      </x:c>
      <x:c r="AB154" s="19" t="str">
        <x:v>PENDING</x:v>
      </x:c>
      <x:c r="AC154" s="19" t="str">
        <x:v>nem megrendelt</x:v>
      </x:c>
      <x:c r="AD154" s="19" t="str">
        <x:v>Projektvezető</x:v>
      </x:c>
      <x:c r="AE154" s="19" t="str">
        <x:v>PENDING – méret, csatlakozás, anyagminta, teljes bekerülés</x:v>
      </x:c>
      <x:c r="AF154" s="19" t="str">
        <x:v>CP0 becslési csomag: segédanyag és munkadíj a megnevezett tartalom szerint; külön szállítás a 14 sorban. Nem ingyenes szállítás.</x:v>
      </x:c>
      <x:c r="AG154" s="20" t="n">
        <x:v>60000</x:v>
      </x:c>
      <x:c r="AH154" s="21" t="n">
        <x:f>O154*AG154+SUM(R154:T154)</x:f>
        <x:v>60000</x:v>
      </x:c>
      <x:c r="AI154" s="19" t="str">
        <x:v>PENDING</x:v>
      </x:c>
      <x:c r="AJ154" s="19" t="str">
        <x:v>PENDING</x:v>
      </x:c>
      <x:c r="AK154" s="19" t="str">
        <x:v>PENDING</x:v>
      </x:c>
      <x:c r="AL154" s="19" t="str">
        <x:v>PENDING</x:v>
      </x:c>
      <x:c r="AM154" s="19" t="str">
        <x:v>PENDING</x:v>
      </x:c>
      <x:c r="AN154" s="1" t="str">
        <x:v>KI-153</x:v>
      </x:c>
      <x:c r="AO154" s="1" t="str">
        <x:v>drawings/P-01_alaprajz.pdf</x:v>
      </x:c>
      <x:c r="AP154" s="1" t="str">
        <x:v>NINCS MODELL / nem térbeli költségsor; szakági kapcsolat igazolandó</x:v>
      </x:c>
      <x:c r="AQ154" s="1" t="str">
        <x:v>késztermék / szakági munka</x:v>
      </x:c>
      <x:c r="AR154" s="1" t="str">
        <x:v>felmérés/gyártói rajz szükséges</x:v>
      </x:c>
      <x:c r="AS154" s="1" t="str">
        <x:v>HUF</x:v>
      </x:c>
      <x:c r="AT154" s="1" t="n">
        <x:v>1</x:v>
      </x:c>
      <x:c r="AU154" s="1" t="str">
        <x:v>nincs visszaigazolt ajánlati érvényesség</x:v>
      </x:c>
      <x:c r="AV154" s="1" t="str">
        <x:v>KI-151 központi keret; daruzás KI-137</x:v>
      </x:c>
      <x:c r="AW154" s="1" t="str">
        <x:v>KI-014 asztalos / KI-106 villamos / KI-026 és KI-096 víz / KI-127 fal</x:v>
      </x:c>
      <x:c r="AX154" s="1" t="n">
        <x:v>6</x:v>
      </x:c>
      <x:c r="AY154" s="1" t="n">
        <x:v>0.85</x:v>
      </x:c>
      <x:c r="AZ154" s="1" t="n">
        <x:v>1.3</x:v>
      </x:c>
      <x:c r="BA154" s="29" t="n">
        <x:f>ROUND(U154*AY154,0)</x:f>
        <x:v>51000</x:v>
      </x:c>
      <x:c r="BB154" s="29" t="n">
        <x:f>ROUND(U154*AZ154,0)</x:f>
        <x:v>78000</x:v>
      </x:c>
    </x:row>
    <x:row r="155" ht="72" customHeight="1">
      <x:c r="A155" s="12" t="str">
        <x:v>A-902</x:v>
      </x:c>
      <x:c r="B155" s="12" t="str">
        <x:v>teljes lakás</x:v>
      </x:c>
      <x:c r="C155" s="12" t="str">
        <x:v>KI-154</x:v>
      </x:c>
      <x:c r="D155" s="12" t="str">
        <x:v>NEM RENDERELT</x:v>
      </x:c>
      <x:c r="E155" s="12" t="str">
        <x:v>14</x:v>
      </x:c>
      <x:c r="F155" s="12" t="str">
        <x:v>FIX</x:v>
      </x:c>
      <x:c r="G155" s="12" t="str">
        <x:v>Logisztika</x:v>
      </x:c>
      <x:c r="H155" s="19" t="str">
        <x:v>Átadási takarítás</x:v>
      </x:c>
      <x:c r="I155" s="19" t="str">
        <x:v>UNKNOWN</x:v>
      </x:c>
      <x:c r="J155" s="19" t="str">
        <x:v>UNKNOWN</x:v>
      </x:c>
      <x:c r="K155" s="19" t="str">
        <x:v>UNKNOWN</x:v>
      </x:c>
      <x:c r="L155" s="19" t="str">
        <x:v>UNKNOWN – felmérés/gyári adat kell</x:v>
      </x:c>
      <x:c r="M155" s="19" t="str">
        <x:v>Kyoto Ink: grafit / füstszürke / taupe</x:v>
      </x:c>
      <x:c r="N155" s="19" t="str">
        <x:v>PENDING – műszaki specifikáció szerint</x:v>
      </x:c>
      <x:c r="O155" s="19" t="n">
        <x:v>1</x:v>
      </x:c>
      <x:c r="P155" s="19" t="str">
        <x:v>csomag</x:v>
      </x:c>
      <x:c r="Q155" s="20" t="n">
        <x:v>70000</x:v>
      </x:c>
      <x:c r="R155" s="20" t="n">
        <x:v>0</x:v>
      </x:c>
      <x:c r="S155" s="20" t="n">
        <x:v>0</x:v>
      </x:c>
      <x:c r="T155" s="20" t="n">
        <x:v>0</x:v>
      </x:c>
      <x:c r="U155" s="21" t="n">
        <x:f>O155*Q155+SUM(R155:T155)</x:f>
        <x:v>70000</x:v>
      </x:c>
      <x:c r="V155" s="19" t="str">
        <x:v>előzetes becslés</x:v>
      </x:c>
      <x:c r="W155" s="19" t="str">
        <x:v>CP0 tervezői előirányzat, nem webshopár; baseline 14</x:v>
      </x:c>
      <x:c r="X155" s="19" t="str">
        <x:v>2026-10-26</x:v>
      </x:c>
      <x:c r="Y155" s="19" t="str">
        <x:v>UNKNOWN – ajánlatban visszaigazolandó</x:v>
      </x:c>
      <x:c r="Z155" s="19" t="str">
        <x:v>C</x:v>
      </x:c>
      <x:c r="AA155" s="19" t="str">
        <x:v>PENDING</x:v>
      </x:c>
      <x:c r="AB155" s="19" t="str">
        <x:v>PENDING</x:v>
      </x:c>
      <x:c r="AC155" s="19" t="str">
        <x:v>nem megrendelt</x:v>
      </x:c>
      <x:c r="AD155" s="19" t="str">
        <x:v>Projektvezető</x:v>
      </x:c>
      <x:c r="AE155" s="19" t="str">
        <x:v>PENDING – méret, csatlakozás, anyagminta, teljes bekerülés</x:v>
      </x:c>
      <x:c r="AF155" s="19" t="str">
        <x:v>CP0 becslési csomag: segédanyag és munkadíj a megnevezett tartalom szerint; külön szállítás a 14 sorban. Nem ingyenes szállítás.</x:v>
      </x:c>
      <x:c r="AG155" s="20" t="n">
        <x:v>70000</x:v>
      </x:c>
      <x:c r="AH155" s="21" t="n">
        <x:f>O155*AG155+SUM(R155:T155)</x:f>
        <x:v>70000</x:v>
      </x:c>
      <x:c r="AI155" s="19" t="str">
        <x:v>PENDING</x:v>
      </x:c>
      <x:c r="AJ155" s="19" t="str">
        <x:v>PENDING</x:v>
      </x:c>
      <x:c r="AK155" s="19" t="str">
        <x:v>PENDING</x:v>
      </x:c>
      <x:c r="AL155" s="19" t="str">
        <x:v>PENDING</x:v>
      </x:c>
      <x:c r="AM155" s="19" t="str">
        <x:v>PENDING</x:v>
      </x:c>
      <x:c r="AN155" s="1" t="str">
        <x:v>KI-154</x:v>
      </x:c>
      <x:c r="AO155" s="1" t="str">
        <x:v>drawings/P-01_alaprajz.pdf</x:v>
      </x:c>
      <x:c r="AP155" s="1" t="str">
        <x:v>NINCS MODELL / nem térbeli költségsor; szakági kapcsolat igazolandó</x:v>
      </x:c>
      <x:c r="AQ155" s="1" t="str">
        <x:v>késztermék / szakági munka</x:v>
      </x:c>
      <x:c r="AR155" s="1" t="str">
        <x:v>felmérés/gyártói rajz szükséges</x:v>
      </x:c>
      <x:c r="AS155" s="1" t="str">
        <x:v>HUF</x:v>
      </x:c>
      <x:c r="AT155" s="1" t="n">
        <x:v>1</x:v>
      </x:c>
      <x:c r="AU155" s="1" t="str">
        <x:v>nincs visszaigazolt ajánlati érvényesség</x:v>
      </x:c>
      <x:c r="AV155" s="1" t="str">
        <x:v>KI-151 központi keret; daruzás KI-137</x:v>
      </x:c>
      <x:c r="AW155" s="1" t="str">
        <x:v>KI-014 asztalos / KI-106 villamos / KI-026 és KI-096 víz / KI-127 fal</x:v>
      </x:c>
      <x:c r="AX155" s="1" t="n">
        <x:v>6</x:v>
      </x:c>
      <x:c r="AY155" s="1" t="n">
        <x:v>0.85</x:v>
      </x:c>
      <x:c r="AZ155" s="1" t="n">
        <x:v>1.3</x:v>
      </x:c>
      <x:c r="BA155" s="29" t="n">
        <x:f>ROUND(U155*AY155,0)</x:f>
        <x:v>59500</x:v>
      </x:c>
      <x:c r="BB155" s="29" t="n">
        <x:f>ROUND(U155*AZ155,0)</x:f>
        <x:v>91000</x:v>
      </x:c>
    </x:row>
    <x:row r="156" ht="72" customHeight="1">
      <x:c r="A156" s="12" t="str">
        <x:v>A-902</x:v>
      </x:c>
      <x:c r="B156" s="12" t="str">
        <x:v>teljes lakás</x:v>
      </x:c>
      <x:c r="C156" s="12" t="str">
        <x:v>KI-155</x:v>
      </x:c>
      <x:c r="D156" s="12" t="str">
        <x:v>NEM RENDERELT</x:v>
      </x:c>
      <x:c r="E156" s="12" t="str">
        <x:v>14</x:v>
      </x:c>
      <x:c r="F156" s="12" t="str">
        <x:v>FIX</x:v>
      </x:c>
      <x:c r="G156" s="12" t="str">
        <x:v>Logisztika</x:v>
      </x:c>
      <x:c r="H156" s="19" t="str">
        <x:v>Hibajavítás és kisebb festésjavítás</x:v>
      </x:c>
      <x:c r="I156" s="19" t="str">
        <x:v>UNKNOWN</x:v>
      </x:c>
      <x:c r="J156" s="19" t="str">
        <x:v>UNKNOWN</x:v>
      </x:c>
      <x:c r="K156" s="19" t="str">
        <x:v>UNKNOWN</x:v>
      </x:c>
      <x:c r="L156" s="19" t="str">
        <x:v>UNKNOWN – felmérés/gyári adat kell</x:v>
      </x:c>
      <x:c r="M156" s="19" t="str">
        <x:v>Kyoto Ink: grafit / füstszürke / taupe</x:v>
      </x:c>
      <x:c r="N156" s="19" t="str">
        <x:v>PENDING – műszaki specifikáció szerint</x:v>
      </x:c>
      <x:c r="O156" s="19" t="n">
        <x:v>1</x:v>
      </x:c>
      <x:c r="P156" s="19" t="str">
        <x:v>csomag</x:v>
      </x:c>
      <x:c r="Q156" s="20" t="n">
        <x:v>70000</x:v>
      </x:c>
      <x:c r="R156" s="20" t="n">
        <x:v>0</x:v>
      </x:c>
      <x:c r="S156" s="20" t="n">
        <x:v>0</x:v>
      </x:c>
      <x:c r="T156" s="20" t="n">
        <x:v>0</x:v>
      </x:c>
      <x:c r="U156" s="21" t="n">
        <x:f>O156*Q156+SUM(R156:T156)</x:f>
        <x:v>70000</x:v>
      </x:c>
      <x:c r="V156" s="19" t="str">
        <x:v>előzetes becslés</x:v>
      </x:c>
      <x:c r="W156" s="19" t="str">
        <x:v>CP0 tervezői előirányzat, nem webshopár; baseline 14</x:v>
      </x:c>
      <x:c r="X156" s="19" t="str">
        <x:v>2026-10-26</x:v>
      </x:c>
      <x:c r="Y156" s="19" t="str">
        <x:v>UNKNOWN – ajánlatban visszaigazolandó</x:v>
      </x:c>
      <x:c r="Z156" s="19" t="str">
        <x:v>C</x:v>
      </x:c>
      <x:c r="AA156" s="19" t="str">
        <x:v>PENDING</x:v>
      </x:c>
      <x:c r="AB156" s="19" t="str">
        <x:v>PENDING</x:v>
      </x:c>
      <x:c r="AC156" s="19" t="str">
        <x:v>nem megrendelt</x:v>
      </x:c>
      <x:c r="AD156" s="19" t="str">
        <x:v>Projektvezető</x:v>
      </x:c>
      <x:c r="AE156" s="19" t="str">
        <x:v>PENDING – méret, csatlakozás, anyagminta, teljes bekerülés</x:v>
      </x:c>
      <x:c r="AF156" s="19" t="str">
        <x:v>CP0 becslési csomag: segédanyag és munkadíj a megnevezett tartalom szerint; külön szállítás a 14 sorban. Nem ingyenes szállítás.</x:v>
      </x:c>
      <x:c r="AG156" s="20" t="n">
        <x:v>70000</x:v>
      </x:c>
      <x:c r="AH156" s="21" t="n">
        <x:f>O156*AG156+SUM(R156:T156)</x:f>
        <x:v>70000</x:v>
      </x:c>
      <x:c r="AI156" s="19" t="str">
        <x:v>PENDING</x:v>
      </x:c>
      <x:c r="AJ156" s="19" t="str">
        <x:v>PENDING</x:v>
      </x:c>
      <x:c r="AK156" s="19" t="str">
        <x:v>PENDING</x:v>
      </x:c>
      <x:c r="AL156" s="19" t="str">
        <x:v>PENDING</x:v>
      </x:c>
      <x:c r="AM156" s="19" t="str">
        <x:v>PENDING</x:v>
      </x:c>
      <x:c r="AN156" s="1" t="str">
        <x:v>KI-155</x:v>
      </x:c>
      <x:c r="AO156" s="1" t="str">
        <x:v>drawings/P-01_alaprajz.pdf</x:v>
      </x:c>
      <x:c r="AP156" s="1" t="str">
        <x:v>NINCS MODELL / nem térbeli költségsor; szakági kapcsolat igazolandó</x:v>
      </x:c>
      <x:c r="AQ156" s="1" t="str">
        <x:v>késztermék / szakági munka</x:v>
      </x:c>
      <x:c r="AR156" s="1" t="str">
        <x:v>felmérés/gyártói rajz szükséges</x:v>
      </x:c>
      <x:c r="AS156" s="1" t="str">
        <x:v>HUF</x:v>
      </x:c>
      <x:c r="AT156" s="1" t="n">
        <x:v>1</x:v>
      </x:c>
      <x:c r="AU156" s="1" t="str">
        <x:v>nincs visszaigazolt ajánlati érvényesség</x:v>
      </x:c>
      <x:c r="AV156" s="1" t="str">
        <x:v>KI-151 központi keret; daruzás KI-137</x:v>
      </x:c>
      <x:c r="AW156" s="1" t="str">
        <x:v>KI-014 asztalos / KI-106 villamos / KI-026 és KI-096 víz / KI-127 fal</x:v>
      </x:c>
      <x:c r="AX156" s="1" t="n">
        <x:v>6</x:v>
      </x:c>
      <x:c r="AY156" s="1" t="n">
        <x:v>0.85</x:v>
      </x:c>
      <x:c r="AZ156" s="1" t="n">
        <x:v>1.3</x:v>
      </x:c>
      <x:c r="BA156" s="29" t="n">
        <x:f>ROUND(U156*AY156,0)</x:f>
        <x:v>59500</x:v>
      </x:c>
      <x:c r="BB156" s="29" t="n">
        <x:f>ROUND(U156*AZ156,0)</x:f>
        <x:v>91000</x:v>
      </x:c>
    </x:row>
    <x:row r="157" ht="72" customHeight="1">
      <x:c r="A157" s="12" t="str">
        <x:v>A-902</x:v>
      </x:c>
      <x:c r="B157" s="12" t="str">
        <x:v>teljes lakás</x:v>
      </x:c>
      <x:c r="C157" s="12" t="str">
        <x:v>KI-156</x:v>
      </x:c>
      <x:c r="D157" s="12" t="str">
        <x:v>NEM RENDERELT</x:v>
      </x:c>
      <x:c r="E157" s="12" t="str">
        <x:v>14</x:v>
      </x:c>
      <x:c r="F157" s="12" t="str">
        <x:v>FIX</x:v>
      </x:c>
      <x:c r="G157" s="12" t="str">
        <x:v>Logisztika</x:v>
      </x:c>
      <x:c r="H157" s="19" t="str">
        <x:v>Garanciadokumentumok, próbaüzem és átadási leltár</x:v>
      </x:c>
      <x:c r="I157" s="19" t="str">
        <x:v>UNKNOWN</x:v>
      </x:c>
      <x:c r="J157" s="19" t="str">
        <x:v>UNKNOWN</x:v>
      </x:c>
      <x:c r="K157" s="19" t="str">
        <x:v>UNKNOWN</x:v>
      </x:c>
      <x:c r="L157" s="19" t="str">
        <x:v>UNKNOWN – felmérés/gyári adat kell</x:v>
      </x:c>
      <x:c r="M157" s="19" t="str">
        <x:v>Kyoto Ink: grafit / füstszürke / taupe</x:v>
      </x:c>
      <x:c r="N157" s="19" t="str">
        <x:v>PENDING – műszaki specifikáció szerint</x:v>
      </x:c>
      <x:c r="O157" s="19" t="n">
        <x:v>1</x:v>
      </x:c>
      <x:c r="P157" s="19" t="str">
        <x:v>csomag</x:v>
      </x:c>
      <x:c r="Q157" s="20" t="n">
        <x:v>30000</x:v>
      </x:c>
      <x:c r="R157" s="20" t="n">
        <x:v>0</x:v>
      </x:c>
      <x:c r="S157" s="20" t="n">
        <x:v>0</x:v>
      </x:c>
      <x:c r="T157" s="20" t="n">
        <x:v>0</x:v>
      </x:c>
      <x:c r="U157" s="21" t="n">
        <x:f>O157*Q157+SUM(R157:T157)</x:f>
        <x:v>30000</x:v>
      </x:c>
      <x:c r="V157" s="19" t="str">
        <x:v>előzetes becslés</x:v>
      </x:c>
      <x:c r="W157" s="19" t="str">
        <x:v>CP0 tervezői előirányzat, nem webshopár; baseline 14</x:v>
      </x:c>
      <x:c r="X157" s="19" t="str">
        <x:v>2026-10-26</x:v>
      </x:c>
      <x:c r="Y157" s="19" t="str">
        <x:v>UNKNOWN – ajánlatban visszaigazolandó</x:v>
      </x:c>
      <x:c r="Z157" s="19" t="str">
        <x:v>C</x:v>
      </x:c>
      <x:c r="AA157" s="19" t="str">
        <x:v>PENDING</x:v>
      </x:c>
      <x:c r="AB157" s="19" t="str">
        <x:v>PENDING</x:v>
      </x:c>
      <x:c r="AC157" s="19" t="str">
        <x:v>nem megrendelt</x:v>
      </x:c>
      <x:c r="AD157" s="19" t="str">
        <x:v>Projektvezető</x:v>
      </x:c>
      <x:c r="AE157" s="19" t="str">
        <x:v>PENDING – méret, csatlakozás, anyagminta, teljes bekerülés</x:v>
      </x:c>
      <x:c r="AF157" s="19" t="str">
        <x:v>CP0 becslési csomag: segédanyag és munkadíj a megnevezett tartalom szerint; külön szállítás a 14 sorban. Nem ingyenes szállítás.</x:v>
      </x:c>
      <x:c r="AG157" s="20" t="n">
        <x:v>30000</x:v>
      </x:c>
      <x:c r="AH157" s="21" t="n">
        <x:f>O157*AG157+SUM(R157:T157)</x:f>
        <x:v>30000</x:v>
      </x:c>
      <x:c r="AI157" s="19" t="str">
        <x:v>PENDING</x:v>
      </x:c>
      <x:c r="AJ157" s="19" t="str">
        <x:v>PENDING</x:v>
      </x:c>
      <x:c r="AK157" s="19" t="str">
        <x:v>PENDING</x:v>
      </x:c>
      <x:c r="AL157" s="19" t="str">
        <x:v>PENDING</x:v>
      </x:c>
      <x:c r="AM157" s="19" t="str">
        <x:v>PENDING</x:v>
      </x:c>
      <x:c r="AN157" s="1" t="str">
        <x:v>KI-156</x:v>
      </x:c>
      <x:c r="AO157" s="1" t="str">
        <x:v>drawings/P-01_alaprajz.pdf</x:v>
      </x:c>
      <x:c r="AP157" s="1" t="str">
        <x:v>NINCS MODELL / nem térbeli költségsor; szakági kapcsolat igazolandó</x:v>
      </x:c>
      <x:c r="AQ157" s="1" t="str">
        <x:v>késztermék / szakági munka</x:v>
      </x:c>
      <x:c r="AR157" s="1" t="str">
        <x:v>felmérés/gyártói rajz szükséges</x:v>
      </x:c>
      <x:c r="AS157" s="1" t="str">
        <x:v>HUF</x:v>
      </x:c>
      <x:c r="AT157" s="1" t="n">
        <x:v>1</x:v>
      </x:c>
      <x:c r="AU157" s="1" t="str">
        <x:v>nincs visszaigazolt ajánlati érvényesség</x:v>
      </x:c>
      <x:c r="AV157" s="1" t="str">
        <x:v>KI-151 központi keret; daruzás KI-137</x:v>
      </x:c>
      <x:c r="AW157" s="1" t="str">
        <x:v>KI-014 asztalos / KI-106 villamos / KI-026 és KI-096 víz / KI-127 fal</x:v>
      </x:c>
      <x:c r="AX157" s="1" t="n">
        <x:v>6</x:v>
      </x:c>
      <x:c r="AY157" s="1" t="n">
        <x:v>0.85</x:v>
      </x:c>
      <x:c r="AZ157" s="1" t="n">
        <x:v>1.3</x:v>
      </x:c>
      <x:c r="BA157" s="29" t="n">
        <x:f>ROUND(U157*AY157,0)</x:f>
        <x:v>25500</x:v>
      </x:c>
      <x:c r="BB157" s="29" t="n">
        <x:f>ROUND(U157*AZ157,0)</x:f>
        <x:v>39000</x:v>
      </x:c>
    </x:row>
    <x:row r="158" ht="72" customHeight="1">
      <x:c r="A158" s="12" t="str">
        <x:v>A-902</x:v>
      </x:c>
      <x:c r="B158" s="12" t="str">
        <x:v>02</x:v>
      </x:c>
      <x:c r="C158" s="12" t="str">
        <x:v>KI-157</x:v>
      </x:c>
      <x:c r="D158" s="12" t="str">
        <x:v>NEM RENDERELT</x:v>
      </x:c>
      <x:c r="E158" s="12" t="str">
        <x:v>UJ</x:v>
      </x:c>
      <x:c r="F158" s="12" t="str">
        <x:v>STÍLUS</x:v>
      </x:c>
      <x:c r="G158" s="12" t="str">
        <x:v>Kiegészítők</x:v>
      </x:c>
      <x:c r="H158" s="19" t="str">
        <x:v>Evőeszköz, edény, pohár, konyhai hulladékszelektálás és alap kisgépek</x:v>
      </x:c>
      <x:c r="I158" s="19" t="str">
        <x:v>UNKNOWN</x:v>
      </x:c>
      <x:c r="J158" s="19" t="str">
        <x:v>UNKNOWN</x:v>
      </x:c>
      <x:c r="K158" s="19" t="str">
        <x:v>UNKNOWN</x:v>
      </x:c>
      <x:c r="L158" s="19" t="str">
        <x:v>UNKNOWN – felmérés/gyári adat kell</x:v>
      </x:c>
      <x:c r="M158" s="19" t="str">
        <x:v>Kyoto Ink: grafit / füstszürke / taupe</x:v>
      </x:c>
      <x:c r="N158" s="19" t="str">
        <x:v>PENDING – műszaki specifikáció szerint</x:v>
      </x:c>
      <x:c r="O158" s="19" t="n">
        <x:v>1</x:v>
      </x:c>
      <x:c r="P158" s="19" t="str">
        <x:v>csomag</x:v>
      </x:c>
      <x:c r="Q158" s="20" t="n">
        <x:v>150000</x:v>
      </x:c>
      <x:c r="R158" s="20" t="n">
        <x:v>0</x:v>
      </x:c>
      <x:c r="S158" s="20" t="n">
        <x:v>0</x:v>
      </x:c>
      <x:c r="T158" s="20" t="n">
        <x:v>0</x:v>
      </x:c>
      <x:c r="U158" s="21" t="n">
        <x:f>O158*Q158+SUM(R158:T158)</x:f>
        <x:v>150000</x:v>
      </x:c>
      <x:c r="V158" s="19" t="str">
        <x:v>előzetes becslés</x:v>
      </x:c>
      <x:c r="W158" s="19" t="str">
        <x:v>CP0 tervezői előirányzat, nem webshopár; baseline UJ</x:v>
      </x:c>
      <x:c r="X158" s="19" t="str">
        <x:v>2026-10-26</x:v>
      </x:c>
      <x:c r="Y158" s="19" t="str">
        <x:v>UNKNOWN – ajánlatban visszaigazolandó</x:v>
      </x:c>
      <x:c r="Z158" s="19" t="str">
        <x:v>C</x:v>
      </x:c>
      <x:c r="AA158" s="19" t="str">
        <x:v>PENDING</x:v>
      </x:c>
      <x:c r="AB158" s="19" t="str">
        <x:v>PENDING</x:v>
      </x:c>
      <x:c r="AC158" s="19" t="str">
        <x:v>nem megrendelt</x:v>
      </x:c>
      <x:c r="AD158" s="19" t="str">
        <x:v>Beszerzési felelős / Péter</x:v>
      </x:c>
      <x:c r="AE158" s="19" t="str">
        <x:v>PENDING – méret, csatlakozás, anyagminta, teljes bekerülés</x:v>
      </x:c>
      <x:c r="AF158" s="19" t="str">
        <x:v>CP0 becslési csomag: segédanyag és munkadíj a megnevezett tartalom szerint; külön szállítás a 14 sorban. Nem ingyenes szállítás.</x:v>
      </x:c>
      <x:c r="AG158" s="20" t="n">
        <x:v>150000</x:v>
      </x:c>
      <x:c r="AH158" s="21" t="n">
        <x:f>O158*AG158+SUM(R158:T158)</x:f>
        <x:v>150000</x:v>
      </x:c>
      <x:c r="AI158" s="19" t="str">
        <x:v>PENDING</x:v>
      </x:c>
      <x:c r="AJ158" s="19" t="str">
        <x:v>PENDING</x:v>
      </x:c>
      <x:c r="AK158" s="19" t="str">
        <x:v>PENDING</x:v>
      </x:c>
      <x:c r="AL158" s="19" t="str">
        <x:v>PENDING</x:v>
      </x:c>
      <x:c r="AM158" s="19" t="str">
        <x:v>PENDING</x:v>
      </x:c>
      <x:c r="AN158" s="1" t="str">
        <x:v>KI-157</x:v>
      </x:c>
      <x:c r="AO158" s="1" t="str">
        <x:v>drawings/P-01_alaprajz.pdf</x:v>
      </x:c>
      <x:c r="AP158" s="1" t="str">
        <x:v>NINCS MODELL / nem térbeli költségsor; szakági kapcsolat igazolandó</x:v>
      </x:c>
      <x:c r="AQ158" s="1" t="str">
        <x:v>késztermék / szakági munka</x:v>
      </x:c>
      <x:c r="AR158" s="1" t="str">
        <x:v>felmérés/gyártói rajz szükséges</x:v>
      </x:c>
      <x:c r="AS158" s="1" t="str">
        <x:v>HUF</x:v>
      </x:c>
      <x:c r="AT158" s="1" t="n">
        <x:v>1</x:v>
      </x:c>
      <x:c r="AU158" s="1" t="str">
        <x:v>nincs visszaigazolt ajánlati érvényesség</x:v>
      </x:c>
      <x:c r="AV158" s="1" t="str">
        <x:v>KI-151 központi keret; daruzás KI-137</x:v>
      </x:c>
      <x:c r="AW158" s="1" t="str">
        <x:v>KI-014 asztalos / KI-106 villamos / KI-026 és KI-096 víz / KI-127 fal</x:v>
      </x:c>
      <x:c r="AX158" s="1" t="n">
        <x:v>6</x:v>
      </x:c>
      <x:c r="AY158" s="1" t="n">
        <x:v>0.85</x:v>
      </x:c>
      <x:c r="AZ158" s="1" t="n">
        <x:v>1.3</x:v>
      </x:c>
      <x:c r="BA158" s="29" t="n">
        <x:f>ROUND(U158*AY158,0)</x:f>
        <x:v>127500</x:v>
      </x:c>
      <x:c r="BB158" s="29" t="n">
        <x:f>ROUND(U158*AZ158,0)</x:f>
        <x:v>195000</x:v>
      </x:c>
    </x:row>
    <x:row r="159" ht="72" customHeight="1">
      <x:c r="A159" s="12" t="str">
        <x:v>A-902</x:v>
      </x:c>
      <x:c r="B159" s="12" t="str">
        <x:v>01 / 04</x:v>
      </x:c>
      <x:c r="C159" s="12" t="str">
        <x:v>KI-158</x:v>
      </x:c>
      <x:c r="D159" s="12" t="str">
        <x:v>NEM RENDERELT</x:v>
      </x:c>
      <x:c r="E159" s="12" t="str">
        <x:v>UJ</x:v>
      </x:c>
      <x:c r="F159" s="12" t="str">
        <x:v>STÍLUS</x:v>
      </x:c>
      <x:c r="G159" s="12" t="str">
        <x:v>Elektronika</x:v>
      </x:c>
      <x:c r="H159" s="19" t="str">
        <x:v>Router/Wi-Fi és hálózati beüzemelés</x:v>
      </x:c>
      <x:c r="I159" s="19" t="str">
        <x:v>UNKNOWN</x:v>
      </x:c>
      <x:c r="J159" s="19" t="str">
        <x:v>UNKNOWN</x:v>
      </x:c>
      <x:c r="K159" s="19" t="str">
        <x:v>UNKNOWN</x:v>
      </x:c>
      <x:c r="L159" s="19" t="str">
        <x:v>UNKNOWN – felmérés/gyári adat kell</x:v>
      </x:c>
      <x:c r="M159" s="19" t="str">
        <x:v>Kyoto Ink: grafit / füstszürke / taupe</x:v>
      </x:c>
      <x:c r="N159" s="19" t="str">
        <x:v>PENDING – műszaki specifikáció szerint</x:v>
      </x:c>
      <x:c r="O159" s="19" t="n">
        <x:v>1</x:v>
      </x:c>
      <x:c r="P159" s="19" t="str">
        <x:v>csomag</x:v>
      </x:c>
      <x:c r="Q159" s="20" t="n">
        <x:v>60000</x:v>
      </x:c>
      <x:c r="R159" s="20" t="n">
        <x:v>0</x:v>
      </x:c>
      <x:c r="S159" s="20" t="n">
        <x:v>0</x:v>
      </x:c>
      <x:c r="T159" s="20" t="n">
        <x:v>0</x:v>
      </x:c>
      <x:c r="U159" s="21" t="n">
        <x:f>O159*Q159+SUM(R159:T159)</x:f>
        <x:v>60000</x:v>
      </x:c>
      <x:c r="V159" s="19" t="str">
        <x:v>előzetes becslés</x:v>
      </x:c>
      <x:c r="W159" s="19" t="str">
        <x:v>CP0 tervezői előirányzat, nem webshopár; baseline UJ</x:v>
      </x:c>
      <x:c r="X159" s="19" t="str">
        <x:v>2026-10-26</x:v>
      </x:c>
      <x:c r="Y159" s="19" t="str">
        <x:v>UNKNOWN – ajánlatban visszaigazolandó</x:v>
      </x:c>
      <x:c r="Z159" s="19" t="str">
        <x:v>C</x:v>
      </x:c>
      <x:c r="AA159" s="19" t="str">
        <x:v>PENDING</x:v>
      </x:c>
      <x:c r="AB159" s="19" t="str">
        <x:v>PENDING</x:v>
      </x:c>
      <x:c r="AC159" s="19" t="str">
        <x:v>nem megrendelt</x:v>
      </x:c>
      <x:c r="AD159" s="19" t="str">
        <x:v>Beszerzési felelős / Péter</x:v>
      </x:c>
      <x:c r="AE159" s="19" t="str">
        <x:v>PENDING – méret, csatlakozás, anyagminta, teljes bekerülés</x:v>
      </x:c>
      <x:c r="AF159" s="19" t="str">
        <x:v>CP0 becslési csomag: segédanyag és munkadíj a megnevezett tartalom szerint; külön szállítás a 14 sorban. Nem ingyenes szállítás.</x:v>
      </x:c>
      <x:c r="AG159" s="20" t="n">
        <x:v>60000</x:v>
      </x:c>
      <x:c r="AH159" s="21" t="n">
        <x:f>O159*AG159+SUM(R159:T159)</x:f>
        <x:v>60000</x:v>
      </x:c>
      <x:c r="AI159" s="19" t="str">
        <x:v>PENDING</x:v>
      </x:c>
      <x:c r="AJ159" s="19" t="str">
        <x:v>PENDING</x:v>
      </x:c>
      <x:c r="AK159" s="19" t="str">
        <x:v>PENDING</x:v>
      </x:c>
      <x:c r="AL159" s="19" t="str">
        <x:v>PENDING</x:v>
      </x:c>
      <x:c r="AM159" s="19" t="str">
        <x:v>PENDING</x:v>
      </x:c>
      <x:c r="AN159" s="1" t="str">
        <x:v>KI-158</x:v>
      </x:c>
      <x:c r="AO159" s="1" t="str">
        <x:v>drawings/P-01_alaprajz.pdf</x:v>
      </x:c>
      <x:c r="AP159" s="1" t="str">
        <x:v>NINCS MODELL / nem térbeli költségsor; szakági kapcsolat igazolandó</x:v>
      </x:c>
      <x:c r="AQ159" s="1" t="str">
        <x:v>késztermék / szakági munka</x:v>
      </x:c>
      <x:c r="AR159" s="1" t="str">
        <x:v>felmérés/gyártói rajz szükséges</x:v>
      </x:c>
      <x:c r="AS159" s="1" t="str">
        <x:v>HUF</x:v>
      </x:c>
      <x:c r="AT159" s="1" t="n">
        <x:v>1</x:v>
      </x:c>
      <x:c r="AU159" s="1" t="str">
        <x:v>nincs visszaigazolt ajánlati érvényesség</x:v>
      </x:c>
      <x:c r="AV159" s="1" t="str">
        <x:v>KI-151 központi keret; daruzás KI-137</x:v>
      </x:c>
      <x:c r="AW159" s="1" t="str">
        <x:v>KI-014 asztalos / KI-106 villamos / KI-026 és KI-096 víz / KI-127 fal</x:v>
      </x:c>
      <x:c r="AX159" s="1" t="n">
        <x:v>6</x:v>
      </x:c>
      <x:c r="AY159" s="1" t="n">
        <x:v>0.85</x:v>
      </x:c>
      <x:c r="AZ159" s="1" t="n">
        <x:v>1.3</x:v>
      </x:c>
      <x:c r="BA159" s="29" t="n">
        <x:f>ROUND(U159*AY159,0)</x:f>
        <x:v>51000</x:v>
      </x:c>
      <x:c r="BB159" s="29" t="n">
        <x:f>ROUND(U159*AZ159,0)</x:f>
        <x:v>78000</x:v>
      </x:c>
    </x:row>
    <x:row r="160" ht="72" customHeight="1">
      <x:c r="A160" s="12" t="str">
        <x:v>A-902</x:v>
      </x:c>
      <x:c r="B160" s="12" t="str">
        <x:v>01 / 04</x:v>
      </x:c>
      <x:c r="C160" s="12" t="str">
        <x:v>KI-159</x:v>
      </x:c>
      <x:c r="D160" s="12" t="str">
        <x:v>NEM RENDERELT</x:v>
      </x:c>
      <x:c r="E160" s="12" t="str">
        <x:v>UJ</x:v>
      </x:c>
      <x:c r="F160" s="12" t="str">
        <x:v>STÍLUS</x:v>
      </x:c>
      <x:c r="G160" s="12" t="str">
        <x:v>Elektronika</x:v>
      </x:c>
      <x:c r="H160" s="19" t="str">
        <x:v>Riasztó és redőnymotor tényleges meglétének felmérése, hiány esetére előirányzat</x:v>
      </x:c>
      <x:c r="I160" s="19" t="str">
        <x:v>UNKNOWN</x:v>
      </x:c>
      <x:c r="J160" s="19" t="str">
        <x:v>UNKNOWN</x:v>
      </x:c>
      <x:c r="K160" s="19" t="str">
        <x:v>UNKNOWN</x:v>
      </x:c>
      <x:c r="L160" s="19" t="str">
        <x:v>UNKNOWN – felmérés/gyári adat kell</x:v>
      </x:c>
      <x:c r="M160" s="19" t="str">
        <x:v>Kyoto Ink: grafit / füstszürke / taupe</x:v>
      </x:c>
      <x:c r="N160" s="19" t="str">
        <x:v>PENDING – műszaki specifikáció szerint</x:v>
      </x:c>
      <x:c r="O160" s="19" t="n">
        <x:v>1</x:v>
      </x:c>
      <x:c r="P160" s="19" t="str">
        <x:v>csomag</x:v>
      </x:c>
      <x:c r="Q160" s="20" t="n">
        <x:v>300000</x:v>
      </x:c>
      <x:c r="R160" s="20" t="n">
        <x:v>0</x:v>
      </x:c>
      <x:c r="S160" s="20" t="n">
        <x:v>0</x:v>
      </x:c>
      <x:c r="T160" s="20" t="n">
        <x:v>0</x:v>
      </x:c>
      <x:c r="U160" s="21" t="n">
        <x:f>O160*Q160+SUM(R160:T160)</x:f>
        <x:v>300000</x:v>
      </x:c>
      <x:c r="V160" s="19" t="str">
        <x:v>előzetes becslés</x:v>
      </x:c>
      <x:c r="W160" s="19" t="str">
        <x:v>CP0 tervezői előirányzat, nem webshopár; baseline UJ</x:v>
      </x:c>
      <x:c r="X160" s="19" t="str">
        <x:v>2026-10-26</x:v>
      </x:c>
      <x:c r="Y160" s="19" t="str">
        <x:v>UNKNOWN – ajánlatban visszaigazolandó</x:v>
      </x:c>
      <x:c r="Z160" s="19" t="str">
        <x:v>C</x:v>
      </x:c>
      <x:c r="AA160" s="19" t="str">
        <x:v>PENDING</x:v>
      </x:c>
      <x:c r="AB160" s="19" t="str">
        <x:v>PENDING</x:v>
      </x:c>
      <x:c r="AC160" s="19" t="str">
        <x:v>nem megrendelt</x:v>
      </x:c>
      <x:c r="AD160" s="19" t="str">
        <x:v>Beszerzési felelős / Péter</x:v>
      </x:c>
      <x:c r="AE160" s="19" t="str">
        <x:v>PENDING – méret, csatlakozás, anyagminta, teljes bekerülés</x:v>
      </x:c>
      <x:c r="AF160" s="19" t="str">
        <x:v>CP0 becslési csomag: segédanyag és munkadíj a megnevezett tartalom szerint; külön szállítás a 14 sorban. Nem ingyenes szállítás.</x:v>
      </x:c>
      <x:c r="AG160" s="20" t="n">
        <x:v>300000</x:v>
      </x:c>
      <x:c r="AH160" s="21" t="n">
        <x:f>O160*AG160+SUM(R160:T160)</x:f>
        <x:v>300000</x:v>
      </x:c>
      <x:c r="AI160" s="19" t="str">
        <x:v>PENDING</x:v>
      </x:c>
      <x:c r="AJ160" s="19" t="str">
        <x:v>PENDING</x:v>
      </x:c>
      <x:c r="AK160" s="19" t="str">
        <x:v>PENDING</x:v>
      </x:c>
      <x:c r="AL160" s="19" t="str">
        <x:v>PENDING</x:v>
      </x:c>
      <x:c r="AM160" s="19" t="str">
        <x:v>PENDING</x:v>
      </x:c>
      <x:c r="AN160" s="1" t="str">
        <x:v>KI-159</x:v>
      </x:c>
      <x:c r="AO160" s="1" t="str">
        <x:v>drawings/P-01_alaprajz.pdf</x:v>
      </x:c>
      <x:c r="AP160" s="1" t="str">
        <x:v>NINCS MODELL / nem térbeli költségsor; szakági kapcsolat igazolandó</x:v>
      </x:c>
      <x:c r="AQ160" s="1" t="str">
        <x:v>késztermék / szakági munka</x:v>
      </x:c>
      <x:c r="AR160" s="1" t="str">
        <x:v>felmérés/gyártói rajz szükséges</x:v>
      </x:c>
      <x:c r="AS160" s="1" t="str">
        <x:v>HUF</x:v>
      </x:c>
      <x:c r="AT160" s="1" t="n">
        <x:v>1</x:v>
      </x:c>
      <x:c r="AU160" s="1" t="str">
        <x:v>nincs visszaigazolt ajánlati érvényesség</x:v>
      </x:c>
      <x:c r="AV160" s="1" t="str">
        <x:v>KI-151 központi keret; daruzás KI-137</x:v>
      </x:c>
      <x:c r="AW160" s="1" t="str">
        <x:v>KI-014 asztalos / KI-106 villamos / KI-026 és KI-096 víz / KI-127 fal</x:v>
      </x:c>
      <x:c r="AX160" s="1" t="n">
        <x:v>6</x:v>
      </x:c>
      <x:c r="AY160" s="1" t="n">
        <x:v>0.85</x:v>
      </x:c>
      <x:c r="AZ160" s="1" t="n">
        <x:v>1.6</x:v>
      </x:c>
      <x:c r="BA160" s="29" t="n">
        <x:f>ROUND(U160*AY160,0)</x:f>
        <x:v>255000</x:v>
      </x:c>
      <x:c r="BB160" s="29" t="n">
        <x:f>ROUND(U160*AZ160,0)</x:f>
        <x:v>480000</x:v>
      </x:c>
    </x:row>
    <x:row r="161">
      <x:c r="A161" s="12" t="str">
        <x:v>A-902</x:v>
      </x:c>
      <x:c r="B161" s="12" t="str">
        <x:v>teljes lakás</x:v>
      </x:c>
      <x:c r="C161" s="12" t="str">
        <x:v>KI-CP3-L01</x:v>
      </x:c>
      <x:c r="D161" s="12" t="str">
        <x:v>CP3 manifest</x:v>
      </x:c>
      <x:c r="E161" s="12" t="str">
        <x:v>CP3 bővítés; nincs baseline duplikáció</x:v>
      </x:c>
      <x:c r="F161" s="12" t="str">
        <x:v>megvalósítás</x:v>
      </x:c>
      <x:c r="G161" s="12" t="str">
        <x:v>világítás</x:v>
      </x:c>
      <x:c r="H161" s="19" t="str">
        <x:v>IKEA ÖVERSIDAN 46 cm</x:v>
      </x:c>
      <x:c r="I161" s="19" t="str">
        <x:v>IKEA</x:v>
      </x:c>
      <x:c r="J161" s="19" t="str">
        <x:v>305.890.98</x:v>
      </x:c>
      <x:c r="K161" s="19" t="str">
        <x:v>https://www.ikea.com/hu/hu/p/oeversidan-led-es-gardrobvilagitas-erzekelo-fenyereje-szabh-soetetszuerke-30589098/</x:v>
      </x:c>
      <x:c r="L161" s="19" t="str">
        <x:v>460 mm; 2,3 W; 140 lm; 24 V</x:v>
      </x:c>
      <x:c r="M161" s="19" t="str">
        <x:v>fehér / grafit a terv szerint</x:v>
      </x:c>
      <x:c r="N161" s="19" t="str">
        <x:v>termék és rajz szerint</x:v>
      </x:c>
      <x:c r="O161" s="19" t="n">
        <x:v>49</x:v>
      </x:c>
      <x:c r="P161" s="19" t="str">
        <x:v>db</x:v>
      </x:c>
      <x:c r="Q161" s="20" t="n">
        <x:v>5490</x:v>
      </x:c>
      <x:c r="R161" s="20" t="n">
        <x:v>0</x:v>
      </x:c>
      <x:c r="S161" s="20" t="n">
        <x:v>0</x:v>
      </x:c>
      <x:c r="T161" s="20" t="n">
        <x:v>0</x:v>
      </x:c>
      <x:c r="U161" s="21" t="n">
        <x:f>O161*Q161+SUM(R161:T161)</x:f>
        <x:v>269010</x:v>
      </x:c>
      <x:c r="V161" s="19" t="str">
        <x:v>ellenőrzött webshopár</x:v>
      </x:c>
      <x:c r="W161" s="19" t="str">
        <x:v>https://www.ikea.com/hu/hu/p/oeversidan-led-es-gardrobvilagitas-erzekelo-fenyereje-szabh-soetetszuerke-30589098/</x:v>
      </x:c>
      <x:c r="X161" s="19" t="str">
        <x:v>2026-10-26</x:v>
      </x:c>
      <x:c r="Y161" s="19" t="str">
        <x:v>szállítás / átfutás nincs visszaigazolva</x:v>
      </x:c>
      <x:c r="Z161" s="19" t="str">
        <x:v>A</x:v>
      </x:c>
      <x:c r="AA161" s="19" t="str">
        <x:v>Lámpánként gyári kábel és profil. CRI / Kelvin adat még nem igazolt; minta szükséges.</x:v>
      </x:c>
      <x:c r="AB161" s="19" t="str">
        <x:v>tulajdonosi / szakági jóváhagyásra vár</x:v>
      </x:c>
      <x:c r="AC161" s="19" t="str">
        <x:v>nem rendelt</x:v>
      </x:c>
      <x:c r="AD161" s="19" t="str">
        <x:v>tulajdonos + szaktervező / gyártó</x:v>
      </x:c>
      <x:c r="AE161" s="19" t="str">
        <x:v>ár és beépítés külön ellenőrizendő</x:v>
      </x:c>
      <x:c r="AF161" s="19" t="str">
        <x:v>A61darab CP3 listából a12WN darabot felváltja a7×710mm KI-R05-L01. Minden más lámpa változatlan.</x:v>
      </x:c>
      <x:c r="AG161" s="20" t="n">
        <x:v>5490</x:v>
      </x:c>
      <x:c r="AH161" s="21" t="n">
        <x:f>O161*AG161+SUM(R161:T161)</x:f>
        <x:v>269010</x:v>
      </x:c>
      <x:c r="AI161" s="19" t="str">
        <x:v>R05 főváltozat tartalma; korábbi fiók-/aszimmetria-elhagyás nincs automatikusan kiválasztva.</x:v>
      </x:c>
      <x:c r="AJ161" s="19" t="str">
        <x:v>forgalmazói feltétel ajánlatban</x:v>
      </x:c>
      <x:c r="AK161" s="19" t="str">
        <x:v>magyar címre nincs visszaigazolva</x:v>
      </x:c>
      <x:c r="AL161" s="19" t="str">
        <x:v>lásd CP3 alternatívák</x:v>
      </x:c>
      <x:c r="AM161" s="19" t="str">
        <x:v>nincs önkényesen választva</x:v>
      </x:c>
      <x:c r="AN161" s="1" t="str">
        <x:v>WN-01;WS-01;W52-01;W53-01;K-01;K-02;K-07</x:v>
      </x:c>
      <x:c r="AO161" s="1" t="str">
        <x:v>CP3/drawings</x:v>
      </x:c>
      <x:c r="AP161" s="1" t="str">
        <x:v>CP3_WN-01;WS-01;W52-01;W53-01;K-01;K-02;K-07</x:v>
      </x:c>
      <x:c r="AQ161" s="1" t="str">
        <x:v>késztermék</x:v>
      </x:c>
      <x:c r="AR161" s="1" t="str">
        <x:v>gyártói befoglaló / tervi hely; felmérés vár</x:v>
      </x:c>
      <x:c r="AS161" s="1" t="str">
        <x:v>HUF</x:v>
      </x:c>
      <x:c r="AT161" s="1" t="n">
        <x:v>1</x:v>
      </x:c>
      <x:c r="AU161" s="1" t="str">
        <x:v>vásárlás előtt újraellenőrizendő</x:v>
      </x:c>
      <x:c r="AV161" s="1" t="str">
        <x:v>közös logisztikai sor, ha nincs itt külön</x:v>
      </x:c>
      <x:c r="AW161" s="1" t="str">
        <x:v>külön szerelési / segédanyag sor</x:v>
      </x:c>
      <x:c r="AX161" s="1" t="n">
        <x:v>3</x:v>
      </x:c>
      <x:c r="AY161" s="1" t="n">
        <x:v>1</x:v>
      </x:c>
      <x:c r="AZ161" s="1" t="n">
        <x:v>1.15</x:v>
      </x:c>
      <x:c r="BA161" s="29" t="n">
        <x:f>ROUND(U161*AY161,0)</x:f>
        <x:v>269010</x:v>
      </x:c>
      <x:c r="BB161" s="29" t="n">
        <x:f>ROUND(U161*AZ161,0)</x:f>
        <x:v>309362</x:v>
      </x:c>
    </x:row>
    <x:row r="162">
      <x:c r="A162" s="12" t="str">
        <x:v>A-902</x:v>
      </x:c>
      <x:c r="B162" s="12" t="str">
        <x:v>teljes lakás</x:v>
      </x:c>
      <x:c r="C162" s="12" t="str">
        <x:v>KI-CP3-L02</x:v>
      </x:c>
      <x:c r="D162" s="12" t="str">
        <x:v>CP3 manifest</x:v>
      </x:c>
      <x:c r="E162" s="12" t="str">
        <x:v>CP3 bővítés; nincs baseline duplikáció</x:v>
      </x:c>
      <x:c r="F162" s="12" t="str">
        <x:v>megvalósítás</x:v>
      </x:c>
      <x:c r="G162" s="12" t="str">
        <x:v>világítás</x:v>
      </x:c>
      <x:c r="H162" s="19" t="str">
        <x:v>IKEA TRÅDFRI 30 W tápegység</x:v>
      </x:c>
      <x:c r="I162" s="19" t="str">
        <x:v>IKEA</x:v>
      </x:c>
      <x:c r="J162" s="19" t="str">
        <x:v>603.426.56</x:v>
      </x:c>
      <x:c r="K162" s="19" t="str">
        <x:v>https://www.ikea.com/hu/hu/p/tradfri-tapegyseg-okos-eszkoez-szuerke-60342656/</x:v>
      </x:c>
      <x:c r="L162" s="19" t="str">
        <x:v>285×55×18 mm; 230/24 V; max 9 kimenet</x:v>
      </x:c>
      <x:c r="M162" s="19" t="str">
        <x:v>fehér / grafit a terv szerint</x:v>
      </x:c>
      <x:c r="N162" s="19" t="str">
        <x:v>termék és rajz szerint</x:v>
      </x:c>
      <x:c r="O162" s="19" t="n">
        <x:v>11</x:v>
      </x:c>
      <x:c r="P162" s="19" t="str">
        <x:v>db</x:v>
      </x:c>
      <x:c r="Q162" s="20" t="n">
        <x:v>3990</x:v>
      </x:c>
      <x:c r="R162" s="20" t="n">
        <x:v>0</x:v>
      </x:c>
      <x:c r="S162" s="20" t="n">
        <x:v>0</x:v>
      </x:c>
      <x:c r="T162" s="20" t="n">
        <x:v>0</x:v>
      </x:c>
      <x:c r="U162" s="21" t="n">
        <x:f>O162*Q162+SUM(R162:T162)</x:f>
        <x:v>43890</x:v>
      </x:c>
      <x:c r="V162" s="19" t="str">
        <x:v>ellenőrzött webshopár</x:v>
      </x:c>
      <x:c r="W162" s="19" t="str">
        <x:v>https://www.ikea.com/hu/hu/p/tradfri-tapegyseg-okos-eszkoez-szuerke-60342656/</x:v>
      </x:c>
      <x:c r="X162" s="19" t="str">
        <x:v>2026-10-26</x:v>
      </x:c>
      <x:c r="Y162" s="19" t="str">
        <x:v>szállítás / átfutás nincs visszaigazolva</x:v>
      </x:c>
      <x:c r="Z162" s="19" t="str">
        <x:v>A</x:v>
      </x:c>
      <x:c r="AA162" s="19" t="str">
        <x:v>Önálló belső funkcionális rendszer; nincs állított Hue-kompatibilitás.</x:v>
      </x:c>
      <x:c r="AB162" s="19" t="str">
        <x:v>tulajdonosi / szakági jóváhagyásra vár</x:v>
      </x:c>
      <x:c r="AC162" s="19" t="str">
        <x:v>nem rendelt</x:v>
      </x:c>
      <x:c r="AD162" s="19" t="str">
        <x:v>tulajdonos + szaktervező / gyártó</x:v>
      </x:c>
      <x:c r="AE162" s="19" t="str">
        <x:v>ár és beépítés külön ellenőrizendő</x:v>
      </x:c>
      <x:c r="AF162" s="19" t="str">
        <x:v>Önálló belső funkcionális rendszer; nincs állított Hue-kompatibilitás.</x:v>
      </x:c>
      <x:c r="AG162" s="20" t="n">
        <x:v>3990</x:v>
      </x:c>
      <x:c r="AH162" s="21" t="n">
        <x:f>O162*AG162+SUM(R162:T162)</x:f>
        <x:v>43890</x:v>
      </x:c>
      <x:c r="AI162" s="19" t="str">
        <x:v>azonos műszaki tartalom</x:v>
      </x:c>
      <x:c r="AJ162" s="19" t="str">
        <x:v>forgalmazói feltétel ajánlatban</x:v>
      </x:c>
      <x:c r="AK162" s="19" t="str">
        <x:v>magyar címre nincs visszaigazolva</x:v>
      </x:c>
      <x:c r="AL162" s="19" t="str">
        <x:v>lásd CP3 alternatívák</x:v>
      </x:c>
      <x:c r="AM162" s="19" t="str">
        <x:v>nincs önkényesen választva</x:v>
      </x:c>
      <x:c r="AN162" s="1" t="str">
        <x:v>PSU</x:v>
      </x:c>
      <x:c r="AO162" s="1" t="str">
        <x:v>CP3/drawings</x:v>
      </x:c>
      <x:c r="AP162" s="1" t="str">
        <x:v>CP3_PSU</x:v>
      </x:c>
      <x:c r="AQ162" s="1" t="str">
        <x:v>késztermék</x:v>
      </x:c>
      <x:c r="AR162" s="1" t="str">
        <x:v>gyártói befoglaló / tervi hely; felmérés vár</x:v>
      </x:c>
      <x:c r="AS162" s="1" t="str">
        <x:v>HUF</x:v>
      </x:c>
      <x:c r="AT162" s="1" t="n">
        <x:v>1</x:v>
      </x:c>
      <x:c r="AU162" s="1" t="str">
        <x:v>vásárlás előtt újraellenőrizendő</x:v>
      </x:c>
      <x:c r="AV162" s="1" t="str">
        <x:v>közös logisztikai sor, ha nincs itt külön</x:v>
      </x:c>
      <x:c r="AW162" s="1" t="str">
        <x:v>külön szerelési / segédanyag sor</x:v>
      </x:c>
      <x:c r="AX162" s="1" t="n">
        <x:v>3</x:v>
      </x:c>
      <x:c r="AY162" s="1" t="n">
        <x:v>1</x:v>
      </x:c>
      <x:c r="AZ162" s="1" t="n">
        <x:v>1.15</x:v>
      </x:c>
      <x:c r="BA162" s="29" t="n">
        <x:f>ROUND(U162*AY162,0)</x:f>
        <x:v>43890</x:v>
      </x:c>
      <x:c r="BB162" s="29" t="n">
        <x:f>ROUND(U162*AZ162,0)</x:f>
        <x:v>50473</x:v>
      </x:c>
    </x:row>
    <x:row r="163">
      <x:c r="A163" s="12" t="str">
        <x:v>A-902</x:v>
      </x:c>
      <x:c r="B163" s="12" t="str">
        <x:v>teljes lakás</x:v>
      </x:c>
      <x:c r="C163" s="12" t="str">
        <x:v>KI-CP3-L03</x:v>
      </x:c>
      <x:c r="D163" s="12" t="str">
        <x:v>CP3 manifest</x:v>
      </x:c>
      <x:c r="E163" s="12" t="str">
        <x:v>CP3 bővítés; nincs baseline duplikáció</x:v>
      </x:c>
      <x:c r="F163" s="12" t="str">
        <x:v>megvalósítás</x:v>
      </x:c>
      <x:c r="G163" s="12" t="str">
        <x:v>világítás</x:v>
      </x:c>
      <x:c r="H163" s="19" t="str">
        <x:v>IKEA FÖRNIMMA hálózati kábel</x:v>
      </x:c>
      <x:c r="I163" s="19" t="str">
        <x:v>IKEA</x:v>
      </x:c>
      <x:c r="J163" s="19" t="str">
        <x:v>504.468.81</x:v>
      </x:c>
      <x:c r="K163" s="19" t="str">
        <x:v>https://www.ikea.com/hu/hu/p/foernimma-vezetek-50446881/</x:v>
      </x:c>
      <x:c r="L163" s="19" t="str">
        <x:v>3,5 m</x:v>
      </x:c>
      <x:c r="M163" s="19" t="str">
        <x:v>fehér / grafit a terv szerint</x:v>
      </x:c>
      <x:c r="N163" s="19" t="str">
        <x:v>termék és rajz szerint</x:v>
      </x:c>
      <x:c r="O163" s="19" t="n">
        <x:v>11</x:v>
      </x:c>
      <x:c r="P163" s="19" t="str">
        <x:v>db</x:v>
      </x:c>
      <x:c r="Q163" s="20" t="n">
        <x:v>2990</x:v>
      </x:c>
      <x:c r="R163" s="20" t="n">
        <x:v>0</x:v>
      </x:c>
      <x:c r="S163" s="20" t="n">
        <x:v>0</x:v>
      </x:c>
      <x:c r="T163" s="20" t="n">
        <x:v>0</x:v>
      </x:c>
      <x:c r="U163" s="21" t="n">
        <x:f>O163*Q163+SUM(R163:T163)</x:f>
        <x:v>32890</x:v>
      </x:c>
      <x:c r="V163" s="19" t="str">
        <x:v>ellenőrzött webshopár</x:v>
      </x:c>
      <x:c r="W163" s="19" t="str">
        <x:v>https://www.ikea.com/hu/hu/p/foernimma-vezetek-50446881/</x:v>
      </x:c>
      <x:c r="X163" s="19" t="str">
        <x:v>2026-10-26</x:v>
      </x:c>
      <x:c r="Y163" s="19" t="str">
        <x:v>szállítás / átfutás nincs visszaigazolva</x:v>
      </x:c>
      <x:c r="Z163" s="19" t="str">
        <x:v>A</x:v>
      </x:c>
      <x:c r="AA163" s="19" t="str"/>
      <x:c r="AB163" s="19" t="str">
        <x:v>tulajdonosi / szakági jóváhagyásra vár</x:v>
      </x:c>
      <x:c r="AC163" s="19" t="str">
        <x:v>nem rendelt</x:v>
      </x:c>
      <x:c r="AD163" s="19" t="str">
        <x:v>tulajdonos + szaktervező / gyártó</x:v>
      </x:c>
      <x:c r="AE163" s="19" t="str">
        <x:v>ár és beépítés külön ellenőrizendő</x:v>
      </x:c>
      <x:c r="AF163" s="19" t="str"/>
      <x:c r="AG163" s="20" t="n">
        <x:v>2990</x:v>
      </x:c>
      <x:c r="AH163" s="21" t="n">
        <x:f>O163*AG163+SUM(R163:T163)</x:f>
        <x:v>32890</x:v>
      </x:c>
      <x:c r="AI163" s="19" t="str">
        <x:v>azonos műszaki tartalom</x:v>
      </x:c>
      <x:c r="AJ163" s="19" t="str">
        <x:v>forgalmazói feltétel ajánlatban</x:v>
      </x:c>
      <x:c r="AK163" s="19" t="str">
        <x:v>magyar címre nincs visszaigazolva</x:v>
      </x:c>
      <x:c r="AL163" s="19" t="str">
        <x:v>lásd CP3 alternatívák</x:v>
      </x:c>
      <x:c r="AM163" s="19" t="str">
        <x:v>nincs önkényesen választva</x:v>
      </x:c>
      <x:c r="AN163" s="1" t="str">
        <x:v>PSU</x:v>
      </x:c>
      <x:c r="AO163" s="1" t="str">
        <x:v>CP3/drawings</x:v>
      </x:c>
      <x:c r="AP163" s="1" t="str">
        <x:v>CP3_PSU</x:v>
      </x:c>
      <x:c r="AQ163" s="1" t="str">
        <x:v>késztermék</x:v>
      </x:c>
      <x:c r="AR163" s="1" t="str">
        <x:v>gyártói befoglaló / tervi hely; felmérés vár</x:v>
      </x:c>
      <x:c r="AS163" s="1" t="str">
        <x:v>HUF</x:v>
      </x:c>
      <x:c r="AT163" s="1" t="n">
        <x:v>1</x:v>
      </x:c>
      <x:c r="AU163" s="1" t="str">
        <x:v>vásárlás előtt újraellenőrizendő</x:v>
      </x:c>
      <x:c r="AV163" s="1" t="str">
        <x:v>közös logisztikai sor, ha nincs itt külön</x:v>
      </x:c>
      <x:c r="AW163" s="1" t="str">
        <x:v>külön szerelési / segédanyag sor</x:v>
      </x:c>
      <x:c r="AX163" s="1" t="n">
        <x:v>3</x:v>
      </x:c>
      <x:c r="AY163" s="1" t="n">
        <x:v>1</x:v>
      </x:c>
      <x:c r="AZ163" s="1" t="n">
        <x:v>1.15</x:v>
      </x:c>
      <x:c r="BA163" s="29" t="n">
        <x:f>ROUND(U163*AY163,0)</x:f>
        <x:v>32890</x:v>
      </x:c>
      <x:c r="BB163" s="29" t="n">
        <x:f>ROUND(U163*AZ163,0)</x:f>
        <x:v>37824</x:v>
      </x:c>
    </x:row>
    <x:row r="164">
      <x:c r="A164" s="12" t="str">
        <x:v>A-902</x:v>
      </x:c>
      <x:c r="B164" s="12" t="str">
        <x:v>teljes lakás</x:v>
      </x:c>
      <x:c r="C164" s="12" t="str">
        <x:v>KI-CP3-L04</x:v>
      </x:c>
      <x:c r="D164" s="12" t="str">
        <x:v>CP3 manifest</x:v>
      </x:c>
      <x:c r="E164" s="12" t="str">
        <x:v>CP3 bővítés; nincs baseline duplikáció</x:v>
      </x:c>
      <x:c r="F164" s="12" t="str">
        <x:v>megvalósítás</x:v>
      </x:c>
      <x:c r="G164" s="12" t="str">
        <x:v>világítás</x:v>
      </x:c>
      <x:c r="H164" s="19" t="str">
        <x:v>Loox keskeny rekeszek teljes belső fénye</x:v>
      </x:c>
      <x:c r="I164" s="19" t="str">
        <x:v>Loox</x:v>
      </x:c>
      <x:c r="J164" s="19" t="str">
        <x:v>AJÁNLATRA VÁR</x:v>
      </x:c>
      <x:c r="K164" s="19" t="str"/>
      <x:c r="L164" s="19" t="str"/>
      <x:c r="M164" s="19" t="str">
        <x:v>fehér / grafit a terv szerint</x:v>
      </x:c>
      <x:c r="N164" s="19" t="str">
        <x:v>termék és rajz szerint</x:v>
      </x:c>
      <x:c r="O164" s="19" t="n">
        <x:v>12</x:v>
      </x:c>
      <x:c r="P164" s="19" t="str">
        <x:v>db</x:v>
      </x:c>
      <x:c r="Q164" s="20" t="n">
        <x:v>11500</x:v>
      </x:c>
      <x:c r="R164" s="20" t="n">
        <x:v>0</x:v>
      </x:c>
      <x:c r="S164" s="20" t="n">
        <x:v>0</x:v>
      </x:c>
      <x:c r="T164" s="20" t="n">
        <x:v>0</x:v>
      </x:c>
      <x:c r="U164" s="21" t="n">
        <x:f>O164*Q164+SUM(R164:T164)</x:f>
        <x:v>138000</x:v>
      </x:c>
      <x:c r="V164" s="19" t="str">
        <x:v>becslés</x:v>
      </x:c>
      <x:c r="W164" s="19" t="str">
        <x:v>CP3 tervezői előirányzat, tételes alap a megjegyzésben</x:v>
      </x:c>
      <x:c r="X164" s="19" t="str">
        <x:v>2026-10-27</x:v>
      </x:c>
      <x:c r="Y164" s="19" t="str">
        <x:v>szállítás / átfutás nincs visszaigazolva</x:v>
      </x:c>
      <x:c r="Z164" s="19" t="str">
        <x:v>A</x:v>
      </x:c>
      <x:c r="AA164" s="19" t="str">
        <x:v>12×250 mm szalag + opál profil + érzékelő / csatlakozás. Összesen 2 db 24 V driver költsége a készletbe osztva; nem kerül külön még egyszer hozzá. Pontos HU készlet és cikkszám ajánlatra vár.</x:v>
      </x:c>
      <x:c r="AB164" s="19" t="str">
        <x:v>tulajdonosi / szakági jóváhagyásra vár</x:v>
      </x:c>
      <x:c r="AC164" s="19" t="str">
        <x:v>nem rendelt</x:v>
      </x:c>
      <x:c r="AD164" s="19" t="str">
        <x:v>tulajdonos + szaktervező / gyártó</x:v>
      </x:c>
      <x:c r="AE164" s="19" t="str">
        <x:v>ár és beépítés külön ellenőrizendő</x:v>
      </x:c>
      <x:c r="AF164" s="19" t="str">
        <x:v>12×250 mm szalag + opál profil + érzékelő / csatlakozás. Összesen 2 db 24 V driver költsége a készletbe osztva; nem kerül külön még egyszer hozzá. Pontos HU készlet és cikkszám ajánlatra vár.</x:v>
      </x:c>
      <x:c r="AG164" s="20" t="n">
        <x:v>11500</x:v>
      </x:c>
      <x:c r="AH164" s="21" t="n">
        <x:f>O164*AG164+SUM(R164:T164)</x:f>
        <x:v>138000</x:v>
      </x:c>
      <x:c r="AI164" s="19" t="str">
        <x:v>azonos műszaki tartalom</x:v>
      </x:c>
      <x:c r="AJ164" s="19" t="str">
        <x:v>forgalmazói feltétel ajánlatban</x:v>
      </x:c>
      <x:c r="AK164" s="19" t="str">
        <x:v>magyar címre nincs visszaigazolva</x:v>
      </x:c>
      <x:c r="AL164" s="19" t="str">
        <x:v>lásd CP3 alternatívák</x:v>
      </x:c>
      <x:c r="AM164" s="19" t="str">
        <x:v>nincs önkényesen választva</x:v>
      </x:c>
      <x:c r="AN164" s="1" t="str">
        <x:v>TV-01;ENT-01</x:v>
      </x:c>
      <x:c r="AO164" s="1" t="str">
        <x:v>CP3/drawings</x:v>
      </x:c>
      <x:c r="AP164" s="1" t="str">
        <x:v>CP3_TV-01;ENT-01</x:v>
      </x:c>
      <x:c r="AQ164" s="1" t="str">
        <x:v>egyedi / szakmunka</x:v>
      </x:c>
      <x:c r="AR164" s="1" t="str">
        <x:v>gyártói befoglaló / tervi hely; felmérés vár</x:v>
      </x:c>
      <x:c r="AS164" s="1" t="str">
        <x:v>HUF</x:v>
      </x:c>
      <x:c r="AT164" s="1" t="n">
        <x:v>1</x:v>
      </x:c>
      <x:c r="AU164" s="1" t="str">
        <x:v>vásárlás előtt újraellenőrizendő</x:v>
      </x:c>
      <x:c r="AV164" s="1" t="str">
        <x:v>közös logisztikai sor, ha nincs itt külön</x:v>
      </x:c>
      <x:c r="AW164" s="1" t="str">
        <x:v>külön szerelési / segédanyag sor</x:v>
      </x:c>
      <x:c r="AX164" s="1" t="n">
        <x:v>3</x:v>
      </x:c>
      <x:c r="AY164" s="1" t="n">
        <x:v>0.8</x:v>
      </x:c>
      <x:c r="AZ164" s="1" t="n">
        <x:v>1.4</x:v>
      </x:c>
      <x:c r="BA164" s="29" t="n">
        <x:f>ROUND(U164*AY164,0)</x:f>
        <x:v>110400</x:v>
      </x:c>
      <x:c r="BB164" s="29" t="n">
        <x:f>ROUND(U164*AZ164,0)</x:f>
        <x:v>193200</x:v>
      </x:c>
    </x:row>
    <x:row r="165">
      <x:c r="A165" s="12" t="str">
        <x:v>A-902</x:v>
      </x:c>
      <x:c r="B165" s="12" t="str">
        <x:v>AT8-01</x:v>
      </x:c>
      <x:c r="C165" s="12" t="str">
        <x:v>KI-CP3-S01</x:v>
      </x:c>
      <x:c r="D165" s="12" t="str">
        <x:v>CP3 manifest</x:v>
      </x:c>
      <x:c r="E165" s="12" t="str">
        <x:v>CP3 bővítés; nincs baseline duplikáció</x:v>
      </x:c>
      <x:c r="F165" s="12" t="str">
        <x:v>megvalósítás</x:v>
      </x:c>
      <x:c r="G165" s="12" t="str">
        <x:v>bútor</x:v>
      </x:c>
      <x:c r="H165" s="19" t="str">
        <x:v>IKEA JONAXEL polc</x:v>
      </x:c>
      <x:c r="I165" s="19" t="str">
        <x:v>IKEA</x:v>
      </x:c>
      <x:c r="J165" s="19" t="str">
        <x:v>504.199.72</x:v>
      </x:c>
      <x:c r="K165" s="19" t="str">
        <x:v>https://www.ikea.com/hu/hu/p/jonaxel-polcos-elem-feher-50419972/</x:v>
      </x:c>
      <x:c r="L165" s="19" t="str">
        <x:v>800×380×1600; 4 polc; 25 kg/polc</x:v>
      </x:c>
      <x:c r="M165" s="19" t="str">
        <x:v>fehér / grafit a terv szerint</x:v>
      </x:c>
      <x:c r="N165" s="19" t="str">
        <x:v>termék és rajz szerint</x:v>
      </x:c>
      <x:c r="O165" s="19" t="n">
        <x:v>2</x:v>
      </x:c>
      <x:c r="P165" s="19" t="str">
        <x:v>db</x:v>
      </x:c>
      <x:c r="Q165" s="20" t="n">
        <x:v>23000</x:v>
      </x:c>
      <x:c r="R165" s="20" t="n">
        <x:v>0</x:v>
      </x:c>
      <x:c r="S165" s="20" t="n">
        <x:v>0</x:v>
      </x:c>
      <x:c r="T165" s="20" t="n">
        <x:v>0</x:v>
      </x:c>
      <x:c r="U165" s="21" t="n">
        <x:f>O165*Q165+SUM(R165:T165)</x:f>
        <x:v>46000</x:v>
      </x:c>
      <x:c r="V165" s="19" t="str">
        <x:v>ellenőrzött webshopár</x:v>
      </x:c>
      <x:c r="W165" s="19" t="str">
        <x:v>https://www.ikea.com/hu/hu/p/jonaxel-polcos-elem-feher-50419972/</x:v>
      </x:c>
      <x:c r="X165" s="19" t="str">
        <x:v>2026-10-26</x:v>
      </x:c>
      <x:c r="Y165" s="19" t="str">
        <x:v>szállítás / átfutás nincs visszaigazolva</x:v>
      </x:c>
      <x:c r="Z165" s="19" t="str">
        <x:v>A</x:v>
      </x:c>
      <x:c r="AA165" s="19" t="str">
        <x:v>Fehér készpolc; fali borulásgátlás. R03 kép 2 db-ot tartalmaz.</x:v>
      </x:c>
      <x:c r="AB165" s="19" t="str">
        <x:v>tulajdonosi / szakági jóváhagyásra vár</x:v>
      </x:c>
      <x:c r="AC165" s="19" t="str">
        <x:v>nem rendelt</x:v>
      </x:c>
      <x:c r="AD165" s="19" t="str">
        <x:v>tulajdonos + szaktervező / gyártó</x:v>
      </x:c>
      <x:c r="AE165" s="19" t="str">
        <x:v>ár és beépítés külön ellenőrizendő</x:v>
      </x:c>
      <x:c r="AF165" s="19" t="str">
        <x:v>Fehér készpolc; fali borulásgátlás. R03 kép 2 db-ot tartalmaz.</x:v>
      </x:c>
      <x:c r="AG165" s="20" t="n">
        <x:v>23000</x:v>
      </x:c>
      <x:c r="AH165" s="21" t="n">
        <x:f>O165*AG165+SUM(R165:T165)</x:f>
        <x:v>46000</x:v>
      </x:c>
      <x:c r="AI165" s="19" t="str">
        <x:v>azonos műszaki tartalom</x:v>
      </x:c>
      <x:c r="AJ165" s="19" t="str">
        <x:v>forgalmazói feltétel ajánlatban</x:v>
      </x:c>
      <x:c r="AK165" s="19" t="str">
        <x:v>magyar címre nincs visszaigazolva</x:v>
      </x:c>
      <x:c r="AL165" s="19" t="str">
        <x:v>lásd CP3 alternatívák</x:v>
      </x:c>
      <x:c r="AM165" s="19" t="str">
        <x:v>nincs önkényesen választva</x:v>
      </x:c>
      <x:c r="AN165" s="1" t="str">
        <x:v>AT-R1;AT-R2</x:v>
      </x:c>
      <x:c r="AO165" s="1" t="str">
        <x:v>CP3/drawings</x:v>
      </x:c>
      <x:c r="AP165" s="1" t="str">
        <x:v>CP3_AT-R1;AT-R2</x:v>
      </x:c>
      <x:c r="AQ165" s="1" t="str">
        <x:v>késztermék</x:v>
      </x:c>
      <x:c r="AR165" s="1" t="str">
        <x:v>gyártói befoglaló / tervi hely; felmérés vár</x:v>
      </x:c>
      <x:c r="AS165" s="1" t="str">
        <x:v>HUF</x:v>
      </x:c>
      <x:c r="AT165" s="1" t="n">
        <x:v>1</x:v>
      </x:c>
      <x:c r="AU165" s="1" t="str">
        <x:v>vásárlás előtt újraellenőrizendő</x:v>
      </x:c>
      <x:c r="AV165" s="1" t="str">
        <x:v>közös logisztikai sor, ha nincs itt külön</x:v>
      </x:c>
      <x:c r="AW165" s="1" t="str">
        <x:v>külön szerelési / segédanyag sor</x:v>
      </x:c>
      <x:c r="AX165" s="1" t="n">
        <x:v>3</x:v>
      </x:c>
      <x:c r="AY165" s="1" t="n">
        <x:v>1</x:v>
      </x:c>
      <x:c r="AZ165" s="1" t="n">
        <x:v>1.15</x:v>
      </x:c>
      <x:c r="BA165" s="29" t="n">
        <x:f>ROUND(U165*AY165,0)</x:f>
        <x:v>46000</x:v>
      </x:c>
      <x:c r="BB165" s="29" t="n">
        <x:f>ROUND(U165*AZ165,0)</x:f>
        <x:v>52900</x:v>
      </x:c>
    </x:row>
    <x:row r="166">
      <x:c r="A166" s="12" t="str">
        <x:v>A-902</x:v>
      </x:c>
      <x:c r="B166" s="12" t="str">
        <x:v>T-0-26</x:v>
      </x:c>
      <x:c r="C166" s="12" t="str">
        <x:v>KI-CP3-S02</x:v>
      </x:c>
      <x:c r="D166" s="12" t="str">
        <x:v>CP3 manifest</x:v>
      </x:c>
      <x:c r="E166" s="12" t="str">
        <x:v>CP3 bővítés; nincs baseline duplikáció</x:v>
      </x:c>
      <x:c r="F166" s="12" t="str">
        <x:v>megvalósítás</x:v>
      </x:c>
      <x:c r="G166" s="12" t="str">
        <x:v>bútor</x:v>
      </x:c>
      <x:c r="H166" s="19" t="str">
        <x:v>IKEA BROR polc</x:v>
      </x:c>
      <x:c r="I166" s="19" t="str">
        <x:v>IKEA</x:v>
      </x:c>
      <x:c r="J166" s="19" t="str">
        <x:v>s59619405</x:v>
      </x:c>
      <x:c r="K166" s="19" t="str">
        <x:v>https://www.ikea.com/hu/hu/p/bror-polcos-elem-fekete-s59619405/</x:v>
      </x:c>
      <x:c r="L166" s="19" t="str">
        <x:v>850×550×1900</x:v>
      </x:c>
      <x:c r="M166" s="19" t="str">
        <x:v>fehér / grafit a terv szerint</x:v>
      </x:c>
      <x:c r="N166" s="19" t="str">
        <x:v>termék és rajz szerint</x:v>
      </x:c>
      <x:c r="O166" s="19" t="n">
        <x:v>2</x:v>
      </x:c>
      <x:c r="P166" s="19" t="str">
        <x:v>db</x:v>
      </x:c>
      <x:c r="Q166" s="20" t="n">
        <x:v>47500</x:v>
      </x:c>
      <x:c r="R166" s="20" t="n">
        <x:v>0</x:v>
      </x:c>
      <x:c r="S166" s="20" t="n">
        <x:v>0</x:v>
      </x:c>
      <x:c r="T166" s="20" t="n">
        <x:v>0</x:v>
      </x:c>
      <x:c r="U166" s="21" t="n">
        <x:f>O166*Q166+SUM(R166:T166)</x:f>
        <x:v>95000</x:v>
      </x:c>
      <x:c r="V166" s="19" t="str">
        <x:v>ellenőrzött webshopár</x:v>
      </x:c>
      <x:c r="W166" s="19" t="str">
        <x:v>https://www.ikea.com/hu/hu/p/bror-polcos-elem-fekete-s59619405/</x:v>
      </x:c>
      <x:c r="X166" s="19" t="str">
        <x:v>2026-10-26</x:v>
      </x:c>
      <x:c r="Y166" s="19" t="str">
        <x:v>szállítás / átfutás nincs visszaigazolva</x:v>
      </x:c>
      <x:c r="Z166" s="19" t="str">
        <x:v>A</x:v>
      </x:c>
      <x:c r="AA166" s="19" t="str">
        <x:v>Fekete acél a világos helyiségben; polcszám és címkés teherbírás a rendelési készlettel egyeztetendő.</x:v>
      </x:c>
      <x:c r="AB166" s="19" t="str">
        <x:v>tulajdonosi / szakági jóváhagyásra vár</x:v>
      </x:c>
      <x:c r="AC166" s="19" t="str">
        <x:v>nem rendelt</x:v>
      </x:c>
      <x:c r="AD166" s="19" t="str">
        <x:v>tulajdonos + szaktervező / gyártó</x:v>
      </x:c>
      <x:c r="AE166" s="19" t="str">
        <x:v>ár és beépítés külön ellenőrizendő</x:v>
      </x:c>
      <x:c r="AF166" s="19" t="str">
        <x:v>Fekete acél a világos helyiségben; polcszám és címkés teherbírás a rendelési készlettel egyeztetendő.</x:v>
      </x:c>
      <x:c r="AG166" s="20" t="n">
        <x:v>47500</x:v>
      </x:c>
      <x:c r="AH166" s="21" t="n">
        <x:f>O166*AG166+SUM(R166:T166)</x:f>
        <x:v>95000</x:v>
      </x:c>
      <x:c r="AI166" s="19" t="str">
        <x:v>azonos műszaki tartalom</x:v>
      </x:c>
      <x:c r="AJ166" s="19" t="str">
        <x:v>forgalmazói feltétel ajánlatban</x:v>
      </x:c>
      <x:c r="AK166" s="19" t="str">
        <x:v>magyar címre nincs visszaigazolva</x:v>
      </x:c>
      <x:c r="AL166" s="19" t="str">
        <x:v>lásd CP3 alternatívák</x:v>
      </x:c>
      <x:c r="AM166" s="19" t="str">
        <x:v>nincs önkényesen választva</x:v>
      </x:c>
      <x:c r="AN166" s="1" t="str">
        <x:v>T-R1;T-R2</x:v>
      </x:c>
      <x:c r="AO166" s="1" t="str">
        <x:v>CP3/drawings</x:v>
      </x:c>
      <x:c r="AP166" s="1" t="str">
        <x:v>CP3_T-R1;T-R2</x:v>
      </x:c>
      <x:c r="AQ166" s="1" t="str">
        <x:v>késztermék</x:v>
      </x:c>
      <x:c r="AR166" s="1" t="str">
        <x:v>gyártói befoglaló / tervi hely; felmérés vár</x:v>
      </x:c>
      <x:c r="AS166" s="1" t="str">
        <x:v>HUF</x:v>
      </x:c>
      <x:c r="AT166" s="1" t="n">
        <x:v>1</x:v>
      </x:c>
      <x:c r="AU166" s="1" t="str">
        <x:v>vásárlás előtt újraellenőrizendő</x:v>
      </x:c>
      <x:c r="AV166" s="1" t="str">
        <x:v>közös logisztikai sor, ha nincs itt külön</x:v>
      </x:c>
      <x:c r="AW166" s="1" t="str">
        <x:v>külön szerelési / segédanyag sor</x:v>
      </x:c>
      <x:c r="AX166" s="1" t="n">
        <x:v>3</x:v>
      </x:c>
      <x:c r="AY166" s="1" t="n">
        <x:v>1</x:v>
      </x:c>
      <x:c r="AZ166" s="1" t="n">
        <x:v>1.15</x:v>
      </x:c>
      <x:c r="BA166" s="29" t="n">
        <x:f>ROUND(U166*AY166,0)</x:f>
        <x:v>95000</x:v>
      </x:c>
      <x:c r="BB166" s="29" t="n">
        <x:f>ROUND(U166*AZ166,0)</x:f>
        <x:v>109250</x:v>
      </x:c>
    </x:row>
    <x:row r="167">
      <x:c r="A167" s="12" t="str">
        <x:v>A-902</x:v>
      </x:c>
      <x:c r="B167" s="12" t="str">
        <x:v>AT8-01 / T-0-26</x:v>
      </x:c>
      <x:c r="C167" s="12" t="str">
        <x:v>KI-CP3-S03</x:v>
      </x:c>
      <x:c r="D167" s="12" t="str">
        <x:v>CP3 manifest</x:v>
      </x:c>
      <x:c r="E167" s="12" t="str">
        <x:v>CP3 bővítés; nincs baseline duplikáció</x:v>
      </x:c>
      <x:c r="F167" s="12" t="str">
        <x:v>megvalósítás</x:v>
      </x:c>
      <x:c r="G167" s="12" t="str">
        <x:v>logisztika</x:v>
      </x:c>
      <x:c r="H167" s="19" t="str">
        <x:v>Tárolók szállítás, összeszerelés, rögzítés</x:v>
      </x:c>
      <x:c r="I167" s="19" t="str">
        <x:v>Tárolók</x:v>
      </x:c>
      <x:c r="J167" s="19" t="str">
        <x:v>AJÁNLATRA VÁR</x:v>
      </x:c>
      <x:c r="K167" s="19" t="str"/>
      <x:c r="L167" s="19" t="str"/>
      <x:c r="M167" s="19" t="str">
        <x:v>fehér / grafit a terv szerint</x:v>
      </x:c>
      <x:c r="N167" s="19" t="str">
        <x:v>termék és rajz szerint</x:v>
      </x:c>
      <x:c r="O167" s="19" t="n">
        <x:v>1</x:v>
      </x:c>
      <x:c r="P167" s="19" t="str">
        <x:v>db</x:v>
      </x:c>
      <x:c r="Q167" s="20" t="n">
        <x:v>90000</x:v>
      </x:c>
      <x:c r="R167" s="20" t="n">
        <x:v>0</x:v>
      </x:c>
      <x:c r="S167" s="20" t="n">
        <x:v>0</x:v>
      </x:c>
      <x:c r="T167" s="20" t="n">
        <x:v>0</x:v>
      </x:c>
      <x:c r="U167" s="21" t="n">
        <x:f>O167*Q167+SUM(R167:T167)</x:f>
        <x:v>90000</x:v>
      </x:c>
      <x:c r="V167" s="19" t="str">
        <x:v>becslés</x:v>
      </x:c>
      <x:c r="W167" s="19" t="str">
        <x:v>CP3 tervezői előirányzat, tételes alap a megjegyzésben</x:v>
      </x:c>
      <x:c r="X167" s="19" t="str">
        <x:v>2026-10-27</x:v>
      </x:c>
      <x:c r="Y167" s="19" t="str">
        <x:v>szállítás / átfutás nincs visszaigazolva</x:v>
      </x:c>
      <x:c r="Z167" s="19" t="str">
        <x:v>A</x:v>
      </x:c>
      <x:c r="AA167" s="19" t="str">
        <x:v>4 polc összeállítás 40 000; 4 rögzítés alapanyag / munka 20 000; külön szállítás / felhordás 30 000 Ft. Aljzat/fal fúrás engedélye ellenőrizendő.</x:v>
      </x:c>
      <x:c r="AB167" s="19" t="str">
        <x:v>tulajdonosi / szakági jóváhagyásra vár</x:v>
      </x:c>
      <x:c r="AC167" s="19" t="str">
        <x:v>nem rendelt</x:v>
      </x:c>
      <x:c r="AD167" s="19" t="str">
        <x:v>tulajdonos + szaktervező / gyártó</x:v>
      </x:c>
      <x:c r="AE167" s="19" t="str">
        <x:v>ár és beépítés külön ellenőrizendő</x:v>
      </x:c>
      <x:c r="AF167" s="19" t="str">
        <x:v>4 polc összeállítás 40 000; 4 rögzítés alapanyag / munka 20 000; külön szállítás / felhordás 30 000 Ft. Aljzat/fal fúrás engedélye ellenőrizendő.</x:v>
      </x:c>
      <x:c r="AG167" s="20" t="n">
        <x:v>90000</x:v>
      </x:c>
      <x:c r="AH167" s="21" t="n">
        <x:f>O167*AG167+SUM(R167:T167)</x:f>
        <x:v>90000</x:v>
      </x:c>
      <x:c r="AI167" s="19" t="str">
        <x:v>azonos műszaki tartalom</x:v>
      </x:c>
      <x:c r="AJ167" s="19" t="str">
        <x:v>forgalmazói feltétel ajánlatban</x:v>
      </x:c>
      <x:c r="AK167" s="19" t="str">
        <x:v>magyar címre nincs visszaigazolva</x:v>
      </x:c>
      <x:c r="AL167" s="19" t="str">
        <x:v>lásd CP3 alternatívák</x:v>
      </x:c>
      <x:c r="AM167" s="19" t="str">
        <x:v>nincs önkényesen választva</x:v>
      </x:c>
      <x:c r="AN167" s="1" t="str">
        <x:v>AT8-01;T-0-26</x:v>
      </x:c>
      <x:c r="AO167" s="1" t="str">
        <x:v>CP3/drawings</x:v>
      </x:c>
      <x:c r="AP167" s="1" t="str">
        <x:v>CP3_AT8-01;T-0-26</x:v>
      </x:c>
      <x:c r="AQ167" s="1" t="str">
        <x:v>egyedi / szakmunka</x:v>
      </x:c>
      <x:c r="AR167" s="1" t="str">
        <x:v>gyártói befoglaló / tervi hely; felmérés vár</x:v>
      </x:c>
      <x:c r="AS167" s="1" t="str">
        <x:v>HUF</x:v>
      </x:c>
      <x:c r="AT167" s="1" t="n">
        <x:v>1</x:v>
      </x:c>
      <x:c r="AU167" s="1" t="str">
        <x:v>vásárlás előtt újraellenőrizendő</x:v>
      </x:c>
      <x:c r="AV167" s="1" t="str">
        <x:v>közös logisztikai sor, ha nincs itt külön</x:v>
      </x:c>
      <x:c r="AW167" s="1" t="str">
        <x:v>külön szerelési / segédanyag sor</x:v>
      </x:c>
      <x:c r="AX167" s="1" t="n">
        <x:v>3</x:v>
      </x:c>
      <x:c r="AY167" s="1" t="n">
        <x:v>0.8</x:v>
      </x:c>
      <x:c r="AZ167" s="1" t="n">
        <x:v>1.4</x:v>
      </x:c>
      <x:c r="BA167" s="29" t="n">
        <x:f>ROUND(U167*AY167,0)</x:f>
        <x:v>72000</x:v>
      </x:c>
      <x:c r="BB167" s="29" t="n">
        <x:f>ROUND(U167*AZ167,0)</x:f>
        <x:v>126000</x:v>
      </x:c>
    </x:row>
    <x:row r="168">
      <x:c r="A168" s="12" t="str">
        <x:v>A-902</x:v>
      </x:c>
      <x:c r="B168" s="12" t="str">
        <x:v>AT8-01 / T-0-26</x:v>
      </x:c>
      <x:c r="C168" s="12" t="str">
        <x:v>KI-CP3-S04</x:v>
      </x:c>
      <x:c r="D168" s="12" t="str">
        <x:v>CP3 manifest</x:v>
      </x:c>
      <x:c r="E168" s="12" t="str">
        <x:v>CP3 bővítés; nincs baseline duplikáció</x:v>
      </x:c>
      <x:c r="F168" s="12" t="str">
        <x:v>megvalósítás</x:v>
      </x:c>
      <x:c r="G168" s="12" t="str">
        <x:v>kiegészítő</x:v>
      </x:c>
      <x:c r="H168" s="19" t="str">
        <x:v>Tárolódobozok és címkézés</x:v>
      </x:c>
      <x:c r="I168" s="19" t="str">
        <x:v>Tárolódobozok</x:v>
      </x:c>
      <x:c r="J168" s="19" t="str">
        <x:v>AJÁNLATRA VÁR</x:v>
      </x:c>
      <x:c r="K168" s="19" t="str"/>
      <x:c r="L168" s="19" t="str"/>
      <x:c r="M168" s="19" t="str">
        <x:v>fehér / grafit a terv szerint</x:v>
      </x:c>
      <x:c r="N168" s="19" t="str">
        <x:v>termék és rajz szerint</x:v>
      </x:c>
      <x:c r="O168" s="19" t="n">
        <x:v>21</x:v>
      </x:c>
      <x:c r="P168" s="19" t="str">
        <x:v>db</x:v>
      </x:c>
      <x:c r="Q168" s="20" t="n">
        <x:v>4000</x:v>
      </x:c>
      <x:c r="R168" s="20" t="n">
        <x:v>0</x:v>
      </x:c>
      <x:c r="S168" s="20" t="n">
        <x:v>0</x:v>
      </x:c>
      <x:c r="T168" s="20" t="n">
        <x:v>0</x:v>
      </x:c>
      <x:c r="U168" s="21" t="n">
        <x:f>O168*Q168+SUM(R168:T168)</x:f>
        <x:v>84000</x:v>
      </x:c>
      <x:c r="V168" s="19" t="str">
        <x:v>becslés</x:v>
      </x:c>
      <x:c r="W168" s="19" t="str">
        <x:v>CP3 tervezői előirányzat, tételes alap a megjegyzésben</x:v>
      </x:c>
      <x:c r="X168" s="19" t="str">
        <x:v>2026-10-27</x:v>
      </x:c>
      <x:c r="Y168" s="19" t="str">
        <x:v>szállítás / átfutás nincs visszaigazolva</x:v>
      </x:c>
      <x:c r="Z168" s="19" t="str">
        <x:v>A</x:v>
      </x:c>
      <x:c r="AA168" s="19" t="str">
        <x:v>12 db hozzáférhető, emelhető doboz előirányzat; pontos típus a rekeszhez választandó. Nehéz gép alul.</x:v>
      </x:c>
      <x:c r="AB168" s="19" t="str">
        <x:v>tulajdonosi / szakági jóváhagyásra vár</x:v>
      </x:c>
      <x:c r="AC168" s="19" t="str">
        <x:v>nem rendelt</x:v>
      </x:c>
      <x:c r="AD168" s="19" t="str">
        <x:v>tulajdonos + szaktervező / gyártó</x:v>
      </x:c>
      <x:c r="AE168" s="19" t="str">
        <x:v>ár és beépítés külön ellenőrizendő</x:v>
      </x:c>
      <x:c r="AF168" s="19" t="str">
        <x:v>21×4000 Ft. Dobozméret a használati terv szerint, nem mind azonos termék. Előirányzat, szállítás központi keretben.</x:v>
      </x:c>
      <x:c r="AG168" s="20" t="n">
        <x:v>4000</x:v>
      </x:c>
      <x:c r="AH168" s="21" t="n">
        <x:f>O168*AG168+SUM(R168:T168)</x:f>
        <x:v>84000</x:v>
      </x:c>
      <x:c r="AI168" s="19" t="str">
        <x:v>R05 főváltozat tartalma; korábbi fiók-/aszimmetria-elhagyás nincs automatikusan kiválasztva.</x:v>
      </x:c>
      <x:c r="AJ168" s="19" t="str">
        <x:v>forgalmazói feltétel ajánlatban</x:v>
      </x:c>
      <x:c r="AK168" s="19" t="str">
        <x:v>magyar címre nincs visszaigazolva</x:v>
      </x:c>
      <x:c r="AL168" s="19" t="str">
        <x:v>lásd CP3 alternatívák</x:v>
      </x:c>
      <x:c r="AM168" s="19" t="str">
        <x:v>nincs önkényesen választva</x:v>
      </x:c>
      <x:c r="AN168" s="1" t="str">
        <x:v>AT-R1;AT-R2;T-R1;T-R2</x:v>
      </x:c>
      <x:c r="AO168" s="1" t="str">
        <x:v>CP3/drawings</x:v>
      </x:c>
      <x:c r="AP168" s="1" t="str">
        <x:v>CP3_AT-R1;AT-R2;T-R1;T-R2</x:v>
      </x:c>
      <x:c r="AQ168" s="1" t="str">
        <x:v>egyedi / szakmunka</x:v>
      </x:c>
      <x:c r="AR168" s="1" t="str">
        <x:v>gyártói befoglaló / tervi hely; felmérés vár</x:v>
      </x:c>
      <x:c r="AS168" s="1" t="str">
        <x:v>HUF</x:v>
      </x:c>
      <x:c r="AT168" s="1" t="n">
        <x:v>1</x:v>
      </x:c>
      <x:c r="AU168" s="1" t="str">
        <x:v>vásárlás előtt újraellenőrizendő</x:v>
      </x:c>
      <x:c r="AV168" s="1" t="str">
        <x:v>közös logisztikai sor, ha nincs itt külön</x:v>
      </x:c>
      <x:c r="AW168" s="1" t="str">
        <x:v>külön szerelési / segédanyag sor</x:v>
      </x:c>
      <x:c r="AX168" s="1" t="n">
        <x:v>3</x:v>
      </x:c>
      <x:c r="AY168" s="1" t="n">
        <x:v>0.8</x:v>
      </x:c>
      <x:c r="AZ168" s="1" t="n">
        <x:v>1.4</x:v>
      </x:c>
      <x:c r="BA168" s="29" t="n">
        <x:f>ROUND(U168*AY168,0)</x:f>
        <x:v>67200</x:v>
      </x:c>
      <x:c r="BB168" s="29" t="n">
        <x:f>ROUND(U168*AZ168,0)</x:f>
        <x:v>117600</x:v>
      </x:c>
    </x:row>
    <x:row r="169">
      <x:c r="A169" s="12" t="str">
        <x:v>A-902</x:v>
      </x:c>
      <x:c r="B169" s="12" t="str">
        <x:v>AT8-01</x:v>
      </x:c>
      <x:c r="C169" s="12" t="str">
        <x:v>KI-CP3-F01</x:v>
      </x:c>
      <x:c r="D169" s="12" t="str">
        <x:v>CP3 manifest</x:v>
      </x:c>
      <x:c r="E169" s="12" t="str">
        <x:v>CP3 bővítés; nincs baseline duplikáció</x:v>
      </x:c>
      <x:c r="F169" s="12" t="str">
        <x:v>megvalósítás</x:v>
      </x:c>
      <x:c r="G169" s="12" t="str">
        <x:v>bútor</x:v>
      </x:c>
      <x:c r="H169" s="19" t="str">
        <x:v>Liebherr második fagyasztó</x:v>
      </x:c>
      <x:c r="I169" s="19" t="str">
        <x:v>Liebherr</x:v>
      </x:c>
      <x:c r="J169" s="19" t="str">
        <x:v>FNd 4625 / GN46Vd25 egyeztetendő</x:v>
      </x:c>
      <x:c r="K169" s="19" t="str">
        <x:v>https://www.liebherr.com/hu-hu/p/fnd-4625-3121280</x:v>
      </x:c>
      <x:c r="L169" s="19" t="str">
        <x:v>597×675×1455; 199 l; 37 dB</x:v>
      </x:c>
      <x:c r="M169" s="19" t="str">
        <x:v>fehér / grafit a terv szerint</x:v>
      </x:c>
      <x:c r="N169" s="19" t="str">
        <x:v>termék és rajz szerint</x:v>
      </x:c>
      <x:c r="O169" s="19" t="n">
        <x:v>1</x:v>
      </x:c>
      <x:c r="P169" s="19" t="str">
        <x:v>db</x:v>
      </x:c>
      <x:c r="Q169" s="20" t="n">
        <x:v>289990</x:v>
      </x:c>
      <x:c r="R169" s="20" t="n">
        <x:v>0</x:v>
      </x:c>
      <x:c r="S169" s="20" t="n">
        <x:v>0</x:v>
      </x:c>
      <x:c r="T169" s="20" t="n">
        <x:v>0</x:v>
      </x:c>
      <x:c r="U169" s="21" t="n">
        <x:f>O169*Q169+SUM(R169:T169)</x:f>
        <x:v>289990</x:v>
      </x:c>
      <x:c r="V169" s="19" t="str">
        <x:v>gyártói tájékoztató ár, SKU egyeztetésre vár</x:v>
      </x:c>
      <x:c r="W169" s="19" t="str">
        <x:v>https://www.liebherr.com/hu-hu/p/fnd-4625-3121280</x:v>
      </x:c>
      <x:c r="X169" s="19" t="str">
        <x:v>2026-10-26</x:v>
      </x:c>
      <x:c r="Y169" s="19" t="str">
        <x:v>szállítás / átfutás nincs visszaigazolva</x:v>
      </x:c>
      <x:c r="Z169" s="19" t="str">
        <x:v>A</x:v>
      </x:c>
      <x:c r="AA169" s="19" t="str">
        <x:v>Külön kimutatott opcionális vásárlás; a fő, fagyasztót mutató forgatókönyv tartalmazza. A termékoldal megnevezése eltér az URL-től: pontos EAN, klíma és nyitási hely kell.</x:v>
      </x:c>
      <x:c r="AB169" s="19" t="str">
        <x:v>tulajdonosi / szakági jóváhagyásra vár</x:v>
      </x:c>
      <x:c r="AC169" s="19" t="str">
        <x:v>nem rendelt</x:v>
      </x:c>
      <x:c r="AD169" s="19" t="str">
        <x:v>tulajdonos + szaktervező / gyártó</x:v>
      </x:c>
      <x:c r="AE169" s="19" t="str">
        <x:v>ár és beépítés külön ellenőrizendő</x:v>
      </x:c>
      <x:c r="AF169" s="19" t="str">
        <x:v>Külön kimutatott opcionális vásárlás; a fő, fagyasztót mutató forgatókönyv tartalmazza. A termékoldal megnevezése eltér az URL-től: pontos EAN, klíma és nyitási hely kell.</x:v>
      </x:c>
      <x:c r="AG169" s="20" t="n">
        <x:v>289990</x:v>
      </x:c>
      <x:c r="AH169" s="21" t="n">
        <x:f>O169*AG169+SUM(R169:T169)</x:f>
        <x:v>289990</x:v>
      </x:c>
      <x:c r="AI169" s="19" t="str">
        <x:v>azonos műszaki tartalom</x:v>
      </x:c>
      <x:c r="AJ169" s="19" t="str">
        <x:v>forgalmazói feltétel ajánlatban</x:v>
      </x:c>
      <x:c r="AK169" s="19" t="str">
        <x:v>magyar címre nincs visszaigazolva</x:v>
      </x:c>
      <x:c r="AL169" s="19" t="str">
        <x:v>lásd CP3 alternatívák</x:v>
      </x:c>
      <x:c r="AM169" s="19" t="str">
        <x:v>nincs önkényesen választva</x:v>
      </x:c>
      <x:c r="AN169" s="1" t="str">
        <x:v>AT-FR</x:v>
      </x:c>
      <x:c r="AO169" s="1" t="str">
        <x:v>CP3/drawings</x:v>
      </x:c>
      <x:c r="AP169" s="1" t="str">
        <x:v>CP3_AT-FR</x:v>
      </x:c>
      <x:c r="AQ169" s="1" t="str">
        <x:v>késztermék</x:v>
      </x:c>
      <x:c r="AR169" s="1" t="str">
        <x:v>gyártói befoglaló / tervi hely; felmérés vár</x:v>
      </x:c>
      <x:c r="AS169" s="1" t="str">
        <x:v>HUF</x:v>
      </x:c>
      <x:c r="AT169" s="1" t="n">
        <x:v>1</x:v>
      </x:c>
      <x:c r="AU169" s="1" t="str">
        <x:v>vásárlás előtt újraellenőrizendő</x:v>
      </x:c>
      <x:c r="AV169" s="1" t="str">
        <x:v>közös logisztikai sor, ha nincs itt külön</x:v>
      </x:c>
      <x:c r="AW169" s="1" t="str">
        <x:v>külön szerelési / segédanyag sor</x:v>
      </x:c>
      <x:c r="AX169" s="1" t="n">
        <x:v>3</x:v>
      </x:c>
      <x:c r="AY169" s="1" t="n">
        <x:v>1</x:v>
      </x:c>
      <x:c r="AZ169" s="1" t="n">
        <x:v>1.2</x:v>
      </x:c>
      <x:c r="BA169" s="29" t="n">
        <x:f>ROUND(U169*AY169,0)</x:f>
        <x:v>289990</x:v>
      </x:c>
      <x:c r="BB169" s="29" t="n">
        <x:f>ROUND(U169*AZ169,0)</x:f>
        <x:v>347988</x:v>
      </x:c>
    </x:row>
    <x:row r="170">
      <x:c r="A170" s="12" t="str">
        <x:v>A-902</x:v>
      </x:c>
      <x:c r="B170" s="12" t="str">
        <x:v>AT8-01</x:v>
      </x:c>
      <x:c r="C170" s="12" t="str">
        <x:v>KI-CP3-F02</x:v>
      </x:c>
      <x:c r="D170" s="12" t="str">
        <x:v>CP3 manifest</x:v>
      </x:c>
      <x:c r="E170" s="12" t="str">
        <x:v>CP3 bővítés; nincs baseline duplikáció</x:v>
      </x:c>
      <x:c r="F170" s="12" t="str">
        <x:v>megvalósítás</x:v>
      </x:c>
      <x:c r="G170" s="12" t="str">
        <x:v>villamosság</x:v>
      </x:c>
      <x:c r="H170" s="19" t="str">
        <x:v>Fagyasztó szállítás és villamos ellenőrzés</x:v>
      </x:c>
      <x:c r="I170" s="19" t="str">
        <x:v>Fagyasztó</x:v>
      </x:c>
      <x:c r="J170" s="19" t="str">
        <x:v>AJÁNLATRA VÁR</x:v>
      </x:c>
      <x:c r="K170" s="19" t="str"/>
      <x:c r="L170" s="19" t="str"/>
      <x:c r="M170" s="19" t="str">
        <x:v>fehér / grafit a terv szerint</x:v>
      </x:c>
      <x:c r="N170" s="19" t="str">
        <x:v>termék és rajz szerint</x:v>
      </x:c>
      <x:c r="O170" s="19" t="n">
        <x:v>1</x:v>
      </x:c>
      <x:c r="P170" s="19" t="str">
        <x:v>db</x:v>
      </x:c>
      <x:c r="Q170" s="20" t="n">
        <x:v>45000</x:v>
      </x:c>
      <x:c r="R170" s="20" t="n">
        <x:v>0</x:v>
      </x:c>
      <x:c r="S170" s="20" t="n">
        <x:v>0</x:v>
      </x:c>
      <x:c r="T170" s="20" t="n">
        <x:v>0</x:v>
      </x:c>
      <x:c r="U170" s="21" t="n">
        <x:f>O170*Q170+SUM(R170:T170)</x:f>
        <x:v>45000</x:v>
      </x:c>
      <x:c r="V170" s="19" t="str">
        <x:v>becslés</x:v>
      </x:c>
      <x:c r="W170" s="19" t="str">
        <x:v>CP3 tervezői előirányzat, tételes alap a megjegyzésben</x:v>
      </x:c>
      <x:c r="X170" s="19" t="str">
        <x:v>2026-10-27</x:v>
      </x:c>
      <x:c r="Y170" s="19" t="str">
        <x:v>szállítás / átfutás nincs visszaigazolva</x:v>
      </x:c>
      <x:c r="Z170" s="19" t="str">
        <x:v>A</x:v>
      </x:c>
      <x:c r="AA170" s="19" t="str">
        <x:v>Szállítás/felhordás25 000; meglévő két tervi dugalj és áramkör ellenőrzése20 000. Új áramkör nincs igazolva vagy benne.</x:v>
      </x:c>
      <x:c r="AB170" s="19" t="str">
        <x:v>tulajdonosi / szakági jóváhagyásra vár</x:v>
      </x:c>
      <x:c r="AC170" s="19" t="str">
        <x:v>nem rendelt</x:v>
      </x:c>
      <x:c r="AD170" s="19" t="str">
        <x:v>tulajdonos + szaktervező / gyártó</x:v>
      </x:c>
      <x:c r="AE170" s="19" t="str">
        <x:v>ár és beépítés külön ellenőrizendő</x:v>
      </x:c>
      <x:c r="AF170" s="19" t="str">
        <x:v>Szállítás/felhordás25 000; meglévő két tervi dugalj és áramkör ellenőrzése20 000. Új áramkör nincs igazolva vagy benne.</x:v>
      </x:c>
      <x:c r="AG170" s="20" t="n">
        <x:v>45000</x:v>
      </x:c>
      <x:c r="AH170" s="21" t="n">
        <x:f>O170*AG170+SUM(R170:T170)</x:f>
        <x:v>45000</x:v>
      </x:c>
      <x:c r="AI170" s="19" t="str">
        <x:v>azonos műszaki tartalom</x:v>
      </x:c>
      <x:c r="AJ170" s="19" t="str">
        <x:v>forgalmazói feltétel ajánlatban</x:v>
      </x:c>
      <x:c r="AK170" s="19" t="str">
        <x:v>magyar címre nincs visszaigazolva</x:v>
      </x:c>
      <x:c r="AL170" s="19" t="str">
        <x:v>lásd CP3 alternatívák</x:v>
      </x:c>
      <x:c r="AM170" s="19" t="str">
        <x:v>nincs önkényesen választva</x:v>
      </x:c>
      <x:c r="AN170" s="1" t="str">
        <x:v>AT-FR</x:v>
      </x:c>
      <x:c r="AO170" s="1" t="str">
        <x:v>CP3/drawings</x:v>
      </x:c>
      <x:c r="AP170" s="1" t="str">
        <x:v>CP3_AT-FR</x:v>
      </x:c>
      <x:c r="AQ170" s="1" t="str">
        <x:v>egyedi / szakmunka</x:v>
      </x:c>
      <x:c r="AR170" s="1" t="str">
        <x:v>gyártói befoglaló / tervi hely; felmérés vár</x:v>
      </x:c>
      <x:c r="AS170" s="1" t="str">
        <x:v>HUF</x:v>
      </x:c>
      <x:c r="AT170" s="1" t="n">
        <x:v>1</x:v>
      </x:c>
      <x:c r="AU170" s="1" t="str">
        <x:v>vásárlás előtt újraellenőrizendő</x:v>
      </x:c>
      <x:c r="AV170" s="1" t="str">
        <x:v>közös logisztikai sor, ha nincs itt külön</x:v>
      </x:c>
      <x:c r="AW170" s="1" t="str">
        <x:v>külön szerelési / segédanyag sor</x:v>
      </x:c>
      <x:c r="AX170" s="1" t="n">
        <x:v>3</x:v>
      </x:c>
      <x:c r="AY170" s="1" t="n">
        <x:v>0.8</x:v>
      </x:c>
      <x:c r="AZ170" s="1" t="n">
        <x:v>1.4</x:v>
      </x:c>
      <x:c r="BA170" s="29" t="n">
        <x:f>ROUND(U170*AY170,0)</x:f>
        <x:v>36000</x:v>
      </x:c>
      <x:c r="BB170" s="29" t="n">
        <x:f>ROUND(U170*AZ170,0)</x:f>
        <x:v>63000</x:v>
      </x:c>
    </x:row>
    <x:row r="171">
      <x:c r="A171" s="12" t="str">
        <x:v>A-902</x:v>
      </x:c>
      <x:c r="B171" s="12" t="str">
        <x:v>06.2</x:v>
      </x:c>
      <x:c r="C171" s="12" t="str">
        <x:v>KI-CP3-B01</x:v>
      </x:c>
      <x:c r="D171" s="12" t="str">
        <x:v>CP3 manifest</x:v>
      </x:c>
      <x:c r="E171" s="12" t="str">
        <x:v>CP3 bővítés; nincs baseline duplikáció</x:v>
      </x:c>
      <x:c r="F171" s="12" t="str">
        <x:v>megvalósítás</x:v>
      </x:c>
      <x:c r="G171" s="12" t="str">
        <x:v>villamosság</x:v>
      </x:c>
      <x:c r="H171" s="19" t="str">
        <x:v>Blum AMPEROS AC fiókáram jelölt készlet</x:v>
      </x:c>
      <x:c r="I171" s="19" t="str">
        <x:v>Blum</x:v>
      </x:c>
      <x:c r="J171" s="19" t="str">
        <x:v>AJÁNLATRA VÁR</x:v>
      </x:c>
      <x:c r="K171" s="19" t="str"/>
      <x:c r="L171" s="19" t="str"/>
      <x:c r="M171" s="19" t="str">
        <x:v>fehér / grafit a terv szerint</x:v>
      </x:c>
      <x:c r="N171" s="19" t="str">
        <x:v>termék és rajz szerint</x:v>
      </x:c>
      <x:c r="O171" s="19" t="n">
        <x:v>1</x:v>
      </x:c>
      <x:c r="P171" s="19" t="str">
        <x:v>db</x:v>
      </x:c>
      <x:c r="Q171" s="20" t="n">
        <x:v>145000</x:v>
      </x:c>
      <x:c r="R171" s="20" t="n">
        <x:v>0</x:v>
      </x:c>
      <x:c r="S171" s="20" t="n">
        <x:v>0</x:v>
      </x:c>
      <x:c r="T171" s="20" t="n">
        <x:v>0</x:v>
      </x:c>
      <x:c r="U171" s="21" t="n">
        <x:f>O171*Q171+SUM(R171:T171)</x:f>
        <x:v>145000</x:v>
      </x:c>
      <x:c r="V171" s="19" t="str">
        <x:v>becslés</x:v>
      </x:c>
      <x:c r="W171" s="19" t="str">
        <x:v>CP3 tervezői előirányzat, tételes alap a megjegyzésben</x:v>
      </x:c>
      <x:c r="X171" s="19" t="str">
        <x:v>2026-10-27</x:v>
      </x:c>
      <x:c r="Y171" s="19" t="str">
        <x:v>szállítás / átfutás nincs visszaigazolva</x:v>
      </x:c>
      <x:c r="Z171" s="19" t="str">
        <x:v>A</x:v>
      </x:c>
      <x:c r="AA171" s="19" t="str">
        <x:v>230 V EU rendszer ESS.B01FA.2 jelölt, illesztett kábelvezetéssel és 25 000 Ft szereléssel együtt. Hazai ajánlat és rövid mosdófiók kompatibilitás nincs igazolva. Alternatíva: fix hozzáférhető konnektor 40 000 Ft; nincs hosszabbító a mozgó fiókban.</x:v>
      </x:c>
      <x:c r="AB171" s="19" t="str">
        <x:v>tulajdonosi / szakági jóváhagyásra vár</x:v>
      </x:c>
      <x:c r="AC171" s="19" t="str">
        <x:v>nem rendelt</x:v>
      </x:c>
      <x:c r="AD171" s="19" t="str">
        <x:v>tulajdonos + szaktervező / gyártó</x:v>
      </x:c>
      <x:c r="AE171" s="19" t="str">
        <x:v>ár és beépítés külön ellenőrizendő</x:v>
      </x:c>
      <x:c r="AF171" s="19" t="str">
        <x:v>230 V EU rendszer ESS.B01FA.2 jelölt, illesztett kábelvezetéssel és 25 000 Ft szereléssel együtt. Hazai ajánlat és rövid mosdófiók kompatibilitás nincs igazolva. Alternatíva: fix hozzáférhető konnektor 40 000 Ft; nincs hosszabbító a mozgó fiókban.</x:v>
      </x:c>
      <x:c r="AG171" s="20" t="n">
        <x:v>40000</x:v>
      </x:c>
      <x:c r="AH171" s="21" t="n">
        <x:f>O171*AG171+SUM(R171:T171)</x:f>
        <x:v>40000</x:v>
      </x:c>
      <x:c r="AI171" s="19" t="str">
        <x:v>145000Ft mozgó fiókáram helyett40000Ft fix, hozzáférhető dugalj és szabályos szerelés, ugyanabban a szervizzónában. Eltérés: a készülék töltéséhez ki kell venni a fiókból; vizes zóna szakemberrel; nem jóváhagyott. Nettó projektmegtakarítás 105000 Ft, bruttó költségek különbsége.</x:v>
      </x:c>
      <x:c r="AJ171" s="19" t="str">
        <x:v>forgalmazói feltétel ajánlatban</x:v>
      </x:c>
      <x:c r="AK171" s="19" t="str">
        <x:v>magyar címre nincs visszaigazolva</x:v>
      </x:c>
      <x:c r="AL171" s="19" t="str">
        <x:v>lásd CP3 alternatívák</x:v>
      </x:c>
      <x:c r="AM171" s="19" t="str">
        <x:v>nincs önkényesen választva</x:v>
      </x:c>
      <x:c r="AN171" s="1" t="str">
        <x:v>B62-01</x:v>
      </x:c>
      <x:c r="AO171" s="1" t="str">
        <x:v>CP3/drawings</x:v>
      </x:c>
      <x:c r="AP171" s="1" t="str">
        <x:v>CP3_B62-01</x:v>
      </x:c>
      <x:c r="AQ171" s="1" t="str">
        <x:v>egyedi / szakmunka</x:v>
      </x:c>
      <x:c r="AR171" s="1" t="str">
        <x:v>gyártói befoglaló / tervi hely; felmérés vár</x:v>
      </x:c>
      <x:c r="AS171" s="1" t="str">
        <x:v>HUF</x:v>
      </x:c>
      <x:c r="AT171" s="1" t="n">
        <x:v>1</x:v>
      </x:c>
      <x:c r="AU171" s="1" t="str">
        <x:v>vásárlás előtt újraellenőrizendő</x:v>
      </x:c>
      <x:c r="AV171" s="1" t="str">
        <x:v>közös logisztikai sor, ha nincs itt külön</x:v>
      </x:c>
      <x:c r="AW171" s="1" t="str">
        <x:v>külön szerelési / segédanyag sor</x:v>
      </x:c>
      <x:c r="AX171" s="1" t="n">
        <x:v>3</x:v>
      </x:c>
      <x:c r="AY171" s="1" t="n">
        <x:v>0.8</x:v>
      </x:c>
      <x:c r="AZ171" s="1" t="n">
        <x:v>1.4</x:v>
      </x:c>
      <x:c r="BA171" s="29" t="n">
        <x:f>ROUND(U171*AY171,0)</x:f>
        <x:v>116000</x:v>
      </x:c>
      <x:c r="BB171" s="29" t="n">
        <x:f>ROUND(U171*AZ171,0)</x:f>
        <x:v>203000</x:v>
      </x:c>
    </x:row>
    <x:row r="172">
      <x:c r="A172" s="12" t="str">
        <x:v>A-902</x:v>
      </x:c>
      <x:c r="B172" s="12" t="str">
        <x:v>06.1</x:v>
      </x:c>
      <x:c r="C172" s="12" t="str">
        <x:v>KI-CP3-H01</x:v>
      </x:c>
      <x:c r="D172" s="12" t="str">
        <x:v>CP3 manifest</x:v>
      </x:c>
      <x:c r="E172" s="12" t="str">
        <x:v>CP3 bővítés; nincs baseline duplikáció</x:v>
      </x:c>
      <x:c r="F172" s="12" t="str">
        <x:v>megvalósítás</x:v>
      </x:c>
      <x:c r="G172" s="12" t="str">
        <x:v>vízszerelés</x:v>
      </x:c>
      <x:c r="H172" s="19" t="str">
        <x:v>Háztartási kihúzható csap jelölt és bekötés</x:v>
      </x:c>
      <x:c r="I172" s="19" t="str">
        <x:v>Háztartási</x:v>
      </x:c>
      <x:c r="J172" s="19" t="str">
        <x:v>AJÁNLATRA VÁR</x:v>
      </x:c>
      <x:c r="K172" s="19" t="str"/>
      <x:c r="L172" s="19" t="str"/>
      <x:c r="M172" s="19" t="str">
        <x:v>fehér / grafit a terv szerint</x:v>
      </x:c>
      <x:c r="N172" s="19" t="str">
        <x:v>termék és rajz szerint</x:v>
      </x:c>
      <x:c r="O172" s="19" t="n">
        <x:v>1</x:v>
      </x:c>
      <x:c r="P172" s="19" t="str">
        <x:v>db</x:v>
      </x:c>
      <x:c r="Q172" s="20" t="n">
        <x:v>70000</x:v>
      </x:c>
      <x:c r="R172" s="20" t="n">
        <x:v>0</x:v>
      </x:c>
      <x:c r="S172" s="20" t="n">
        <x:v>0</x:v>
      </x:c>
      <x:c r="T172" s="20" t="n">
        <x:v>0</x:v>
      </x:c>
      <x:c r="U172" s="21" t="n">
        <x:f>O172*Q172+SUM(R172:T172)</x:f>
        <x:v>70000</x:v>
      </x:c>
      <x:c r="V172" s="19" t="str">
        <x:v>becslés</x:v>
      </x:c>
      <x:c r="W172" s="19" t="str">
        <x:v>CP3 tervezői előirányzat, tételes alap a megjegyzésben</x:v>
      </x:c>
      <x:c r="X172" s="19" t="str">
        <x:v>2026-10-27</x:v>
      </x:c>
      <x:c r="Y172" s="19" t="str">
        <x:v>szállítás / átfutás nincs visszaigazolva</x:v>
      </x:c>
      <x:c r="Z172" s="19" t="str">
        <x:v>A</x:v>
      </x:c>
      <x:c r="AA172" s="19" t="str">
        <x:v>Csak igazolt meglévő háztartási mosdó / csatlakozás után. Nincs új mosdó vagy kitalált vizes hely. Csap50 000 + bekötés20 000 előirányzat; műszaki hely még nyitott.</x:v>
      </x:c>
      <x:c r="AB172" s="19" t="str">
        <x:v>tulajdonosi / szakági jóváhagyásra vár</x:v>
      </x:c>
      <x:c r="AC172" s="19" t="str">
        <x:v>nem rendelt</x:v>
      </x:c>
      <x:c r="AD172" s="19" t="str">
        <x:v>tulajdonos + szaktervező / gyártó</x:v>
      </x:c>
      <x:c r="AE172" s="19" t="str">
        <x:v>ár és beépítés külön ellenőrizendő</x:v>
      </x:c>
      <x:c r="AF172" s="19" t="str">
        <x:v>Csak igazolt meglévő háztartási mosdó / csatlakozás után. Nincs új mosdó vagy kitalált vizes hely. Csap50 000 + bekötés20 000 előirányzat; műszaki hely még nyitott.</x:v>
      </x:c>
      <x:c r="AG172" s="20" t="n">
        <x:v>70000</x:v>
      </x:c>
      <x:c r="AH172" s="21" t="n">
        <x:f>O172*AG172+SUM(R172:T172)</x:f>
        <x:v>70000</x:v>
      </x:c>
      <x:c r="AI172" s="19" t="str">
        <x:v>azonos műszaki tartalom</x:v>
      </x:c>
      <x:c r="AJ172" s="19" t="str">
        <x:v>forgalmazói feltétel ajánlatban</x:v>
      </x:c>
      <x:c r="AK172" s="19" t="str">
        <x:v>magyar címre nincs visszaigazolva</x:v>
      </x:c>
      <x:c r="AL172" s="19" t="str">
        <x:v>lásd CP3 alternatívák</x:v>
      </x:c>
      <x:c r="AM172" s="19" t="str">
        <x:v>nincs önkényesen választva</x:v>
      </x:c>
      <x:c r="AN172" s="1" t="str">
        <x:v>H-TAP</x:v>
      </x:c>
      <x:c r="AO172" s="1" t="str">
        <x:v>CP3/drawings</x:v>
      </x:c>
      <x:c r="AP172" s="1" t="str">
        <x:v>CP3_H-TAP</x:v>
      </x:c>
      <x:c r="AQ172" s="1" t="str">
        <x:v>egyedi / szakmunka</x:v>
      </x:c>
      <x:c r="AR172" s="1" t="str">
        <x:v>gyártói befoglaló / tervi hely; felmérés vár</x:v>
      </x:c>
      <x:c r="AS172" s="1" t="str">
        <x:v>HUF</x:v>
      </x:c>
      <x:c r="AT172" s="1" t="n">
        <x:v>1</x:v>
      </x:c>
      <x:c r="AU172" s="1" t="str">
        <x:v>vásárlás előtt újraellenőrizendő</x:v>
      </x:c>
      <x:c r="AV172" s="1" t="str">
        <x:v>közös logisztikai sor, ha nincs itt külön</x:v>
      </x:c>
      <x:c r="AW172" s="1" t="str">
        <x:v>külön szerelési / segédanyag sor</x:v>
      </x:c>
      <x:c r="AX172" s="1" t="n">
        <x:v>3</x:v>
      </x:c>
      <x:c r="AY172" s="1" t="n">
        <x:v>0.8</x:v>
      </x:c>
      <x:c r="AZ172" s="1" t="n">
        <x:v>1.4</x:v>
      </x:c>
      <x:c r="BA172" s="29" t="n">
        <x:f>ROUND(U172*AY172,0)</x:f>
        <x:v>56000</x:v>
      </x:c>
      <x:c r="BB172" s="29" t="n">
        <x:f>ROUND(U172*AZ172,0)</x:f>
        <x:v>98000</x:v>
      </x:c>
    </x:row>
    <x:row r="173">
      <x:c r="A173" s="12" t="str">
        <x:v>A-902</x:v>
      </x:c>
      <x:c r="B173" s="12" t="str">
        <x:v>01 / 05.1 / 05.2</x:v>
      </x:c>
      <x:c r="C173" s="12" t="str">
        <x:v>KI-CP3-D01</x:v>
      </x:c>
      <x:c r="D173" s="12" t="str">
        <x:v>CP3 manifest</x:v>
      </x:c>
      <x:c r="E173" s="12" t="str">
        <x:v>CP3 bővítés; nincs baseline duplikáció</x:v>
      </x:c>
      <x:c r="F173" s="12" t="str">
        <x:v>megvalósítás</x:v>
      </x:c>
      <x:c r="G173" s="12" t="str">
        <x:v>bútor</x:v>
      </x:c>
      <x:c r="H173" s="19" t="str">
        <x:v>Kutya, játék és zárható rekesz kiegészítők</x:v>
      </x:c>
      <x:c r="I173" s="19" t="str">
        <x:v>Kutya,</x:v>
      </x:c>
      <x:c r="J173" s="19" t="str">
        <x:v>AJÁNLATRA VÁR</x:v>
      </x:c>
      <x:c r="K173" s="19" t="str"/>
      <x:c r="L173" s="19" t="str"/>
      <x:c r="M173" s="19" t="str">
        <x:v>fehér / grafit a terv szerint</x:v>
      </x:c>
      <x:c r="N173" s="19" t="str">
        <x:v>termék és rajz szerint</x:v>
      </x:c>
      <x:c r="O173" s="19" t="n">
        <x:v>1</x:v>
      </x:c>
      <x:c r="P173" s="19" t="str">
        <x:v>db</x:v>
      </x:c>
      <x:c r="Q173" s="20" t="n">
        <x:v>65000</x:v>
      </x:c>
      <x:c r="R173" s="20" t="n">
        <x:v>0</x:v>
      </x:c>
      <x:c r="S173" s="20" t="n">
        <x:v>0</x:v>
      </x:c>
      <x:c r="T173" s="20" t="n">
        <x:v>0</x:v>
      </x:c>
      <x:c r="U173" s="21" t="n">
        <x:f>O173*Q173+SUM(R173:T173)</x:f>
        <x:v>65000</x:v>
      </x:c>
      <x:c r="V173" s="19" t="str">
        <x:v>becslés</x:v>
      </x:c>
      <x:c r="W173" s="19" t="str">
        <x:v>CP3 tervezői előirányzat, tételes alap a megjegyzésben</x:v>
      </x:c>
      <x:c r="X173" s="19" t="str">
        <x:v>2026-10-27</x:v>
      </x:c>
      <x:c r="Y173" s="19" t="str">
        <x:v>szállítás / átfutás nincs visszaigazolva</x:v>
      </x:c>
      <x:c r="Z173" s="19" t="str">
        <x:v>A</x:v>
      </x:c>
      <x:c r="AA173" s="19" t="str">
        <x:v>2 kivehető játékdoboz12 000; nedves/száraz tálca8 000; 3 kampó6 000; zárható vegyszer/gyógyszer elválasztás24 000; állítható géptartó15 000. Nem becsült csavardarabszám.</x:v>
      </x:c>
      <x:c r="AB173" s="19" t="str">
        <x:v>tulajdonosi / szakági jóváhagyásra vár</x:v>
      </x:c>
      <x:c r="AC173" s="19" t="str">
        <x:v>nem rendelt</x:v>
      </x:c>
      <x:c r="AD173" s="19" t="str">
        <x:v>tulajdonos + szaktervező / gyártó</x:v>
      </x:c>
      <x:c r="AE173" s="19" t="str">
        <x:v>ár és beépítés külön ellenőrizendő</x:v>
      </x:c>
      <x:c r="AF173" s="19" t="str">
        <x:v>2 kivehető játékdoboz12 000; nedves/száraz tálca8 000; 3 kampó6 000; zárható vegyszer/gyógyszer elválasztás24 000; állítható géptartó15 000. Nem becsült csavardarabszám.</x:v>
      </x:c>
      <x:c r="AG173" s="20" t="n">
        <x:v>65000</x:v>
      </x:c>
      <x:c r="AH173" s="21" t="n">
        <x:f>O173*AG173+SUM(R173:T173)</x:f>
        <x:v>65000</x:v>
      </x:c>
      <x:c r="AI173" s="19" t="str">
        <x:v>azonos műszaki tartalom</x:v>
      </x:c>
      <x:c r="AJ173" s="19" t="str">
        <x:v>forgalmazói feltétel ajánlatban</x:v>
      </x:c>
      <x:c r="AK173" s="19" t="str">
        <x:v>magyar címre nincs visszaigazolva</x:v>
      </x:c>
      <x:c r="AL173" s="19" t="str">
        <x:v>lásd CP3 alternatívák</x:v>
      </x:c>
      <x:c r="AM173" s="19" t="str">
        <x:v>nincs önkényesen választva</x:v>
      </x:c>
      <x:c r="AN173" s="1" t="str">
        <x:v>ENT-02;WS-01;W52-01</x:v>
      </x:c>
      <x:c r="AO173" s="1" t="str">
        <x:v>CP3/drawings</x:v>
      </x:c>
      <x:c r="AP173" s="1" t="str">
        <x:v>CP3_ENT-02;WS-01;W52-01</x:v>
      </x:c>
      <x:c r="AQ173" s="1" t="str">
        <x:v>egyedi / szakmunka</x:v>
      </x:c>
      <x:c r="AR173" s="1" t="str">
        <x:v>gyártói befoglaló / tervi hely; felmérés vár</x:v>
      </x:c>
      <x:c r="AS173" s="1" t="str">
        <x:v>HUF</x:v>
      </x:c>
      <x:c r="AT173" s="1" t="n">
        <x:v>1</x:v>
      </x:c>
      <x:c r="AU173" s="1" t="str">
        <x:v>vásárlás előtt újraellenőrizendő</x:v>
      </x:c>
      <x:c r="AV173" s="1" t="str">
        <x:v>közös logisztikai sor, ha nincs itt külön</x:v>
      </x:c>
      <x:c r="AW173" s="1" t="str">
        <x:v>külön szerelési / segédanyag sor</x:v>
      </x:c>
      <x:c r="AX173" s="1" t="n">
        <x:v>3</x:v>
      </x:c>
      <x:c r="AY173" s="1" t="n">
        <x:v>0.8</x:v>
      </x:c>
      <x:c r="AZ173" s="1" t="n">
        <x:v>1.4</x:v>
      </x:c>
      <x:c r="BA173" s="29" t="n">
        <x:f>ROUND(U173*AY173,0)</x:f>
        <x:v>52000</x:v>
      </x:c>
      <x:c r="BB173" s="29" t="n">
        <x:f>ROUND(U173*AZ173,0)</x:f>
        <x:v>91000</x:v>
      </x:c>
    </x:row>
    <x:row r="174">
      <x:c r="A174" s="12" t="str">
        <x:v>A902</x:v>
      </x:c>
      <x:c r="B174" s="12" t="str">
        <x:v>05.1</x:v>
      </x:c>
      <x:c r="C174" s="12" t="str">
        <x:v>KI-R05-L01</x:v>
      </x:c>
      <x:c r="D174" s="12" t="str">
        <x:v>V04/V12</x:v>
      </x:c>
      <x:c r="E174" s="12"/>
      <x:c r="F174" s="12" t="str">
        <x:v>stílus</x:v>
      </x:c>
      <x:c r="G174" s="12" t="str">
        <x:v>világítás</x:v>
      </x:c>
      <x:c r="H174" s="19" t="str">
        <x:v>WN ÖVERSIDAN710mm belső fény</x:v>
      </x:c>
      <x:c r="I174" s="19"/>
      <x:c r="J174" s="19" t="str">
        <x:v>205.894.85</x:v>
      </x:c>
      <x:c r="K174" s="19" t="str">
        <x:v>https://www.ikea.com/hu/hu/p/oeversidan-led-es-gardrobvilagitas-erzekelo-fenyereje-szabh-feher-20589485/</x:v>
      </x:c>
      <x:c r="L174" s="19"/>
      <x:c r="M174" s="19"/>
      <x:c r="N174" s="19"/>
      <x:c r="O174" s="19" t="n">
        <x:v>7</x:v>
      </x:c>
      <x:c r="P174" s="19" t="str">
        <x:v>db</x:v>
      </x:c>
      <x:c r="Q174" s="20" t="n">
        <x:v>6490</x:v>
      </x:c>
      <x:c r="R174" s="20" t="n">
        <x:v>0</x:v>
      </x:c>
      <x:c r="S174" s="20" t="n">
        <x:v>0</x:v>
      </x:c>
      <x:c r="T174" s="20" t="n">
        <x:v>0</x:v>
      </x:c>
      <x:c r="U174" s="21" t="n">
        <x:f>O174*Q174+SUM(R174:T174)</x:f>
        <x:v>45430</x:v>
      </x:c>
      <x:c r="V174" s="19" t="str">
        <x:v>ellenőrzött webshopár</x:v>
      </x:c>
      <x:c r="W174" s="19" t="str">
        <x:v>https://www.ikea.com/hu/hu/p/oeversidan-led-es-gardrobvilagitas-erzekelo-fenyereje-szabh-feher-20589485/</x:v>
      </x:c>
      <x:c r="X174" s="19" t="str">
        <x:v>2026-10-27</x:v>
      </x:c>
      <x:c r="Y174" s="19" t="str">
        <x:v>nem visszaigazolt</x:v>
      </x:c>
      <x:c r="Z174" s="19" t="str">
        <x:v>B</x:v>
      </x:c>
      <x:c r="AA174" s="19" t="str">
        <x:v>feltételes</x:v>
      </x:c>
      <x:c r="AB174" s="19" t="str">
        <x:v>tervezési javaslat</x:v>
      </x:c>
      <x:c r="AC174" s="19" t="str">
        <x:v>nincs megrendelve</x:v>
      </x:c>
      <x:c r="AD174" s="19" t="str">
        <x:v>tulajdonos / kivitelező</x:v>
      </x:c>
      <x:c r="AE174" s="19" t="str">
        <x:v>24,5W összesen;30Wdriveren81,7%. Táp/kábel meglévőCP3sorokban, szerelésKI-119.</x:v>
      </x:c>
      <x:c r="AF174" s="19" t="str">
        <x:v>24,5W összesen;30Wdriveren81,7%. Táp/kábel meglévőCP3sorokban, szerelésKI-119.</x:v>
      </x:c>
      <x:c r="AG174" s="20" t="n">
        <x:v>6490</x:v>
      </x:c>
      <x:c r="AH174" s="21" t="n">
        <x:f>O174*AG174+SUM(R174:T174)</x:f>
        <x:v>45430</x:v>
      </x:c>
      <x:c r="AI174" s="19" t="str">
        <x:v>azonos</x:v>
      </x:c>
      <x:c r="AJ174" s="19"/>
      <x:c r="AK174" s="19"/>
      <x:c r="AL174" s="19"/>
      <x:c r="AM174" s="19"/>
      <x:c r="AN174" s="1" t="str">
        <x:v>WN-01</x:v>
      </x:c>
      <x:c r="AO174" s="1"/>
      <x:c r="AP174" s="1"/>
      <x:c r="AQ174" s="1" t="str">
        <x:v>késztermék + szerelés</x:v>
      </x:c>
      <x:c r="AR174" s="1" t="str">
        <x:v>gyártói adat / helyszíni illesztés nyitott</x:v>
      </x:c>
      <x:c r="AS174" s="1" t="str">
        <x:v>HUF</x:v>
      </x:c>
      <x:c r="AT174" s="1" t="n">
        <x:v>1</x:v>
      </x:c>
      <x:c r="AU174" s="1" t="str">
        <x:v>nincs ajánlati érvényesség</x:v>
      </x:c>
      <x:c r="AV174" s="1" t="str">
        <x:v>KI-151 közös logisztika</x:v>
      </x:c>
      <x:c r="AW174" s="1" t="str">
        <x:v>a sor tartalma</x:v>
      </x:c>
      <x:c r="AX174" s="1" t="n">
        <x:v>1</x:v>
      </x:c>
      <x:c r="AY174" s="1" t="n">
        <x:v>1</x:v>
      </x:c>
      <x:c r="AZ174" s="1" t="n">
        <x:v>1.15</x:v>
      </x:c>
      <x:c r="BA174" s="29" t="n">
        <x:f>ROUND(U174*AY174,0)</x:f>
        <x:v>45430</x:v>
      </x:c>
      <x:c r="BB174" s="29" t="n">
        <x:f>ROUND(U174*AZ174,0)</x:f>
        <x:v>52244</x:v>
      </x:c>
    </x:row>
    <x:row r="175">
      <x:c r="A175" s="12" t="str">
        <x:v>A902</x:v>
      </x:c>
      <x:c r="B175" s="12" t="str">
        <x:v>T-0-26</x:v>
      </x:c>
      <x:c r="C175" s="12" t="str">
        <x:v>KI-R05-B01</x:v>
      </x:c>
      <x:c r="D175" s="12" t="str">
        <x:v>V27/V28</x:v>
      </x:c>
      <x:c r="E175" s="12"/>
      <x:c r="F175" s="12" t="str">
        <x:v>stílus</x:v>
      </x:c>
      <x:c r="G175" s="12" t="str">
        <x:v>tároló</x:v>
      </x:c>
      <x:c r="H175" s="19" t="str">
        <x:v>Fali biciklitartó és rögzítés</x:v>
      </x:c>
      <x:c r="I175" s="19"/>
      <x:c r="J175" s="19" t="str">
        <x:v>Steadyrack Classic Road jelölt</x:v>
      </x:c>
      <x:c r="K175" s="19" t="str">
        <x:v>https://eu.steadyrack.com/products/classic-road-bike-rack</x:v>
      </x:c>
      <x:c r="L175" s="19"/>
      <x:c r="M175" s="19"/>
      <x:c r="N175" s="19"/>
      <x:c r="O175" s="19" t="n">
        <x:v>1</x:v>
      </x:c>
      <x:c r="P175" s="19" t="str">
        <x:v>csomag</x:v>
      </x:c>
      <x:c r="Q175" s="20" t="n">
        <x:v>70000</x:v>
      </x:c>
      <x:c r="R175" s="20" t="n">
        <x:v>0</x:v>
      </x:c>
      <x:c r="S175" s="20" t="n">
        <x:v>0</x:v>
      </x:c>
      <x:c r="T175" s="20" t="n">
        <x:v>0</x:v>
      </x:c>
      <x:c r="U175" s="21" t="n">
        <x:f>O175*Q175+SUM(R175:T175)</x:f>
        <x:v>70000</x:v>
      </x:c>
      <x:c r="V175" s="19" t="str">
        <x:v>előzetes becslés</x:v>
      </x:c>
      <x:c r="W175" s="19" t="str">
        <x:v>https://eu.steadyrack.com/products/classic-road-bike-rack</x:v>
      </x:c>
      <x:c r="X175" s="19" t="str">
        <x:v>2026-10-27</x:v>
      </x:c>
      <x:c r="Y175" s="19" t="str">
        <x:v>nem visszaigazolt</x:v>
      </x:c>
      <x:c r="Z175" s="19" t="str">
        <x:v>B</x:v>
      </x:c>
      <x:c r="AA175" s="19" t="str">
        <x:v>feltételes</x:v>
      </x:c>
      <x:c r="AB175" s="19" t="str">
        <x:v>tervezési javaslat</x:v>
      </x:c>
      <x:c r="AC175" s="19" t="str">
        <x:v>nincs megrendelve</x:v>
      </x:c>
      <x:c r="AD175" s="19" t="str">
        <x:v>tulajdonos / kivitelező</x:v>
      </x:c>
      <x:c r="AE175" s="19" t="str">
        <x:v>89,99EUR gyártói oldal;420Ft tervezési árfolyammal37796Ft,45000Ft beszerzési keret+25000Ft falrögzítés.35kg,20–29col,max2,1colgumi,sárvédő nélkül. Valós bicikli és fal/ajtó ismeretlen. HU szállítás nem igazolt.</x:v>
      </x:c>
      <x:c r="AF175" s="19" t="str">
        <x:v>89,99EUR gyártói oldal;420Ft tervezési árfolyammal37796Ft,45000Ft beszerzési keret+25000Ft falrögzítés.35kg,20–29col,max2,1colgumi,sárvédő nélkül. Valós bicikli és fal/ajtó ismeretlen. HU szállítás nem igazolt.</x:v>
      </x:c>
      <x:c r="AG175" s="20" t="n">
        <x:v>70000</x:v>
      </x:c>
      <x:c r="AH175" s="21" t="n">
        <x:f>O175*AG175+SUM(R175:T175)</x:f>
        <x:v>70000</x:v>
      </x:c>
      <x:c r="AI175" s="19" t="str">
        <x:v>azonos</x:v>
      </x:c>
      <x:c r="AJ175" s="19"/>
      <x:c r="AK175" s="19"/>
      <x:c r="AL175" s="19"/>
      <x:c r="AM175" s="19"/>
      <x:c r="AN175" s="1" t="str">
        <x:v>T-0-26</x:v>
      </x:c>
      <x:c r="AO175" s="1"/>
      <x:c r="AP175" s="1"/>
      <x:c r="AQ175" s="1" t="str">
        <x:v>késztermék + szerelés</x:v>
      </x:c>
      <x:c r="AR175" s="1" t="str">
        <x:v>gyártói adat / helyszíni illesztés nyitott</x:v>
      </x:c>
      <x:c r="AS175" s="1" t="str">
        <x:v>HUF</x:v>
      </x:c>
      <x:c r="AT175" s="1" t="n">
        <x:v>1</x:v>
      </x:c>
      <x:c r="AU175" s="1" t="str">
        <x:v>nincs ajánlati érvényesség</x:v>
      </x:c>
      <x:c r="AV175" s="1" t="str">
        <x:v>KI-151 közös logisztika</x:v>
      </x:c>
      <x:c r="AW175" s="1" t="str">
        <x:v>a sor tartalma</x:v>
      </x:c>
      <x:c r="AX175" s="1" t="n">
        <x:v>1</x:v>
      </x:c>
      <x:c r="AY175" s="1" t="n">
        <x:v>0.5</x:v>
      </x:c>
      <x:c r="AZ175" s="1" t="n">
        <x:v>1.7142857142857142</x:v>
      </x:c>
      <x:c r="BA175" s="29" t="n">
        <x:f>ROUND(U175*AY175,0)</x:f>
        <x:v>35000</x:v>
      </x:c>
      <x:c r="BB175" s="29" t="n">
        <x:f>ROUND(U175*AZ175,0)</x:f>
        <x:v>120000</x:v>
      </x:c>
    </x:row>
    <x:row r="176">
      <x:c r="A176" s="12" t="str">
        <x:v>A902</x:v>
      </x:c>
      <x:c r="B176" s="12" t="str">
        <x:v>06.2</x:v>
      </x:c>
      <x:c r="C176" s="12" t="str">
        <x:v>KI-R06-01</x:v>
      </x:c>
      <x:c r="D176" s="12" t="str">
        <x:v>T07</x:v>
      </x:c>
      <x:c r="E176" s="12" t="str">
        <x:v>R06 új célkép</x:v>
      </x:c>
      <x:c r="F176" s="12" t="str">
        <x:v>Stílus</x:v>
      </x:c>
      <x:c r="G176" s="12" t="str">
        <x:v>Asztalos / szakági</x:v>
      </x:c>
      <x:c r="H176" s="19" t="str">
        <x:v>06.2 WC feletti lamellás tölgyhatású tároló, világított fülkével</x:v>
      </x:c>
      <x:c r="I176" s="19" t="str">
        <x:v>Ajánlatkérés</x:v>
      </x:c>
      <x:c r="J176" s="19" t="str">
        <x:v>B62-WC-R06</x:v>
      </x:c>
      <x:c r="K176" s="19"/>
      <x:c r="L176" s="19" t="str">
        <x:v>900×200×1400mm; z1300;600ajtó+300nyitottfülke. Korpusz45000+front/lamella65000+vasalat20000+LED/táp25000+szerelés65000.</x:v>
      </x:c>
      <x:c r="M176" s="19"/>
      <x:c r="N176" s="19"/>
      <x:c r="O176" s="19" t="n">
        <x:v>1</x:v>
      </x:c>
      <x:c r="P176" s="19" t="str">
        <x:v>csomag</x:v>
      </x:c>
      <x:c r="Q176" s="20" t="n">
        <x:v>220000</x:v>
      </x:c>
      <x:c r="R176" s="20" t="n">
        <x:v>0</x:v>
      </x:c>
      <x:c r="S176" s="20" t="n">
        <x:v>0</x:v>
      </x:c>
      <x:c r="T176" s="20" t="n">
        <x:v>0</x:v>
      </x:c>
      <x:c r="U176" s="21" t="n">
        <x:f>O176*Q176+SUM(R176:T176)</x:f>
        <x:v>220000</x:v>
      </x:c>
      <x:c r="V176" s="19" t="str">
        <x:v>Becslés</x:v>
      </x:c>
      <x:c r="W176" s="19" t="str">
        <x:v>900×200×1400mm; z1300;600ajtó+300nyitottfülke. Korpusz45000+front/lamella65000+vasalat20000+LED/táp25000+szerelés65000.</x:v>
      </x:c>
      <x:c r="X176" s="19" t="str">
        <x:v>2026-10-27</x:v>
      </x:c>
      <x:c r="Y176" s="19" t="str">
        <x:v>6–10 hét feltételes</x:v>
      </x:c>
      <x:c r="Z176" s="19"/>
      <x:c r="AA176" s="19" t="str">
        <x:v>T07 alapján, hiteles geometria miatti eltérés dokumentálva</x:v>
      </x:c>
      <x:c r="AB176" s="19" t="str">
        <x:v>Tervjavaslat, nem gyártási jóváhagyás</x:v>
      </x:c>
      <x:c r="AC176" s="19" t="str">
        <x:v>Nincs megrendelve</x:v>
      </x:c>
      <x:c r="AD176" s="19" t="str">
        <x:v>Asztalos / szakági tervező</x:v>
      </x:c>
      <x:c r="AE176" s="19"/>
      <x:c r="AF176" s="19" t="str">
        <x:v>900×200×1400mm; z1300;600ajtó+300nyitottfülke. Korpusz45000+front/lamella65000+vasalat20000+LED/táp25000+szerelés65000.</x:v>
      </x:c>
      <x:c r="AG176" s="20" t="n">
        <x:v>220000</x:v>
      </x:c>
      <x:c r="AH176" s="21" t="n">
        <x:f>O176*AG176+SUM(R176:T176)</x:f>
        <x:v>220000</x:v>
      </x:c>
      <x:c r="AI176" s="19" t="str">
        <x:v>Tartalom megőrizve</x:v>
      </x:c>
      <x:c r="AJ176" s="19"/>
      <x:c r="AK176" s="19"/>
      <x:c r="AL176" s="19"/>
      <x:c r="AM176" s="19"/>
      <x:c r="AN176" s="1" t="str">
        <x:v>B62-WC</x:v>
      </x:c>
      <x:c r="AO176" s="1" t="str">
        <x:v>R06/drawings/R06_valtozott_szerkezetek.pdf</x:v>
      </x:c>
      <x:c r="AP176" s="1" t="str">
        <x:v>R06_B62-WC*</x:v>
      </x:c>
      <x:c r="AQ176" s="1" t="str">
        <x:v>Egyedi / jelölt</x:v>
      </x:c>
      <x:c r="AR176" s="1" t="str">
        <x:v>Tervi, felmérés szükséges</x:v>
      </x:c>
      <x:c r="AS176" s="1" t="str">
        <x:v>HUF</x:v>
      </x:c>
      <x:c r="AT176" s="1" t="n">
        <x:v>1</x:v>
      </x:c>
      <x:c r="AU176" s="1" t="str">
        <x:v>Nem ajánlat</x:v>
      </x:c>
      <x:c r="AV176" s="1" t="n">
        <x:v>0</x:v>
      </x:c>
      <x:c r="AW176" s="1" t="n">
        <x:v>0</x:v>
      </x:c>
      <x:c r="AX176" s="1" t="n">
        <x:v>2</x:v>
      </x:c>
      <x:c r="AY176" s="1" t="n">
        <x:v>0.8</x:v>
      </x:c>
      <x:c r="AZ176" s="1" t="n">
        <x:v>1.5</x:v>
      </x:c>
      <x:c r="BA176" s="29" t="n">
        <x:f>ROUND(U176*AY176,0)</x:f>
        <x:v>176000</x:v>
      </x:c>
      <x:c r="BB176" s="29" t="n">
        <x:f>ROUND(U176*AZ176,0)</x:f>
        <x:v>330000</x:v>
      </x:c>
    </x:row>
    <x:row r="177">
      <x:c r="A177" s="12" t="str">
        <x:v>A902</x:v>
      </x:c>
      <x:c r="B177" s="12" t="str">
        <x:v>06.2</x:v>
      </x:c>
      <x:c r="C177" s="12" t="str">
        <x:v>KI-R06-02</x:v>
      </x:c>
      <x:c r="D177" s="12" t="str">
        <x:v>T07</x:v>
      </x:c>
      <x:c r="E177" s="12" t="str">
        <x:v>R06 új célkép</x:v>
      </x:c>
      <x:c r="F177" s="12" t="str">
        <x:v>Stílus</x:v>
      </x:c>
      <x:c r="G177" s="12" t="str">
        <x:v>Asztalos / szakági</x:v>
      </x:c>
      <x:c r="H177" s="19" t="str">
        <x:v>06.2 ág motívumos vízálló művészeti felület</x:v>
      </x:c>
      <x:c r="I177" s="19" t="str">
        <x:v>Ajánlatkérés</x:v>
      </x:c>
      <x:c r="J177" s="19" t="str">
        <x:v>ART-B62-R06</x:v>
      </x:c>
      <x:c r="K177" s="19"/>
      <x:c r="L177" s="19" t="str">
        <x:v>900×2400mm tervi felület; 2.16m²+15%rendelési ráhagyás. Védett hátoldali nyomat, üveg/szakági rendszer50000+grafika/nyomat25000+rögzítés35000. Zuhanyzónában akasztó/pad nem kerülhet elé.</x:v>
      </x:c>
      <x:c r="M177" s="19"/>
      <x:c r="N177" s="19"/>
      <x:c r="O177" s="19" t="n">
        <x:v>1</x:v>
      </x:c>
      <x:c r="P177" s="19" t="str">
        <x:v>csomag</x:v>
      </x:c>
      <x:c r="Q177" s="20" t="n">
        <x:v>110000</x:v>
      </x:c>
      <x:c r="R177" s="20" t="n">
        <x:v>0</x:v>
      </x:c>
      <x:c r="S177" s="20" t="n">
        <x:v>0</x:v>
      </x:c>
      <x:c r="T177" s="20" t="n">
        <x:v>0</x:v>
      </x:c>
      <x:c r="U177" s="21" t="n">
        <x:f>O177*Q177+SUM(R177:T177)</x:f>
        <x:v>110000</x:v>
      </x:c>
      <x:c r="V177" s="19" t="str">
        <x:v>Becslés</x:v>
      </x:c>
      <x:c r="W177" s="19" t="str">
        <x:v>900×2400mm tervi felület; 2.16m²+15%rendelési ráhagyás. Védett hátoldali nyomat, üveg/szakági rendszer50000+grafika/nyomat25000+rögzítés35000. Zuhanyzónában akasztó/pad nem kerülhet elé.</x:v>
      </x:c>
      <x:c r="X177" s="19" t="str">
        <x:v>2026-10-27</x:v>
      </x:c>
      <x:c r="Y177" s="19" t="str">
        <x:v>6–10 hét feltételes</x:v>
      </x:c>
      <x:c r="Z177" s="19"/>
      <x:c r="AA177" s="19" t="str">
        <x:v>T07 alapján, hiteles geometria miatti eltérés dokumentálva</x:v>
      </x:c>
      <x:c r="AB177" s="19" t="str">
        <x:v>Tervjavaslat, nem gyártási jóváhagyás</x:v>
      </x:c>
      <x:c r="AC177" s="19" t="str">
        <x:v>Nincs megrendelve</x:v>
      </x:c>
      <x:c r="AD177" s="19" t="str">
        <x:v>Asztalos / szakági tervező</x:v>
      </x:c>
      <x:c r="AE177" s="19"/>
      <x:c r="AF177" s="19" t="str">
        <x:v>900×2400mm tervi felület; 2.16m²+15%rendelési ráhagyás. Védett hátoldali nyomat, üveg/szakági rendszer50000+grafika/nyomat25000+rögzítés35000. Zuhanyzónában akasztó/pad nem kerülhet elé.</x:v>
      </x:c>
      <x:c r="AG177" s="20" t="n">
        <x:v>110000</x:v>
      </x:c>
      <x:c r="AH177" s="21" t="n">
        <x:f>O177*AG177+SUM(R177:T177)</x:f>
        <x:v>110000</x:v>
      </x:c>
      <x:c r="AI177" s="19" t="str">
        <x:v>Tartalom megőrizve</x:v>
      </x:c>
      <x:c r="AJ177" s="19"/>
      <x:c r="AK177" s="19"/>
      <x:c r="AL177" s="19"/>
      <x:c r="AM177" s="19"/>
      <x:c r="AN177" s="1" t="str">
        <x:v>ART-B62</x:v>
      </x:c>
      <x:c r="AO177" s="1" t="str">
        <x:v>R06/drawings/R06_valtozott_szerkezetek.pdf</x:v>
      </x:c>
      <x:c r="AP177" s="1" t="str">
        <x:v>R06_ART-B62*</x:v>
      </x:c>
      <x:c r="AQ177" s="1" t="str">
        <x:v>Egyedi / jelölt</x:v>
      </x:c>
      <x:c r="AR177" s="1" t="str">
        <x:v>Tervi, felmérés szükséges</x:v>
      </x:c>
      <x:c r="AS177" s="1" t="str">
        <x:v>HUF</x:v>
      </x:c>
      <x:c r="AT177" s="1" t="n">
        <x:v>1</x:v>
      </x:c>
      <x:c r="AU177" s="1" t="str">
        <x:v>Nem ajánlat</x:v>
      </x:c>
      <x:c r="AV177" s="1" t="n">
        <x:v>0</x:v>
      </x:c>
      <x:c r="AW177" s="1" t="n">
        <x:v>0</x:v>
      </x:c>
      <x:c r="AX177" s="1" t="n">
        <x:v>2</x:v>
      </x:c>
      <x:c r="AY177" s="1" t="n">
        <x:v>0.8</x:v>
      </x:c>
      <x:c r="AZ177" s="1" t="n">
        <x:v>1.5</x:v>
      </x:c>
      <x:c r="BA177" s="29" t="n">
        <x:f>ROUND(U177*AY177,0)</x:f>
        <x:v>88000</x:v>
      </x:c>
      <x:c r="BB177" s="29" t="n">
        <x:f>ROUND(U177*AZ177,0)</x:f>
        <x:v>165000</x:v>
      </x:c>
    </x:row>
    <x:row r="178">
      <x:c r="A178" s="12" t="str">
        <x:v>A902</x:v>
      </x:c>
      <x:c r="B178" s="12" t="str">
        <x:v>06.2</x:v>
      </x:c>
      <x:c r="C178" s="12" t="str">
        <x:v>KI-R06-03</x:v>
      </x:c>
      <x:c r="D178" s="12" t="str">
        <x:v>T07</x:v>
      </x:c>
      <x:c r="E178" s="12" t="str">
        <x:v>R06 új célkép</x:v>
      </x:c>
      <x:c r="F178" s="12" t="str">
        <x:v>Stílus</x:v>
      </x:c>
      <x:c r="G178" s="12" t="str">
        <x:v>Asztalos / szakági</x:v>
      </x:c>
      <x:c r="H178" s="19" t="str">
        <x:v>06.2 fekete törölközőszárító és csatlakozás előirányzat</x:v>
      </x:c>
      <x:c r="I178" s="19" t="str">
        <x:v>Ajánlatkérés</x:v>
      </x:c>
      <x:c r="J178" s="19" t="str">
        <x:v>RAD-B62-R06</x:v>
      </x:c>
      <x:c r="K178" s="19"/>
      <x:c r="L178" s="19" t="str">
        <x:v>400×1200mm tervi befoglaló; késztermék70000+bekötés/rögzítés50000. Pontos modell, hőigény, zóna és kiállás nyitott; meglévő esetén csak igazolás után levonható.</x:v>
      </x:c>
      <x:c r="M178" s="19"/>
      <x:c r="N178" s="19"/>
      <x:c r="O178" s="19" t="n">
        <x:v>1</x:v>
      </x:c>
      <x:c r="P178" s="19" t="str">
        <x:v>csomag</x:v>
      </x:c>
      <x:c r="Q178" s="20" t="n">
        <x:v>120000</x:v>
      </x:c>
      <x:c r="R178" s="20" t="n">
        <x:v>0</x:v>
      </x:c>
      <x:c r="S178" s="20" t="n">
        <x:v>0</x:v>
      </x:c>
      <x:c r="T178" s="20" t="n">
        <x:v>0</x:v>
      </x:c>
      <x:c r="U178" s="21" t="n">
        <x:f>O178*Q178+SUM(R178:T178)</x:f>
        <x:v>120000</x:v>
      </x:c>
      <x:c r="V178" s="19" t="str">
        <x:v>Becslés</x:v>
      </x:c>
      <x:c r="W178" s="19" t="str">
        <x:v>400×1200mm tervi befoglaló; késztermék70000+bekötés/rögzítés50000. Pontos modell, hőigény, zóna és kiállás nyitott; meglévő esetén csak igazolás után levonható.</x:v>
      </x:c>
      <x:c r="X178" s="19" t="str">
        <x:v>2026-10-27</x:v>
      </x:c>
      <x:c r="Y178" s="19" t="str">
        <x:v>6–10 hét feltételes</x:v>
      </x:c>
      <x:c r="Z178" s="19"/>
      <x:c r="AA178" s="19" t="str">
        <x:v>T07 alapján, hiteles geometria miatti eltérés dokumentálva</x:v>
      </x:c>
      <x:c r="AB178" s="19" t="str">
        <x:v>Tervjavaslat, nem gyártási jóváhagyás</x:v>
      </x:c>
      <x:c r="AC178" s="19" t="str">
        <x:v>Nincs megrendelve</x:v>
      </x:c>
      <x:c r="AD178" s="19" t="str">
        <x:v>Asztalos / szakági tervező</x:v>
      </x:c>
      <x:c r="AE178" s="19"/>
      <x:c r="AF178" s="19" t="str">
        <x:v>400×1200mm tervi befoglaló; késztermék70000+bekötés/rögzítés50000. Pontos modell, hőigény, zóna és kiállás nyitott; meglévő esetén csak igazolás után levonható.</x:v>
      </x:c>
      <x:c r="AG178" s="20" t="n">
        <x:v>120000</x:v>
      </x:c>
      <x:c r="AH178" s="21" t="n">
        <x:f>O178*AG178+SUM(R178:T178)</x:f>
        <x:v>120000</x:v>
      </x:c>
      <x:c r="AI178" s="19" t="str">
        <x:v>Tartalom megőrizve</x:v>
      </x:c>
      <x:c r="AJ178" s="19"/>
      <x:c r="AK178" s="19"/>
      <x:c r="AL178" s="19"/>
      <x:c r="AM178" s="19"/>
      <x:c r="AN178" s="1" t="str">
        <x:v>RAD-B62</x:v>
      </x:c>
      <x:c r="AO178" s="1" t="str">
        <x:v>R06/drawings/R06_valtozott_szerkezetek.pdf</x:v>
      </x:c>
      <x:c r="AP178" s="1" t="str">
        <x:v>R06_RAD-B62*</x:v>
      </x:c>
      <x:c r="AQ178" s="1" t="str">
        <x:v>Egyedi / jelölt</x:v>
      </x:c>
      <x:c r="AR178" s="1" t="str">
        <x:v>Tervi, felmérés szükséges</x:v>
      </x:c>
      <x:c r="AS178" s="1" t="str">
        <x:v>HUF</x:v>
      </x:c>
      <x:c r="AT178" s="1" t="n">
        <x:v>1</x:v>
      </x:c>
      <x:c r="AU178" s="1" t="str">
        <x:v>Nem ajánlat</x:v>
      </x:c>
      <x:c r="AV178" s="1" t="n">
        <x:v>0</x:v>
      </x:c>
      <x:c r="AW178" s="1" t="n">
        <x:v>0</x:v>
      </x:c>
      <x:c r="AX178" s="1" t="n">
        <x:v>2</x:v>
      </x:c>
      <x:c r="AY178" s="1" t="n">
        <x:v>0.8</x:v>
      </x:c>
      <x:c r="AZ178" s="1" t="n">
        <x:v>1.5</x:v>
      </x:c>
      <x:c r="BA178" s="29" t="n">
        <x:f>ROUND(U178*AY178,0)</x:f>
        <x:v>96000</x:v>
      </x:c>
      <x:c r="BB178" s="29" t="n">
        <x:f>ROUND(U178*AZ178,0)</x:f>
        <x:v>180000</x:v>
      </x:c>
    </x:row>
  </x:sheetData>
  <x:dataValidations count="2">
    <x:dataValidation type="list" sqref="V2:V160">
      <x:formula1>"előzetes becslés,ellenőrzött webshopár,beszállítói ajánlat"</x:formula1>
    </x:dataValidation>
    <x:dataValidation type="list" sqref="AB2:AB160">
      <x:formula1>"PENDING,jóváhagyott,elutasított"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1a3955fcbed43f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85" hidden="0" customWidth="1"/>
  </x:cols>
  <x:sheetData>
    <x:row r="1" ht="45" customHeight="1">
      <x:c r="A1" s="25" t="str">
        <x:v>Baseline sor</x:v>
      </x:c>
      <x:c r="B1" s="25" t="str">
        <x:v>Eredeti fő Ft</x:v>
      </x:c>
      <x:c r="C1" s="25" t="str">
        <x:v>Eredeti gazdaságos Ft</x:v>
      </x:c>
      <x:c r="D1" s="25" t="str">
        <x:v>Aktuális fő Ft</x:v>
      </x:c>
      <x:c r="E1" s="25" t="str">
        <x:v>Gazdaságos javaslat Ft</x:v>
      </x:c>
      <x:c r="F1" s="25" t="str">
        <x:v>Eltérés eredeti gazdaságostól Ft</x:v>
      </x:c>
      <x:c r="G1" s="25" t="str">
        <x:v>Tartalom</x:v>
      </x:c>
    </x:row>
    <x:row r="2" ht="100" customHeight="1">
      <x:c r="A2" s="12" t="str">
        <x:v>01</x:v>
      </x:c>
      <x:c r="B2" s="18" t="n">
        <x:v>400000</x:v>
      </x:c>
      <x:c r="C2" s="18" t="n">
        <x:v>400000</x:v>
      </x:c>
      <x:c r="D2" s="18" t="n">
        <x:f>SUMIFS('Elemregiszter'!$U$2:$U$178,'Elemregiszter'!$E$2:$E$178,A2)</x:f>
        <x:v>420000</x:v>
      </x:c>
      <x:c r="E2" s="18" t="n">
        <x:f>SUMIFS('Elemregiszter'!$AH$2:$AH$178,'Elemregiszter'!$E$2:$E$178,A2)</x:f>
        <x:v>420000</x:v>
      </x:c>
      <x:c r="F2" s="18" t="n">
        <x:f>E2-C2</x:f>
        <x:v>20000</x:v>
      </x:c>
      <x:c r="G2" s="19" t="str">
        <x:v>Helyszíni teljes felmérés és kiállásegyeztetés; Asztalos ajánlatkérési rajzok és modulkiosztás; Villamos szakági ellenőrzés és mérési terv; Terasz teherbírás és vízszigetelési/rögzítési ellenőrzés; Anyag- és kárpitminták, próbanyomat, próbagyártás</x:v>
      </x:c>
    </x:row>
    <x:row r="3" ht="100" customHeight="1">
      <x:c r="A3" s="12" t="str">
        <x:v>02b</x:v>
      </x:c>
      <x:c r="B3" s="18" t="n">
        <x:v>1100000</x:v>
      </x:c>
      <x:c r="C3" s="18" t="n">
        <x:v>1100000</x:v>
      </x:c>
      <x:c r="D3" s="18" t="n">
        <x:f>SUMIFS('Elemregiszter'!$U$2:$U$178,'Elemregiszter'!$E$2:$E$178,A3)</x:f>
        <x:v>1285000</x:v>
      </x:c>
      <x:c r="E3" s="18" t="n">
        <x:f>SUMIFS('Elemregiszter'!$AH$2:$AH$178,'Elemregiszter'!$E$2:$E$178,A3)</x:f>
        <x:v>1285000</x:v>
      </x:c>
      <x:c r="F3" s="18" t="n">
        <x:f>E3-C3</x:f>
        <x:v>185000</x:v>
      </x:c>
      <x:c r="G3" s="19" t="str">
        <x:v>Beépített sütő; Indukciós főzőlap; Páraelszívó; Beépített hűtő-fagyasztó; Teljesen integrált mosogatógép; Beépített mikrohullámú sütő; Elszívó csatorna és visszacsapás; Gépek beüzemelése és bútorfront illesztése</x:v>
      </x:c>
    </x:row>
    <x:row r="4" ht="100" customHeight="1">
      <x:c r="A4" s="12" t="str">
        <x:v>02c</x:v>
      </x:c>
      <x:c r="B4" s="18" t="n">
        <x:v>300000</x:v>
      </x:c>
      <x:c r="C4" s="18" t="n">
        <x:v>300000</x:v>
      </x:c>
      <x:c r="D4" s="18" t="n">
        <x:f>SUMIFS('Elemregiszter'!$U$2:$U$178,'Elemregiszter'!$E$2:$E$178,A4)</x:f>
        <x:v>252990</x:v>
      </x:c>
      <x:c r="E4" s="18" t="n">
        <x:f>SUMIFS('Elemregiszter'!$AH$2:$AH$178,'Elemregiszter'!$E$2:$E$178,A4)</x:f>
        <x:v>252990</x:v>
      </x:c>
      <x:c r="F4" s="18" t="n">
        <x:f>E4-C4</x:f>
        <x:v>-47010</x:v>
      </x:c>
      <x:c r="G4" s="19" t="str">
        <x:v>Mosogató; Konyhai csaptelep; Szifon, sarokszelepek, csövek és tömítések; Mosogató és mosogatógép vízbekötése</x:v>
      </x:c>
    </x:row>
    <x:row r="5" ht="100" customHeight="1">
      <x:c r="A5" s="12" t="str">
        <x:v>05</x:v>
      </x:c>
      <x:c r="B5" s="18" t="n">
        <x:v>800000</x:v>
      </x:c>
      <x:c r="C5" s="18" t="n">
        <x:v>800000</x:v>
      </x:c>
      <x:c r="D5" s="18" t="n">
        <x:f>SUMIFS('Elemregiszter'!$U$2:$U$178,'Elemregiszter'!$E$2:$E$178,A5)</x:f>
        <x:v>1179980</x:v>
      </x:c>
      <x:c r="E5" s="18" t="n">
        <x:f>SUMIFS('Elemregiszter'!$AH$2:$AH$178,'Elemregiszter'!$E$2:$E$178,A5)</x:f>
        <x:v>1179980</x:v>
      </x:c>
      <x:c r="F5" s="18" t="n">
        <x:f>E5-C5</x:f>
        <x:v>379980</x:v>
      </x:c>
      <x:c r="G5" s="19" t="str">
        <x:v>Ágykeret és ágyrács; Matrac; Gardrób korpusz és belső; Gardrób front és szerelés; Íróasztal; Munkaszék; Éjjeli és kisebb tároló; Függöny, sín, varrás és rögzítés; Ágynemű, párna, paplan és ágytakaró; Szőnyeg; Keretelt saját tusgrafika és rögzítés; Mennyezeti és munkafény Hue izzóval</x:v>
      </x:c>
    </x:row>
    <x:row r="6" ht="100" customHeight="1">
      <x:c r="A6" s="12" t="str">
        <x:v>06</x:v>
      </x:c>
      <x:c r="B6" s="18" t="n">
        <x:v>800000</x:v>
      </x:c>
      <x:c r="C6" s="18" t="n">
        <x:v>800000</x:v>
      </x:c>
      <x:c r="D6" s="18" t="n">
        <x:f>SUMIFS('Elemregiszter'!$U$2:$U$178,'Elemregiszter'!$E$2:$E$178,A6)</x:f>
        <x:v>1157380</x:v>
      </x:c>
      <x:c r="E6" s="18" t="n">
        <x:f>SUMIFS('Elemregiszter'!$AH$2:$AH$178,'Elemregiszter'!$E$2:$E$178,A6)</x:f>
        <x:v>1157380</x:v>
      </x:c>
      <x:c r="F6" s="18" t="n">
        <x:f>E6-C6</x:f>
        <x:v>357380</x:v>
      </x:c>
      <x:c r="G6" s="19" t="str">
        <x:v>Ágykeret és ágyrács; Matrac; Gardrób korpusz és belső; Gardrób front és szerelés; Íróasztal; Munkaszék; Éjjeli és kisebb tároló; Függöny, sín, varrás és rögzítés; Ágynemű, párna, paplan és ágytakaró; Szőnyeg; Keretelt saját tusgrafika és rögzítés; Mennyezeti és munkafény Hue izzóval</x:v>
      </x:c>
    </x:row>
    <x:row r="7" ht="100" customHeight="1">
      <x:c r="A7" s="12" t="str">
        <x:v>08</x:v>
      </x:c>
      <x:c r="B7" s="18" t="n">
        <x:v>500000</x:v>
      </x:c>
      <x:c r="C7" s="18" t="n">
        <x:v>500000</x:v>
      </x:c>
      <x:c r="D7" s="18" t="n">
        <x:f>SUMIFS('Elemregiszter'!$U$2:$U$178,'Elemregiszter'!$E$2:$E$178,A7)</x:f>
        <x:v>480000</x:v>
      </x:c>
      <x:c r="E7" s="18" t="n">
        <x:f>SUMIFS('Elemregiszter'!$AH$2:$AH$178,'Elemregiszter'!$E$2:$E$178,A7)</x:f>
        <x:v>480000</x:v>
      </x:c>
      <x:c r="F7" s="18" t="n">
        <x:f>E7-C7</x:f>
        <x:v>-20000</x:v>
      </x:c>
      <x:c r="G7" s="19" t="str">
        <x:v>Előtéri kabát- és cipőtároló belső/front/vasalat; Előtéri pad és fali fogas; Előtéri tükör és rögzítés; Előtéri bútor beépítés és takaróelemek; Keskeny lerakó és ajtók körüli zárórészletek</x:v>
      </x:c>
    </x:row>
    <x:row r="8" ht="100" customHeight="1">
      <x:c r="A8" s="12" t="str">
        <x:v>09</x:v>
      </x:c>
      <x:c r="B8" s="18" t="n">
        <x:v>450000</x:v>
      </x:c>
      <x:c r="C8" s="18" t="n">
        <x:v>450000</x:v>
      </x:c>
      <x:c r="D8" s="18" t="n">
        <x:f>SUMIFS('Elemregiszter'!$U$2:$U$178,'Elemregiszter'!$E$2:$E$178,A8)</x:f>
        <x:v>485000</x:v>
      </x:c>
      <x:c r="E8" s="18" t="n">
        <x:f>SUMIFS('Elemregiszter'!$AH$2:$AH$178,'Elemregiszter'!$E$2:$E$178,A8)</x:f>
        <x:v>485000</x:v>
      </x:c>
      <x:c r="F8" s="18" t="n">
        <x:f>E8-C8</x:f>
        <x:v>35000</x:v>
      </x:c>
      <x:c r="G8" s="19" t="str">
        <x:v>Mosógép; Hőszivattyús szárító; Összeépítő keret, csatlakozó, rezgéscsillapító; Vízbekötés és beüzemelés</x:v>
      </x:c>
    </x:row>
    <x:row r="9" ht="100" customHeight="1">
      <x:c r="A9" s="12" t="str">
        <x:v>13a</x:v>
      </x:c>
      <x:c r="B9" s="18" t="n">
        <x:v>1700000</x:v>
      </x:c>
      <x:c r="C9" s="18" t="n">
        <x:v>1700000</x:v>
      </x:c>
      <x:c r="D9" s="18" t="n">
        <x:f>SUMIFS('Elemregiszter'!$U$2:$U$178,'Elemregiszter'!$E$2:$E$178,A9)</x:f>
        <x:v>1700000</x:v>
      </x:c>
      <x:c r="E9" s="18" t="n">
        <x:f>SUMIFS('Elemregiszter'!$AH$2:$AH$178,'Elemregiszter'!$E$2:$E$178,A9)</x:f>
        <x:v>1700000</x:v>
      </x:c>
      <x:c r="F9" s="18" t="n">
        <x:f>E9-C9</x:f>
        <x:v>0</x:v>
      </x:c>
      <x:c r="G9" s="19" t="str">
        <x:v>Jakuzzi – régi fix baseline feltételes kerete</x:v>
      </x:c>
    </x:row>
    <x:row r="10" ht="100" customHeight="1">
      <x:c r="A10" s="12" t="str">
        <x:v>13b</x:v>
      </x:c>
      <x:c r="B10" s="18" t="n">
        <x:v>300000</x:v>
      </x:c>
      <x:c r="C10" s="18" t="n">
        <x:v>300000</x:v>
      </x:c>
      <x:c r="D10" s="18" t="n">
        <x:f>SUMIFS('Elemregiszter'!$U$2:$U$178,'Elemregiszter'!$E$2:$E$178,A10)</x:f>
        <x:v>300000</x:v>
      </x:c>
      <x:c r="E10" s="18" t="n">
        <x:f>SUMIFS('Elemregiszter'!$AH$2:$AH$178,'Elemregiszter'!$E$2:$E$178,A10)</x:f>
        <x:v>300000</x:v>
      </x:c>
      <x:c r="F10" s="18" t="n">
        <x:f>E10-C10</x:f>
        <x:v>0</x:v>
      </x:c>
      <x:c r="G10" s="19" t="str">
        <x:v>Jakuzzi daruzás, szállítás és bekötés – feltételes</x:v>
      </x:c>
    </x:row>
    <x:row r="11" ht="100" customHeight="1">
      <x:c r="A11" s="12" t="str">
        <x:v>13c</x:v>
      </x:c>
      <x:c r="B11" s="18" t="n">
        <x:v>600000</x:v>
      </x:c>
      <x:c r="C11" s="18" t="n">
        <x:v>600000</x:v>
      </x:c>
      <x:c r="D11" s="18" t="n">
        <x:f>SUMIFS('Elemregiszter'!$U$2:$U$178,'Elemregiszter'!$E$2:$E$178,A11)</x:f>
        <x:v>600000</x:v>
      </x:c>
      <x:c r="E11" s="18" t="n">
        <x:f>SUMIFS('Elemregiszter'!$AH$2:$AH$178,'Elemregiszter'!$E$2:$E$178,A11)</x:f>
        <x:v>600000</x:v>
      </x:c>
      <x:c r="F11" s="18" t="n">
        <x:f>E11-C11</x:f>
        <x:v>0</x:v>
      </x:c>
      <x:c r="G11" s="19" t="str">
        <x:v>Kültéri lounge-kanapé és párnák; Két kültéri fotel és párnák; Kültéri dohányzóasztal</x:v>
      </x:c>
    </x:row>
    <x:row r="12" ht="100" customHeight="1">
      <x:c r="A12" s="12" t="str">
        <x:v>13d</x:v>
      </x:c>
      <x:c r="B12" s="18" t="n">
        <x:v>550000</x:v>
      </x:c>
      <x:c r="C12" s="18" t="n">
        <x:v>550000</x:v>
      </x:c>
      <x:c r="D12" s="18" t="n">
        <x:f>SUMIFS('Elemregiszter'!$U$2:$U$178,'Elemregiszter'!$E$2:$E$178,A12)</x:f>
        <x:v>550000</x:v>
      </x:c>
      <x:c r="E12" s="18" t="n">
        <x:f>SUMIFS('Elemregiszter'!$AH$2:$AH$178,'Elemregiszter'!$E$2:$E$178,A12)</x:f>
        <x:v>550000</x:v>
      </x:c>
      <x:c r="F12" s="18" t="n">
        <x:f>E12-C12</x:f>
        <x:v>0</x:v>
      </x:c>
      <x:c r="G12" s="19" t="str">
        <x:v>Kültéri étkezőasztal; Hat kültéri étkezőszék; Két napozó</x:v>
      </x:c>
    </x:row>
    <x:row r="13" ht="100" customHeight="1">
      <x:c r="A13" s="12" t="str">
        <x:v>13e</x:v>
      </x:c>
      <x:c r="B13" s="18" t="n">
        <x:v>450000</x:v>
      </x:c>
      <x:c r="C13" s="18" t="n">
        <x:v>450000</x:v>
      </x:c>
      <x:c r="D13" s="18" t="n">
        <x:f>SUMIFS('Elemregiszter'!$U$2:$U$178,'Elemregiszter'!$E$2:$E$178,A13)</x:f>
        <x:v>590000</x:v>
      </x:c>
      <x:c r="E13" s="18" t="n">
        <x:f>SUMIFS('Elemregiszter'!$AH$2:$AH$178,'Elemregiszter'!$E$2:$E$178,A13)</x:f>
        <x:v>590000</x:v>
      </x:c>
      <x:c r="F13" s="18" t="n">
        <x:f>E13-C13</x:f>
        <x:v>140000</x:v>
      </x:c>
      <x:c r="G13" s="19" t="str">
        <x:v>Kaspók, növények és gyökér-/vízvédelem; Kültéri fények meglévő FL-pontokra; Árnyékolás, igazolt szélálló rögzítéssel; Kültéri párnatároló; Takaróponyva, téli tárolás és ápolószer; Meglévő WPC, lépcsők, korlát és lefolyók ellenőrzése/tisztítása; Kültéri lerakók és textilek</x:v>
      </x:c>
    </x:row>
    <x:row r="14" ht="100" customHeight="1">
      <x:c r="A14" s="12" t="str">
        <x:v>14</x:v>
      </x:c>
      <x:c r="B14" s="18" t="n">
        <x:v>450000</x:v>
      </x:c>
      <x:c r="C14" s="18" t="n">
        <x:v>450000</x:v>
      </x:c>
      <x:c r="D14" s="18" t="n">
        <x:f>SUMIFS('Elemregiszter'!$U$2:$U$178,'Elemregiszter'!$E$2:$E$178,A14)</x:f>
        <x:v>510000</x:v>
      </x:c>
      <x:c r="E14" s="18" t="n">
        <x:f>SUMIFS('Elemregiszter'!$AH$2:$AH$178,'Elemregiszter'!$E$2:$E$178,A14)</x:f>
        <x:v>510000</x:v>
      </x:c>
      <x:c r="F14" s="18" t="n">
        <x:f>E14-C14</x:f>
        <x:v>60000</x:v>
      </x:c>
      <x:c r="G14" s="19" t="str">
        <x:v>Szállítás és emeletre felhordás; Standard bútorok összeszerelése; Padló- és élvédelem, csomagolás elszállítása; Átadási takarítás; Hibajavítás és kisebb festésjavítás; Garanciadokumentumok, próbaüzem és átadási leltár</x:v>
      </x:c>
    </x:row>
    <x:row r="15" ht="100" customHeight="1">
      <x:c r="A15" s="12" t="str">
        <x:v>02a</x:v>
      </x:c>
      <x:c r="B15" s="18" t="n">
        <x:v>1450000</x:v>
      </x:c>
      <x:c r="C15" s="18" t="n">
        <x:v>1189000</x:v>
      </x:c>
      <x:c r="D15" s="18" t="n">
        <x:f>SUMIFS('Elemregiszter'!$U$2:$U$178,'Elemregiszter'!$E$2:$E$178,A15)</x:f>
        <x:v>1450000</x:v>
      </x:c>
      <x:c r="E15" s="18" t="n">
        <x:f>SUMIFS('Elemregiszter'!$AH$2:$AH$178,'Elemregiszter'!$E$2:$E$178,A15)</x:f>
        <x:v>1450000</x:v>
      </x:c>
      <x:c r="F15" s="18" t="n">
        <x:f>E15-C15</x:f>
        <x:v>261000</x:v>
      </x:c>
      <x:c r="G15" s="19" t="str">
        <x:v>Alsó konyhakorpuszok és lábak; Felső korpuszok és felfüggesztők; Magas hűtő/sütő/mikró korpuszok; Látható grafit és kréta frontok, fogásprofil; Fiókok, pántok, polcok és belső szerelvények; Munkalap, vízzáró illesztések és kivágások; Mosható hátfal és mellvédvégek; Lábazat, takarók, zárópanelek és szellőzőrács; Szabási veszteség, élzárás és segédanyag; Konyha összeszerelés és beépítés</x:v>
      </x:c>
    </x:row>
    <x:row r="16" ht="100" customHeight="1">
      <x:c r="A16" s="12" t="str">
        <x:v>03a</x:v>
      </x:c>
      <x:c r="B16" s="18" t="n">
        <x:v>1050000</x:v>
      </x:c>
      <x:c r="C16" s="18" t="n">
        <x:v>861000</x:v>
      </x:c>
      <x:c r="D16" s="18" t="n">
        <x:f>SUMIFS('Elemregiszter'!$U$2:$U$178,'Elemregiszter'!$E$2:$E$178,A16)</x:f>
        <x:v>1450000</x:v>
      </x:c>
      <x:c r="E16" s="18" t="n">
        <x:f>SUMIFS('Elemregiszter'!$AH$2:$AH$178,'Elemregiszter'!$E$2:$E$178,A16)</x:f>
        <x:v>1350000</x:v>
      </x:c>
      <x:c r="F16" s="18" t="n">
        <x:f>E16-C16</x:f>
        <x:v>489000</x:v>
      </x:c>
      <x:c r="G16" s="19" t="str">
        <x:v>W01 teljes panelkompozíció és tusgrafikás torony; W01 alsó négyfrontos médiabútor; W01 rögzítés, szerviznyílás, szerelés; TV készülék 65 col célkategória; Teherhordó TV-konzol; HDMI, hálózat, kábelszervezés, audióigény előirányzat</x:v>
      </x:c>
    </x:row>
    <x:row r="17" ht="100" customHeight="1">
      <x:c r="A17" s="12" t="str">
        <x:v>03b</x:v>
      </x:c>
      <x:c r="B17" s="18" t="n">
        <x:v>800000</x:v>
      </x:c>
      <x:c r="C17" s="18" t="n">
        <x:v>800000</x:v>
      </x:c>
      <x:c r="D17" s="18" t="n">
        <x:f>SUMIFS('Elemregiszter'!$U$2:$U$178,'Elemregiszter'!$E$2:$E$178,A17)</x:f>
        <x:v>800000</x:v>
      </x:c>
      <x:c r="E17" s="18" t="n">
        <x:f>SUMIFS('Elemregiszter'!$AH$2:$AH$178,'Elemregiszter'!$E$2:$E$178,A17)</x:f>
        <x:v>800000</x:v>
      </x:c>
      <x:c r="F17" s="18" t="n">
        <x:f>E17-C17</x:f>
        <x:v>0</x:v>
      </x:c>
      <x:c r="G17" s="19" t="str">
        <x:v>L-kanapé teljes konfiguráció</x:v>
      </x:c>
    </x:row>
    <x:row r="18" ht="100" customHeight="1">
      <x:c r="A18" s="12" t="str">
        <x:v>03c</x:v>
      </x:c>
      <x:c r="B18" s="18" t="n">
        <x:v>220000</x:v>
      </x:c>
      <x:c r="C18" s="18" t="n">
        <x:v>220000</x:v>
      </x:c>
      <x:c r="D18" s="18" t="n">
        <x:f>SUMIFS('Elemregiszter'!$U$2:$U$178,'Elemregiszter'!$E$2:$E$178,A18)</x:f>
        <x:v>160000</x:v>
      </x:c>
      <x:c r="E18" s="18" t="n">
        <x:f>SUMIFS('Elemregiszter'!$AH$2:$AH$178,'Elemregiszter'!$E$2:$E$178,A18)</x:f>
        <x:v>160000</x:v>
      </x:c>
      <x:c r="F18" s="18" t="n">
        <x:f>E18-C18</x:f>
        <x:v>-60000</x:v>
      </x:c>
      <x:c r="G18" s="19" t="str">
        <x:v>Grafit dohányzóasztal; Grafit mellékasztal</x:v>
      </x:c>
    </x:row>
    <x:row r="19" ht="100" customHeight="1">
      <x:c r="A19" s="12" t="str">
        <x:v>03d</x:v>
      </x:c>
      <x:c r="B19" s="18" t="n">
        <x:v>760000</x:v>
      </x:c>
      <x:c r="C19" s="18" t="n">
        <x:v>760000</x:v>
      </x:c>
      <x:c r="D19" s="18" t="n">
        <x:f>SUMIFS('Elemregiszter'!$U$2:$U$178,'Elemregiszter'!$E$2:$E$178,A19)</x:f>
        <x:v>711070</x:v>
      </x:c>
      <x:c r="E19" s="18" t="n">
        <x:f>SUMIFS('Elemregiszter'!$AH$2:$AH$178,'Elemregiszter'!$E$2:$E$178,A19)</x:f>
        <x:v>711070</x:v>
      </x:c>
      <x:c r="F19" s="18" t="n">
        <x:f>E19-C19</x:f>
        <x:v>-48930</x:v>
      </x:c>
      <x:c r="G19" s="19" t="str">
        <x:v>Ovális étkezőasztal 160×90 célbefoglaló; Hat kárpitozott étkezőszék</x:v>
      </x:c>
    </x:row>
    <x:row r="20" ht="100" customHeight="1">
      <x:c r="A20" s="12" t="str">
        <x:v>03e</x:v>
      </x:c>
      <x:c r="B20" s="18" t="n">
        <x:v>200000</x:v>
      </x:c>
      <x:c r="C20" s="18" t="n">
        <x:v>200000</x:v>
      </x:c>
      <x:c r="D20" s="18" t="n">
        <x:f>SUMIFS('Elemregiszter'!$U$2:$U$178,'Elemregiszter'!$E$2:$E$178,A20)</x:f>
        <x:v>200000</x:v>
      </x:c>
      <x:c r="E20" s="18" t="n">
        <x:f>SUMIFS('Elemregiszter'!$AH$2:$AH$178,'Elemregiszter'!$E$2:$E$178,A20)</x:f>
        <x:v>200000</x:v>
      </x:c>
      <x:c r="F20" s="18" t="n">
        <x:f>E20-C20</x:f>
        <x:v>0</x:v>
      </x:c>
      <x:c r="G20" s="19" t="str">
        <x:v>Nappali szőnyeg és csúszásgátló</x:v>
      </x:c>
    </x:row>
    <x:row r="21" ht="100" customHeight="1">
      <x:c r="A21" s="12" t="str">
        <x:v>03f</x:v>
      </x:c>
      <x:c r="B21" s="18" t="n">
        <x:v>260000</x:v>
      </x:c>
      <x:c r="C21" s="18" t="n">
        <x:v>260000</x:v>
      </x:c>
      <x:c r="D21" s="18" t="n">
        <x:f>SUMIFS('Elemregiszter'!$U$2:$U$178,'Elemregiszter'!$E$2:$E$178,A21)</x:f>
        <x:v>280000</x:v>
      </x:c>
      <x:c r="E21" s="18" t="n">
        <x:f>SUMIFS('Elemregiszter'!$AH$2:$AH$178,'Elemregiszter'!$E$2:$E$178,A21)</x:f>
        <x:v>280000</x:v>
      </x:c>
      <x:c r="F21" s="18" t="n">
        <x:f>E21-C21</x:f>
        <x:v>20000</x:v>
      </x:c>
      <x:c r="G21" s="19" t="str">
        <x:v>Nappali fényáteresztő és sötétítő szövet; Fali sín, konzolok, végzárók és rögzítés; Méretre varrás és függönyszerelés</x:v>
      </x:c>
    </x:row>
    <x:row r="22" ht="100" customHeight="1">
      <x:c r="A22" s="12" t="str">
        <x:v>04a</x:v>
      </x:c>
      <x:c r="B22" s="18" t="n">
        <x:v>550000</x:v>
      </x:c>
      <x:c r="C22" s="18" t="n">
        <x:v>550000</x:v>
      </x:c>
      <x:c r="D22" s="18" t="n">
        <x:f>SUMIFS('Elemregiszter'!$U$2:$U$178,'Elemregiszter'!$E$2:$E$178,A22)</x:f>
        <x:v>499900</x:v>
      </x:c>
      <x:c r="E22" s="18" t="n">
        <x:f>SUMIFS('Elemregiszter'!$AH$2:$AH$178,'Elemregiszter'!$E$2:$E$178,A22)</x:f>
        <x:v>499900</x:v>
      </x:c>
      <x:c r="F22" s="18" t="n">
        <x:f>E22-C22</x:f>
        <x:v>-50100</x:v>
      </x:c>
      <x:c r="G22" s="19" t="str">
        <x:v>180×200 ágykeret és tartóalap; 180×200 matrac; Matracvédő</x:v>
      </x:c>
    </x:row>
    <x:row r="23" ht="100" customHeight="1">
      <x:c r="A23" s="12" t="str">
        <x:v>04b</x:v>
      </x:c>
      <x:c r="B23" s="18" t="n">
        <x:v>430000</x:v>
      </x:c>
      <x:c r="C23" s="18" t="n">
        <x:v>353000</x:v>
      </x:c>
      <x:c r="D23" s="18" t="n">
        <x:f>SUMIFS('Elemregiszter'!$U$2:$U$178,'Elemregiszter'!$E$2:$E$178,A23)</x:f>
        <x:v>355000</x:v>
      </x:c>
      <x:c r="E23" s="18" t="n">
        <x:f>SUMIFS('Elemregiszter'!$AH$2:$AH$178,'Elemregiszter'!$E$2:$E$178,A23)</x:f>
        <x:v>355000</x:v>
      </x:c>
      <x:c r="F23" s="18" t="n">
        <x:f>E23-C23</x:f>
        <x:v>2000</x:v>
      </x:c>
      <x:c r="G23" s="19" t="str">
        <x:v>Aszimmetrikus kárpitozott fejvég; Fejvégrögzítés, kárpitszerelés, LED-fogadó</x:v>
      </x:c>
    </x:row>
    <x:row r="24" ht="100" customHeight="1">
      <x:c r="A24" s="12" t="str">
        <x:v>04c</x:v>
      </x:c>
      <x:c r="B24" s="18" t="n">
        <x:v>1000000</x:v>
      </x:c>
      <x:c r="C24" s="18" t="n">
        <x:v>820000</x:v>
      </x:c>
      <x:c r="D24" s="18" t="n">
        <x:f>SUMIFS('Elemregiszter'!$U$2:$U$178,'Elemregiszter'!$E$2:$E$178,A24)</x:f>
        <x:v>1996000</x:v>
      </x:c>
      <x:c r="E24" s="18" t="n">
        <x:f>SUMIFS('Elemregiszter'!$AH$2:$AH$178,'Elemregiszter'!$E$2:$E$178,A24)</x:f>
        <x:v>1996000</x:v>
      </x:c>
      <x:c r="F24" s="18" t="n">
        <x:f>E24-C24</x:f>
        <x:v>1176000</x:v>
      </x:c>
      <x:c r="G24" s="19" t="str">
        <x:v>Északi gardrób szabványkorpuszok; Déli gardrób szabványkorpuszok; Északi és déli gardróbbelsők; Grafikás frontok és pántok; Felső kitöltések, takarók, rögzítés és szerelés</x:v>
      </x:c>
    </x:row>
    <x:row r="25" ht="100" customHeight="1">
      <x:c r="A25" s="12" t="str">
        <x:v>04d</x:v>
      </x:c>
      <x:c r="B25" s="18" t="n">
        <x:v>380000</x:v>
      </x:c>
      <x:c r="C25" s="18" t="n">
        <x:v>380000</x:v>
      </x:c>
      <x:c r="D25" s="18" t="n">
        <x:f>SUMIFS('Elemregiszter'!$U$2:$U$178,'Elemregiszter'!$E$2:$E$178,A25)</x:f>
        <x:v>480000</x:v>
      </x:c>
      <x:c r="E25" s="18" t="n">
        <x:f>SUMIFS('Elemregiszter'!$AH$2:$AH$178,'Elemregiszter'!$E$2:$E$178,A25)</x:f>
        <x:v>480000</x:v>
      </x:c>
      <x:c r="F25" s="18" t="n">
        <x:f>E25-C25</x:f>
        <x:v>100000</x:v>
      </x:c>
      <x:c r="G25" s="19" t="str">
        <x:v>Két fiókos éjjeliszekrény; Master függönyszövet és varrás; Master fali sín, konzol és szerelés; Ágynemű, párnák, takaró és ágytakaró; Master szőnyeg és csúszásgátló</x:v>
      </x:c>
    </x:row>
    <x:row r="26" ht="100" customHeight="1">
      <x:c r="A26" s="12" t="str">
        <x:v>07</x:v>
      </x:c>
      <x:c r="B26" s="18" t="n">
        <x:v>820000</x:v>
      </x:c>
      <x:c r="C26" s="18" t="n">
        <x:v>820000</x:v>
      </x:c>
      <x:c r="D26" s="18" t="n">
        <x:f>SUMIFS('Elemregiszter'!$U$2:$U$178,'Elemregiszter'!$E$2:$E$178,A26)</x:f>
        <x:v>1085000</x:v>
      </x:c>
      <x:c r="E26" s="18" t="n">
        <x:f>SUMIFS('Elemregiszter'!$AH$2:$AH$178,'Elemregiszter'!$E$2:$E$178,A26)</x:f>
        <x:v>1085000</x:v>
      </x:c>
      <x:c r="F26" s="18" t="n">
        <x:f>E26-C26</x:f>
        <x:v>265000</x:v>
      </x:c>
      <x:c r="G26" s="19" t="str">
        <x:v>100 cm fix zuhanyüveg, profil, alátámasztás, vízzárás és szerelés; Integrált vízálló mosdóbútor, munkalap és szerelés; Aszimmetrikus tükör, biztonsági hátlap és szerelés; Zárt fali tároló és nyitott oldalsó polc; Feltételes beépíthető mosdócsere és vízszerelés; Szifon, tömítések, tisztítható csatlakozás; Törölközőtartók, akasztók, adagoló és textil; Mosdó alatti tároló és szerelés; Tükör és rögzítés; Kád melletti tároló, törölközőtartó, textil; WC keskeny tároló és tükör; Papírtartó, kefe, szappanadagoló, kis hulladékgyűjtő; Meglévő szaniterek, szellőzés és tömítések felülvizsgálata</x:v>
      </x:c>
    </x:row>
    <x:row r="27" ht="100" customHeight="1">
      <x:c r="A27" s="12" t="str">
        <x:v>10</x:v>
      </x:c>
      <x:c r="B27" s="18" t="n">
        <x:v>1400000</x:v>
      </x:c>
      <x:c r="C27" s="18" t="n">
        <x:v>1400000</x:v>
      </x:c>
      <x:c r="D27" s="18" t="n">
        <x:f>SUMIFS('Elemregiszter'!$U$2:$U$178,'Elemregiszter'!$E$2:$E$178,A27)</x:f>
        <x:v>2060360</x:v>
      </x:c>
      <x:c r="E27" s="18" t="n">
        <x:f>SUMIFS('Elemregiszter'!$AH$2:$AH$178,'Elemregiszter'!$E$2:$E$178,A27)</x:f>
        <x:v>2060360</x:v>
      </x:c>
      <x:c r="F27" s="18" t="n">
        <x:f>E27-C27</x:f>
        <x:v>660360</x:v>
      </x:c>
      <x:c r="G27" s="19" t="str">
        <x:v>Hue Bridge és hálózati csatlakozás; Hue vezérlők és kapcsolómodulok; Villamos kábel, csatlakozó, doboz és kábelrejtés; Villanyszerelés, mérések, címkézés; Hue programozás, jelenetek, próbaüzem; Somar függeszték és Hue E27; Négy Hue-kompatibilis általános lámpatest/izzó; ML03 általános fény és FL01 falikar, Hue fényforrások; Pultvilágítás szalag, táp, vezérlő, profil és fedél; ML05 Hue mennyezeti lámpa; W01 felső, függőleges és alsó vonalfény komplett; W02/W07 grafikai falmosás komplett; ML06 mennyezeti Hue lámpa; Két éjjeli gömblámpa Hue fényforrással; Fejvég rejtett fénye szalag/táp/profil; Gardróbbelsők funkcionális fénye; Két fürdő mennyezeti és mosdó feletti gyári Hue lámpái; 06.2 két külön rejtett fény és védett szerelvényrendszer; Fürdő tápegységek száraz oldali szervizelhelyezése</x:v>
      </x:c>
    </x:row>
    <x:row r="28" ht="100" customHeight="1">
      <x:c r="A28" s="12" t="str">
        <x:v>11</x:v>
      </x:c>
      <x:c r="B28" s="18" t="n">
        <x:v>410000</x:v>
      </x:c>
      <x:c r="C28" s="18" t="n">
        <x:v>336000</x:v>
      </x:c>
      <x:c r="D28" s="18" t="n">
        <x:f>SUMIFS('Elemregiszter'!$U$2:$U$178,'Elemregiszter'!$E$2:$E$178,A28)</x:f>
        <x:v>405000</x:v>
      </x:c>
      <x:c r="E28" s="18" t="n">
        <x:f>SUMIFS('Elemregiszter'!$AH$2:$AH$178,'Elemregiszter'!$E$2:$E$178,A28)</x:f>
        <x:v>405000</x:v>
      </x:c>
      <x:c r="F28" s="18" t="n">
        <x:f>E28-C28</x:f>
        <x:v>69000</x:v>
      </x:c>
      <x:c r="G28" s="19" t="str">
        <x:v>W02 papírhatású vlies; W07 folytató tapéta és grafikai vonal; W03 és szemöldök tapéta; W04 tömör mezők tapéta; Alapozó, ragasztó és faljavítás; Tapétázás, sarkok, élek és kapcsolók körbevágása; Szabási és illesztési veszteség; Fejvég feletti és ablak melletti vlies felrakással</x:v>
      </x:c>
    </x:row>
    <x:row r="29" ht="100" customHeight="1">
      <x:c r="A29" s="12" t="str">
        <x:v>12</x:v>
      </x:c>
      <x:c r="B29" s="18" t="n">
        <x:v>320000</x:v>
      </x:c>
      <x:c r="C29" s="18" t="n">
        <x:v>262000</x:v>
      </x:c>
      <x:c r="D29" s="18" t="n">
        <x:f>SUMIFS('Elemregiszter'!$U$2:$U$178,'Elemregiszter'!$E$2:$E$178,A29)</x:f>
        <x:v>551000</x:v>
      </x:c>
      <x:c r="E29" s="18" t="n">
        <x:f>SUMIFS('Elemregiszter'!$AH$2:$AH$178,'Elemregiszter'!$E$2:$E$178,A29)</x:f>
        <x:v>503000</x:v>
      </x:c>
      <x:c r="F29" s="18" t="n">
        <x:f>E29-C29</x:f>
        <x:v>241000</x:v>
      </x:c>
      <x:c r="G29" s="19" t="str">
        <x:v>W02 eredeti tusgrafika előállítása és nyomdai előkészítése; W02 textilnyomat 150×220 célméret; W02 vékony keret, szállítás és rögzítés; Nappali párnák és takaró; Kerámiák, művészeti könyvek és kisebb növények</x:v>
      </x:c>
    </x:row>
    <x:row r="30" ht="100" customHeight="1">
      <x:c r="A30" s="12" t="str">
        <x:v>UJ</x:v>
      </x:c>
      <x:c r="B30" s="18" t="n">
        <x:v>0</x:v>
      </x:c>
      <x:c r="C30" s="18" t="n">
        <x:v>0</x:v>
      </x:c>
      <x:c r="D30" s="18" t="n">
        <x:f>SUMIFS('Elemregiszter'!$U$2:$U$178,'Elemregiszter'!$E$2:$E$178,A30)</x:f>
        <x:v>510000</x:v>
      </x:c>
      <x:c r="E30" s="18" t="n">
        <x:f>SUMIFS('Elemregiszter'!$AH$2:$AH$178,'Elemregiszter'!$E$2:$E$178,A30)</x:f>
        <x:v>510000</x:v>
      </x:c>
      <x:c r="F30" s="18" t="n">
        <x:f>E30-C30</x:f>
        <x:v>510000</x:v>
      </x:c>
      <x:c r="G30" s="19" t="str">
        <x:v>Evőeszköz, edény, pohár, konyhai hulladékszelektálás és alap kisgépek; Router/Wi-Fi és hálózati beüzemelés; Riasztó és redőnymotor tényleges meglétének felmérése, hiány esetére előirányzat</x:v>
      </x:c>
    </x:row>
    <x:row r="31" ht="100" customHeight="1">
      <x:c r="A31" s="12" t="str">
        <x:v>Összesen</x:v>
      </x:c>
      <x:c r="B31" s="18" t="n">
        <x:f>SUM(B2:B30)</x:f>
        <x:v>18450000</x:v>
      </x:c>
      <x:c r="C31" s="18" t="n">
        <x:f>SUM(C2:C30)</x:f>
        <x:v>17611000</x:v>
      </x:c>
      <x:c r="D31" s="18" t="n">
        <x:f>SUM(D2:D30)</x:f>
        <x:v>22503680</x:v>
      </x:c>
      <x:c r="E31" s="18" t="n">
        <x:f>SUM(E2:E30)</x:f>
        <x:v>22355680</x:v>
      </x:c>
      <x:c r="F31" s="18" t="n">
        <x:f>SUM(F2:F30)</x:f>
        <x:v>4744680</x:v>
      </x:c>
      <x:c r="G31" s="19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22" hidden="0" customWidth="1"/>
    <x:col min="3" max="3" width="40" hidden="0" customWidth="1"/>
    <x:col min="4" max="4" width="40" hidden="0" customWidth="1"/>
    <x:col min="5" max="5" width="40" hidden="0" customWidth="1"/>
    <x:col min="6" max="6" width="40" hidden="0" customWidth="1"/>
    <x:col min="7" max="7" width="40" hidden="0" customWidth="1"/>
    <x:col min="8" max="8" width="30" hidden="0" customWidth="1"/>
  </x:cols>
  <x:sheetData>
    <x:row r="1" ht="45" customHeight="1">
      <x:c r="A1" s="42" t="str">
        <x:v>room</x:v>
      </x:c>
      <x:c r="B1" s="42" t="str">
        <x:v>name</x:v>
      </x:c>
      <x:c r="C1" s="42" t="str">
        <x:v>Bútor/tárolás</x:v>
      </x:c>
      <x:c r="D1" s="42" t="str">
        <x:v>Gép/szaniter/víz</x:v>
      </x:c>
      <x:c r="E1" s="42" t="str">
        <x:v>Felület/művészet</x:v>
      </x:c>
      <x:c r="F1" s="42" t="str">
        <x:v>Világítás/villamos</x:v>
      </x:c>
      <x:c r="G1" s="42" t="str">
        <x:v>Textil/kiegészítő</x:v>
      </x:c>
      <x:c r="H1" s="42" t="str">
        <x:v>Logisztika/átadás</x:v>
      </x:c>
    </x:row>
    <x:row r="2" ht="76" customHeight="1">
      <x:c r="A2" s="19" t="str">
        <x:v>01</x:v>
      </x:c>
      <x:c r="B2" s="19" t="str">
        <x:v>Előtér</x:v>
      </x:c>
      <x:c r="C2" s="19" t="str">
        <x:v>KI-082, KI-083, KI-084, KI-085</x:v>
      </x:c>
      <x:c r="D2" s="19" t="str">
        <x:v>Meglévő; KI-159 riasztó/redőny ellenőrzés</x:v>
      </x:c>
      <x:c r="E2" s="19" t="str">
        <x:v>KI-084 tükör; meglévő fal javítása KI-155</x:v>
      </x:c>
      <x:c r="F2" s="19" t="str">
        <x:v>KI-104–110,158–159</x:v>
      </x:c>
      <x:c r="G2" s="19" t="str">
        <x:v>KI-083 kárpit; KI-153 védelem</x:v>
      </x:c>
      <x:c r="H2" s="19" t="str">
        <x:v>KI-151–156</x:v>
      </x:c>
    </x:row>
    <x:row r="3" ht="76" customHeight="1">
      <x:c r="A3" s="19" t="str">
        <x:v>02</x:v>
      </x:c>
      <x:c r="B3" s="19" t="str">
        <x:v>Konyha</x:v>
      </x:c>
      <x:c r="C3" s="19" t="str">
        <x:v>KI-006, KI-007, KI-008, KI-009, KI-010, KI-011, KI-012, KI-013, KI-014, KI-015</x:v>
      </x:c>
      <x:c r="D3" s="19" t="str">
        <x:v>KI-016, KI-017, KI-018, KI-019, KI-020, KI-021, KI-022, KI-023, KI-024, KI-025, KI-026, KI-027</x:v>
      </x:c>
      <x:c r="E3" s="19" t="str">
        <x:v>KI-011–014 pult/hátfal</x:v>
      </x:c>
      <x:c r="F3" s="19" t="str">
        <x:v>KI-104–108,111–112</x:v>
      </x:c>
      <x:c r="G3" s="19" t="str">
        <x:v>KI-157 konyhai használati csomag</x:v>
      </x:c>
      <x:c r="H3" s="19" t="str">
        <x:v>KI-023,027,151–156</x:v>
      </x:c>
    </x:row>
    <x:row r="4" ht="76" customHeight="1">
      <x:c r="A4" s="19" t="str">
        <x:v>03</x:v>
      </x:c>
      <x:c r="B4" s="19" t="str">
        <x:v>Étkező</x:v>
      </x:c>
      <x:c r="C4" s="19" t="str">
        <x:v>KI-028–029</x:v>
      </x:c>
      <x:c r="D4" s="19" t="str">
        <x:v>Nem érintett: nincs új víz/gép</x:v>
      </x:c>
      <x:c r="E4" s="19" t="str">
        <x:v>W02/W03: KI-123–133 közös nappali</x:v>
      </x:c>
      <x:c r="F4" s="19" t="str">
        <x:v>KI-109 + ML04</x:v>
      </x:c>
      <x:c r="G4" s="19" t="str">
        <x:v>KI-135,157</x:v>
      </x:c>
      <x:c r="H4" s="19" t="str">
        <x:v>KI-151–156</x:v>
      </x:c>
    </x:row>
    <x:row r="5" ht="76" customHeight="1">
      <x:c r="A5" s="19" t="str">
        <x:v>04</x:v>
      </x:c>
      <x:c r="B5" s="19" t="str">
        <x:v>Nappali</x:v>
      </x:c>
      <x:c r="C5" s="19" t="str">
        <x:v>KI-030–039</x:v>
      </x:c>
      <x:c r="D5" s="19" t="str">
        <x:v>KI-033–035,158–159</x:v>
      </x:c>
      <x:c r="E5" s="19" t="str">
        <x:v>KI-123–129,131–133</x:v>
      </x:c>
      <x:c r="F5" s="19" t="str">
        <x:v>KI-104–108,113–115</x:v>
      </x:c>
      <x:c r="G5" s="19" t="str">
        <x:v>KI-040–042,134–135</x:v>
      </x:c>
      <x:c r="H5" s="19" t="str">
        <x:v>KI-151–156</x:v>
      </x:c>
    </x:row>
    <x:row r="6" ht="76" customHeight="1">
      <x:c r="A6" s="19" t="str">
        <x:v>05.1</x:v>
      </x:c>
      <x:c r="B6" s="19" t="str">
        <x:v>Master</x:v>
      </x:c>
      <x:c r="C6" s="19" t="str">
        <x:v>KI-043–053</x:v>
      </x:c>
      <x:c r="D6" s="19" t="str">
        <x:v>Nem érintett: nincs új víz/gép</x:v>
      </x:c>
      <x:c r="E6" s="19" t="str">
        <x:v>KI-051,130</x:v>
      </x:c>
      <x:c r="F6" s="19" t="str">
        <x:v>KI-116–119</x:v>
      </x:c>
      <x:c r="G6" s="19" t="str">
        <x:v>KI-054–057</x:v>
      </x:c>
      <x:c r="H6" s="19" t="str">
        <x:v>KI-151–156</x:v>
      </x:c>
    </x:row>
    <x:row r="7" ht="76" customHeight="1">
      <x:c r="A7" s="19" t="str">
        <x:v>05.2</x:v>
      </x:c>
      <x:c r="B7" s="19" t="str">
        <x:v>Háló 05.2</x:v>
      </x:c>
      <x:c r="C7" s="19" t="str">
        <x:v>KI-058–064</x:v>
      </x:c>
      <x:c r="D7" s="19" t="str">
        <x:v>Nem érintett: nincs új víz/gép</x:v>
      </x:c>
      <x:c r="E7" s="19" t="str">
        <x:v>KI-068</x:v>
      </x:c>
      <x:c r="F7" s="19" t="str">
        <x:v>KI-069 + közös104–108</x:v>
      </x:c>
      <x:c r="G7" s="19" t="str">
        <x:v>KI-065–067</x:v>
      </x:c>
      <x:c r="H7" s="19" t="str">
        <x:v>KI-151–156</x:v>
      </x:c>
    </x:row>
    <x:row r="8" ht="76" customHeight="1">
      <x:c r="A8" s="19" t="str">
        <x:v>05.3</x:v>
      </x:c>
      <x:c r="B8" s="19" t="str">
        <x:v>Háló 05.3</x:v>
      </x:c>
      <x:c r="C8" s="19" t="str">
        <x:v>KI-070–076</x:v>
      </x:c>
      <x:c r="D8" s="19" t="str">
        <x:v>Nem érintett: nincs új víz/gép</x:v>
      </x:c>
      <x:c r="E8" s="19" t="str">
        <x:v>KI-080</x:v>
      </x:c>
      <x:c r="F8" s="19" t="str">
        <x:v>KI-081 + közös104–108</x:v>
      </x:c>
      <x:c r="G8" s="19" t="str">
        <x:v>KI-077–079</x:v>
      </x:c>
      <x:c r="H8" s="19" t="str">
        <x:v>KI-151–156</x:v>
      </x:c>
    </x:row>
    <x:row r="9" ht="76" customHeight="1">
      <x:c r="A9" s="19" t="str">
        <x:v>06.1</x:v>
      </x:c>
      <x:c r="B9" s="19" t="str">
        <x:v>Fürdő 06.1</x:v>
      </x:c>
      <x:c r="C9" s="19" t="str">
        <x:v>KI-098–100</x:v>
      </x:c>
      <x:c r="D9" s="19" t="str">
        <x:v>KI-087–090,103</x:v>
      </x:c>
      <x:c r="E9" s="19" t="str">
        <x:v>Meglévő burkolat; KI-155 helyreállítás</x:v>
      </x:c>
      <x:c r="F9" s="19" t="str">
        <x:v>KI-120,122 + közös104–108</x:v>
      </x:c>
      <x:c r="G9" s="19" t="str">
        <x:v>KI-100</x:v>
      </x:c>
      <x:c r="H9" s="19" t="str">
        <x:v>KI-090,151–156</x:v>
      </x:c>
    </x:row>
    <x:row r="10" ht="76" customHeight="1">
      <x:c r="A10" s="19" t="str">
        <x:v>06.2</x:v>
      </x:c>
      <x:c r="B10" s="19" t="str">
        <x:v>Fürdő 06.2</x:v>
      </x:c>
      <x:c r="C10" s="19" t="str">
        <x:v>KI-092–094</x:v>
      </x:c>
      <x:c r="D10" s="19" t="str">
        <x:v>KI-091,095–096,103</x:v>
      </x:c>
      <x:c r="E10" s="19" t="str">
        <x:v>Meglévő hatszögrelief; KI-155</x:v>
      </x:c>
      <x:c r="F10" s="19" t="str">
        <x:v>KI-120–122 + közös104–108</x:v>
      </x:c>
      <x:c r="G10" s="19" t="str">
        <x:v>KI-097</x:v>
      </x:c>
      <x:c r="H10" s="19" t="str">
        <x:v>KI-091–092,151–156</x:v>
      </x:c>
    </x:row>
    <x:row r="11" ht="76" customHeight="1">
      <x:c r="A11" s="19" t="str">
        <x:v>07</x:v>
      </x:c>
      <x:c r="B11" s="19" t="str">
        <x:v>Közlekedő</x:v>
      </x:c>
      <x:c r="C11" s="19" t="str">
        <x:v>KI-086</x:v>
      </x:c>
      <x:c r="D11" s="19" t="str">
        <x:v>Meglévő; gépészeti akna szabad</x:v>
      </x:c>
      <x:c r="E11" s="19" t="str">
        <x:v>KI-124–129</x:v>
      </x:c>
      <x:c r="F11" s="19" t="str">
        <x:v>KI-110; K25–27,D46 szabad</x:v>
      </x:c>
      <x:c r="G11" s="19" t="str">
        <x:v>KI-086 lerakó</x:v>
      </x:c>
      <x:c r="H11" s="19" t="str">
        <x:v>KI-151–156</x:v>
      </x:c>
    </x:row>
    <x:row r="12" ht="76" customHeight="1">
      <x:c r="A12" s="19" t="str">
        <x:v>08</x:v>
      </x:c>
      <x:c r="B12" s="19" t="str">
        <x:v>WC</x:v>
      </x:c>
      <x:c r="C12" s="19" t="str">
        <x:v>KI-101</x:v>
      </x:c>
      <x:c r="D12" s="19" t="str">
        <x:v>KI-103 meglévő szaniterellenőrzés</x:v>
      </x:c>
      <x:c r="E12" s="19" t="str">
        <x:v>Meglévő burkolat; KI-155</x:v>
      </x:c>
      <x:c r="F12" s="19" t="str">
        <x:v>KI-110; meglévő szellőző</x:v>
      </x:c>
      <x:c r="G12" s="19" t="str">
        <x:v>KI-102</x:v>
      </x:c>
      <x:c r="H12" s="19" t="str">
        <x:v>KI-151–156</x:v>
      </x:c>
    </x:row>
    <x:row r="13" ht="76" customHeight="1">
      <x:c r="A13" s="19" t="str">
        <x:v>09</x:v>
      </x:c>
      <x:c r="B13" s="19" t="str">
        <x:v>Nyugati terasz</x:v>
      </x:c>
      <x:c r="C13" s="19" t="str">
        <x:v>KI-138–143,147,150</x:v>
      </x:c>
      <x:c r="D13" s="19" t="str">
        <x:v>KI-136–137 jakuzzi csak09; másutt meglévő vízelvezetés KI-149</x:v>
      </x:c>
      <x:c r="E13" s="19" t="str">
        <x:v>KI-144 növény; meglévő WPC/korlát KI-149</x:v>
      </x:c>
      <x:c r="F13" s="19" t="str">
        <x:v>KI-145; új szintbeépítés nincs engedélyezve</x:v>
      </x:c>
      <x:c r="G13" s="19" t="str">
        <x:v>KI-146–148,150</x:v>
      </x:c>
      <x:c r="H13" s="19" t="str">
        <x:v>KI-004,137,149,151–156</x:v>
      </x:c>
    </x:row>
    <x:row r="14" ht="76" customHeight="1">
      <x:c r="A14" s="19" t="str">
        <x:v>10</x:v>
      </x:c>
      <x:c r="B14" s="19" t="str">
        <x:v>Keleti terasz</x:v>
      </x:c>
      <x:c r="C14" s="19" t="str">
        <x:v>KI-138–143,147,150</x:v>
      </x:c>
      <x:c r="D14" s="19" t="str">
        <x:v>KI-136–137 jakuzzi csak09; másutt meglévő vízelvezetés KI-149</x:v>
      </x:c>
      <x:c r="E14" s="19" t="str">
        <x:v>KI-144 növény; meglévő WPC/korlát KI-149</x:v>
      </x:c>
      <x:c r="F14" s="19" t="str">
        <x:v>KI-145; új szintbeépítés nincs engedélyezve</x:v>
      </x:c>
      <x:c r="G14" s="19" t="str">
        <x:v>KI-146–148,150</x:v>
      </x:c>
      <x:c r="H14" s="19" t="str">
        <x:v>KI-004,137,149,151–156</x:v>
      </x:c>
    </x:row>
    <x:row r="15" ht="76" customHeight="1">
      <x:c r="A15" s="19" t="str">
        <x:v>11</x:v>
      </x:c>
      <x:c r="B15" s="19" t="str">
        <x:v>WPC zónák</x:v>
      </x:c>
      <x:c r="C15" s="19" t="str">
        <x:v>KI-138–143,147,150</x:v>
      </x:c>
      <x:c r="D15" s="19" t="str">
        <x:v>KI-136–137 jakuzzi csak09; másutt meglévő vízelvezetés KI-149</x:v>
      </x:c>
      <x:c r="E15" s="19" t="str">
        <x:v>KI-144 növény; meglévő WPC/korlát KI-149</x:v>
      </x:c>
      <x:c r="F15" s="19" t="str">
        <x:v>KI-145; új szintbeépítés nincs engedélyezve</x:v>
      </x:c>
      <x:c r="G15" s="19" t="str">
        <x:v>KI-146–148,150</x:v>
      </x:c>
      <x:c r="H15" s="19" t="str">
        <x:v>KI-004,137,149,151–156</x:v>
      </x:c>
    </x:row>
    <x:row r="16" ht="76" customHeight="1">
      <x:c r="A16" s="19" t="str">
        <x:v>12</x:v>
      </x:c>
      <x:c r="B16" s="19" t="str">
        <x:v>Zöldtető</x:v>
      </x:c>
      <x:c r="C16" s="19" t="str">
        <x:v>Nem bútorozható: zöldtető</x:v>
      </x:c>
      <x:c r="D16" s="19" t="str">
        <x:v>KI-136–137 jakuzzi csak09; másutt meglévő vízelvezetés KI-149</x:v>
      </x:c>
      <x:c r="E16" s="19" t="str">
        <x:v>KI-144 növény; meglévő WPC/korlát KI-149</x:v>
      </x:c>
      <x:c r="F16" s="19" t="str">
        <x:v>KI-145; új szintbeépítés nincs engedélyezve</x:v>
      </x:c>
      <x:c r="G16" s="19" t="str">
        <x:v>KI-146–148,150</x:v>
      </x:c>
      <x:c r="H16" s="19" t="str">
        <x:v>KI-004,137,149,151–156</x:v>
      </x:c>
    </x:row>
    <x:row r="17" ht="76" customHeight="1">
      <x:c r="A17" s="19" t="str">
        <x:v>13</x:v>
      </x:c>
      <x:c r="B17" s="19" t="str">
        <x:v>Erkélyek</x:v>
      </x:c>
      <x:c r="C17" s="19" t="str">
        <x:v>KI-138–143,147,150</x:v>
      </x:c>
      <x:c r="D17" s="19" t="str">
        <x:v>KI-136–137 jakuzzi csak09; másutt meglévő vízelvezetés KI-149</x:v>
      </x:c>
      <x:c r="E17" s="19" t="str">
        <x:v>KI-144 növény; meglévő WPC/korlát KI-149</x:v>
      </x:c>
      <x:c r="F17" s="19" t="str">
        <x:v>KI-145; új szintbeépítés nincs engedélyezve</x:v>
      </x:c>
      <x:c r="G17" s="19" t="str">
        <x:v>KI-146–148,150</x:v>
      </x:c>
      <x:c r="H17" s="19" t="str">
        <x:v>KI-004,137,149,151–156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18" hidden="0" customWidth="1"/>
    <x:col min="3" max="3" width="24" hidden="0" customWidth="1"/>
    <x:col min="4" max="4" width="18" hidden="0" customWidth="1"/>
    <x:col min="5" max="5" width="50" hidden="0" customWidth="1"/>
    <x:col min="6" max="6" width="50" hidden="0" customWidth="1"/>
    <x:col min="7" max="7" width="42" hidden="0" customWidth="1"/>
    <x:col min="8" max="8" width="40" hidden="0" customWidth="1"/>
    <x:col min="9" max="9" width="50" hidden="0" customWidth="1"/>
  </x:cols>
  <x:sheetData>
    <x:row r="1" ht="45" customHeight="1">
      <x:c r="A1" s="42" t="str">
        <x:v>id</x:v>
      </x:c>
      <x:c r="B1" s="42" t="str">
        <x:v>source</x:v>
      </x:c>
      <x:c r="C1" s="42" t="str">
        <x:v>room</x:v>
      </x:c>
      <x:c r="D1" s="42" t="str">
        <x:v>target</x:v>
      </x:c>
      <x:c r="E1" s="42" t="str">
        <x:v>route</x:v>
      </x:c>
      <x:c r="F1" s="42" t="str">
        <x:v>driver</x:v>
      </x:c>
      <x:c r="G1" s="42" t="str">
        <x:v>service</x:v>
      </x:c>
      <x:c r="H1" s="42" t="str">
        <x:v>status</x:v>
      </x:c>
      <x:c r="I1" s="42" t="str">
        <x:v>scene</x:v>
      </x:c>
    </x:row>
    <x:row r="2" ht="76" customHeight="1">
      <x:c r="A2" s="19" t="str">
        <x:v>ML01</x:v>
      </x:c>
      <x:c r="B2" s="19" t="str">
        <x:v>A902-ML01</x:v>
      </x:c>
      <x:c r="C2" s="19" t="str">
        <x:v>01 ELŐTÉR</x:v>
      </x:c>
      <x:c r="D2" s="19" t="str">
        <x:v>KI-110</x:v>
      </x:c>
      <x:c r="E2" s="19" t="str">
        <x:v>meglévő nyomvonal, felméréssel igazolandó</x:v>
      </x:c>
      <x:c r="F2" s="19" t="str">
        <x:v>gyári lámpa integrált táp / E27 Hue</x:v>
      </x:c>
      <x:c r="G2" s="19" t="str">
        <x:v>lámpatest gyári szerelőtere; hozzáférhető</x:v>
      </x:c>
      <x:c r="H2" s="19" t="str">
        <x:v>TERV SZERINT; helyszíni ellenőrzés kell</x:v>
      </x:c>
      <x:c r="I2" s="19" t="str">
        <x:v>általános3000K / este2700K; vizes és kültéri IP gyári megfelelőséggel</x:v>
      </x:c>
    </x:row>
    <x:row r="3" ht="76" customHeight="1">
      <x:c r="A3" s="19" t="str">
        <x:v>ML02</x:v>
      </x:c>
      <x:c r="B3" s="19" t="str">
        <x:v>A902-ML02</x:v>
      </x:c>
      <x:c r="C3" s="19" t="str">
        <x:v>01 ELŐTÉR</x:v>
      </x:c>
      <x:c r="D3" s="19" t="str">
        <x:v>KI-110</x:v>
      </x:c>
      <x:c r="E3" s="19" t="str">
        <x:v>meglévő nyomvonal, felméréssel igazolandó</x:v>
      </x:c>
      <x:c r="F3" s="19" t="str">
        <x:v>gyári lámpa integrált táp / E27 Hue</x:v>
      </x:c>
      <x:c r="G3" s="19" t="str">
        <x:v>lámpatest gyári szerelőtere; hozzáférhető</x:v>
      </x:c>
      <x:c r="H3" s="19" t="str">
        <x:v>TERV SZERINT; helyszíni ellenőrzés kell</x:v>
      </x:c>
      <x:c r="I3" s="19" t="str">
        <x:v>általános3000K / este2700K; vizes és kültéri IP gyári megfelelőséggel</x:v>
      </x:c>
    </x:row>
    <x:row r="4" ht="76" customHeight="1">
      <x:c r="A4" s="19" t="str">
        <x:v>ML03</x:v>
      </x:c>
      <x:c r="B4" s="19" t="str">
        <x:v>A902-ML03</x:v>
      </x:c>
      <x:c r="C4" s="19" t="str">
        <x:v>02 KONYHA</x:v>
      </x:c>
      <x:c r="D4" s="19" t="str">
        <x:v>KI-111</x:v>
      </x:c>
      <x:c r="E4" s="19" t="str">
        <x:v>meglévő nyomvonal, felméréssel igazolandó</x:v>
      </x:c>
      <x:c r="F4" s="19" t="str">
        <x:v>gyári lámpa integrált táp / E27 Hue</x:v>
      </x:c>
      <x:c r="G4" s="19" t="str">
        <x:v>lámpatest gyári szerelőtere; hozzáférhető</x:v>
      </x:c>
      <x:c r="H4" s="19" t="str">
        <x:v>TERV SZERINT; helyszíni ellenőrzés kell</x:v>
      </x:c>
      <x:c r="I4" s="19" t="str">
        <x:v>általános3000K / este2700K; vizes és kültéri IP gyári megfelelőséggel</x:v>
      </x:c>
    </x:row>
    <x:row r="5" ht="76" customHeight="1">
      <x:c r="A5" s="19" t="str">
        <x:v>ML04</x:v>
      </x:c>
      <x:c r="B5" s="19" t="str">
        <x:v>A902-ML04</x:v>
      </x:c>
      <x:c r="C5" s="19" t="str">
        <x:v>03 ÉTKEZŐ</x:v>
      </x:c>
      <x:c r="D5" s="19" t="str">
        <x:v>KI-109</x:v>
      </x:c>
      <x:c r="E5" s="19" t="str">
        <x:v>meglévő nyomvonal, felméréssel igazolandó</x:v>
      </x:c>
      <x:c r="F5" s="19" t="str">
        <x:v>gyári lámpa integrált táp / E27 Hue</x:v>
      </x:c>
      <x:c r="G5" s="19" t="str">
        <x:v>lámpatest gyári szerelőtere; hozzáférhető</x:v>
      </x:c>
      <x:c r="H5" s="19" t="str">
        <x:v>TERV SZERINT; helyszíni ellenőrzés kell</x:v>
      </x:c>
      <x:c r="I5" s="19" t="str">
        <x:v>általános3000K / este2700K; vizes és kültéri IP gyári megfelelőséggel</x:v>
      </x:c>
    </x:row>
    <x:row r="6" ht="76" customHeight="1">
      <x:c r="A6" s="19" t="str">
        <x:v>ML05</x:v>
      </x:c>
      <x:c r="B6" s="19" t="str">
        <x:v>A902-ML05</x:v>
      </x:c>
      <x:c r="C6" s="19" t="str">
        <x:v>04 NAPPALI</x:v>
      </x:c>
      <x:c r="D6" s="19" t="str">
        <x:v>KI-113</x:v>
      </x:c>
      <x:c r="E6" s="19" t="str">
        <x:v>meglévő nyomvonal, felméréssel igazolandó</x:v>
      </x:c>
      <x:c r="F6" s="19" t="str">
        <x:v>gyári lámpa integrált táp / E27 Hue</x:v>
      </x:c>
      <x:c r="G6" s="19" t="str">
        <x:v>lámpatest gyári szerelőtere; hozzáférhető</x:v>
      </x:c>
      <x:c r="H6" s="19" t="str">
        <x:v>TERV SZERINT; helyszíni ellenőrzés kell</x:v>
      </x:c>
      <x:c r="I6" s="19" t="str">
        <x:v>általános3000K / este2700K; vizes és kültéri IP gyári megfelelőséggel</x:v>
      </x:c>
    </x:row>
    <x:row r="7" ht="76" customHeight="1">
      <x:c r="A7" s="19" t="str">
        <x:v>ML06</x:v>
      </x:c>
      <x:c r="B7" s="19" t="str">
        <x:v>A902-ML06</x:v>
      </x:c>
      <x:c r="C7" s="19" t="str">
        <x:v>05.1 SZOBA</x:v>
      </x:c>
      <x:c r="D7" s="19" t="str">
        <x:v>KI-116</x:v>
      </x:c>
      <x:c r="E7" s="19" t="str">
        <x:v>meglévő nyomvonal, felméréssel igazolandó</x:v>
      </x:c>
      <x:c r="F7" s="19" t="str">
        <x:v>gyári lámpa integrált táp / E27 Hue</x:v>
      </x:c>
      <x:c r="G7" s="19" t="str">
        <x:v>lámpatest gyári szerelőtere; hozzáférhető</x:v>
      </x:c>
      <x:c r="H7" s="19" t="str">
        <x:v>TERV SZERINT; helyszíni ellenőrzés kell</x:v>
      </x:c>
      <x:c r="I7" s="19" t="str">
        <x:v>általános3000K / este2700K; vizes és kültéri IP gyári megfelelőséggel</x:v>
      </x:c>
    </x:row>
    <x:row r="8" ht="76" customHeight="1">
      <x:c r="A8" s="19" t="str">
        <x:v>ML07</x:v>
      </x:c>
      <x:c r="B8" s="19" t="str">
        <x:v>A902-ML07</x:v>
      </x:c>
      <x:c r="C8" s="19" t="str">
        <x:v>05.2 SZOBA</x:v>
      </x:c>
      <x:c r="D8" s="19" t="str">
        <x:v>KI-069</x:v>
      </x:c>
      <x:c r="E8" s="19" t="str">
        <x:v>meglévő nyomvonal, felméréssel igazolandó</x:v>
      </x:c>
      <x:c r="F8" s="19" t="str">
        <x:v>gyári lámpa integrált táp / E27 Hue</x:v>
      </x:c>
      <x:c r="G8" s="19" t="str">
        <x:v>lámpatest gyári szerelőtere; hozzáférhető</x:v>
      </x:c>
      <x:c r="H8" s="19" t="str">
        <x:v>TERV SZERINT; helyszíni ellenőrzés kell</x:v>
      </x:c>
      <x:c r="I8" s="19" t="str">
        <x:v>általános3000K / este2700K; vizes és kültéri IP gyári megfelelőséggel</x:v>
      </x:c>
    </x:row>
    <x:row r="9" ht="76" customHeight="1">
      <x:c r="A9" s="19" t="str">
        <x:v>ML08</x:v>
      </x:c>
      <x:c r="B9" s="19" t="str">
        <x:v>A902-ML08</x:v>
      </x:c>
      <x:c r="C9" s="19" t="str">
        <x:v>05.3 SZOBA</x:v>
      </x:c>
      <x:c r="D9" s="19" t="str">
        <x:v>KI-081</x:v>
      </x:c>
      <x:c r="E9" s="19" t="str">
        <x:v>meglévő nyomvonal, felméréssel igazolandó</x:v>
      </x:c>
      <x:c r="F9" s="19" t="str">
        <x:v>gyári lámpa integrált táp / E27 Hue</x:v>
      </x:c>
      <x:c r="G9" s="19" t="str">
        <x:v>lámpatest gyári szerelőtere; hozzáférhető</x:v>
      </x:c>
      <x:c r="H9" s="19" t="str">
        <x:v>TERV SZERINT; helyszíni ellenőrzés kell</x:v>
      </x:c>
      <x:c r="I9" s="19" t="str">
        <x:v>általános3000K / este2700K; vizes és kültéri IP gyári megfelelőséggel</x:v>
      </x:c>
    </x:row>
    <x:row r="10" ht="76" customHeight="1">
      <x:c r="A10" s="19" t="str">
        <x:v>ML09</x:v>
      </x:c>
      <x:c r="B10" s="19" t="str">
        <x:v>A902-ML09</x:v>
      </x:c>
      <x:c r="C10" s="19" t="str">
        <x:v>06.1 FÜRDŐ</x:v>
      </x:c>
      <x:c r="D10" s="19" t="str">
        <x:v>KI-120</x:v>
      </x:c>
      <x:c r="E10" s="19" t="str">
        <x:v>meglévő nyomvonal, felméréssel igazolandó</x:v>
      </x:c>
      <x:c r="F10" s="19" t="str">
        <x:v>gyári lámpa integrált táp / E27 Hue</x:v>
      </x:c>
      <x:c r="G10" s="19" t="str">
        <x:v>lámpatest gyári szerelőtere; hozzáférhető</x:v>
      </x:c>
      <x:c r="H10" s="19" t="str">
        <x:v>TERV SZERINT; helyszíni ellenőrzés kell</x:v>
      </x:c>
      <x:c r="I10" s="19" t="str">
        <x:v>általános3000K / este2700K; vizes és kültéri IP gyári megfelelőséggel</x:v>
      </x:c>
    </x:row>
    <x:row r="11" ht="76" customHeight="1">
      <x:c r="A11" s="19" t="str">
        <x:v>ML10</x:v>
      </x:c>
      <x:c r="B11" s="19" t="str">
        <x:v>A902-ML10</x:v>
      </x:c>
      <x:c r="C11" s="19" t="str">
        <x:v>06.2 FÜRDŐ</x:v>
      </x:c>
      <x:c r="D11" s="19" t="str">
        <x:v>KI-120</x:v>
      </x:c>
      <x:c r="E11" s="19" t="str">
        <x:v>meglévő nyomvonal, felméréssel igazolandó</x:v>
      </x:c>
      <x:c r="F11" s="19" t="str">
        <x:v>gyári lámpa integrált táp / E27 Hue</x:v>
      </x:c>
      <x:c r="G11" s="19" t="str">
        <x:v>lámpatest gyári szerelőtere; hozzáférhető</x:v>
      </x:c>
      <x:c r="H11" s="19" t="str">
        <x:v>TERV SZERINT; helyszíni ellenőrzés kell</x:v>
      </x:c>
      <x:c r="I11" s="19" t="str">
        <x:v>általános3000K / este2700K; vizes és kültéri IP gyári megfelelőséggel</x:v>
      </x:c>
    </x:row>
    <x:row r="12" ht="76" customHeight="1">
      <x:c r="A12" s="19" t="str">
        <x:v>ML11</x:v>
      </x:c>
      <x:c r="B12" s="19" t="str">
        <x:v>A902-ML11</x:v>
      </x:c>
      <x:c r="C12" s="19" t="str">
        <x:v>07 KÖZLEKEDŐ</x:v>
      </x:c>
      <x:c r="D12" s="19" t="str">
        <x:v>KI-110</x:v>
      </x:c>
      <x:c r="E12" s="19" t="str">
        <x:v>meglévő nyomvonal, felméréssel igazolandó</x:v>
      </x:c>
      <x:c r="F12" s="19" t="str">
        <x:v>gyári lámpa integrált táp / E27 Hue</x:v>
      </x:c>
      <x:c r="G12" s="19" t="str">
        <x:v>lámpatest gyári szerelőtere; hozzáférhető</x:v>
      </x:c>
      <x:c r="H12" s="19" t="str">
        <x:v>TERV SZERINT; helyszíni ellenőrzés kell</x:v>
      </x:c>
      <x:c r="I12" s="19" t="str">
        <x:v>általános3000K / este2700K; vizes és kültéri IP gyári megfelelőséggel</x:v>
      </x:c>
    </x:row>
    <x:row r="13" ht="76" customHeight="1">
      <x:c r="A13" s="19" t="str">
        <x:v>ML12</x:v>
      </x:c>
      <x:c r="B13" s="19" t="str">
        <x:v>A902-ML12</x:v>
      </x:c>
      <x:c r="C13" s="19" t="str">
        <x:v>08 WC</x:v>
      </x:c>
      <x:c r="D13" s="19" t="str">
        <x:v>KI-110</x:v>
      </x:c>
      <x:c r="E13" s="19" t="str">
        <x:v>meglévő nyomvonal, felméréssel igazolandó</x:v>
      </x:c>
      <x:c r="F13" s="19" t="str">
        <x:v>gyári lámpa integrált táp / E27 Hue</x:v>
      </x:c>
      <x:c r="G13" s="19" t="str">
        <x:v>lámpatest gyári szerelőtere; hozzáférhető</x:v>
      </x:c>
      <x:c r="H13" s="19" t="str">
        <x:v>TERV SZERINT; helyszíni ellenőrzés kell</x:v>
      </x:c>
      <x:c r="I13" s="19" t="str">
        <x:v>általános3000K / este2700K; vizes és kültéri IP gyári megfelelőséggel</x:v>
      </x:c>
    </x:row>
    <x:row r="14" ht="76" customHeight="1">
      <x:c r="A14" s="19" t="str">
        <x:v>FL01</x:v>
      </x:c>
      <x:c r="B14" s="19" t="str">
        <x:v>A902-FL01</x:v>
      </x:c>
      <x:c r="C14" s="19" t="str">
        <x:v>02 KONYHA</x:v>
      </x:c>
      <x:c r="D14" s="19" t="str">
        <x:v>KI-111</x:v>
      </x:c>
      <x:c r="E14" s="19" t="str">
        <x:v>meglévő nyomvonal, felméréssel igazolandó</x:v>
      </x:c>
      <x:c r="F14" s="19" t="str">
        <x:v>gyári lámpa integrált táp / E27 Hue</x:v>
      </x:c>
      <x:c r="G14" s="19" t="str">
        <x:v>lámpatest gyári szerelőtere; hozzáférhető</x:v>
      </x:c>
      <x:c r="H14" s="19" t="str">
        <x:v>TERV SZERINT; helyszíni ellenőrzés kell</x:v>
      </x:c>
      <x:c r="I14" s="19" t="str">
        <x:v>általános3000K / este2700K; vizes és kültéri IP gyári megfelelőséggel</x:v>
      </x:c>
    </x:row>
    <x:row r="15" ht="76" customHeight="1">
      <x:c r="A15" s="19" t="str">
        <x:v>FL02</x:v>
      </x:c>
      <x:c r="B15" s="19" t="str">
        <x:v>A902-FL02</x:v>
      </x:c>
      <x:c r="C15" s="19" t="str">
        <x:v>04 NAPPALI</x:v>
      </x:c>
      <x:c r="D15" s="19" t="str">
        <x:v>KI-114</x:v>
      </x:c>
      <x:c r="E15" s="19" t="str">
        <x:v>meglévő nyomvonal, felméréssel igazolandó</x:v>
      </x:c>
      <x:c r="F15" s="19" t="str">
        <x:v>gyári lámpa integrált táp / E27 Hue</x:v>
      </x:c>
      <x:c r="G15" s="19" t="str">
        <x:v>lámpatest gyári szerelőtere; hozzáférhető</x:v>
      </x:c>
      <x:c r="H15" s="19" t="str">
        <x:v>TERV SZERINT; helyszíni ellenőrzés kell</x:v>
      </x:c>
      <x:c r="I15" s="19" t="str">
        <x:v>általános3000K / este2700K; vizes és kültéri IP gyári megfelelőséggel</x:v>
      </x:c>
    </x:row>
    <x:row r="16" ht="76" customHeight="1">
      <x:c r="A16" s="19" t="str">
        <x:v>FL03</x:v>
      </x:c>
      <x:c r="B16" s="19" t="str">
        <x:v>A902-FL03</x:v>
      </x:c>
      <x:c r="C16" s="19" t="str">
        <x:v>06.1 FÜRDŐ</x:v>
      </x:c>
      <x:c r="D16" s="19" t="str">
        <x:v>KI-120</x:v>
      </x:c>
      <x:c r="E16" s="19" t="str">
        <x:v>meglévő nyomvonal, felméréssel igazolandó</x:v>
      </x:c>
      <x:c r="F16" s="19" t="str">
        <x:v>gyári lámpa integrált táp / E27 Hue</x:v>
      </x:c>
      <x:c r="G16" s="19" t="str">
        <x:v>lámpatest gyári szerelőtere; hozzáférhető</x:v>
      </x:c>
      <x:c r="H16" s="19" t="str">
        <x:v>TERV SZERINT; helyszíni ellenőrzés kell</x:v>
      </x:c>
      <x:c r="I16" s="19" t="str">
        <x:v>általános3000K / este2700K; vizes és kültéri IP gyári megfelelőséggel</x:v>
      </x:c>
    </x:row>
    <x:row r="17" ht="76" customHeight="1">
      <x:c r="A17" s="19" t="str">
        <x:v>FL04</x:v>
      </x:c>
      <x:c r="B17" s="19" t="str">
        <x:v>A902-FL04</x:v>
      </x:c>
      <x:c r="C17" s="19" t="str">
        <x:v>06.2 FÜRDŐ</x:v>
      </x:c>
      <x:c r="D17" s="19" t="str">
        <x:v>KI-120</x:v>
      </x:c>
      <x:c r="E17" s="19" t="str">
        <x:v>meglévő nyomvonal, felméréssel igazolandó</x:v>
      </x:c>
      <x:c r="F17" s="19" t="str">
        <x:v>gyári lámpa integrált táp / E27 Hue</x:v>
      </x:c>
      <x:c r="G17" s="19" t="str">
        <x:v>lámpatest gyári szerelőtere; hozzáférhető</x:v>
      </x:c>
      <x:c r="H17" s="19" t="str">
        <x:v>TERV SZERINT; helyszíni ellenőrzés kell</x:v>
      </x:c>
      <x:c r="I17" s="19" t="str">
        <x:v>általános3000K / este2700K; vizes és kültéri IP gyári megfelelőséggel</x:v>
      </x:c>
    </x:row>
    <x:row r="18" ht="76" customHeight="1">
      <x:c r="A18" s="19" t="str">
        <x:v>FL05</x:v>
      </x:c>
      <x:c r="B18" s="19" t="str">
        <x:v>A902-FL05</x:v>
      </x:c>
      <x:c r="C18" s="19" t="str">
        <x:v>09 TERASZ</x:v>
      </x:c>
      <x:c r="D18" s="19" t="str">
        <x:v>KI-145</x:v>
      </x:c>
      <x:c r="E18" s="19" t="str">
        <x:v>meglévő nyomvonal, felméréssel igazolandó</x:v>
      </x:c>
      <x:c r="F18" s="19" t="str">
        <x:v>gyári lámpa integrált táp / E27 Hue</x:v>
      </x:c>
      <x:c r="G18" s="19" t="str">
        <x:v>lámpatest gyári szerelőtere; hozzáférhető</x:v>
      </x:c>
      <x:c r="H18" s="19" t="str">
        <x:v>TERV SZERINT; helyszíni ellenőrzés kell</x:v>
      </x:c>
      <x:c r="I18" s="19" t="str">
        <x:v>általános3000K / este2700K; vizes és kültéri IP gyári megfelelőséggel</x:v>
      </x:c>
    </x:row>
    <x:row r="19" ht="76" customHeight="1">
      <x:c r="A19" s="19" t="str">
        <x:v>FL06</x:v>
      </x:c>
      <x:c r="B19" s="19" t="str">
        <x:v>A902-FL06</x:v>
      </x:c>
      <x:c r="C19" s="19" t="str">
        <x:v>10 TERASZ</x:v>
      </x:c>
      <x:c r="D19" s="19" t="str">
        <x:v>KI-145</x:v>
      </x:c>
      <x:c r="E19" s="19" t="str">
        <x:v>meglévő nyomvonal, felméréssel igazolandó</x:v>
      </x:c>
      <x:c r="F19" s="19" t="str">
        <x:v>gyári lámpa integrált táp / E27 Hue</x:v>
      </x:c>
      <x:c r="G19" s="19" t="str">
        <x:v>lámpatest gyári szerelőtere; hozzáférhető</x:v>
      </x:c>
      <x:c r="H19" s="19" t="str">
        <x:v>TERV SZERINT; helyszíni ellenőrzés kell</x:v>
      </x:c>
      <x:c r="I19" s="19" t="str">
        <x:v>általános3000K / este2700K; vizes és kültéri IP gyári megfelelőséggel</x:v>
      </x:c>
    </x:row>
    <x:row r="20" ht="76" customHeight="1">
      <x:c r="A20" s="19" t="str">
        <x:v>FL07</x:v>
      </x:c>
      <x:c r="B20" s="19" t="str">
        <x:v>A902-FL07</x:v>
      </x:c>
      <x:c r="C20" s="19" t="str">
        <x:v>13 ERKÉLY</x:v>
      </x:c>
      <x:c r="D20" s="19" t="str">
        <x:v>KI-145</x:v>
      </x:c>
      <x:c r="E20" s="19" t="str">
        <x:v>meglévő nyomvonal, felméréssel igazolandó</x:v>
      </x:c>
      <x:c r="F20" s="19" t="str">
        <x:v>gyári lámpa integrált táp / E27 Hue</x:v>
      </x:c>
      <x:c r="G20" s="19" t="str">
        <x:v>lámpatest gyári szerelőtere; hozzáférhető</x:v>
      </x:c>
      <x:c r="H20" s="19" t="str">
        <x:v>TERV SZERINT; helyszíni ellenőrzés kell</x:v>
      </x:c>
      <x:c r="I20" s="19" t="str">
        <x:v>általános3000K / este2700K; vizes és kültéri IP gyári megfelelőséggel</x:v>
      </x:c>
    </x:row>
    <x:row r="21" ht="76" customHeight="1">
      <x:c r="A21" s="19" t="str">
        <x:v>L-TV-TOP</x:v>
      </x:c>
      <x:c r="B21" s="19" t="str">
        <x:v>A902-D16</x:v>
      </x:c>
      <x:c r="C21" s="19" t="str">
        <x:v>04 NAPPALI</x:v>
      </x:c>
      <x:c r="D21" s="19" t="str">
        <x:v>KI-114</x:v>
      </x:c>
      <x:c r="E21" s="19" t="str">
        <x:v>fal/panel szerelősáv; külön folytonos kábelút, toldás csak hozzáférhető dobozban</x:v>
      </x:c>
      <x:c r="F21" s="19" t="str">
        <x:v>egy gyári kompatibilis Hue készlet/ág vagy jóváhagyott 24V CCT vezérlő+táp; nem feltételezett Hue split</x:v>
      </x:c>
      <x:c r="G21" s="19" t="str">
        <x:v>TV-01 alsó szervizmező</x:v>
      </x:c>
      <x:c r="H21" s="19" t="str">
        <x:v>TÁP/VEZÉRLŐ SKU ÉS MÉRETEZÉS NYITOTT</x:v>
      </x:c>
      <x:c r="I21" s="19" t="str">
        <x:v>2700K este;22–30% induló dim; helyszíni fénypróba</x:v>
      </x:c>
    </x:row>
    <x:row r="22" ht="76" customHeight="1">
      <x:c r="A22" s="19" t="str">
        <x:v>L-TV-VERT</x:v>
      </x:c>
      <x:c r="B22" s="19" t="str">
        <x:v>A902-D16</x:v>
      </x:c>
      <x:c r="C22" s="19" t="str">
        <x:v>04 NAPPALI</x:v>
      </x:c>
      <x:c r="D22" s="19" t="str">
        <x:v>KI-114</x:v>
      </x:c>
      <x:c r="E22" s="19" t="str">
        <x:v>fal/panel szerelősáv; külön folytonos kábelút, toldás csak hozzáférhető dobozban</x:v>
      </x:c>
      <x:c r="F22" s="19" t="str">
        <x:v>egy gyári kompatibilis Hue készlet/ág vagy jóváhagyott 24V CCT vezérlő+táp; nem feltételezett Hue split</x:v>
      </x:c>
      <x:c r="G22" s="19" t="str">
        <x:v>TV-01 alsó szervizmező</x:v>
      </x:c>
      <x:c r="H22" s="19" t="str">
        <x:v>TÁP/VEZÉRLŐ SKU ÉS MÉRETEZÉS NYITOTT</x:v>
      </x:c>
      <x:c r="I22" s="19" t="str">
        <x:v>2700K este;22–30% induló dim; helyszíni fénypróba</x:v>
      </x:c>
    </x:row>
    <x:row r="23" ht="76" customHeight="1">
      <x:c r="A23" s="19" t="str">
        <x:v>L-TV-LOW</x:v>
      </x:c>
      <x:c r="B23" s="19" t="str">
        <x:v>A902-D16</x:v>
      </x:c>
      <x:c r="C23" s="19" t="str">
        <x:v>04 NAPPALI</x:v>
      </x:c>
      <x:c r="D23" s="19" t="str">
        <x:v>KI-114</x:v>
      </x:c>
      <x:c r="E23" s="19" t="str">
        <x:v>fal/panel szerelősáv; külön folytonos kábelút, toldás csak hozzáférhető dobozban</x:v>
      </x:c>
      <x:c r="F23" s="19" t="str">
        <x:v>egy gyári kompatibilis Hue készlet/ág vagy jóváhagyott 24V CCT vezérlő+táp; nem feltételezett Hue split</x:v>
      </x:c>
      <x:c r="G23" s="19" t="str">
        <x:v>TV-02 szélső rekesz</x:v>
      </x:c>
      <x:c r="H23" s="19" t="str">
        <x:v>TÁP/VEZÉRLŐ SKU ÉS MÉRETEZÉS NYITOTT</x:v>
      </x:c>
      <x:c r="I23" s="19" t="str">
        <x:v>2700K este;22–30% induló dim; helyszíni fénypróba</x:v>
      </x:c>
    </x:row>
    <x:row r="24" ht="76" customHeight="1">
      <x:c r="A24" s="19" t="str">
        <x:v>L-W02</x:v>
      </x:c>
      <x:c r="B24" s="19" t="str">
        <x:v>A902-D19</x:v>
      </x:c>
      <x:c r="C24" s="19" t="str">
        <x:v>04 NAPPALI</x:v>
      </x:c>
      <x:c r="D24" s="19" t="str">
        <x:v>KI-115</x:v>
      </x:c>
      <x:c r="E24" s="19" t="str">
        <x:v>fal/panel szerelősáv; külön folytonos kábelút, toldás csak hozzáférhető dobozban</x:v>
      </x:c>
      <x:c r="F24" s="19" t="str">
        <x:v>egy gyári kompatibilis Hue készlet/ág vagy jóváhagyott 24V CCT vezérlő+táp; nem feltételezett Hue split</x:v>
      </x:c>
      <x:c r="G24" s="19" t="str">
        <x:v>ART-02 levehető oldalsó mező</x:v>
      </x:c>
      <x:c r="H24" s="19" t="str">
        <x:v>TÁP/VEZÉRLŐ SKU ÉS MÉRETEZÉS NYITOTT</x:v>
      </x:c>
      <x:c r="I24" s="19" t="str">
        <x:v>2700K este;22–30% induló dim; helyszíni fénypróba</x:v>
      </x:c>
    </x:row>
    <x:row r="25" ht="76" customHeight="1">
      <x:c r="A25" s="19" t="str">
        <x:v>L-HB</x:v>
      </x:c>
      <x:c r="B25" s="19" t="str">
        <x:v>A902-D20</x:v>
      </x:c>
      <x:c r="C25" s="19" t="str">
        <x:v>05.1 SZOBA</x:v>
      </x:c>
      <x:c r="D25" s="19" t="str">
        <x:v>KI-118</x:v>
      </x:c>
      <x:c r="E25" s="19" t="str">
        <x:v>fal/panel szerelősáv; külön folytonos kábelút, toldás csak hozzáférhető dobozban</x:v>
      </x:c>
      <x:c r="F25" s="19" t="str">
        <x:v>egy gyári kompatibilis Hue készlet/ág vagy jóváhagyott 24V CCT vezérlő+táp; nem feltételezett Hue split</x:v>
      </x:c>
      <x:c r="G25" s="19" t="str">
        <x:v>NT-L hozzáférhető táp</x:v>
      </x:c>
      <x:c r="H25" s="19" t="str">
        <x:v>TÁP/VEZÉRLŐ SKU ÉS MÉRETEZÉS NYITOTT</x:v>
      </x:c>
      <x:c r="I25" s="19" t="str">
        <x:v>2700K este;22–30% induló dim; helyszíni fénypróba</x:v>
      </x:c>
    </x:row>
    <x:row r="26" ht="76" customHeight="1">
      <x:c r="A26" s="19" t="str">
        <x:v>L-WN</x:v>
      </x:c>
      <x:c r="B26" s="19" t="str">
        <x:v>A902-D26</x:v>
      </x:c>
      <x:c r="C26" s="19" t="str">
        <x:v>05.1 SZOBA (északi fülke)</x:v>
      </x:c>
      <x:c r="D26" s="19" t="str">
        <x:v>KI-119</x:v>
      </x:c>
      <x:c r="E26" s="19" t="str">
        <x:v>fal/panel szerelősáv; külön folytonos kábelút, toldás csak hozzáférhető dobozban</x:v>
      </x:c>
      <x:c r="F26" s="19" t="str">
        <x:v>egy gyári kompatibilis Hue készlet/ág vagy jóváhagyott 24V CCT vezérlő+táp; nem feltételezett Hue split</x:v>
      </x:c>
      <x:c r="G26" s="19" t="str">
        <x:v>WN-01 felső szerelőrekesz</x:v>
      </x:c>
      <x:c r="H26" s="19" t="str">
        <x:v>TÁP/VEZÉRLŐ SKU ÉS MÉRETEZÉS NYITOTT</x:v>
      </x:c>
      <x:c r="I26" s="19" t="str">
        <x:v>2700K este;22–30% induló dim; helyszíni fénypróba</x:v>
      </x:c>
    </x:row>
    <x:row r="27" ht="76" customHeight="1">
      <x:c r="A27" s="19" t="str">
        <x:v>L-WS</x:v>
      </x:c>
      <x:c r="B27" s="19" t="str">
        <x:v>A902-D26</x:v>
      </x:c>
      <x:c r="C27" s="19" t="str">
        <x:v>05.1 SZOBA (északi fülke)</x:v>
      </x:c>
      <x:c r="D27" s="19" t="str">
        <x:v>KI-119</x:v>
      </x:c>
      <x:c r="E27" s="19" t="str">
        <x:v>fal/panel szerelősáv; külön folytonos kábelút, toldás csak hozzáférhető dobozban</x:v>
      </x:c>
      <x:c r="F27" s="19" t="str">
        <x:v>egy gyári kompatibilis Hue készlet/ág vagy jóváhagyott 24V CCT vezérlő+táp; nem feltételezett Hue split</x:v>
      </x:c>
      <x:c r="G27" s="19" t="str">
        <x:v>WS-01 felső szerelőrekesz</x:v>
      </x:c>
      <x:c r="H27" s="19" t="str">
        <x:v>TÁP/VEZÉRLŐ SKU ÉS MÉRETEZÉS NYITOTT</x:v>
      </x:c>
      <x:c r="I27" s="19" t="str">
        <x:v>2700K este;22–30% induló dim; helyszíni fénypróba</x:v>
      </x:c>
    </x:row>
    <x:row r="28" ht="76" customHeight="1">
      <x:c r="A28" s="19" t="str">
        <x:v>L-KITCHEN</x:v>
      </x:c>
      <x:c r="B28" s="19" t="str">
        <x:v>A902-D02</x:v>
      </x:c>
      <x:c r="C28" s="19" t="str">
        <x:v>02 KONYHA</x:v>
      </x:c>
      <x:c r="D28" s="19" t="str">
        <x:v>KI-112</x:v>
      </x:c>
      <x:c r="E28" s="19" t="str">
        <x:v>fal/panel szerelősáv; külön folytonos kábelút, toldás csak hozzáférhető dobozban</x:v>
      </x:c>
      <x:c r="F28" s="19" t="str">
        <x:v>egy gyári kompatibilis Hue készlet/ág vagy jóváhagyott 24V CCT vezérlő+táp; nem feltételezett Hue split</x:v>
      </x:c>
      <x:c r="G28" s="19" t="str">
        <x:v>K-07 hozzáférhető felső rekesz</x:v>
      </x:c>
      <x:c r="H28" s="19" t="str">
        <x:v>TÁP/VEZÉRLŐ SKU ÉS MÉRETEZÉS NYITOTT</x:v>
      </x:c>
      <x:c r="I28" s="19" t="str">
        <x:v>2700K este;22–30% induló dim; helyszíni fénypróba</x:v>
      </x:c>
    </x:row>
    <x:row r="29" ht="76" customHeight="1">
      <x:c r="A29" s="19" t="str">
        <x:v>L-B62-M</x:v>
      </x:c>
      <x:c r="B29" s="19" t="str">
        <x:v>A902-FL04</x:v>
      </x:c>
      <x:c r="C29" s="19" t="str">
        <x:v>06.2 FÜRDŐ</x:v>
      </x:c>
      <x:c r="D29" s="19" t="str">
        <x:v>KI-121</x:v>
      </x:c>
      <x:c r="E29" s="19" t="str">
        <x:v>fal/panel szerelősáv; külön folytonos kábelút, toldás csak hozzáférhető dobozban</x:v>
      </x:c>
      <x:c r="F29" s="19" t="str">
        <x:v>egy gyári kompatibilis Hue készlet/ág vagy jóváhagyott 24V CCT vezérlő+táp; nem feltételezett Hue split</x:v>
      </x:c>
      <x:c r="G29" s="19" t="str">
        <x:v>száraz oldali tápdoboz KI-122</x:v>
      </x:c>
      <x:c r="H29" s="19" t="str">
        <x:v>TÁP/VEZÉRLŐ SKU ÉS MÉRETEZÉS NYITOTT</x:v>
      </x:c>
      <x:c r="I29" s="19" t="str">
        <x:v>2700K este;22–30% induló dim; helyszíni fénypróba</x:v>
      </x:c>
    </x:row>
    <x:row r="30" ht="76" customHeight="1">
      <x:c r="A30" s="19" t="str">
        <x:v>L-B62-U</x:v>
      </x:c>
      <x:c r="B30" s="19" t="str">
        <x:v>A902-FL04</x:v>
      </x:c>
      <x:c r="C30" s="19" t="str">
        <x:v>06.2 FÜRDŐ</x:v>
      </x:c>
      <x:c r="D30" s="19" t="str">
        <x:v>KI-121</x:v>
      </x:c>
      <x:c r="E30" s="19" t="str">
        <x:v>fal/panel szerelősáv; külön folytonos kábelút, toldás csak hozzáférhető dobozban</x:v>
      </x:c>
      <x:c r="F30" s="19" t="str">
        <x:v>egy gyári kompatibilis Hue készlet/ág vagy jóváhagyott 24V CCT vezérlő+táp; nem feltételezett Hue split</x:v>
      </x:c>
      <x:c r="G30" s="19" t="str">
        <x:v>száraz oldali tápdoboz KI-122</x:v>
      </x:c>
      <x:c r="H30" s="19" t="str">
        <x:v>TÁP/VEZÉRLŐ SKU ÉS MÉRETEZÉS NYITOTT</x:v>
      </x:c>
      <x:c r="I30" s="19" t="str">
        <x:v>2700K este;22–30% induló dim; helyszíni fénypróba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2" hidden="0" customWidth="1"/>
    <x:col min="8" max="8" width="55" hidden="0" customWidth="1"/>
    <x:col min="9" max="9" width="55" hidden="0" customWidth="1"/>
    <x:col min="10" max="10" width="55" hidden="0" customWidth="1"/>
  </x:cols>
  <x:sheetData>
    <x:row r="1" ht="45" customHeight="1">
      <x:c r="A1" s="42" t="str">
        <x:v>id</x:v>
      </x:c>
      <x:c r="B1" s="42" t="str">
        <x:v>width_m</x:v>
      </x:c>
      <x:c r="C1" s="42" t="str">
        <x:v>height_m</x:v>
      </x:c>
      <x:c r="D1" s="42" t="str">
        <x:v>net_m2</x:v>
      </x:c>
      <x:c r="E1" s="42" t="str">
        <x:v>waste</x:v>
      </x:c>
      <x:c r="F1" s="42" t="str">
        <x:v>order_m2</x:v>
      </x:c>
      <x:c r="G1" s="42" t="str">
        <x:v>cost</x:v>
      </x:c>
      <x:c r="H1" s="42" t="str">
        <x:v>source</x:v>
      </x:c>
      <x:c r="I1" s="42" t="str">
        <x:v>glue</x:v>
      </x:c>
      <x:c r="J1" s="42" t="str">
        <x:v>prep</x:v>
      </x:c>
    </x:row>
    <x:row r="2" ht="76" customHeight="1">
      <x:c r="A2" s="19" t="str">
        <x:v>W01</x:v>
      </x:c>
      <x:c r="B2" s="19" t="n">
        <x:v>3.3</x:v>
      </x:c>
      <x:c r="C2" s="19" t="n">
        <x:v>2.88</x:v>
      </x:c>
      <x:c r="D2" s="19" t="n">
        <x:f>B2*C2</x:f>
        <x:v>9.504</x:v>
      </x:c>
      <x:c r="E2" s="19" t="n">
        <x:v>0.15</x:v>
      </x:c>
      <x:c r="F2" s="19" t="n">
        <x:f>D2*(1+E2)</x:f>
        <x:v>10.929599999999999</x:v>
      </x:c>
      <x:c r="G2" s="19" t="str">
        <x:v>KI-030</x:v>
      </x:c>
      <x:c r="H2" s="19" t="str">
        <x:v>R02 célbefoglaló; nyíláslevonás és kapcsolók helyszíni sablonnal</x:v>
      </x:c>
      <x:c r="I2" s="19" t="str">
        <x:v>0.25 kg/m² előirányzat; gyártói termékkiadósságra cserélendő</x:v>
      </x:c>
      <x:c r="J2" s="19" t="str">
        <x:v>helyi javítás, csiszolás, pormentesítés, alapozó, tapadáspróba; KI-127/128</x:v>
      </x:c>
    </x:row>
    <x:row r="3" ht="76" customHeight="1">
      <x:c r="A3" s="19" t="str">
        <x:v>W02</x:v>
      </x:c>
      <x:c r="B3" s="19" t="n">
        <x:v>2.1</x:v>
      </x:c>
      <x:c r="C3" s="19" t="n">
        <x:v>2.88</x:v>
      </x:c>
      <x:c r="D3" s="19" t="n">
        <x:f>B3*C3</x:f>
        <x:v>6.048</x:v>
      </x:c>
      <x:c r="E3" s="19" t="n">
        <x:v>0.15</x:v>
      </x:c>
      <x:c r="F3" s="19" t="n">
        <x:f>D3*(1+E3)</x:f>
        <x:v>6.9552</x:v>
      </x:c>
      <x:c r="G3" s="19" t="str">
        <x:v>KI-131–133</x:v>
      </x:c>
      <x:c r="H3" s="19" t="str">
        <x:v>R02 célbefoglaló; nyíláslevonás és kapcsolók helyszíni sablonnal</x:v>
      </x:c>
      <x:c r="I3" s="19" t="str">
        <x:v>0.25 kg/m² előirányzat; gyártói termékkiadósságra cserélendő</x:v>
      </x:c>
      <x:c r="J3" s="19" t="str">
        <x:v>helyi javítás, csiszolás, pormentesítés, alapozó, tapadáspróba; KI-127/128</x:v>
      </x:c>
    </x:row>
    <x:row r="4" ht="76" customHeight="1">
      <x:c r="A4" s="19" t="str">
        <x:v>W07</x:v>
      </x:c>
      <x:c r="B4" s="19" t="n">
        <x:v>1.53</x:v>
      </x:c>
      <x:c r="C4" s="19" t="n">
        <x:v>2.88</x:v>
      </x:c>
      <x:c r="D4" s="19" t="n">
        <x:f>B4*C4</x:f>
        <x:v>4.4064</x:v>
      </x:c>
      <x:c r="E4" s="19" t="n">
        <x:v>0.15</x:v>
      </x:c>
      <x:c r="F4" s="19" t="n">
        <x:f>D4*(1+E4)</x:f>
        <x:v>5.067359999999999</x:v>
      </x:c>
      <x:c r="G4" s="19" t="str">
        <x:v>KI-124</x:v>
      </x:c>
      <x:c r="H4" s="19" t="str">
        <x:v>R02 célbefoglaló; nyíláslevonás és kapcsolók helyszíni sablonnal</x:v>
      </x:c>
      <x:c r="I4" s="19" t="str">
        <x:v>0.25 kg/m² előirányzat; gyártói termékkiadósságra cserélendő</x:v>
      </x:c>
      <x:c r="J4" s="19" t="str">
        <x:v>helyi javítás, csiszolás, pormentesítés, alapozó, tapadáspróba; KI-127/128</x:v>
      </x:c>
    </x:row>
    <x:row r="5" ht="76" customHeight="1">
      <x:c r="A5" s="19" t="str">
        <x:v>W03</x:v>
      </x:c>
      <x:c r="B5" s="19" t="n">
        <x:v>2.1</x:v>
      </x:c>
      <x:c r="C5" s="19" t="n">
        <x:v>2.88</x:v>
      </x:c>
      <x:c r="D5" s="19" t="n">
        <x:f>B5*C5</x:f>
        <x:v>6.048</x:v>
      </x:c>
      <x:c r="E5" s="19" t="n">
        <x:v>0.15</x:v>
      </x:c>
      <x:c r="F5" s="19" t="n">
        <x:f>D5*(1+E5)</x:f>
        <x:v>6.9552</x:v>
      </x:c>
      <x:c r="G5" s="19" t="str">
        <x:v>KI-125</x:v>
      </x:c>
      <x:c r="H5" s="19" t="str">
        <x:v>R02 célbefoglaló; nyíláslevonás és kapcsolók helyszíni sablonnal</x:v>
      </x:c>
      <x:c r="I5" s="19" t="str">
        <x:v>0.25 kg/m² előirányzat; gyártói termékkiadósságra cserélendő</x:v>
      </x:c>
      <x:c r="J5" s="19" t="str">
        <x:v>helyi javítás, csiszolás, pormentesítés, alapozó, tapadáspróba; KI-127/128</x:v>
      </x:c>
    </x:row>
    <x:row r="6" ht="76" customHeight="1">
      <x:c r="A6" s="19" t="str">
        <x:v>W04</x:v>
      </x:c>
      <x:c r="B6" s="19" t="n">
        <x:v>1.2</x:v>
      </x:c>
      <x:c r="C6" s="19" t="n">
        <x:v>2.88</x:v>
      </x:c>
      <x:c r="D6" s="19" t="n">
        <x:f>B6*C6</x:f>
        <x:v>3.456</x:v>
      </x:c>
      <x:c r="E6" s="19" t="n">
        <x:v>0.15</x:v>
      </x:c>
      <x:c r="F6" s="19" t="n">
        <x:f>D6*(1+E6)</x:f>
        <x:v>3.9743999999999997</x:v>
      </x:c>
      <x:c r="G6" s="19" t="str">
        <x:v>KI-126</x:v>
      </x:c>
      <x:c r="H6" s="19" t="str">
        <x:v>R02 célbefoglaló; nyíláslevonás és kapcsolók helyszíni sablonnal</x:v>
      </x:c>
      <x:c r="I6" s="19" t="str">
        <x:v>0.25 kg/m² előirányzat; gyártói termékkiadósságra cserélendő</x:v>
      </x:c>
      <x:c r="J6" s="19" t="str">
        <x:v>helyi javítás, csiszolás, pormentesítés, alapozó, tapadáspróba; KI-127/128</x:v>
      </x:c>
    </x:row>
    <x:row r="7" ht="76" customHeight="1">
      <x:c r="A7" s="19" t="str">
        <x:v>MASTER</x:v>
      </x:c>
      <x:c r="B7" s="19" t="n">
        <x:v>2.7</x:v>
      </x:c>
      <x:c r="C7" s="19" t="n">
        <x:v>1.38</x:v>
      </x:c>
      <x:c r="D7" s="19" t="n">
        <x:f>B7*C7</x:f>
        <x:v>3.726</x:v>
      </x:c>
      <x:c r="E7" s="19" t="n">
        <x:v>0.15</x:v>
      </x:c>
      <x:c r="F7" s="19" t="n">
        <x:f>D7*(1+E7)</x:f>
        <x:v>4.2848999999999995</x:v>
      </x:c>
      <x:c r="G7" s="19" t="str">
        <x:v>KI-130</x:v>
      </x:c>
      <x:c r="H7" s="19" t="str">
        <x:v>R02 célbefoglaló; nyíláslevonás és kapcsolók helyszíni sablonnal</x:v>
      </x:c>
      <x:c r="I7" s="19" t="str">
        <x:v>0.25 kg/m² előirányzat; gyártói termékkiadósságra cserélendő</x:v>
      </x:c>
      <x:c r="J7" s="19" t="str">
        <x:v>helyi javítás, csiszolás, pormentesítés, alapozó, tapadáspróba; KI-127/128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20" hidden="0" customWidth="1"/>
    <x:col min="7" max="7" width="20" hidden="0" customWidth="1"/>
    <x:col min="8" max="8" width="22" hidden="0" customWidth="1"/>
    <x:col min="9" max="9" width="22" hidden="0" customWidth="1"/>
    <x:col min="10" max="10" width="25" hidden="0" customWidth="1"/>
    <x:col min="11" max="11" width="50" hidden="0" customWidth="1"/>
    <x:col min="12" max="12" width="50" hidden="0" customWidth="1"/>
  </x:cols>
  <x:sheetData>
    <x:row r="1" ht="45" customHeight="1">
      <x:c r="A1" s="42" t="str">
        <x:v>room</x:v>
      </x:c>
      <x:c r="B1" s="42" t="str">
        <x:v>opening_m</x:v>
      </x:c>
      <x:c r="C1" s="42" t="str">
        <x:v>rail_m</x:v>
      </x:c>
      <x:c r="D1" s="42" t="str">
        <x:v>drop_m</x:v>
      </x:c>
      <x:c r="E1" s="42" t="str">
        <x:v>hem_allowance_m</x:v>
      </x:c>
      <x:c r="F1" s="42" t="str">
        <x:v>sheer_width_m</x:v>
      </x:c>
      <x:c r="G1" s="42" t="str">
        <x:v>blackout_width_m</x:v>
      </x:c>
      <x:c r="H1" s="42" t="str">
        <x:v>sheer_order_m2</x:v>
      </x:c>
      <x:c r="I1" s="42" t="str">
        <x:v>blackout_order_m2</x:v>
      </x:c>
      <x:c r="J1" s="42" t="str">
        <x:v>cost</x:v>
      </x:c>
      <x:c r="K1" s="42" t="str">
        <x:v>stackback</x:v>
      </x:c>
      <x:c r="L1" s="42" t="str">
        <x:v>mount</x:v>
      </x:c>
    </x:row>
    <x:row r="2" ht="76" customHeight="1">
      <x:c r="A2" s="19" t="str">
        <x:v>04</x:v>
      </x:c>
      <x:c r="B2" s="19" t="n">
        <x:v>4.62</x:v>
      </x:c>
      <x:c r="C2" s="19" t="n">
        <x:v>5.02</x:v>
      </x:c>
      <x:c r="D2" s="19" t="n">
        <x:v>2.65</x:v>
      </x:c>
      <x:c r="E2" s="19" t="n">
        <x:v>0.25</x:v>
      </x:c>
      <x:c r="F2" s="19" t="n">
        <x:v>11.04</x:v>
      </x:c>
      <x:c r="G2" s="19" t="n">
        <x:v>9.04</x:v>
      </x:c>
      <x:c r="H2" s="19" t="n">
        <x:f>F2*(D2+E2)*1.05</x:f>
        <x:v>33.6168</x:v>
      </x:c>
      <x:c r="I2" s="19" t="n">
        <x:f>G2*(D2+E2)*1.05</x:f>
        <x:v>27.526799999999998</x:v>
      </x:c>
      <x:c r="J2" s="19" t="str">
        <x:v>KI-040–042</x:v>
      </x:c>
      <x:c r="K2" s="19" t="str">
        <x:v>20 cm/oldal cél, végleges a ráncolás/szövet alapján; ajtó és redőnyfedél szabad</x:v>
      </x:c>
      <x:c r="L2" s="19" t="str">
        <x:v>fali konzolos kétpályás sín; meglévő mennyezeti hűtő-fűtő mező megfúrása nélkül</x:v>
      </x:c>
    </x:row>
    <x:row r="3" ht="76" customHeight="1">
      <x:c r="A3" s="19" t="str">
        <x:v>05.1</x:v>
      </x:c>
      <x:c r="B3" s="19" t="n">
        <x:v>3.64</x:v>
      </x:c>
      <x:c r="C3" s="19" t="n">
        <x:v>4.04</x:v>
      </x:c>
      <x:c r="D3" s="19" t="n">
        <x:v>2.65</x:v>
      </x:c>
      <x:c r="E3" s="19" t="n">
        <x:v>0.25</x:v>
      </x:c>
      <x:c r="F3" s="19" t="n">
        <x:v>8.89</x:v>
      </x:c>
      <x:c r="G3" s="19" t="n">
        <x:v>7.27</x:v>
      </x:c>
      <x:c r="H3" s="19" t="n">
        <x:f>F3*(D3+E3)*1.05</x:f>
        <x:v>27.070050000000002</x:v>
      </x:c>
      <x:c r="I3" s="19" t="n">
        <x:f>G3*(D3+E3)*1.05</x:f>
        <x:v>22.13715</x:v>
      </x:c>
      <x:c r="J3" s="19" t="str">
        <x:v>KI-054–055</x:v>
      </x:c>
      <x:c r="K3" s="19" t="str">
        <x:v>20 cm/oldal cél, végleges a ráncolás/szövet alapján; ajtó és redőnyfedél szabad</x:v>
      </x:c>
      <x:c r="L3" s="19" t="str">
        <x:v>fali konzolos kétpályás sín; meglévő mennyezeti hűtő-fűtő mező megfúrása nélkül</x:v>
      </x:c>
    </x:row>
    <x:row r="4" ht="76" customHeight="1">
      <x:c r="A4" s="19" t="str">
        <x:v>05.2</x:v>
      </x:c>
      <x:c r="B4" s="19" t="n">
        <x:v>1.88</x:v>
      </x:c>
      <x:c r="C4" s="19" t="n">
        <x:v>2.28</x:v>
      </x:c>
      <x:c r="D4" s="19" t="n">
        <x:v>2.65</x:v>
      </x:c>
      <x:c r="E4" s="19" t="n">
        <x:v>0.25</x:v>
      </x:c>
      <x:c r="F4" s="19" t="n">
        <x:v>5.02</x:v>
      </x:c>
      <x:c r="G4" s="19" t="n">
        <x:v>4.1</x:v>
      </x:c>
      <x:c r="H4" s="19" t="n">
        <x:f>F4*(D4+E4)*1.05</x:f>
        <x:v>15.285899999999998</x:v>
      </x:c>
      <x:c r="I4" s="19" t="n">
        <x:f>G4*(D4+E4)*1.05</x:f>
        <x:v>12.484499999999999</x:v>
      </x:c>
      <x:c r="J4" s="19" t="str">
        <x:v>KI-065</x:v>
      </x:c>
      <x:c r="K4" s="19" t="str">
        <x:v>20 cm/oldal cél, végleges a ráncolás/szövet alapján; ajtó és redőnyfedél szabad</x:v>
      </x:c>
      <x:c r="L4" s="19" t="str">
        <x:v>fali konzolos kétpályás sín; meglévő mennyezeti hűtő-fűtő mező megfúrása nélkül</x:v>
      </x:c>
    </x:row>
    <x:row r="5" ht="76" customHeight="1">
      <x:c r="A5" s="19" t="str">
        <x:v>05.3</x:v>
      </x:c>
      <x:c r="B5" s="19" t="n">
        <x:v>1.92</x:v>
      </x:c>
      <x:c r="C5" s="19" t="n">
        <x:v>2.32</x:v>
      </x:c>
      <x:c r="D5" s="19" t="n">
        <x:v>2.65</x:v>
      </x:c>
      <x:c r="E5" s="19" t="n">
        <x:v>0.25</x:v>
      </x:c>
      <x:c r="F5" s="19" t="n">
        <x:v>5.1</x:v>
      </x:c>
      <x:c r="G5" s="19" t="n">
        <x:v>4.18</x:v>
      </x:c>
      <x:c r="H5" s="19" t="n">
        <x:f>F5*(D5+E5)*1.05</x:f>
        <x:v>15.5295</x:v>
      </x:c>
      <x:c r="I5" s="19" t="n">
        <x:f>G5*(D5+E5)*1.05</x:f>
        <x:v>12.728099999999998</x:v>
      </x:c>
      <x:c r="J5" s="19" t="str">
        <x:v>KI-077</x:v>
      </x:c>
      <x:c r="K5" s="19" t="str">
        <x:v>20 cm/oldal cél, végleges a ráncolás/szövet alapján; ajtó és redőnyfedél szabad</x:v>
      </x:c>
      <x:c r="L5" s="19" t="str">
        <x:v>fali konzolos kétpályás sín; meglévő mennyezeti hűtő-fűtő mező megfúrása nélkül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42" hidden="0" customWidth="1"/>
    <x:col min="3" max="3" width="35" hidden="0" customWidth="1"/>
    <x:col min="4" max="4" width="20" hidden="0" customWidth="1"/>
    <x:col min="5" max="5" width="90" hidden="0" customWidth="1"/>
    <x:col min="6" max="6" width="18" hidden="0" customWidth="1"/>
  </x:cols>
  <x:sheetData>
    <x:row r="1" ht="45" customHeight="1">
      <x:c r="A1" s="42" t="str">
        <x:v>id</x:v>
      </x:c>
      <x:c r="B1" s="42" t="str">
        <x:v>issue</x:v>
      </x:c>
      <x:c r="C1" s="42" t="str">
        <x:v>owner</x:v>
      </x:c>
      <x:c r="D1" s="42" t="str">
        <x:v>gate</x:v>
      </x:c>
      <x:c r="E1" s="42" t="str">
        <x:v>detail</x:v>
      </x:c>
      <x:c r="F1" s="42" t="str">
        <x:v>status</x:v>
      </x:c>
    </x:row>
    <x:row r="2" ht="76" customHeight="1">
      <x:c r="A2" s="19" t="str">
        <x:v>D01</x:v>
      </x:c>
      <x:c r="B2" s="19" t="str">
        <x:v>Teljes költség és változat</x:v>
      </x:c>
      <x:c r="C2" s="19" t="str">
        <x:v>Tulajdonos</x:v>
      </x:c>
      <x:c r="D2" s="19" t="str">
        <x:v>T05</x:v>
      </x:c>
      <x:c r="E2" s="19" t="str">
        <x:v>Fő 20554190 Ft; optimalizált 19899690 Ft; mindkettő &gt;18 M. Megtakarítások csak ajánlattal igazolhatók.</x:v>
      </x:c>
      <x:c r="F2" s="19" t="str">
        <x:v>NYITOTT</x:v>
      </x:c>
    </x:row>
    <x:row r="3" ht="76" customHeight="1">
      <x:c r="A3" s="19" t="str">
        <x:v>D02</x:v>
      </x:c>
      <x:c r="B3" s="19" t="str">
        <x:v>Vizuális anyag- és mintaválasztás</x:v>
      </x:c>
      <x:c r="C3" s="19" t="str">
        <x:v>Tulajdonos + tervező</x:v>
      </x:c>
      <x:c r="D3" s="19" t="str">
        <x:v>T03</x:v>
      </x:c>
      <x:c r="E3" s="19" t="str">
        <x:v>W01/W02 textil vs síknyomat; FADO gömb mérete; Enrave lapos búra; gardróbnyomat felülete.</x:v>
      </x:c>
      <x:c r="F3" s="19" t="str">
        <x:v>NYITOTT</x:v>
      </x:c>
    </x:row>
    <x:row r="4" ht="76" customHeight="1">
      <x:c r="A4" s="19" t="str">
        <x:v>D03</x:v>
      </x:c>
      <x:c r="B4" s="19" t="str">
        <x:v>Hálók használata és terasz feltételei</x:v>
      </x:c>
      <x:c r="C4" s="19" t="str">
        <x:v>Tulajdonos + felmérő/statikus</x:v>
      </x:c>
      <x:c r="D4" s="19" t="str">
        <x:v>T01–T02</x:v>
      </x:c>
      <x:c r="E4" s="19" t="str">
        <x:v>05.2 160 cm ágy egyoldali főmegközelítéssel;05.3 180 cm megtartva, sekély gardrób; jakuzzi2M bent marad.</x:v>
      </x:c>
      <x:c r="F4" s="19" t="str">
        <x:v>NYITOTT</x:v>
      </x:c>
    </x:row>
    <x:row r="5" ht="76" customHeight="1">
      <x:c r="A5" s="19" t="str">
        <x:v>G01</x:v>
      </x:c>
      <x:c r="B5" s="19" t="str">
        <x:v>Konyha 840–860 mm folyosó</x:v>
      </x:c>
      <x:c r="C5" s="19" t="str">
        <x:v>Konyhatervező</x:v>
      </x:c>
      <x:c r="D5" s="19" t="str">
        <x:v>T07</x:v>
      </x:c>
      <x:c r="E5" s="19" t="str">
        <x:v>900 mm célt nem teljesíti; pultmélység/gépek gyári szellőzése szerint vizsgálni. Nem szabad a szobát nyújtani.</x:v>
      </x:c>
      <x:c r="F5" s="19" t="str">
        <x:v>NYITOTT</x:v>
      </x:c>
    </x:row>
    <x:row r="6" ht="76" customHeight="1">
      <x:c r="A6" s="19" t="str">
        <x:v>G02</x:v>
      </x:c>
      <x:c r="B6" s="19" t="str">
        <x:v>Elszívó a nyugati félfal fölött</x:v>
      </x:c>
      <x:c r="C6" s="19" t="str">
        <x:v>Gépész/villanyszerelő</x:v>
      </x:c>
      <x:c r="D6" s="19" t="str">
        <x:v>T02</x:v>
      </x:c>
      <x:c r="E6" s="19" t="str">
        <x:v>Mennyezeti hűtőmező, meglévő csatorna és D05 kapcsolata nincs feltárva; kivezetés vagy keringtetés döntés.</x:v>
      </x:c>
      <x:c r="F6" s="19" t="str">
        <x:v>NYITOTT</x:v>
      </x:c>
    </x:row>
    <x:row r="7" ht="76" customHeight="1">
      <x:c r="A7" s="19" t="str">
        <x:v>G03</x:v>
      </x:c>
      <x:c r="B7" s="19" t="str">
        <x:v>Terasz tolómező + küszöb</x:v>
      </x:c>
      <x:c r="C7" s="19" t="str">
        <x:v>Felmérő</x:v>
      </x:c>
      <x:c r="D7" s="19" t="str">
        <x:v>T01</x:v>
      </x:c>
      <x:c r="E7" s="19" t="str">
        <x:v>KZS_3726 fotón tényleges fellépés;120mm modelljelző nem mért érték.</x:v>
      </x:c>
      <x:c r="F7" s="19" t="str">
        <x:v>NYITOTT</x:v>
      </x:c>
    </x:row>
    <x:row r="8" ht="76" customHeight="1">
      <x:c r="A8" s="19" t="str">
        <x:v>G04</x:v>
      </x:c>
      <x:c r="B8" s="19" t="str">
        <x:v>Gyári bútorazonosság és nyitások</x:v>
      </x:c>
      <x:c r="C8" s="19" t="str">
        <x:v>Beszállító/Blender operátor</x:v>
      </x:c>
      <x:c r="D8" s="19" t="str">
        <x:v>T07</x:v>
      </x:c>
      <x:c r="E8" s="19" t="str">
        <x:v>Lennon kéz/modulrajz, NORDLI fiókút, Eamy térdhely, lámpaizzó-beférés; méretproxy nem hiteles termékmesh.</x:v>
      </x:c>
      <x:c r="F8" s="19" t="str">
        <x:v>NYITOTT</x:v>
      </x:c>
    </x:row>
    <x:row r="9" ht="76" customHeight="1">
      <x:c r="A9" s="19" t="str">
        <x:v>G05</x:v>
      </x:c>
      <x:c r="B9" s="19" t="str">
        <x:v>Vizes helyiségek</x:v>
      </x:c>
      <x:c r="C9" s="19" t="str">
        <x:v>Vízszerelő/üveges/villanyszerelő</x:v>
      </x:c>
      <x:c r="D9" s="19" t="str">
        <x:v>T02</x:v>
      </x:c>
      <x:c r="E9" s="19" t="str">
        <x:v>Meglévő Smyle kerámia beépíthetősége; zuhanyüveg méret/rögzítés; védelem/zónák és táphely.</x:v>
      </x:c>
      <x:c r="F9" s="19" t="str">
        <x:v>NYITOTT</x:v>
      </x:c>
    </x:row>
    <x:row r="10" ht="76" customHeight="1">
      <x:c r="A10" s="19" t="str">
        <x:v>G06</x:v>
      </x:c>
      <x:c r="B10" s="19" t="str">
        <x:v>Terasz statika/logisztika</x:v>
      </x:c>
      <x:c r="C10" s="19" t="str">
        <x:v>Statikus/üzemeltető</x:v>
      </x:c>
      <x:c r="D10" s="19" t="str">
        <x:v>T02</x:v>
      </x:c>
      <x:c r="E10" s="19" t="str">
        <x:v>Töltött jakuzzi tömege/terhe, szélállóság, vízszigetelés, daruzás és lefolyók.</x:v>
      </x:c>
      <x:c r="F10" s="19" t="str">
        <x:v>NYITOTT</x:v>
      </x:c>
    </x:row>
    <x:row r="11" ht="76" customHeight="1">
      <x:c r="A11" s="19" t="str">
        <x:v>G07</x:v>
      </x:c>
      <x:c r="B11" s="19" t="str">
        <x:v>Nem lezárt termékspecifikációk</x:v>
      </x:c>
      <x:c r="C11" s="19" t="str">
        <x:v>Beszerző</x:v>
      </x:c>
      <x:c r="D11" s="19" t="str">
        <x:v>T04</x:v>
      </x:c>
      <x:c r="E11" s="19" t="str">
        <x:v>Elszívó, mosogató/csap, konkrét kültéri főcsalád, teljes Hue SKU-k és textilmárkák még hiányosak; Bosch gépek és Samsung TV típusa/mérete kutatva, ár és HU elérhetőség nem igazolt.</x:v>
      </x:c>
      <x:c r="F11" s="19" t="str">
        <x:v>NYITOTT</x:v>
      </x:c>
    </x:row>
    <x:row r="12" ht="76" customHeight="1">
      <x:c r="A12" s="19" t="str">
        <x:v>G08</x:v>
      </x:c>
      <x:c r="B12" s="19" t="str">
        <x:v>Teljes ellenőrzés korlátja</x:v>
      </x:c>
      <x:c r="C12" s="19" t="str">
        <x:v>Tervező/Blender operátor</x:v>
      </x:c>
      <x:c r="D12" s="19" t="str">
        <x:v>T07</x:v>
      </x:c>
      <x:c r="E12" s="19" t="str">
        <x:v>Belső és erkélyajtó-söprés lefutott;05.2 DS52/szék ütközik. Hat étkezőszék37cm eltolása lefutott. Minden fiók, gépajtó és teljes útvonal gráfja még nem teljes. Nincs végleges renderengedély.</x:v>
      </x:c>
      <x:c r="F12" s="19" t="str">
        <x:v>NYITOTT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50" hidden="0" customWidth="1"/>
    <x:col min="3" max="3" width="18" hidden="0" customWidth="1"/>
    <x:col min="4" max="4" width="18" hidden="0" customWidth="1"/>
    <x:col min="5" max="5" width="28" hidden="0" customWidth="1"/>
    <x:col min="6" max="6" width="24" hidden="0" customWidth="1"/>
    <x:col min="7" max="7" width="90" hidden="0" customWidth="1"/>
  </x:cols>
  <x:sheetData>
    <x:row r="1" ht="45" customHeight="1">
      <x:c r="A1" s="42" t="str">
        <x:v>id</x:v>
      </x:c>
      <x:c r="B1" s="42" t="str">
        <x:v>name</x:v>
      </x:c>
      <x:c r="C1" s="42" t="str">
        <x:v>start_week</x:v>
      </x:c>
      <x:c r="D1" s="42" t="str">
        <x:v>end_week</x:v>
      </x:c>
      <x:c r="E1" s="42" t="str">
        <x:v>predecessors</x:v>
      </x:c>
      <x:c r="F1" s="42" t="str">
        <x:v>decision_latest_week</x:v>
      </x:c>
      <x:c r="G1" s="42" t="str">
        <x:v>risk</x:v>
      </x:c>
    </x:row>
    <x:row r="2" ht="76" customHeight="1">
      <x:c r="A2" s="19" t="str">
        <x:v>T01</x:v>
      </x:c>
      <x:c r="B2" s="19" t="str">
        <x:v>Felmérés + fotó/kiállásjegyzőkönyv</x:v>
      </x:c>
      <x:c r="C2" s="19" t="n">
        <x:v>0</x:v>
      </x:c>
      <x:c r="D2" s="19" t="n">
        <x:v>2</x:v>
      </x:c>
      <x:c r="E2" s="19" t="str"/>
      <x:c r="F2" s="19" t="n">
        <x:v>1</x:v>
      </x:c>
      <x:c r="G2" s="19" t="str">
        <x:v>Kész falsíkok, küszöb, redőnyfedél, padlószint nélkül nincs gyártási méret</x:v>
      </x:c>
    </x:row>
    <x:row r="3" ht="76" customHeight="1">
      <x:c r="A3" s="19" t="str">
        <x:v>T02</x:v>
      </x:c>
      <x:c r="B3" s="19" t="str">
        <x:v>Villamos/víz/statika ellenőrzés</x:v>
      </x:c>
      <x:c r="C3" s="19" t="n">
        <x:v>0</x:v>
      </x:c>
      <x:c r="D3" s="19" t="n">
        <x:v>3</x:v>
      </x:c>
      <x:c r="E3" s="19" t="str">
        <x:v>T01</x:v>
      </x:c>
      <x:c r="F3" s="19" t="n">
        <x:v>2</x:v>
      </x:c>
      <x:c r="G3" s="19" t="str">
        <x:v>Teraszterhelés és elszívóút késése blokkolja a kapcsolódó megrendelést</x:v>
      </x:c>
    </x:row>
    <x:row r="4" ht="76" customHeight="1">
      <x:c r="A4" s="19" t="str">
        <x:v>T03</x:v>
      </x:c>
      <x:c r="B4" s="19" t="str">
        <x:v>Anyagminták, textil és próbanyomat</x:v>
      </x:c>
      <x:c r="C4" s="19" t="n">
        <x:v>1</x:v>
      </x:c>
      <x:c r="D4" s="19" t="n">
        <x:v>3</x:v>
      </x:c>
      <x:c r="E4" s="19" t="str">
        <x:v>T01</x:v>
      </x:c>
      <x:c r="F4" s="19" t="n">
        <x:v>2</x:v>
      </x:c>
      <x:c r="G4" s="19" t="str">
        <x:v>Szín/nyomat/joint jóváhagyás nélkül frontgyártás nem indul</x:v>
      </x:c>
    </x:row>
    <x:row r="5" ht="76" customHeight="1">
      <x:c r="A5" s="19" t="str">
        <x:v>T04</x:v>
      </x:c>
      <x:c r="B5" s="19" t="str">
        <x:v>Azonos tartalmú szakági ajánlatok</x:v>
      </x:c>
      <x:c r="C5" s="19" t="n">
        <x:v>2</x:v>
      </x:c>
      <x:c r="D5" s="19" t="n">
        <x:v>4</x:v>
      </x:c>
      <x:c r="E5" s="19" t="str">
        <x:v>T01,T02,T03</x:v>
      </x:c>
      <x:c r="F5" s="19" t="n">
        <x:v>3</x:v>
      </x:c>
      <x:c r="G5" s="19" t="str">
        <x:v>Ár és műszaki kizárások egyeztetése</x:v>
      </x:c>
    </x:row>
    <x:row r="6" ht="76" customHeight="1">
      <x:c r="A6" s="19" t="str">
        <x:v>T05</x:v>
      </x:c>
      <x:c r="B6" s="19" t="str">
        <x:v>Tulajdonosi választás, keretlezárás</x:v>
      </x:c>
      <x:c r="C6" s="19" t="n">
        <x:v>4</x:v>
      </x:c>
      <x:c r="D6" s="19" t="n">
        <x:v>5</x:v>
      </x:c>
      <x:c r="E6" s="19" t="str">
        <x:v>T04</x:v>
      </x:c>
      <x:c r="F6" s="19" t="n">
        <x:v>4</x:v>
      </x:c>
      <x:c r="G6" s="19" t="str">
        <x:v>18 M feletti tartalom nincs automatikusan engedélyezve</x:v>
      </x:c>
    </x:row>
    <x:row r="7" ht="76" customHeight="1">
      <x:c r="A7" s="19" t="str">
        <x:v>T06</x:v>
      </x:c>
      <x:c r="B7" s="19" t="str">
        <x:v>Hosszú átfutású termékek rendelése</x:v>
      </x:c>
      <x:c r="C7" s="19" t="n">
        <x:v>5</x:v>
      </x:c>
      <x:c r="D7" s="19" t="n">
        <x:v>14</x:v>
      </x:c>
      <x:c r="E7" s="19" t="str">
        <x:v>T05</x:v>
      </x:c>
      <x:c r="F7" s="19" t="n">
        <x:v>5</x:v>
      </x:c>
      <x:c r="G7" s="19" t="str">
        <x:v>Csak külön tulajdonosi rendelési engedéllyel; Lennon örökölt8–9hét nem ígéret</x:v>
      </x:c>
    </x:row>
    <x:row r="8" ht="76" customHeight="1">
      <x:c r="A8" s="19" t="str">
        <x:v>T07</x:v>
      </x:c>
      <x:c r="B8" s="19" t="str">
        <x:v>Gyártói felmérési rajz és jóváhagyás</x:v>
      </x:c>
      <x:c r="C8" s="19" t="n">
        <x:v>4</x:v>
      </x:c>
      <x:c r="D8" s="19" t="n">
        <x:v>6</x:v>
      </x:c>
      <x:c r="E8" s="19" t="str">
        <x:v>T04,T05</x:v>
      </x:c>
      <x:c r="F8" s="19" t="n">
        <x:v>5</x:v>
      </x:c>
      <x:c r="G8" s="19" t="str">
        <x:v>R02 ajánlati lapokból nem lehet közvetlenül gyártani</x:v>
      </x:c>
    </x:row>
    <x:row r="9" ht="76" customHeight="1">
      <x:c r="A9" s="19" t="str">
        <x:v>T08</x:v>
      </x:c>
      <x:c r="B9" s="19" t="str">
        <x:v>Egyedi bútor/front gyártás</x:v>
      </x:c>
      <x:c r="C9" s="19" t="n">
        <x:v>6</x:v>
      </x:c>
      <x:c r="D9" s="19" t="n">
        <x:v>12</x:v>
      </x:c>
      <x:c r="E9" s="19" t="str">
        <x:v>T07</x:v>
      </x:c>
      <x:c r="F9" s="19" t="n">
        <x:v>6</x:v>
      </x:c>
      <x:c r="G9" s="19" t="str">
        <x:v>6hét feltételezés; gyártó visszaigazolása kell</x:v>
      </x:c>
    </x:row>
    <x:row r="10" ht="76" customHeight="1">
      <x:c r="A10" s="19" t="str">
        <x:v>T09</x:v>
      </x:c>
      <x:c r="B10" s="19" t="str">
        <x:v>Védelem, villamos/víz előkészítés</x:v>
      </x:c>
      <x:c r="C10" s="19" t="n">
        <x:v>6</x:v>
      </x:c>
      <x:c r="D10" s="19" t="n">
        <x:v>8</x:v>
      </x:c>
      <x:c r="E10" s="19" t="str">
        <x:v>T02,T05</x:v>
      </x:c>
      <x:c r="F10" s="19" t="n">
        <x:v>6</x:v>
      </x:c>
      <x:c r="G10" s="19" t="str">
        <x:v>Szakágilag igazolt nyomvonalak szerint</x:v>
      </x:c>
    </x:row>
    <x:row r="11" ht="76" customHeight="1">
      <x:c r="A11" s="19" t="str">
        <x:v>T10</x:v>
      </x:c>
      <x:c r="B11" s="19" t="str">
        <x:v>Faljavítás, tapéta/panel alap</x:v>
      </x:c>
      <x:c r="C11" s="19" t="n">
        <x:v>8</x:v>
      </x:c>
      <x:c r="D11" s="19" t="n">
        <x:v>10</x:v>
      </x:c>
      <x:c r="E11" s="19" t="str">
        <x:v>T09,T03</x:v>
      </x:c>
      <x:c r="F11" s="19" t="n">
        <x:v>8</x:v>
      </x:c>
      <x:c r="G11" s="19" t="str">
        <x:v>Száradási idő és próbafelület nélkül nem burkolható</x:v>
      </x:c>
    </x:row>
    <x:row r="12" ht="76" customHeight="1">
      <x:c r="A12" s="19" t="str">
        <x:v>T11</x:v>
      </x:c>
      <x:c r="B12" s="19" t="str">
        <x:v>Bútorbeépítés és gépek</x:v>
      </x:c>
      <x:c r="C12" s="19" t="n">
        <x:v>12</x:v>
      </x:c>
      <x:c r="D12" s="19" t="n">
        <x:v>14</x:v>
      </x:c>
      <x:c r="E12" s="19" t="str">
        <x:v>T08,T10,T06</x:v>
      </x:c>
      <x:c r="F12" s="19" t="n">
        <x:v>12</x:v>
      </x:c>
      <x:c r="G12" s="19" t="str">
        <x:v>Felhordási nyílások és liftméretek előre mérendők</x:v>
      </x:c>
    </x:row>
    <x:row r="13" ht="76" customHeight="1">
      <x:c r="A13" s="19" t="str">
        <x:v>T12</x:v>
      </x:c>
      <x:c r="B13" s="19" t="str">
        <x:v>Üveg, textilek, terasz</x:v>
      </x:c>
      <x:c r="C13" s="19" t="n">
        <x:v>13</x:v>
      </x:c>
      <x:c r="D13" s="19" t="n">
        <x:v>15</x:v>
      </x:c>
      <x:c r="E13" s="19" t="str">
        <x:v>T11,T02</x:v>
      </x:c>
      <x:c r="F13" s="19" t="n">
        <x:v>13</x:v>
      </x:c>
      <x:c r="G13" s="19" t="str">
        <x:v>Üveg végleges mérete beépítés után; szél/daruzás külső kockázat</x:v>
      </x:c>
    </x:row>
    <x:row r="14" ht="76" customHeight="1">
      <x:c r="A14" s="19" t="str">
        <x:v>T13</x:v>
      </x:c>
      <x:c r="B14" s="19" t="str">
        <x:v>Világításprogramozás, próbaüzem</x:v>
      </x:c>
      <x:c r="C14" s="19" t="n">
        <x:v>15</x:v>
      </x:c>
      <x:c r="D14" s="19" t="n">
        <x:v>16</x:v>
      </x:c>
      <x:c r="E14" s="19" t="str">
        <x:v>T11,T12</x:v>
      </x:c>
      <x:c r="F14" s="19" t="n">
        <x:v>15</x:v>
      </x:c>
      <x:c r="G14" s="19" t="str">
        <x:v>Fénypróba, szivárgás, frontnyitás, szervizelés</x:v>
      </x:c>
    </x:row>
    <x:row r="15" ht="76" customHeight="1">
      <x:c r="A15" s="19" t="str">
        <x:v>T14</x:v>
      </x:c>
      <x:c r="B15" s="19" t="str">
        <x:v>Hibajavítás és átadás</x:v>
      </x:c>
      <x:c r="C15" s="19" t="n">
        <x:v>16</x:v>
      </x:c>
      <x:c r="D15" s="19" t="n">
        <x:v>17</x:v>
      </x:c>
      <x:c r="E15" s="19" t="str">
        <x:v>T13</x:v>
      </x:c>
      <x:c r="F15" s="19" t="n">
        <x:v>16</x:v>
      </x:c>
      <x:c r="G15" s="19" t="str">
        <x:v>Átadási leltár, garancia, kezelési útmutatók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45" hidden="0" customWidth="1"/>
    <x:col min="3" max="3" width="30" hidden="0" customWidth="1"/>
    <x:col min="4" max="4" width="45" hidden="0" customWidth="1"/>
    <x:col min="5" max="5" width="20" hidden="0" customWidth="1"/>
    <x:col min="6" max="6" width="22" hidden="0" customWidth="1"/>
    <x:col min="7" max="7" width="50" hidden="0" customWidth="1"/>
    <x:col min="8" max="8" width="80" hidden="0" customWidth="1"/>
    <x:col min="9" max="9" width="20" hidden="0" customWidth="1"/>
    <x:col min="10" max="10" width="70" hidden="0" customWidth="1"/>
    <x:col min="11" max="11" width="35" hidden="0" customWidth="1"/>
    <x:col min="12" max="12" width="60" hidden="0" customWidth="1"/>
  </x:cols>
  <x:sheetData>
    <x:row r="1" ht="45" customHeight="1">
      <x:c r="A1" s="42" t="str">
        <x:v>elem</x:v>
      </x:c>
      <x:c r="B1" s="42" t="str">
        <x:v>name</x:v>
      </x:c>
      <x:c r="C1" s="42" t="str">
        <x:v>sku</x:v>
      </x:c>
      <x:c r="D1" s="42" t="str">
        <x:v>dimensions</x:v>
      </x:c>
      <x:c r="E1" s="42" t="str">
        <x:v>price_huf</x:v>
      </x:c>
      <x:c r="F1" s="42" t="str">
        <x:v>additional_allowance_huf</x:v>
      </x:c>
      <x:c r="G1" s="42" t="str">
        <x:v>price_evidence</x:v>
      </x:c>
      <x:c r="H1" s="42" t="str">
        <x:v>url</x:v>
      </x:c>
      <x:c r="I1" s="42" t="str">
        <x:v>checked</x:v>
      </x:c>
      <x:c r="J1" s="42" t="str">
        <x:v>deviation</x:v>
      </x:c>
      <x:c r="K1" s="42" t="str">
        <x:v>availability</x:v>
      </x:c>
      <x:c r="L1" s="42" t="str">
        <x:v>product_photo</x:v>
      </x:c>
    </x:row>
    <x:row r="2" ht="76" customHeight="1">
      <x:c r="A2" s="19" t="str">
        <x:v>KI-058</x:v>
      </x:c>
      <x:c r="B2" s="19" t="str">
        <x:v>SLATTUM Vissle sötétszürke 160×200</x:v>
      </x:c>
      <x:c r="C2" s="19" t="str">
        <x:v>405.712.48</x:v>
      </x:c>
      <x:c r="D2" s="19" t="str">
        <x:v>1640×2060×850 mm</x:v>
      </x:c>
      <x:c r="E2" s="19" t="n">
        <x:v>54990</x:v>
      </x:c>
      <x:c r="F2" s="19" t="n">
        <x:v>0</x:v>
      </x:c>
      <x:c r="G2" s="19" t="str">
        <x:v>webes termékoldal, nem lekötött ár</x:v>
      </x:c>
      <x:c r="H2" s="19" t="str">
        <x:v>https://www.ikea.com/hu/hu/p/slattum-karpitozott-agykeret-vissle-soetetszuerke-40571248/</x:v>
      </x:c>
      <x:c r="I2" s="19" t="str">
        <x:v>2026-10-26</x:v>
      </x:c>
      <x:c r="J2" s="19" t="str">
        <x:v>Új 05.2 terv; ágyrács része a csomagnak. Alacsonyabb, egyszerűbb varrású, mint master.</x:v>
      </x:c>
      <x:c r="K2" s="19" t="str">
        <x:v>címre nem igazolt</x:v>
      </x:c>
      <x:c r="L2" s="19" t="str">
        <x:v>termékoldal képei; letölthető gyártói referencia még nincs csomagolva</x:v>
      </x:c>
    </x:row>
    <x:row r="3" ht="76" customHeight="1">
      <x:c r="A3" s="19" t="str">
        <x:v>KI-074</x:v>
      </x:c>
      <x:c r="B3" s="19" t="str">
        <x:v>TROTTEN kőris hatású/fehér</x:v>
      </x:c>
      <x:c r="C3" s="19" t="str">
        <x:v>196.219.19</x:v>
      </x:c>
      <x:c r="D3" s="19" t="str">
        <x:v>1200×700×750 mm</x:v>
      </x:c>
      <x:c r="E3" s="19" t="n">
        <x:v>39990</x:v>
      </x:c>
      <x:c r="F3" s="19" t="n">
        <x:v>0</x:v>
      </x:c>
      <x:c r="G3" s="19" t="str">
        <x:v>webes termékoldal, nem lekötött ár</x:v>
      </x:c>
      <x:c r="H3" s="19" t="str">
        <x:v>https://www.ikea.com/hu/hu/p/trotten-iroasztal-koris-hatasu-feher-s19621919/</x:v>
      </x:c>
      <x:c r="I3" s="19" t="str">
        <x:v>2026-10-26</x:v>
      </x:c>
      <x:c r="J3" s="19" t="str">
        <x:v>05.3 új terv; világos fa az étkezővel rokon, fehér fém láb eltér a grafittól.</x:v>
      </x:c>
      <x:c r="K3" s="19" t="str">
        <x:v>címre nem igazolt</x:v>
      </x:c>
      <x:c r="L3" s="19" t="str">
        <x:v>termékoldal képei; letölthető gyártói referencia még nincs csomagolva</x:v>
      </x:c>
    </x:row>
    <x:row r="4" ht="76" customHeight="1">
      <x:c r="A4" s="19" t="str">
        <x:v>KI-063</x:v>
      </x:c>
      <x:c r="B4" s="19" t="str">
        <x:v>FLINTAN bézs karfa nélkül</x:v>
      </x:c>
      <x:c r="C4" s="19" t="str">
        <x:v>704.922.02</x:v>
      </x:c>
      <x:c r="D4" s="19" t="str">
        <x:v>710×710×max1140 mm</x:v>
      </x:c>
      <x:c r="E4" s="19" t="n">
        <x:v>24990</x:v>
      </x:c>
      <x:c r="F4" s="19" t="n">
        <x:v>0</x:v>
      </x:c>
      <x:c r="G4" s="19" t="str">
        <x:v>webes termékoldal, nem lekötött ár</x:v>
      </x:c>
      <x:c r="H4" s="19" t="str">
        <x:v>https://www.ikea.com/hu/hu/p/flintan-irodai-szek-bezs-70492202/</x:v>
      </x:c>
      <x:c r="I4" s="19" t="str">
        <x:v>2026-10-26</x:v>
      </x:c>
      <x:c r="J4" s="19" t="str">
        <x:v>Működő munkaszék; hálós háttámla funkcionális, nem Eamy sziluett.</x:v>
      </x:c>
      <x:c r="K4" s="19" t="str">
        <x:v>címre nem igazolt</x:v>
      </x:c>
      <x:c r="L4" s="19" t="str">
        <x:v>termékoldal képei; letölthető gyártói referencia még nincs csomagolva</x:v>
      </x:c>
    </x:row>
    <x:row r="5" ht="76" customHeight="1">
      <x:c r="A5" s="19" t="str">
        <x:v>KI-075</x:v>
      </x:c>
      <x:c r="B5" s="19" t="str">
        <x:v>FLINTAN bézs karfa nélkül</x:v>
      </x:c>
      <x:c r="C5" s="19" t="str">
        <x:v>704.922.02</x:v>
      </x:c>
      <x:c r="D5" s="19" t="str">
        <x:v>710×710×max1140 mm</x:v>
      </x:c>
      <x:c r="E5" s="19" t="n">
        <x:v>24990</x:v>
      </x:c>
      <x:c r="F5" s="19" t="n">
        <x:v>0</x:v>
      </x:c>
      <x:c r="G5" s="19" t="str">
        <x:v>webes termékoldal, nem lekötött ár</x:v>
      </x:c>
      <x:c r="H5" s="19" t="str">
        <x:v>https://www.ikea.com/hu/hu/p/flintan-irodai-szek-bezs-70492202/</x:v>
      </x:c>
      <x:c r="I5" s="19" t="str">
        <x:v>2026-10-26</x:v>
      </x:c>
      <x:c r="J5" s="19" t="str">
        <x:v>Működő munkaszék; hálós háttámla funkcionális, nem Eamy sziluett.</x:v>
      </x:c>
      <x:c r="K5" s="19" t="str">
        <x:v>címre nem igazolt</x:v>
      </x:c>
      <x:c r="L5" s="19" t="str">
        <x:v>termékoldal képei; letölthető gyártói referencia még nincs csomagolva</x:v>
      </x:c>
    </x:row>
    <x:row r="6" ht="76" customHeight="1">
      <x:c r="A6" s="19" t="str">
        <x:v>KI-117</x:v>
      </x:c>
      <x:c r="B6" s="19" t="str">
        <x:v>2×FADO fehér opálgömb + 2×Hue E27</x:v>
      </x:c>
      <x:c r="C6" s="19" t="str">
        <x:v>800.963.72 + Hue E27 variáns PENDING</x:v>
      </x:c>
      <x:c r="D6" s="19" t="str">
        <x:v>Ø250×240 mm; 2 darab</x:v>
      </x:c>
      <x:c r="E6" s="19" t="n">
        <x:v>11980</x:v>
      </x:c>
      <x:c r="F6" s="19" t="n">
        <x:v>24000</x:v>
      </x:c>
      <x:c r="G6" s="19" t="str">
        <x:v>webes termékoldal, nem lekötött ár</x:v>
      </x:c>
      <x:c r="H6" s="19" t="str">
        <x:v>https://www.ikea.com/hu/hu/p/fado-asztali-lampa-feher-80096372/</x:v>
      </x:c>
      <x:c r="I6" s="19" t="str">
        <x:v>2026-10-26</x:v>
      </x:c>
      <x:c r="J6" s="19" t="str">
        <x:v>2×5990 Ft igazolt test + 24000 Ft becsült Hue izzópár. A célképnél nagyobb gömb, nincs magas fém talp. Beférés próba kötelező.</x:v>
      </x:c>
      <x:c r="K6" s="19" t="str">
        <x:v>címre nem igazolt</x:v>
      </x:c>
      <x:c r="L6" s="19" t="str">
        <x:v>termékoldal képei; letölthető gyártói referencia még nincs csomagolva</x:v>
      </x:c>
    </x:row>
    <x:row r="7" ht="76" customHeight="1">
      <x:c r="A7" s="19" t="str">
        <x:v>KI-016</x:v>
      </x:c>
      <x:c r="B7" s="19" t="str">
        <x:v>Bosch HBA534EB3 fekete sütő</x:v>
      </x:c>
      <x:c r="C7" s="19" t="str">
        <x:v>HBA534EB3</x:v>
      </x:c>
      <x:c r="D7" s="19" t="str">
        <x:v>594×548×595 mm; niche 560–568×550×585–595</x:v>
      </x:c>
      <x:c r="E7" s="19" t="n">
        <x:v>180000</x:v>
      </x:c>
      <x:c r="F7" s="19" t="n">
        <x:v>0</x:v>
      </x:c>
      <x:c r="G7" s="19" t="str">
        <x:v>tervezői becslés; gyári méret ellenőrizve</x:v>
      </x:c>
      <x:c r="H7" s="19" t="str">
        <x:v>https://media3.bsh-group.com/Documents/specsheet/en-MT/HBA534EB3.pdf</x:v>
      </x:c>
      <x:c r="I7" s="19" t="str">
        <x:v>2026-10-26</x:v>
      </x:c>
      <x:c r="J7" s="19" t="str">
        <x:v>Fekete üveg az egyeztetett toronyban; pirolízis helyett EcoClean.</x:v>
      </x:c>
      <x:c r="K7" s="19" t="str">
        <x:v>címre nem igazolt</x:v>
      </x:c>
      <x:c r="L7" s="19" t="str">
        <x:v>termékoldal képei; letölthető gyártói referencia még nincs csomagolva</x:v>
      </x:c>
    </x:row>
    <x:row r="8" ht="76" customHeight="1">
      <x:c r="A8" s="19" t="str">
        <x:v>KI-017</x:v>
      </x:c>
      <x:c r="B8" s="19" t="str">
        <x:v>Bosch PUE611BB5E indukciós főzőlap</x:v>
      </x:c>
      <x:c r="C8" s="19" t="str">
        <x:v>PUE611BB5E</x:v>
      </x:c>
      <x:c r="D8" s="19" t="str">
        <x:v>592×522×51 mm; kivágás 560×490–500</x:v>
      </x:c>
      <x:c r="E8" s="19" t="n">
        <x:v>120000</x:v>
      </x:c>
      <x:c r="F8" s="19" t="n">
        <x:v>0</x:v>
      </x:c>
      <x:c r="G8" s="19" t="str">
        <x:v>tervezői becslés; gyári méret ellenőrizve</x:v>
      </x:c>
      <x:c r="H8" s="19" t="str">
        <x:v>https://media3.bosch-home.com/Documents/specsheet/en-GB/PUE611BB5E.pdf</x:v>
      </x:c>
      <x:c r="I8" s="19" t="str">
        <x:v>2026-10-26</x:v>
      </x:c>
      <x:c r="J8" s="19" t="str">
        <x:v>Gyári adatlap szerint 4.6 kW; nem a kereskedői 7.2 kW állítás. Villanyszerelő igazolja az áramkört.</x:v>
      </x:c>
      <x:c r="K8" s="19" t="str">
        <x:v>címre nem igazolt</x:v>
      </x:c>
      <x:c r="L8" s="19" t="str">
        <x:v>termékoldal képei; letölthető gyártói referencia még nincs csomagolva</x:v>
      </x:c>
    </x:row>
    <x:row r="9" ht="76" customHeight="1">
      <x:c r="A9" s="19" t="str">
        <x:v>KI-019</x:v>
      </x:c>
      <x:c r="B9" s="19" t="str">
        <x:v>Bosch KIN86VSE0 integrált hűtő</x:v>
      </x:c>
      <x:c r="C9" s="19" t="str">
        <x:v>KIN86VSE0</x:v>
      </x:c>
      <x:c r="D9" s="19" t="str">
        <x:v>541×548×1772 mm</x:v>
      </x:c>
      <x:c r="E9" s="19" t="n">
        <x:v>380000</x:v>
      </x:c>
      <x:c r="F9" s="19" t="n">
        <x:v>0</x:v>
      </x:c>
      <x:c r="G9" s="19" t="str">
        <x:v>tervezői becslés; gyári méret ellenőrizve</x:v>
      </x:c>
      <x:c r="H9" s="19" t="str">
        <x:v>https://www.bosch-home.fr/fr/product/le-froid/refrigerateurs-combines/combines-avec-congelateurs-en-bas-encastrable/KIN86VSE0</x:v>
      </x:c>
      <x:c r="I9" s="19" t="str">
        <x:v>2026-10-26</x:v>
      </x:c>
      <x:c r="J9" s="19" t="str">
        <x:v>Chalk bútorfront takarja; 999 EUR francia ár csak támpont, HU ajánlat hiányzik.</x:v>
      </x:c>
      <x:c r="K9" s="19" t="str">
        <x:v>címre nem igazolt</x:v>
      </x:c>
      <x:c r="L9" s="19" t="str">
        <x:v>termékoldal képei; letölthető gyártói referencia még nincs csomagolva</x:v>
      </x:c>
    </x:row>
    <x:row r="10" ht="76" customHeight="1">
      <x:c r="A10" s="19" t="str">
        <x:v>KI-021</x:v>
      </x:c>
      <x:c r="B10" s="19" t="str">
        <x:v>Bosch BFL524MB0 fekete mikro</x:v>
      </x:c>
      <x:c r="C10" s="19" t="str">
        <x:v>BFL524MB0</x:v>
      </x:c>
      <x:c r="D10" s="19" t="str">
        <x:v>594×317×382 mm; niche 560–568×300×362–365</x:v>
      </x:c>
      <x:c r="E10" s="19" t="n">
        <x:v>145000</x:v>
      </x:c>
      <x:c r="F10" s="19" t="n">
        <x:v>0</x:v>
      </x:c>
      <x:c r="G10" s="19" t="str">
        <x:v>tervezői becslés; gyári méret ellenőrizve</x:v>
      </x:c>
      <x:c r="H10" s="19" t="str">
        <x:v>https://media3.bosch-home.com/Documents/specsheet/sk-SK/BFL524MB0.pdf</x:v>
      </x:c>
      <x:c r="I10" s="19" t="str">
        <x:v>2026-10-26</x:v>
      </x:c>
      <x:c r="J10" s="19" t="str">
        <x:v>Sütővel összehangolt fekete front; bal oldali zsanér.</x:v>
      </x:c>
      <x:c r="K10" s="19" t="str">
        <x:v>címre nem igazolt</x:v>
      </x:c>
      <x:c r="L10" s="19" t="str">
        <x:v>termékoldal képei; letölthető gyártói referencia még nincs csomagolva</x:v>
      </x:c>
    </x:row>
    <x:row r="11" ht="76" customHeight="1">
      <x:c r="A11" s="19" t="str">
        <x:v>KI-020</x:v>
      </x:c>
      <x:c r="B11" s="19" t="str">
        <x:v>Bosch SMV4EVX00E</x:v>
      </x:c>
      <x:c r="C11" s="19" t="str">
        <x:v>SMV4EVX00E</x:v>
      </x:c>
      <x:c r="D11" s="19" t="str">
        <x:v>598×550×815 mm; nyitva teljes mélység1150 mm</x:v>
      </x:c>
      <x:c r="E11" s="19" t="n">
        <x:v>220000</x:v>
      </x:c>
      <x:c r="F11" s="19" t="str"/>
      <x:c r="G11" s="19" t="str">
        <x:v>előzetes becslés; gyártói forrás csak méretbizonyíték</x:v>
      </x:c>
      <x:c r="H11" s="19" t="str">
        <x:v>https://www.bosch-home.co.uk/supportdetail/product/SMV4EVX00E/69</x:v>
      </x:c>
      <x:c r="I11" s="19" t="str">
        <x:v>2026-10-26</x:v>
      </x:c>
      <x:c r="J11" s="19" t="str">
        <x:v>Teljesen integrált; K-04 szabad nyílás600mm. Ajtónyitás szűkíti a konyhai folyosót.</x:v>
      </x:c>
      <x:c r="K11" s="19" t="str">
        <x:v>HU címre nem igazolt</x:v>
      </x:c>
      <x:c r="L11" s="19" t="str">
        <x:v>gyártói oldal; csomagolt termékfotó nincs</x:v>
      </x:c>
    </x:row>
    <x:row r="12" ht="76" customHeight="1">
      <x:c r="A12" s="19" t="str">
        <x:v>KI-033</x:v>
      </x:c>
      <x:c r="B12" s="19" t="str">
        <x:v>Samsung Q7F 65 col</x:v>
      </x:c>
      <x:c r="C12" s="19" t="str">
        <x:v>QE65Q7FAAUXXH</x:v>
      </x:c>
      <x:c r="D12" s="19" t="str">
        <x:v>1452.9×60.6×834 mm; VESA400×300;16.7kg</x:v>
      </x:c>
      <x:c r="E12" s="19" t="n">
        <x:v>250000</x:v>
      </x:c>
      <x:c r="F12" s="19" t="str"/>
      <x:c r="G12" s="19" t="str">
        <x:v>előzetes becslés; gyártói forrás csak méretbizonyíték</x:v>
      </x:c>
      <x:c r="H12" s="19" t="str">
        <x:v>https://www.samsung.com/hu/tvs/qled-tv/q7f-65-inch-qled-4k-smart-tv-qe65q7faauxxh/</x:v>
      </x:c>
      <x:c r="I12" s="19" t="str">
        <x:v>2026-10-26</x:v>
      </x:c>
      <x:c r="J12" s="19" t="str">
        <x:v>Gyári oldal szerint nem eladó közvetlenül; kereskedői beszerezhetőség és ár nyitott. 65col megőrzött, nem55col.</x:v>
      </x:c>
      <x:c r="K12" s="19" t="str">
        <x:v>HU címre nem igazolt</x:v>
      </x:c>
      <x:c r="L12" s="19" t="str">
        <x:v>gyártói oldal; csomagolt termékfotó nincs</x:v>
      </x:c>
    </x:row>
    <x:row r="13" ht="76" customHeight="1">
      <x:c r="A13" s="19" t="str">
        <x:v>KI-087</x:v>
      </x:c>
      <x:c r="B13" s="19" t="str">
        <x:v>Bosch WGG244Z0BY mosógép</x:v>
      </x:c>
      <x:c r="C13" s="19" t="str">
        <x:v>WGG244Z0BY</x:v>
      </x:c>
      <x:c r="D13" s="19" t="str">
        <x:v>598×590×848 mm; cső és ajtó külön</x:v>
      </x:c>
      <x:c r="E13" s="19" t="n">
        <x:v>180000</x:v>
      </x:c>
      <x:c r="F13" s="19" t="str"/>
      <x:c r="G13" s="19" t="str">
        <x:v>előzetes becslés; gyártói forrás csak méretbizonyíték</x:v>
      </x:c>
      <x:c r="H13" s="19" t="str">
        <x:v>https://media3.bosch-home.com/Documents/specsheet/sk-SK/WGG244Z0BY.pdf</x:v>
      </x:c>
      <x:c r="I13" s="19" t="str">
        <x:v>2026-10-26</x:v>
      </x:c>
      <x:c r="J13" s="19" t="str">
        <x:v>Fehér, balos ajtó; toronykerethez kompatibilitás írásban kell.</x:v>
      </x:c>
      <x:c r="K13" s="19" t="str">
        <x:v>HU címre nem igazolt</x:v>
      </x:c>
      <x:c r="L13" s="19" t="str">
        <x:v>gyártói oldal; csomagolt termékfotó nincs</x:v>
      </x:c>
    </x:row>
    <x:row r="14" ht="76" customHeight="1">
      <x:c r="A14" s="19" t="str">
        <x:v>KI-088</x:v>
      </x:c>
      <x:c r="B14" s="19" t="str">
        <x:v>Bosch WQG24590BY hőszivattyús szárító</x:v>
      </x:c>
      <x:c r="C14" s="19" t="str">
        <x:v>WQG24590BY</x:v>
      </x:c>
      <x:c r="D14" s="19" t="str">
        <x:v>598×613×842 mm; cső és ajtó külön</x:v>
      </x:c>
      <x:c r="E14" s="19" t="n">
        <x:v>230000</x:v>
      </x:c>
      <x:c r="F14" s="19" t="str"/>
      <x:c r="G14" s="19" t="str">
        <x:v>előzetes becslés; gyártói forrás csak méretbizonyíték</x:v>
      </x:c>
      <x:c r="H14" s="19" t="str">
        <x:v>https://media3.bosch-home.com/Documents/specsheet/hr-HR/WQG24590BY.pdf</x:v>
      </x:c>
      <x:c r="I14" s="19" t="str">
        <x:v>2026-10-26</x:v>
      </x:c>
      <x:c r="J14" s="19" t="str">
        <x:v>Fehér, jobbos ajtó; regionális forgalmazás nem igazolt. WTZ27400/27410 gyári tartozék, mosógéppárhoz külön jóváhagyás.</x:v>
      </x:c>
      <x:c r="K14" s="19" t="str">
        <x:v>HU címre nem igazolt</x:v>
      </x:c>
      <x:c r="L14" s="19" t="str">
        <x:v>gyártói oldal; csomagolt termékfotó nincs</x:v>
      </x:c>
    </x:row>
    <x:row r="15" ht="76" customHeight="1">
      <x:c r="A15" s="19" t="str">
        <x:v>KI-070</x:v>
      </x:c>
      <x:c r="B15" s="19" t="str">
        <x:v>NORDLI fehér180×200</x:v>
      </x:c>
      <x:c r="C15" s="19" t="str">
        <x:v>203.498.53</x:v>
      </x:c>
      <x:c r="D15" s="19" t="str">
        <x:v>1800×2020×300mm</x:v>
      </x:c>
      <x:c r="E15" s="19" t="n">
        <x:v>189900</x:v>
      </x:c>
      <x:c r="F15" s="19" t="n">
        <x:v>0</x:v>
      </x:c>
      <x:c r="G15" s="19" t="str">
        <x:v>webes termékoldal, nem lekötött ár</x:v>
      </x:c>
      <x:c r="H15" s="19" t="str">
        <x:v>https://www.ikea.com/hu/hu/p/nordli-agykeret-taroloval-feher-20349853/</x:v>
      </x:c>
      <x:c r="I15" s="19" t="str">
        <x:v>2026-10-26</x:v>
      </x:c>
      <x:c r="J15" s="19" t="str">
        <x:v>180cm fekvőfelület megőrizve; új keleti fejvégű elhelyezés</x:v>
      </x:c>
      <x:c r="K15" s="19" t="str">
        <x:v>címre nem igazolt</x:v>
      </x:c>
      <x:c r="L15" s="19" t="str">
        <x:v>termékoldal képei; letölthető gyártói referencia még nincs csomagolva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50" hidden="0" customWidth="1"/>
    <x:col min="3" max="3" width="22" hidden="0" customWidth="1"/>
    <x:col min="4" max="4" width="22" hidden="0" customWidth="1"/>
    <x:col min="5" max="5" width="22" hidden="0" customWidth="1"/>
    <x:col min="6" max="6" width="85" hidden="0" customWidth="1"/>
  </x:cols>
  <x:sheetData>
    <x:row r="1" ht="45" customHeight="1">
      <x:c r="A1" s="42" t="str">
        <x:v>Elem</x:v>
      </x:c>
      <x:c r="B1" s="42" t="str">
        <x:v>Megnevezés</x:v>
      </x:c>
      <x:c r="C1" s="42" t="str">
        <x:v>CP1a mentett Ft</x:v>
      </x:c>
      <x:c r="D1" s="42" t="str">
        <x:v>Aktuális R05 Ft</x:v>
      </x:c>
      <x:c r="E1" s="42" t="str">
        <x:v>Eltérés Ft</x:v>
      </x:c>
      <x:c r="F1" s="42" t="str">
        <x:v>Tartalom</x:v>
      </x:c>
    </x:row>
    <x:row r="2" ht="76" customHeight="1">
      <x:c r="A2" s="19" t="str">
        <x:v>KI-001</x:v>
      </x:c>
      <x:c r="B2" s="19" t="str">
        <x:v>Helyszíni teljes felmérés és kiállásegyeztetés</x:v>
      </x:c>
      <x:c r="C2" s="19" t="n">
        <x:v>100000</x:v>
      </x:c>
      <x:c r="D2" s="19" t="n">
        <x:f>'Elemregiszter'!U2</x:f>
        <x:v>100000</x:v>
      </x:c>
      <x:c r="E2" s="19" t="n">
        <x:f>D2-C2</x:f>
        <x:v>0</x:v>
      </x:c>
      <x:c r="F2" s="19" t="str">
        <x:v>CP0 becslési csomag: segédanyag és munkadíj a megnevezett tartalom szerint; külön szállítás a 14 sorban. Nem ingyenes szállítás.</x:v>
      </x:c>
    </x:row>
    <x:row r="3" ht="76" customHeight="1">
      <x:c r="A3" s="19" t="str">
        <x:v>KI-002</x:v>
      </x:c>
      <x:c r="B3" s="19" t="str">
        <x:v>Asztalos ajánlatkérési rajzok és modulkiosztás</x:v>
      </x:c>
      <x:c r="C3" s="19" t="n">
        <x:v>100000</x:v>
      </x:c>
      <x:c r="D3" s="19" t="n">
        <x:f>'Elemregiszter'!U3</x:f>
        <x:v>100000</x:v>
      </x:c>
      <x:c r="E3" s="19" t="n">
        <x:f>D3-C3</x:f>
        <x:v>0</x:v>
      </x:c>
      <x:c r="F3" s="19" t="str">
        <x:v>CP0 becslési csomag: segédanyag és munkadíj a megnevezett tartalom szerint; külön szállítás a 14 sorban. Nem ingyenes szállítás.</x:v>
      </x:c>
    </x:row>
    <x:row r="4" ht="76" customHeight="1">
      <x:c r="A4" s="19" t="str">
        <x:v>KI-003</x:v>
      </x:c>
      <x:c r="B4" s="19" t="str">
        <x:v>Villamos szakági ellenőrzés és mérési terv</x:v>
      </x:c>
      <x:c r="C4" s="19" t="n">
        <x:v>80000</x:v>
      </x:c>
      <x:c r="D4" s="19" t="n">
        <x:f>'Elemregiszter'!U4</x:f>
        <x:v>80000</x:v>
      </x:c>
      <x:c r="E4" s="19" t="n">
        <x:f>D4-C4</x:f>
        <x:v>0</x:v>
      </x:c>
      <x:c r="F4" s="19" t="str">
        <x:v>CP0 becslési csomag: segédanyag és munkadíj a megnevezett tartalom szerint; külön szállítás a 14 sorban. Nem ingyenes szállítás.</x:v>
      </x:c>
    </x:row>
    <x:row r="5" ht="76" customHeight="1">
      <x:c r="A5" s="19" t="str">
        <x:v>KI-004</x:v>
      </x:c>
      <x:c r="B5" s="19" t="str">
        <x:v>Terasz teherbírás és vízszigetelési/rögzítési ellenőrzés</x:v>
      </x:c>
      <x:c r="C5" s="19" t="n">
        <x:v>80000</x:v>
      </x:c>
      <x:c r="D5" s="19" t="n">
        <x:f>'Elemregiszter'!U5</x:f>
        <x:v>80000</x:v>
      </x:c>
      <x:c r="E5" s="19" t="n">
        <x:f>D5-C5</x:f>
        <x:v>0</x:v>
      </x:c>
      <x:c r="F5" s="19" t="str">
        <x:v>CP0 becslési csomag: segédanyag és munkadíj a megnevezett tartalom szerint; külön szállítás a 14 sorban. Nem ingyenes szállítás.</x:v>
      </x:c>
    </x:row>
    <x:row r="6" ht="76" customHeight="1">
      <x:c r="A6" s="19" t="str">
        <x:v>KI-005</x:v>
      </x:c>
      <x:c r="B6" s="19" t="str">
        <x:v>Anyag- és kárpitminták, próbanyomat, próbagyártás</x:v>
      </x:c>
      <x:c r="C6" s="19" t="n">
        <x:v>60000</x:v>
      </x:c>
      <x:c r="D6" s="19" t="n">
        <x:f>'Elemregiszter'!U6</x:f>
        <x:v>60000</x:v>
      </x:c>
      <x:c r="E6" s="19" t="n">
        <x:f>D6-C6</x:f>
        <x:v>0</x:v>
      </x:c>
      <x:c r="F6" s="19" t="str">
        <x:v>CP0 becslési csomag: segédanyag és munkadíj a megnevezett tartalom szerint; külön szállítás a 14 sorban. Nem ingyenes szállítás.</x:v>
      </x:c>
    </x:row>
    <x:row r="7" ht="76" customHeight="1">
      <x:c r="A7" s="19" t="str">
        <x:v>KI-006</x:v>
      </x:c>
      <x:c r="B7" s="19" t="str">
        <x:v>Alsó konyhakorpuszok és lábak</x:v>
      </x:c>
      <x:c r="C7" s="19" t="n">
        <x:v>180000</x:v>
      </x:c>
      <x:c r="D7" s="19" t="n">
        <x:f>'Elemregiszter'!U7</x:f>
        <x:v>180000</x:v>
      </x:c>
      <x:c r="E7" s="19" t="n">
        <x:f>D7-C7</x:f>
        <x:v>0</x:v>
      </x:c>
      <x:c r="F7" s="19" t="str">
        <x:v>CP0 becslési csomag: segédanyag és munkadíj a megnevezett tartalom szerint; külön szállítás a 14 sorban. Nem ingyenes szállítás.</x:v>
      </x:c>
    </x:row>
    <x:row r="8" ht="76" customHeight="1">
      <x:c r="A8" s="19" t="str">
        <x:v>KI-007</x:v>
      </x:c>
      <x:c r="B8" s="19" t="str">
        <x:v>Felső korpuszok és felfüggesztők</x:v>
      </x:c>
      <x:c r="C8" s="19" t="n">
        <x:v>120000</x:v>
      </x:c>
      <x:c r="D8" s="19" t="n">
        <x:f>'Elemregiszter'!U8</x:f>
        <x:v>120000</x:v>
      </x:c>
      <x:c r="E8" s="19" t="n">
        <x:f>D8-C8</x:f>
        <x:v>0</x:v>
      </x:c>
      <x:c r="F8" s="19" t="str">
        <x:v>CP0 becslési csomag: segédanyag és munkadíj a megnevezett tartalom szerint; külön szállítás a 14 sorban. Nem ingyenes szállítás.</x:v>
      </x:c>
    </x:row>
    <x:row r="9" ht="76" customHeight="1">
      <x:c r="A9" s="19" t="str">
        <x:v>KI-008</x:v>
      </x:c>
      <x:c r="B9" s="19" t="str">
        <x:v>Magas hűtő/sütő/mikró korpuszok</x:v>
      </x:c>
      <x:c r="C9" s="19" t="n">
        <x:v>170000</x:v>
      </x:c>
      <x:c r="D9" s="19" t="n">
        <x:f>'Elemregiszter'!U9</x:f>
        <x:v>170000</x:v>
      </x:c>
      <x:c r="E9" s="19" t="n">
        <x:f>D9-C9</x:f>
        <x:v>0</x:v>
      </x:c>
      <x:c r="F9" s="19" t="str">
        <x:v>CP0 becslési csomag: segédanyag és munkadíj a megnevezett tartalom szerint; külön szállítás a 14 sorban. Nem ingyenes szállítás.</x:v>
      </x:c>
    </x:row>
    <x:row r="10" ht="76" customHeight="1">
      <x:c r="A10" s="19" t="str">
        <x:v>KI-009</x:v>
      </x:c>
      <x:c r="B10" s="19" t="str">
        <x:v>Látható grafit és kréta frontok, fogásprofil</x:v>
      </x:c>
      <x:c r="C10" s="19" t="n">
        <x:v>230000</x:v>
      </x:c>
      <x:c r="D10" s="19" t="n">
        <x:f>'Elemregiszter'!U10</x:f>
        <x:v>230000</x:v>
      </x:c>
      <x:c r="E10" s="19" t="n">
        <x:f>D10-C10</x:f>
        <x:v>0</x:v>
      </x:c>
      <x:c r="F10" s="19" t="str">
        <x:v>CP0 becslési csomag: segédanyag és munkadíj a megnevezett tartalom szerint; külön szállítás a 14 sorban. Nem ingyenes szállítás.</x:v>
      </x:c>
    </x:row>
    <x:row r="11" ht="76" customHeight="1">
      <x:c r="A11" s="19" t="str">
        <x:v>KI-010</x:v>
      </x:c>
      <x:c r="B11" s="19" t="str">
        <x:v>Fiókok, pántok, polcok és belső szerelvények</x:v>
      </x:c>
      <x:c r="C11" s="19" t="n">
        <x:v>180000</x:v>
      </x:c>
      <x:c r="D11" s="19" t="n">
        <x:f>'Elemregiszter'!U11</x:f>
        <x:v>180000</x:v>
      </x:c>
      <x:c r="E11" s="19" t="n">
        <x:f>D11-C11</x:f>
        <x:v>0</x:v>
      </x:c>
      <x:c r="F11" s="19" t="str">
        <x:v>CP0 becslési csomag: segédanyag és munkadíj a megnevezett tartalom szerint; külön szállítás a 14 sorban. Nem ingyenes szállítás.</x:v>
      </x:c>
    </x:row>
    <x:row r="12" ht="76" customHeight="1">
      <x:c r="A12" s="19" t="str">
        <x:v>KI-011</x:v>
      </x:c>
      <x:c r="B12" s="19" t="str">
        <x:v>Munkalap, vízzáró illesztések és kivágások</x:v>
      </x:c>
      <x:c r="C12" s="19" t="n">
        <x:v>150000</x:v>
      </x:c>
      <x:c r="D12" s="19" t="n">
        <x:f>'Elemregiszter'!U12</x:f>
        <x:v>150000</x:v>
      </x:c>
      <x:c r="E12" s="19" t="n">
        <x:f>D12-C12</x:f>
        <x:v>0</x:v>
      </x:c>
      <x:c r="F12" s="19" t="str">
        <x:v>CP0 becslési csomag: segédanyag és munkadíj a megnevezett tartalom szerint; külön szállítás a 14 sorban. Nem ingyenes szállítás.</x:v>
      </x:c>
    </x:row>
    <x:row r="13" ht="76" customHeight="1">
      <x:c r="A13" s="19" t="str">
        <x:v>KI-012</x:v>
      </x:c>
      <x:c r="B13" s="19" t="str">
        <x:v>Mosható hátfal és mellvédvégek</x:v>
      </x:c>
      <x:c r="C13" s="19" t="n">
        <x:v>100000</x:v>
      </x:c>
      <x:c r="D13" s="19" t="n">
        <x:f>'Elemregiszter'!U13</x:f>
        <x:v>100000</x:v>
      </x:c>
      <x:c r="E13" s="19" t="n">
        <x:f>D13-C13</x:f>
        <x:v>0</x:v>
      </x:c>
      <x:c r="F13" s="19" t="str">
        <x:v>CP0 becslési csomag: segédanyag és munkadíj a megnevezett tartalom szerint; külön szállítás a 14 sorban. Nem ingyenes szállítás.</x:v>
      </x:c>
    </x:row>
    <x:row r="14" ht="76" customHeight="1">
      <x:c r="A14" s="19" t="str">
        <x:v>KI-013</x:v>
      </x:c>
      <x:c r="B14" s="19" t="str">
        <x:v>Lábazat, takarók, zárópanelek és szellőzőrács</x:v>
      </x:c>
      <x:c r="C14" s="19" t="n">
        <x:v>80000</x:v>
      </x:c>
      <x:c r="D14" s="19" t="n">
        <x:f>'Elemregiszter'!U14</x:f>
        <x:v>80000</x:v>
      </x:c>
      <x:c r="E14" s="19" t="n">
        <x:f>D14-C14</x:f>
        <x:v>0</x:v>
      </x:c>
      <x:c r="F14" s="19" t="str">
        <x:v>CP0 becslési csomag: segédanyag és munkadíj a megnevezett tartalom szerint; külön szállítás a 14 sorban. Nem ingyenes szállítás.</x:v>
      </x:c>
    </x:row>
    <x:row r="15" ht="76" customHeight="1">
      <x:c r="A15" s="19" t="str">
        <x:v>KI-014</x:v>
      </x:c>
      <x:c r="B15" s="19" t="str">
        <x:v>Szabási veszteség, élzárás és segédanyag</x:v>
      </x:c>
      <x:c r="C15" s="19" t="n">
        <x:v>60000</x:v>
      </x:c>
      <x:c r="D15" s="19" t="n">
        <x:f>'Elemregiszter'!U15</x:f>
        <x:v>60000</x:v>
      </x:c>
      <x:c r="E15" s="19" t="n">
        <x:f>D15-C15</x:f>
        <x:v>0</x:v>
      </x:c>
      <x:c r="F15" s="19" t="str">
        <x:v>CP0 becslési csomag: segédanyag és munkadíj a megnevezett tartalom szerint; külön szállítás a 14 sorban. Nem ingyenes szállítás.</x:v>
      </x:c>
    </x:row>
    <x:row r="16" ht="76" customHeight="1">
      <x:c r="A16" s="19" t="str">
        <x:v>KI-015</x:v>
      </x:c>
      <x:c r="B16" s="19" t="str">
        <x:v>Konyha összeszerelés és beépítés</x:v>
      </x:c>
      <x:c r="C16" s="19" t="n">
        <x:v>180000</x:v>
      </x:c>
      <x:c r="D16" s="19" t="n">
        <x:f>'Elemregiszter'!U16</x:f>
        <x:v>180000</x:v>
      </x:c>
      <x:c r="E16" s="19" t="n">
        <x:f>D16-C16</x:f>
        <x:v>0</x:v>
      </x:c>
      <x:c r="F16" s="19" t="str">
        <x:v>CP0 becslési csomag: segédanyag és munkadíj a megnevezett tartalom szerint; külön szállítás a 14 sorban. Nem ingyenes szállítás.</x:v>
      </x:c>
    </x:row>
    <x:row r="17" ht="76" customHeight="1">
      <x:c r="A17" s="19" t="str">
        <x:v>KI-016</x:v>
      </x:c>
      <x:c r="B17" s="19" t="str">
        <x:v>Bosch HBA534EB3 fekete sütő</x:v>
      </x:c>
      <x:c r="C17" s="19" t="n">
        <x:v>180000</x:v>
      </x:c>
      <x:c r="D17" s="19" t="n">
        <x:f>'Elemregiszter'!U17</x:f>
        <x:v>180000</x:v>
      </x:c>
      <x:c r="E17" s="19" t="n">
        <x:f>D17-C17</x:f>
        <x:v>0</x:v>
      </x:c>
      <x:c r="F17" s="19" t="str">
        <x:v>CP0 becslési csomag: segédanyag és munkadíj a megnevezett tartalom szerint; külön szállítás a 14 sorban. Nem ingyenes szállítás.</x:v>
      </x:c>
    </x:row>
    <x:row r="18" ht="76" customHeight="1">
      <x:c r="A18" s="19" t="str">
        <x:v>KI-017</x:v>
      </x:c>
      <x:c r="B18" s="19" t="str">
        <x:v>Bosch PUE611BB5E indukciós főzőlap</x:v>
      </x:c>
      <x:c r="C18" s="19" t="n">
        <x:v>180000</x:v>
      </x:c>
      <x:c r="D18" s="19" t="n">
        <x:f>'Elemregiszter'!U18</x:f>
        <x:v>120000</x:v>
      </x:c>
      <x:c r="E18" s="19" t="n">
        <x:f>D18-C18</x:f>
        <x:v>-60000</x:v>
      </x:c>
      <x:c r="F18" s="19" t="str">
        <x:v>CP0 becslési csomag: segédanyag és munkadíj a megnevezett tartalom szerint; külön szállítás a 14 sorban. Nem ingyenes szállítás.</x:v>
      </x:c>
    </x:row>
    <x:row r="19" ht="76" customHeight="1">
      <x:c r="A19" s="19" t="str">
        <x:v>KI-018</x:v>
      </x:c>
      <x:c r="B19" s="19" t="str">
        <x:v>Páraelszívó</x:v>
      </x:c>
      <x:c r="C19" s="19" t="n">
        <x:v>140000</x:v>
      </x:c>
      <x:c r="D19" s="19" t="n">
        <x:f>'Elemregiszter'!U19</x:f>
        <x:v>140000</x:v>
      </x:c>
      <x:c r="E19" s="19" t="n">
        <x:f>D19-C19</x:f>
        <x:v>0</x:v>
      </x:c>
      <x:c r="F19" s="19" t="str">
        <x:v>CP0 becslési csomag: segédanyag és munkadíj a megnevezett tartalom szerint; külön szállítás a 14 sorban. Nem ingyenes szállítás.</x:v>
      </x:c>
    </x:row>
    <x:row r="20" ht="76" customHeight="1">
      <x:c r="A20" s="19" t="str">
        <x:v>KI-019</x:v>
      </x:c>
      <x:c r="B20" s="19" t="str">
        <x:v>Bosch KIN86VSE0 integrált hűtő</x:v>
      </x:c>
      <x:c r="C20" s="19" t="n">
        <x:v>260000</x:v>
      </x:c>
      <x:c r="D20" s="19" t="n">
        <x:f>'Elemregiszter'!U20</x:f>
        <x:v>380000</x:v>
      </x:c>
      <x:c r="E20" s="19" t="n">
        <x:f>D20-C20</x:f>
        <x:v>120000</x:v>
      </x:c>
      <x:c r="F20" s="19" t="str">
        <x:v>CP0 becslési csomag: segédanyag és munkadíj a megnevezett tartalom szerint; külön szállítás a 14 sorban. Nem ingyenes szállítás.</x:v>
      </x:c>
    </x:row>
    <x:row r="21" ht="76" customHeight="1">
      <x:c r="A21" s="19" t="str">
        <x:v>KI-020</x:v>
      </x:c>
      <x:c r="B21" s="19" t="str">
        <x:v>Bosch SMV4EVX00E</x:v>
      </x:c>
      <x:c r="C21" s="19" t="n">
        <x:v>220000</x:v>
      </x:c>
      <x:c r="D21" s="19" t="n">
        <x:f>'Elemregiszter'!U21</x:f>
        <x:v>220000</x:v>
      </x:c>
      <x:c r="E21" s="19" t="n">
        <x:f>D21-C21</x:f>
        <x:v>0</x:v>
      </x:c>
      <x:c r="F21" s="19" t="str">
        <x:v>CP0 becslési csomag: segédanyag és munkadíj a megnevezett tartalom szerint; külön szállítás a 14 sorban. Nem ingyenes szállítás.</x:v>
      </x:c>
    </x:row>
    <x:row r="22" ht="76" customHeight="1">
      <x:c r="A22" s="19" t="str">
        <x:v>KI-021</x:v>
      </x:c>
      <x:c r="B22" s="19" t="str">
        <x:v>Bosch BFL524MB0 fekete mikro</x:v>
      </x:c>
      <x:c r="C22" s="19" t="n">
        <x:v>100000</x:v>
      </x:c>
      <x:c r="D22" s="19" t="n">
        <x:f>'Elemregiszter'!U22</x:f>
        <x:v>145000</x:v>
      </x:c>
      <x:c r="E22" s="19" t="n">
        <x:f>D22-C22</x:f>
        <x:v>45000</x:v>
      </x:c>
      <x:c r="F22" s="19" t="str">
        <x:v>CP0 becslési csomag: segédanyag és munkadíj a megnevezett tartalom szerint; külön szállítás a 14 sorban. Nem ingyenes szállítás.</x:v>
      </x:c>
    </x:row>
    <x:row r="23" ht="76" customHeight="1">
      <x:c r="A23" s="19" t="str">
        <x:v>KI-022</x:v>
      </x:c>
      <x:c r="B23" s="19" t="str">
        <x:v>Elszívó csatorna és visszacsapás</x:v>
      </x:c>
      <x:c r="C23" s="19" t="n">
        <x:v>50000</x:v>
      </x:c>
      <x:c r="D23" s="19" t="n">
        <x:f>'Elemregiszter'!U23</x:f>
        <x:v>50000</x:v>
      </x:c>
      <x:c r="E23" s="19" t="n">
        <x:f>D23-C23</x:f>
        <x:v>0</x:v>
      </x:c>
      <x:c r="F23" s="19" t="str">
        <x:v>CP0 becslési csomag: segédanyag és munkadíj a megnevezett tartalom szerint; külön szállítás a 14 sorban. Nem ingyenes szállítás.</x:v>
      </x:c>
    </x:row>
    <x:row r="24" ht="76" customHeight="1">
      <x:c r="A24" s="19" t="str">
        <x:v>KI-023</x:v>
      </x:c>
      <x:c r="B24" s="19" t="str">
        <x:v>Gépek beüzemelése és bútorfront illesztése</x:v>
      </x:c>
      <x:c r="C24" s="19" t="n">
        <x:v>50000</x:v>
      </x:c>
      <x:c r="D24" s="19" t="n">
        <x:f>'Elemregiszter'!U24</x:f>
        <x:v>50000</x:v>
      </x:c>
      <x:c r="E24" s="19" t="n">
        <x:f>D24-C24</x:f>
        <x:v>0</x:v>
      </x:c>
      <x:c r="F24" s="19" t="str">
        <x:v>CP0 becslési csomag: segédanyag és munkadíj a megnevezett tartalom szerint; külön szállítás a 14 sorban. Nem ingyenes szállítás.</x:v>
      </x:c>
    </x:row>
    <x:row r="25" ht="76" customHeight="1">
      <x:c r="A25" s="19" t="str">
        <x:v>KI-024</x:v>
      </x:c>
      <x:c r="B25" s="19" t="str">
        <x:v>Mosogató</x:v>
      </x:c>
      <x:c r="C25" s="19" t="n">
        <x:v>110000</x:v>
      </x:c>
      <x:c r="D25" s="19" t="n">
        <x:f>'Elemregiszter'!U25</x:f>
        <x:v>110000</x:v>
      </x:c>
      <x:c r="E25" s="19" t="n">
        <x:f>D25-C25</x:f>
        <x:v>0</x:v>
      </x:c>
      <x:c r="F25" s="19" t="str">
        <x:v>CP0 becslési csomag: segédanyag és munkadíj a megnevezett tartalom szerint; külön szállítás a 14 sorban. Nem ingyenes szállítás.</x:v>
      </x:c>
    </x:row>
    <x:row r="26" ht="76" customHeight="1">
      <x:c r="A26" s="19" t="str">
        <x:v>KI-025</x:v>
      </x:c>
      <x:c r="B26" s="19" t="str">
        <x:v>Konyhai csaptelep</x:v>
      </x:c>
      <x:c r="C26" s="19" t="n">
        <x:v>70000</x:v>
      </x:c>
      <x:c r="D26" s="19" t="n">
        <x:f>'Elemregiszter'!U26</x:f>
        <x:v>42990</x:v>
      </x:c>
      <x:c r="E26" s="19" t="n">
        <x:f>D26-C26</x:f>
        <x:v>-27010</x:v>
      </x:c>
      <x:c r="F26" s="19" t="str">
        <x:v>CP0 becslési csomag: segédanyag és munkadíj a megnevezett tartalom szerint; külön szállítás a 14 sorban. Nem ingyenes szállítás.</x:v>
      </x:c>
    </x:row>
    <x:row r="27" ht="76" customHeight="1">
      <x:c r="A27" s="19" t="str">
        <x:v>KI-026</x:v>
      </x:c>
      <x:c r="B27" s="19" t="str">
        <x:v>Szifon, sarokszelepek, csövek és tömítések</x:v>
      </x:c>
      <x:c r="C27" s="19" t="n">
        <x:v>40000</x:v>
      </x:c>
      <x:c r="D27" s="19" t="n">
        <x:f>'Elemregiszter'!U27</x:f>
        <x:v>40000</x:v>
      </x:c>
      <x:c r="E27" s="19" t="n">
        <x:f>D27-C27</x:f>
        <x:v>0</x:v>
      </x:c>
      <x:c r="F27" s="19" t="str">
        <x:v>CP0 becslési csomag: segédanyag és munkadíj a megnevezett tartalom szerint; külön szállítás a 14 sorban. Nem ingyenes szállítás.</x:v>
      </x:c>
    </x:row>
    <x:row r="28" ht="76" customHeight="1">
      <x:c r="A28" s="19" t="str">
        <x:v>KI-027</x:v>
      </x:c>
      <x:c r="B28" s="19" t="str">
        <x:v>Mosogató és mosogatógép vízbekötése</x:v>
      </x:c>
      <x:c r="C28" s="19" t="n">
        <x:v>60000</x:v>
      </x:c>
      <x:c r="D28" s="19" t="n">
        <x:f>'Elemregiszter'!U28</x:f>
        <x:v>60000</x:v>
      </x:c>
      <x:c r="E28" s="19" t="n">
        <x:f>D28-C28</x:f>
        <x:v>0</x:v>
      </x:c>
      <x:c r="F28" s="19" t="str">
        <x:v>CP0 becslési csomag: segédanyag és munkadíj a megnevezett tartalom szerint; külön szállítás a 14 sorban. Nem ingyenes szállítás.</x:v>
      </x:c>
    </x:row>
    <x:row r="29" ht="76" customHeight="1">
      <x:c r="A29" s="19" t="str">
        <x:v>KI-028</x:v>
      </x:c>
      <x:c r="B29" s="19" t="str">
        <x:v>Ovális étkezőasztal 160×90 célbefoglaló</x:v>
      </x:c>
      <x:c r="C29" s="19" t="n">
        <x:v>259990</x:v>
      </x:c>
      <x:c r="D29" s="19" t="n">
        <x:f>'Elemregiszter'!U29</x:f>
        <x:v>259990</x:v>
      </x:c>
      <x:c r="E29" s="19" t="n">
        <x:f>D29-C29</x:f>
        <x:v>0</x:v>
      </x:c>
      <x:c r="F29" s="19" t="str">
        <x:v>6 székkel kihúzási próba; ajtónyitás; ML04 12 cm excentricitás.</x:v>
      </x:c>
    </x:row>
    <x:row r="30" ht="76" customHeight="1">
      <x:c r="A30" s="19" t="str">
        <x:v>KI-029</x:v>
      </x:c>
      <x:c r="B30" s="19" t="str">
        <x:v>Hat kárpitozott étkezőszék</x:v>
      </x:c>
      <x:c r="C30" s="19" t="n">
        <x:v>451080</x:v>
      </x:c>
      <x:c r="D30" s="19" t="n">
        <x:f>'Elemregiszter'!U30</x:f>
        <x:v>451080</x:v>
      </x:c>
      <x:c r="E30" s="19" t="n">
        <x:f>D30-C30</x:f>
        <x:v>0</x:v>
      </x:c>
      <x:c r="F30" s="19" t="str">
        <x:v>6 db együtt 450880 helyett pontosan 451080 Ft 420-as tervezési árfolyamon; mintázat és 2+2+1+1 próba.</x:v>
      </x:c>
    </x:row>
    <x:row r="31" ht="76" customHeight="1">
      <x:c r="A31" s="19" t="str">
        <x:v>KI-030</x:v>
      </x:c>
      <x:c r="B31" s="19" t="str">
        <x:v>W01 teljes panelkompozíció és tusgrafikás torony</x:v>
      </x:c>
      <x:c r="C31" s="19" t="n">
        <x:v>310000</x:v>
      </x:c>
      <x:c r="D31" s="19" t="n">
        <x:f>'Elemregiszter'!U31</x:f>
        <x:v>690000</x:v>
      </x:c>
      <x:c r="E31" s="19" t="n">
        <x:f>D31-C31</x:f>
        <x:v>380000</x:v>
      </x:c>
      <x:c r="F31" s="19" t="str">
        <x:v>W01 V3.3 panelmező, grafikus torony: nagyobb folytonos grafika; 3600×2880 tervezési befoglaló</x:v>
      </x:c>
    </x:row>
    <x:row r="32" ht="76" customHeight="1">
      <x:c r="A32" s="19" t="str">
        <x:v>KI-031</x:v>
      </x:c>
      <x:c r="B32" s="19" t="str">
        <x:v>W01 alsó négyfrontos médiabútor</x:v>
      </x:c>
      <x:c r="C32" s="19" t="n">
        <x:v>210000</x:v>
      </x:c>
      <x:c r="D32" s="19" t="n">
        <x:f>'Elemregiszter'!U32</x:f>
        <x:v>320000</x:v>
      </x:c>
      <x:c r="E32" s="19" t="n">
        <x:f>D32-C32</x:f>
        <x:v>110000</x:v>
      </x:c>
      <x:c r="F32" s="19" t="str">
        <x:v>W01 V3.3 folytonos alsó tároló: 3300×400×400, 5 front</x:v>
      </x:c>
    </x:row>
    <x:row r="33" ht="76" customHeight="1">
      <x:c r="A33" s="19" t="str">
        <x:v>KI-032</x:v>
      </x:c>
      <x:c r="B33" s="19" t="str">
        <x:v>W01 rögzítés, szerviznyílás, szerelés</x:v>
      </x:c>
      <x:c r="C33" s="19" t="n">
        <x:v>120000</x:v>
      </x:c>
      <x:c r="D33" s="19" t="n">
        <x:f>'Elemregiszter'!U33</x:f>
        <x:v>120000</x:v>
      </x:c>
      <x:c r="E33" s="19" t="n">
        <x:f>D33-C33</x:f>
        <x:v>0</x:v>
      </x:c>
      <x:c r="F33" s="19" t="str">
        <x:v>CP0 becslési csomag: segédanyag és munkadíj a megnevezett tartalom szerint; külön szállítás a 14 sorban. Nem ingyenes szállítás.</x:v>
      </x:c>
    </x:row>
    <x:row r="34" ht="76" customHeight="1">
      <x:c r="A34" s="19" t="str">
        <x:v>KI-033</x:v>
      </x:c>
      <x:c r="B34" s="19" t="str">
        <x:v>Samsung Q7F 65 col</x:v>
      </x:c>
      <x:c r="C34" s="19" t="n">
        <x:v>250000</x:v>
      </x:c>
      <x:c r="D34" s="19" t="n">
        <x:f>'Elemregiszter'!U34</x:f>
        <x:v>250000</x:v>
      </x:c>
      <x:c r="E34" s="19" t="n">
        <x:f>D34-C34</x:f>
        <x:v>0</x:v>
      </x:c>
      <x:c r="F34" s="19" t="str">
        <x:v>CP0 becslési csomag: segédanyag és munkadíj a megnevezett tartalom szerint; külön szállítás a 14 sorban. Nem ingyenes szállítás.</x:v>
      </x:c>
    </x:row>
    <x:row r="35" ht="76" customHeight="1">
      <x:c r="A35" s="19" t="str">
        <x:v>KI-034</x:v>
      </x:c>
      <x:c r="B35" s="19" t="str">
        <x:v>Teherhordó TV-konzol</x:v>
      </x:c>
      <x:c r="C35" s="19" t="n">
        <x:v>30000</x:v>
      </x:c>
      <x:c r="D35" s="19" t="n">
        <x:f>'Elemregiszter'!U35</x:f>
        <x:v>30000</x:v>
      </x:c>
      <x:c r="E35" s="19" t="n">
        <x:f>D35-C35</x:f>
        <x:v>0</x:v>
      </x:c>
      <x:c r="F35" s="19" t="str">
        <x:v>CP0 becslési csomag: segédanyag és munkadíj a megnevezett tartalom szerint; külön szállítás a 14 sorban. Nem ingyenes szállítás.</x:v>
      </x:c>
    </x:row>
    <x:row r="36" ht="76" customHeight="1">
      <x:c r="A36" s="19" t="str">
        <x:v>KI-035</x:v>
      </x:c>
      <x:c r="B36" s="19" t="str">
        <x:v>HDMI, hálózat, kábelszervezés, audióigény előirányzat</x:v>
      </x:c>
      <x:c r="C36" s="19" t="n">
        <x:v>40000</x:v>
      </x:c>
      <x:c r="D36" s="19" t="n">
        <x:f>'Elemregiszter'!U36</x:f>
        <x:v>40000</x:v>
      </x:c>
      <x:c r="E36" s="19" t="n">
        <x:f>D36-C36</x:f>
        <x:v>0</x:v>
      </x:c>
      <x:c r="F36" s="19" t="str">
        <x:v>CP0 becslési csomag: segédanyag és munkadíj a megnevezett tartalom szerint; külön szállítás a 14 sorban. Nem ingyenes szállítás.</x:v>
      </x:c>
    </x:row>
    <x:row r="37" ht="76" customHeight="1">
      <x:c r="A37" s="19" t="str">
        <x:v>KI-036</x:v>
      </x:c>
      <x:c r="B37" s="19" t="str">
        <x:v>L-kanapé teljes konfiguráció</x:v>
      </x:c>
      <x:c r="C37" s="19" t="n">
        <x:v>800000</x:v>
      </x:c>
      <x:c r="D37" s="19" t="n">
        <x:f>'Elemregiszter'!U37</x:f>
        <x:v>800000</x:v>
      </x:c>
      <x:c r="E37" s="19" t="n">
        <x:f>D37-C37</x:f>
        <x:v>0</x:v>
      </x:c>
      <x:c r="F37" s="19" t="str">
        <x:v>Szövetminta; üveg előtti sáv; 2 nagy csomag felhordása (183×123×66 és 123×123×66 cm).</x:v>
      </x:c>
    </x:row>
    <x:row r="38" ht="76" customHeight="1">
      <x:c r="A38" s="19" t="str">
        <x:v>KI-037</x:v>
      </x:c>
      <x:c r="B38" s="19" t="str">
        <x:v>Grafit dohányzóasztal</x:v>
      </x:c>
      <x:c r="C38" s="19" t="n">
        <x:v>150000</x:v>
      </x:c>
      <x:c r="D38" s="19" t="n">
        <x:f>'Elemregiszter'!U38</x:f>
        <x:v>105000</x:v>
      </x:c>
      <x:c r="E38" s="19" t="n">
        <x:f>D38-C38</x:f>
        <x:v>-45000</x:v>
      </x:c>
      <x:c r="F38" s="19" t="str">
        <x:v>Egyedi CF-01 grafit laminált dobozasztal 700×450×350 mm</x:v>
      </x:c>
    </x:row>
    <x:row r="39" ht="76" customHeight="1">
      <x:c r="A39" s="19" t="str">
        <x:v>KI-038</x:v>
      </x:c>
      <x:c r="B39" s="19" t="str">
        <x:v>Grafit mellékasztal</x:v>
      </x:c>
      <x:c r="C39" s="19" t="n">
        <x:v>70000</x:v>
      </x:c>
      <x:c r="D39" s="19" t="n">
        <x:f>'Elemregiszter'!U39</x:f>
        <x:v>55000</x:v>
      </x:c>
      <x:c r="E39" s="19" t="n">
        <x:f>D39-C39</x:f>
        <x:v>-15000</x:v>
      </x:c>
      <x:c r="F39" s="19" t="str">
        <x:v>Egyedi ST-01 grafit mellékkocka 300×300×450 mm</x:v>
      </x:c>
    </x:row>
    <x:row r="40" ht="76" customHeight="1">
      <x:c r="A40" s="19" t="str">
        <x:v>KI-039</x:v>
      </x:c>
      <x:c r="B40" s="19" t="str">
        <x:v>Nappali szőnyeg és csúszásgátló</x:v>
      </x:c>
      <x:c r="C40" s="19" t="n">
        <x:v>200000</x:v>
      </x:c>
      <x:c r="D40" s="19" t="n">
        <x:f>'Elemregiszter'!U40</x:f>
        <x:v>200000</x:v>
      </x:c>
      <x:c r="E40" s="19" t="n">
        <x:f>D40-C40</x:f>
        <x:v>0</x:v>
      </x:c>
      <x:c r="F40" s="19" t="str">
        <x:v>Csúszásgátló külön; padlóhő/ajtóütközés, fotó alapján szín nem véglegesíthető. Csomagelőirányzat maradt, nem puszta termékár.</x:v>
      </x:c>
    </x:row>
    <x:row r="41" ht="76" customHeight="1">
      <x:c r="A41" s="19" t="str">
        <x:v>KI-040</x:v>
      </x:c>
      <x:c r="B41" s="19" t="str">
        <x:v>Nappali fényáteresztő és sötétítő szövet</x:v>
      </x:c>
      <x:c r="C41" s="19" t="n">
        <x:v>160000</x:v>
      </x:c>
      <x:c r="D41" s="19" t="n">
        <x:f>'Elemregiszter'!U41</x:f>
        <x:v>160000</x:v>
      </x:c>
      <x:c r="E41" s="19" t="n">
        <x:f>D41-C41</x:f>
        <x:v>0</x:v>
      </x:c>
      <x:c r="F41" s="19" t="str">
        <x:v>CP0 becslési csomag: segédanyag és munkadíj a megnevezett tartalom szerint; külön szállítás a 14 sorban. Nem ingyenes szállítás.</x:v>
      </x:c>
    </x:row>
    <x:row r="42" ht="76" customHeight="1">
      <x:c r="A42" s="19" t="str">
        <x:v>KI-041</x:v>
      </x:c>
      <x:c r="B42" s="19" t="str">
        <x:v>Fali sín, konzolok, végzárók és rögzítés</x:v>
      </x:c>
      <x:c r="C42" s="19" t="n">
        <x:v>65000</x:v>
      </x:c>
      <x:c r="D42" s="19" t="n">
        <x:f>'Elemregiszter'!U42</x:f>
        <x:v>65000</x:v>
      </x:c>
      <x:c r="E42" s="19" t="n">
        <x:f>D42-C42</x:f>
        <x:v>0</x:v>
      </x:c>
      <x:c r="F42" s="19" t="str">
        <x:v>CP0 becslési csomag: segédanyag és munkadíj a megnevezett tartalom szerint; külön szállítás a 14 sorban. Nem ingyenes szállítás.</x:v>
      </x:c>
    </x:row>
    <x:row r="43" ht="76" customHeight="1">
      <x:c r="A43" s="19" t="str">
        <x:v>KI-042</x:v>
      </x:c>
      <x:c r="B43" s="19" t="str">
        <x:v>Méretre varrás és függönyszerelés</x:v>
      </x:c>
      <x:c r="C43" s="19" t="n">
        <x:v>55000</x:v>
      </x:c>
      <x:c r="D43" s="19" t="n">
        <x:f>'Elemregiszter'!U43</x:f>
        <x:v>55000</x:v>
      </x:c>
      <x:c r="E43" s="19" t="n">
        <x:f>D43-C43</x:f>
        <x:v>0</x:v>
      </x:c>
      <x:c r="F43" s="19" t="str">
        <x:v>CP0 becslési csomag: segédanyag és munkadíj a megnevezett tartalom szerint; külön szállítás a 14 sorban. Nem ingyenes szállítás.</x:v>
      </x:c>
    </x:row>
    <x:row r="44" ht="76" customHeight="1">
      <x:c r="A44" s="19" t="str">
        <x:v>KI-043</x:v>
      </x:c>
      <x:c r="B44" s="19" t="str">
        <x:v>180×200 ágykeret és tartóalap</x:v>
      </x:c>
      <x:c r="C44" s="19" t="n">
        <x:v>189900</x:v>
      </x:c>
      <x:c r="D44" s="19" t="n">
        <x:f>'Elemregiszter'!U44</x:f>
        <x:v>250000</x:v>
      </x:c>
      <x:c r="E44" s="19" t="n">
        <x:f>D44-C44</x:f>
        <x:v>60100</x:v>
      </x:c>
      <x:c r="F44" s="19" t="str">
        <x:v>Matrac külön; fióknyitás, éjjeli ütközés, 202cm külső hossz ellenőrzése.</x:v>
      </x:c>
    </x:row>
    <x:row r="45" ht="76" customHeight="1">
      <x:c r="A45" s="19" t="str">
        <x:v>KI-044</x:v>
      </x:c>
      <x:c r="B45" s="19" t="str">
        <x:v>180×200 matrac</x:v>
      </x:c>
      <x:c r="C45" s="19" t="n">
        <x:v>260000</x:v>
      </x:c>
      <x:c r="D45" s="19" t="n">
        <x:f>'Elemregiszter'!U45</x:f>
        <x:v>229900</x:v>
      </x:c>
      <x:c r="E45" s="19" t="n">
        <x:f>D45-C45</x:f>
        <x:v>-30100</x:v>
      </x:c>
      <x:c r="F45" s="19" t="str">
        <x:v>CP0 becslési csomag: segédanyag és munkadíj a megnevezett tartalom szerint; külön szállítás a 14 sorban. Nem ingyenes szállítás.</x:v>
      </x:c>
    </x:row>
    <x:row r="46" ht="76" customHeight="1">
      <x:c r="A46" s="19" t="str">
        <x:v>KI-045</x:v>
      </x:c>
      <x:c r="B46" s="19" t="str">
        <x:v>Matracvédő</x:v>
      </x:c>
      <x:c r="C46" s="19" t="n">
        <x:v>20000</x:v>
      </x:c>
      <x:c r="D46" s="19" t="n">
        <x:f>'Elemregiszter'!U46</x:f>
        <x:v>20000</x:v>
      </x:c>
      <x:c r="E46" s="19" t="n">
        <x:f>D46-C46</x:f>
        <x:v>0</x:v>
      </x:c>
      <x:c r="F46" s="19" t="str">
        <x:v>CP0 becslési csomag: segédanyag és munkadíj a megnevezett tartalom szerint; külön szállítás a 14 sorban. Nem ingyenes szállítás.</x:v>
      </x:c>
    </x:row>
    <x:row r="47" ht="76" customHeight="1">
      <x:c r="A47" s="19" t="str">
        <x:v>KI-046</x:v>
      </x:c>
      <x:c r="B47" s="19" t="str">
        <x:v>Aszimmetrikus kárpitozott fejvég</x:v>
      </x:c>
      <x:c r="C47" s="19" t="n">
        <x:v>300000</x:v>
      </x:c>
      <x:c r="D47" s="19" t="n">
        <x:f>'Elemregiszter'!U47</x:f>
        <x:v>300000</x:v>
      </x:c>
      <x:c r="E47" s="19" t="n">
        <x:f>D47-C47</x:f>
        <x:v>0</x:v>
      </x:c>
      <x:c r="F47" s="19" t="str">
        <x:v>CP0 becslési csomag: segédanyag és munkadíj a megnevezett tartalom szerint; külön szállítás a 14 sorban. Nem ingyenes szállítás.</x:v>
      </x:c>
    </x:row>
    <x:row r="48" ht="76" customHeight="1">
      <x:c r="A48" s="19" t="str">
        <x:v>KI-047</x:v>
      </x:c>
      <x:c r="B48" s="19" t="str">
        <x:v>Fejvégrögzítés, kárpitszerelés, LED-fogadó</x:v>
      </x:c>
      <x:c r="C48" s="19" t="n">
        <x:v>55000</x:v>
      </x:c>
      <x:c r="D48" s="19" t="n">
        <x:f>'Elemregiszter'!U48</x:f>
        <x:v>55000</x:v>
      </x:c>
      <x:c r="E48" s="19" t="n">
        <x:f>D48-C48</x:f>
        <x:v>0</x:v>
      </x:c>
      <x:c r="F48" s="19" t="str">
        <x:v>CP0 becslési csomag: segédanyag és munkadíj a megnevezett tartalom szerint; külön szállítás a 14 sorban. Nem ingyenes szállítás.</x:v>
      </x:c>
    </x:row>
    <x:row r="49" ht="76" customHeight="1">
      <x:c r="A49" s="19" t="str">
        <x:v>KI-048</x:v>
      </x:c>
      <x:c r="B49" s="19" t="str">
        <x:v>Északi gardrób szabványkorpuszok</x:v>
      </x:c>
      <x:c r="C49" s="19" t="n">
        <x:v>220000</x:v>
      </x:c>
      <x:c r="D49" s="19" t="n">
        <x:f>'Elemregiszter'!U49</x:f>
        <x:v>350000</x:v>
      </x:c>
      <x:c r="E49" s="19" t="n">
        <x:f>D49-C49</x:f>
        <x:v>130000</x:v>
      </x:c>
      <x:c r="F49" s="19" t="str">
        <x:v>Helyszíni falferdeség/pillér; frontok, pántok/belsők/takarók külön KI-050–052. Déli 242cm sáv más kiosztás. Csomagelőirányzat maradt, nem puszta termékár.</x:v>
      </x:c>
    </x:row>
    <x:row r="50" ht="76" customHeight="1">
      <x:c r="A50" s="19" t="str">
        <x:v>KI-049</x:v>
      </x:c>
      <x:c r="B50" s="19" t="str">
        <x:v>Déli gardrób szabványkorpuszok</x:v>
      </x:c>
      <x:c r="C50" s="19" t="n">
        <x:v>170000</x:v>
      </x:c>
      <x:c r="D50" s="19" t="n">
        <x:f>'Elemregiszter'!U50</x:f>
        <x:v>230000</x:v>
      </x:c>
      <x:c r="E50" s="19" t="n">
        <x:f>D50-C50</x:f>
        <x:v>60000</x:v>
      </x:c>
      <x:c r="F50" s="19" t="str">
        <x:v>CP0 becslési csomag: segédanyag és munkadíj a megnevezett tartalom szerint; külön szállítás a 14 sorban. Nem ingyenes szállítás.</x:v>
      </x:c>
    </x:row>
    <x:row r="51" ht="76" customHeight="1">
      <x:c r="A51" s="19" t="str">
        <x:v>KI-050</x:v>
      </x:c>
      <x:c r="B51" s="19" t="str">
        <x:v>Északi és déli gardróbbelsők</x:v>
      </x:c>
      <x:c r="C51" s="19" t="n">
        <x:v>190000</x:v>
      </x:c>
      <x:c r="D51" s="19" t="n">
        <x:f>'Elemregiszter'!U51</x:f>
        <x:v>806000</x:v>
      </x:c>
      <x:c r="E51" s="19" t="n">
        <x:f>D51-C51</x:f>
        <x:v>616000</x:v>
      </x:c>
      <x:c r="F51" s="19" t="str">
        <x:v>CP0 becslési csomag: segédanyag és munkadíj a megnevezett tartalom szerint; külön szállítás a 14 sorban. Nem ingyenes szállítás.</x:v>
      </x:c>
    </x:row>
    <x:row r="52" ht="76" customHeight="1">
      <x:c r="A52" s="19" t="str">
        <x:v>KI-051</x:v>
      </x:c>
      <x:c r="B52" s="19" t="str">
        <x:v>Grafikás frontok és pántok</x:v>
      </x:c>
      <x:c r="C52" s="19" t="n">
        <x:v>250000</x:v>
      </x:c>
      <x:c r="D52" s="19" t="n">
        <x:f>'Elemregiszter'!U52</x:f>
        <x:v>450000</x:v>
      </x:c>
      <x:c r="E52" s="19" t="n">
        <x:f>D52-C52</x:f>
        <x:v>200000</x:v>
      </x:c>
      <x:c r="F52" s="19" t="str">
        <x:v>CP0 becslési csomag: segédanyag és munkadíj a megnevezett tartalom szerint; külön szállítás a 14 sorban. Nem ingyenes szállítás.</x:v>
      </x:c>
    </x:row>
    <x:row r="53" ht="76" customHeight="1">
      <x:c r="A53" s="19" t="str">
        <x:v>KI-052</x:v>
      </x:c>
      <x:c r="B53" s="19" t="str">
        <x:v>Felső kitöltések, takarók, rögzítés és szerelés</x:v>
      </x:c>
      <x:c r="C53" s="19" t="n">
        <x:v>160000</x:v>
      </x:c>
      <x:c r="D53" s="19" t="n">
        <x:f>'Elemregiszter'!U53</x:f>
        <x:v>160000</x:v>
      </x:c>
      <x:c r="E53" s="19" t="n">
        <x:f>D53-C53</x:f>
        <x:v>0</x:v>
      </x:c>
      <x:c r="F53" s="19" t="str">
        <x:v>CP0 becslési csomag: segédanyag és munkadíj a megnevezett tartalom szerint; külön szállítás a 14 sorban. Nem ingyenes szállítás.</x:v>
      </x:c>
    </x:row>
    <x:row r="54" ht="76" customHeight="1">
      <x:c r="A54" s="19" t="str">
        <x:v>KI-053</x:v>
      </x:c>
      <x:c r="B54" s="19" t="str">
        <x:v>Két fiókos éjjeliszekrény</x:v>
      </x:c>
      <x:c r="C54" s="19" t="n">
        <x:v>120000</x:v>
      </x:c>
      <x:c r="D54" s="19" t="n">
        <x:f>'Elemregiszter'!U54</x:f>
        <x:v>120000</x:v>
      </x:c>
      <x:c r="E54" s="19" t="n">
        <x:f>D54-C54</x:f>
        <x:v>0</x:v>
      </x:c>
      <x:c r="F54" s="19" t="str">
        <x:v>CP0 becslési csomag: segédanyag és munkadíj a megnevezett tartalom szerint; külön szállítás a 14 sorban. Nem ingyenes szállítás.</x:v>
      </x:c>
    </x:row>
    <x:row r="55" ht="76" customHeight="1">
      <x:c r="A55" s="19" t="str">
        <x:v>KI-054</x:v>
      </x:c>
      <x:c r="B55" s="19" t="str">
        <x:v>Master függönyszövet és varrás</x:v>
      </x:c>
      <x:c r="C55" s="19" t="n">
        <x:v>130000</x:v>
      </x:c>
      <x:c r="D55" s="19" t="n">
        <x:f>'Elemregiszter'!U55</x:f>
        <x:v>130000</x:v>
      </x:c>
      <x:c r="E55" s="19" t="n">
        <x:f>D55-C55</x:f>
        <x:v>0</x:v>
      </x:c>
      <x:c r="F55" s="19" t="str">
        <x:v>CP0 becslési csomag: segédanyag és munkadíj a megnevezett tartalom szerint; külön szállítás a 14 sorban. Nem ingyenes szállítás.</x:v>
      </x:c>
    </x:row>
    <x:row r="56" ht="76" customHeight="1">
      <x:c r="A56" s="19" t="str">
        <x:v>KI-055</x:v>
      </x:c>
      <x:c r="B56" s="19" t="str">
        <x:v>Master fali sín, konzol és szerelés</x:v>
      </x:c>
      <x:c r="C56" s="19" t="n">
        <x:v>50000</x:v>
      </x:c>
      <x:c r="D56" s="19" t="n">
        <x:f>'Elemregiszter'!U56</x:f>
        <x:v>50000</x:v>
      </x:c>
      <x:c r="E56" s="19" t="n">
        <x:f>D56-C56</x:f>
        <x:v>0</x:v>
      </x:c>
      <x:c r="F56" s="19" t="str">
        <x:v>CP0 becslési csomag: segédanyag és munkadíj a megnevezett tartalom szerint; külön szállítás a 14 sorban. Nem ingyenes szállítás.</x:v>
      </x:c>
    </x:row>
    <x:row r="57" ht="76" customHeight="1">
      <x:c r="A57" s="19" t="str">
        <x:v>KI-056</x:v>
      </x:c>
      <x:c r="B57" s="19" t="str">
        <x:v>Ágynemű, párnák, takaró és ágytakaró</x:v>
      </x:c>
      <x:c r="C57" s="19" t="n">
        <x:v>80000</x:v>
      </x:c>
      <x:c r="D57" s="19" t="n">
        <x:f>'Elemregiszter'!U57</x:f>
        <x:v>80000</x:v>
      </x:c>
      <x:c r="E57" s="19" t="n">
        <x:f>D57-C57</x:f>
        <x:v>0</x:v>
      </x:c>
      <x:c r="F57" s="19" t="str">
        <x:v>CP0 becslési csomag: segédanyag és munkadíj a megnevezett tartalom szerint; külön szállítás a 14 sorban. Nem ingyenes szállítás.</x:v>
      </x:c>
    </x:row>
    <x:row r="58" ht="76" customHeight="1">
      <x:c r="A58" s="19" t="str">
        <x:v>KI-057</x:v>
      </x:c>
      <x:c r="B58" s="19" t="str">
        <x:v>Master szőnyeg és csúszásgátló</x:v>
      </x:c>
      <x:c r="C58" s="19" t="n">
        <x:v>100000</x:v>
      </x:c>
      <x:c r="D58" s="19" t="n">
        <x:f>'Elemregiszter'!U58</x:f>
        <x:v>100000</x:v>
      </x:c>
      <x:c r="E58" s="19" t="n">
        <x:f>D58-C58</x:f>
        <x:v>0</x:v>
      </x:c>
      <x:c r="F58" s="19" t="str">
        <x:v>CP0 becslési csomag: segédanyag és munkadíj a megnevezett tartalom szerint; külön szállítás a 14 sorban. Nem ingyenes szállítás.</x:v>
      </x:c>
    </x:row>
    <x:row r="59" ht="76" customHeight="1">
      <x:c r="A59" s="19" t="str">
        <x:v>KI-058</x:v>
      </x:c>
      <x:c r="B59" s="19" t="str">
        <x:v>SLATTUM Vissle sötétszürke 160×200</x:v>
      </x:c>
      <x:c r="C59" s="19" t="n">
        <x:v>110000</x:v>
      </x:c>
      <x:c r="D59" s="19" t="n">
        <x:f>'Elemregiszter'!U59</x:f>
        <x:v>54990</x:v>
      </x:c>
      <x:c r="E59" s="19" t="n">
        <x:f>D59-C59</x:f>
        <x:v>-55010</x:v>
      </x:c>
      <x:c r="F59" s="19" t="str">
        <x:v>CP0 becslési csomag: segédanyag és munkadíj a megnevezett tartalom szerint; külön szállítás a 14 sorban. Nem ingyenes szállítás.</x:v>
      </x:c>
    </x:row>
    <x:row r="60" ht="76" customHeight="1">
      <x:c r="A60" s="19" t="str">
        <x:v>KI-059</x:v>
      </x:c>
      <x:c r="B60" s="19" t="str">
        <x:v>Matrac</x:v>
      </x:c>
      <x:c r="C60" s="19" t="n">
        <x:v>100000</x:v>
      </x:c>
      <x:c r="D60" s="19" t="n">
        <x:f>'Elemregiszter'!U60</x:f>
        <x:v>100000</x:v>
      </x:c>
      <x:c r="E60" s="19" t="n">
        <x:f>D60-C60</x:f>
        <x:v>0</x:v>
      </x:c>
      <x:c r="F60" s="19" t="str">
        <x:v>CP0 becslési csomag: segédanyag és munkadíj a megnevezett tartalom szerint; külön szállítás a 14 sorban. Nem ingyenes szállítás.</x:v>
      </x:c>
    </x:row>
    <x:row r="61" ht="76" customHeight="1">
      <x:c r="A61" s="19" t="str">
        <x:v>KI-060</x:v>
      </x:c>
      <x:c r="B61" s="19" t="str">
        <x:v>Gardrób korpusz és belső</x:v>
      </x:c>
      <x:c r="C61" s="19" t="n">
        <x:v>150000</x:v>
      </x:c>
      <x:c r="D61" s="19" t="n">
        <x:f>'Elemregiszter'!U61</x:f>
        <x:v>515000</x:v>
      </x:c>
      <x:c r="E61" s="19" t="n">
        <x:f>D61-C61</x:f>
        <x:v>365000</x:v>
      </x:c>
      <x:c r="F61" s="19" t="str">
        <x:v>CP0 becslési csomag: segédanyag és munkadíj a megnevezett tartalom szerint; külön szállítás a 14 sorban. Nem ingyenes szállítás.</x:v>
      </x:c>
    </x:row>
    <x:row r="62" ht="76" customHeight="1">
      <x:c r="A62" s="19" t="str">
        <x:v>KI-061</x:v>
      </x:c>
      <x:c r="B62" s="19" t="str">
        <x:v>Gardrób front és szerelés</x:v>
      </x:c>
      <x:c r="C62" s="19" t="n">
        <x:v>100000</x:v>
      </x:c>
      <x:c r="D62" s="19" t="n">
        <x:f>'Elemregiszter'!U62</x:f>
        <x:v>100000</x:v>
      </x:c>
      <x:c r="E62" s="19" t="n">
        <x:f>D62-C62</x:f>
        <x:v>0</x:v>
      </x:c>
      <x:c r="F62" s="19" t="str">
        <x:v>CP0 becslési csomag: segédanyag és munkadíj a megnevezett tartalom szerint; külön szállítás a 14 sorban. Nem ingyenes szállítás.</x:v>
      </x:c>
    </x:row>
    <x:row r="63" ht="76" customHeight="1">
      <x:c r="A63" s="19" t="str">
        <x:v>KI-062</x:v>
      </x:c>
      <x:c r="B63" s="19" t="str">
        <x:v>Íróasztal</x:v>
      </x:c>
      <x:c r="C63" s="19" t="n">
        <x:v>45000</x:v>
      </x:c>
      <x:c r="D63" s="19" t="n">
        <x:f>'Elemregiszter'!U63</x:f>
        <x:v>65000</x:v>
      </x:c>
      <x:c r="E63" s="19" t="n">
        <x:f>D63-C63</x:f>
        <x:v>20000</x:v>
      </x:c>
      <x:c r="F63" s="19" t="str">
        <x:v>CP0 becslési csomag: segédanyag és munkadíj a megnevezett tartalom szerint; külön szállítás a 14 sorban. Nem ingyenes szállítás.</x:v>
      </x:c>
    </x:row>
    <x:row r="64" ht="76" customHeight="1">
      <x:c r="A64" s="19" t="str">
        <x:v>KI-063</x:v>
      </x:c>
      <x:c r="B64" s="19" t="str">
        <x:v>FLINTAN bézs karfa nélkül</x:v>
      </x:c>
      <x:c r="C64" s="19" t="n">
        <x:v>45000</x:v>
      </x:c>
      <x:c r="D64" s="19" t="n">
        <x:f>'Elemregiszter'!U64</x:f>
        <x:v>24990</x:v>
      </x:c>
      <x:c r="E64" s="19" t="n">
        <x:f>D64-C64</x:f>
        <x:v>-20010</x:v>
      </x:c>
      <x:c r="F64" s="19" t="str">
        <x:v>CP0 becslési csomag: segédanyag és munkadíj a megnevezett tartalom szerint; külön szállítás a 14 sorban. Nem ingyenes szállítás.</x:v>
      </x:c>
    </x:row>
    <x:row r="65" ht="76" customHeight="1">
      <x:c r="A65" s="19" t="str">
        <x:v>KI-064</x:v>
      </x:c>
      <x:c r="B65" s="19" t="str">
        <x:v>Éjjeli és kisebb tároló</x:v>
      </x:c>
      <x:c r="C65" s="19" t="n">
        <x:v>35000</x:v>
      </x:c>
      <x:c r="D65" s="19" t="n">
        <x:f>'Elemregiszter'!U65</x:f>
        <x:v>35000</x:v>
      </x:c>
      <x:c r="E65" s="19" t="n">
        <x:f>D65-C65</x:f>
        <x:v>0</x:v>
      </x:c>
      <x:c r="F65" s="19" t="str">
        <x:v>CP0 becslési csomag: segédanyag és munkadíj a megnevezett tartalom szerint; külön szállítás a 14 sorban. Nem ingyenes szállítás.</x:v>
      </x:c>
    </x:row>
    <x:row r="66" ht="76" customHeight="1">
      <x:c r="A66" s="19" t="str">
        <x:v>KI-065</x:v>
      </x:c>
      <x:c r="B66" s="19" t="str">
        <x:v>Függöny, sín, varrás és rögzítés</x:v>
      </x:c>
      <x:c r="C66" s="19" t="n">
        <x:v>100000</x:v>
      </x:c>
      <x:c r="D66" s="19" t="n">
        <x:f>'Elemregiszter'!U66</x:f>
        <x:v>100000</x:v>
      </x:c>
      <x:c r="E66" s="19" t="n">
        <x:f>D66-C66</x:f>
        <x:v>0</x:v>
      </x:c>
      <x:c r="F66" s="19" t="str">
        <x:v>CP0 becslési csomag: segédanyag és munkadíj a megnevezett tartalom szerint; külön szállítás a 14 sorban. Nem ingyenes szállítás.</x:v>
      </x:c>
    </x:row>
    <x:row r="67" ht="76" customHeight="1">
      <x:c r="A67" s="19" t="str">
        <x:v>KI-066</x:v>
      </x:c>
      <x:c r="B67" s="19" t="str">
        <x:v>Ágynemű, párna, paplan és ágytakaró</x:v>
      </x:c>
      <x:c r="C67" s="19" t="n">
        <x:v>50000</x:v>
      </x:c>
      <x:c r="D67" s="19" t="n">
        <x:f>'Elemregiszter'!U67</x:f>
        <x:v>50000</x:v>
      </x:c>
      <x:c r="E67" s="19" t="n">
        <x:f>D67-C67</x:f>
        <x:v>0</x:v>
      </x:c>
      <x:c r="F67" s="19" t="str">
        <x:v>CP0 becslési csomag: segédanyag és munkadíj a megnevezett tartalom szerint; külön szállítás a 14 sorban. Nem ingyenes szállítás.</x:v>
      </x:c>
    </x:row>
    <x:row r="68" ht="76" customHeight="1">
      <x:c r="A68" s="19" t="str">
        <x:v>KI-067</x:v>
      </x:c>
      <x:c r="B68" s="19" t="str">
        <x:v>Szőnyeg</x:v>
      </x:c>
      <x:c r="C68" s="19" t="n">
        <x:v>35000</x:v>
      </x:c>
      <x:c r="D68" s="19" t="n">
        <x:f>'Elemregiszter'!U68</x:f>
        <x:v>35000</x:v>
      </x:c>
      <x:c r="E68" s="19" t="n">
        <x:f>D68-C68</x:f>
        <x:v>0</x:v>
      </x:c>
      <x:c r="F68" s="19" t="str">
        <x:v>CP0 becslési csomag: segédanyag és munkadíj a megnevezett tartalom szerint; külön szállítás a 14 sorban. Nem ingyenes szállítás.</x:v>
      </x:c>
    </x:row>
    <x:row r="69" ht="76" customHeight="1">
      <x:c r="A69" s="19" t="str">
        <x:v>KI-068</x:v>
      </x:c>
      <x:c r="B69" s="19" t="str">
        <x:v>Keretelt saját tusgrafika és rögzítés</x:v>
      </x:c>
      <x:c r="C69" s="19" t="n">
        <x:v>30000</x:v>
      </x:c>
      <x:c r="D69" s="19" t="n">
        <x:f>'Elemregiszter'!U69</x:f>
        <x:v>30000</x:v>
      </x:c>
      <x:c r="E69" s="19" t="n">
        <x:f>D69-C69</x:f>
        <x:v>0</x:v>
      </x:c>
      <x:c r="F69" s="19" t="str">
        <x:v>CP0 becslési csomag: segédanyag és munkadíj a megnevezett tartalom szerint; külön szállítás a 14 sorban. Nem ingyenes szállítás.</x:v>
      </x:c>
    </x:row>
    <x:row r="70" ht="76" customHeight="1">
      <x:c r="A70" s="19" t="str">
        <x:v>KI-069</x:v>
      </x:c>
      <x:c r="B70" s="19" t="str">
        <x:v>Mennyezeti és munkafény Hue izzóval</x:v>
      </x:c>
      <x:c r="C70" s="19" t="n">
        <x:v>70000</x:v>
      </x:c>
      <x:c r="D70" s="19" t="n">
        <x:f>'Elemregiszter'!U70</x:f>
        <x:v>70000</x:v>
      </x:c>
      <x:c r="E70" s="19" t="n">
        <x:f>D70-C70</x:f>
        <x:v>0</x:v>
      </x:c>
      <x:c r="F70" s="19" t="str">
        <x:v>CP0 becslési csomag: segédanyag és munkadíj a megnevezett tartalom szerint; külön szállítás a 14 sorban. Nem ingyenes szállítás.</x:v>
      </x:c>
    </x:row>
    <x:row r="71" ht="76" customHeight="1">
      <x:c r="A71" s="19" t="str">
        <x:v>KI-070</x:v>
      </x:c>
      <x:c r="B71" s="19" t="str">
        <x:v>NORDLI 180×200 fehér ágykeret</x:v>
      </x:c>
      <x:c r="C71" s="19" t="n">
        <x:v>110000</x:v>
      </x:c>
      <x:c r="D71" s="19" t="n">
        <x:f>'Elemregiszter'!U71</x:f>
        <x:v>189900</x:v>
      </x:c>
      <x:c r="E71" s="19" t="n">
        <x:f>D71-C71</x:f>
        <x:v>79900</x:v>
      </x:c>
      <x:c r="F71" s="19" t="str">
        <x:v>CP0 becslési csomag: segédanyag és munkadíj a megnevezett tartalom szerint; külön szállítás a 14 sorban. Nem ingyenes szállítás.</x:v>
      </x:c>
    </x:row>
    <x:row r="72" ht="76" customHeight="1">
      <x:c r="A72" s="19" t="str">
        <x:v>KI-071</x:v>
      </x:c>
      <x:c r="B72" s="19" t="str">
        <x:v>Matrac</x:v>
      </x:c>
      <x:c r="C72" s="19" t="n">
        <x:v>100000</x:v>
      </x:c>
      <x:c r="D72" s="19" t="n">
        <x:f>'Elemregiszter'!U72</x:f>
        <x:v>100000</x:v>
      </x:c>
      <x:c r="E72" s="19" t="n">
        <x:f>D72-C72</x:f>
        <x:v>0</x:v>
      </x:c>
      <x:c r="F72" s="19" t="str">
        <x:v>CP0 becslési csomag: segédanyag és munkadíj a megnevezett tartalom szerint; külön szállítás a 14 sorban. Nem ingyenes szállítás.</x:v>
      </x:c>
    </x:row>
    <x:row r="73" ht="76" customHeight="1">
      <x:c r="A73" s="19" t="str">
        <x:v>KI-072</x:v>
      </x:c>
      <x:c r="B73" s="19" t="str">
        <x:v>Gardrób korpusz és belső</x:v>
      </x:c>
      <x:c r="C73" s="19" t="n">
        <x:v>150000</x:v>
      </x:c>
      <x:c r="D73" s="19" t="n">
        <x:f>'Elemregiszter'!U73</x:f>
        <x:v>382500</x:v>
      </x:c>
      <x:c r="E73" s="19" t="n">
        <x:f>D73-C73</x:f>
        <x:v>232500</x:v>
      </x:c>
      <x:c r="F73" s="19" t="str">
        <x:v>CP0 becslési csomag: segédanyag és munkadíj a megnevezett tartalom szerint; külön szállítás a 14 sorban. Nem ingyenes szállítás.</x:v>
      </x:c>
    </x:row>
    <x:row r="74" ht="76" customHeight="1">
      <x:c r="A74" s="19" t="str">
        <x:v>KI-073</x:v>
      </x:c>
      <x:c r="B74" s="19" t="str">
        <x:v>Gardrób front és szerelés</x:v>
      </x:c>
      <x:c r="C74" s="19" t="n">
        <x:v>100000</x:v>
      </x:c>
      <x:c r="D74" s="19" t="n">
        <x:f>'Elemregiszter'!U74</x:f>
        <x:v>100000</x:v>
      </x:c>
      <x:c r="E74" s="19" t="n">
        <x:f>D74-C74</x:f>
        <x:v>0</x:v>
      </x:c>
      <x:c r="F74" s="19" t="str">
        <x:v>CP0 becslési csomag: segédanyag és munkadíj a megnevezett tartalom szerint; külön szállítás a 14 sorban. Nem ingyenes szállítás.</x:v>
      </x:c>
    </x:row>
    <x:row r="75" ht="76" customHeight="1">
      <x:c r="A75" s="19" t="str">
        <x:v>KI-074</x:v>
      </x:c>
      <x:c r="B75" s="19" t="str">
        <x:v>TROTTEN kőris hatású/fehér</x:v>
      </x:c>
      <x:c r="C75" s="19" t="n">
        <x:v>45000</x:v>
      </x:c>
      <x:c r="D75" s="19" t="n">
        <x:f>'Elemregiszter'!U75</x:f>
        <x:v>39990</x:v>
      </x:c>
      <x:c r="E75" s="19" t="n">
        <x:f>D75-C75</x:f>
        <x:v>-5010</x:v>
      </x:c>
      <x:c r="F75" s="19" t="str">
        <x:v>CP0 becslési csomag: segédanyag és munkadíj a megnevezett tartalom szerint; külön szállítás a 14 sorban. Nem ingyenes szállítás.</x:v>
      </x:c>
    </x:row>
    <x:row r="76" ht="76" customHeight="1">
      <x:c r="A76" s="19" t="str">
        <x:v>KI-075</x:v>
      </x:c>
      <x:c r="B76" s="19" t="str">
        <x:v>FLINTAN bézs karfa nélkül</x:v>
      </x:c>
      <x:c r="C76" s="19" t="n">
        <x:v>45000</x:v>
      </x:c>
      <x:c r="D76" s="19" t="n">
        <x:f>'Elemregiszter'!U76</x:f>
        <x:v>24990</x:v>
      </x:c>
      <x:c r="E76" s="19" t="n">
        <x:f>D76-C76</x:f>
        <x:v>-20010</x:v>
      </x:c>
      <x:c r="F76" s="19" t="str">
        <x:v>CP0 becslési csomag: segédanyag és munkadíj a megnevezett tartalom szerint; külön szállítás a 14 sorban. Nem ingyenes szállítás.</x:v>
      </x:c>
    </x:row>
    <x:row r="77" ht="76" customHeight="1">
      <x:c r="A77" s="19" t="str">
        <x:v>KI-076</x:v>
      </x:c>
      <x:c r="B77" s="19" t="str">
        <x:v>Éjjeli és kisebb tároló</x:v>
      </x:c>
      <x:c r="C77" s="19" t="n">
        <x:v>35000</x:v>
      </x:c>
      <x:c r="D77" s="19" t="n">
        <x:f>'Elemregiszter'!U77</x:f>
        <x:v>35000</x:v>
      </x:c>
      <x:c r="E77" s="19" t="n">
        <x:f>D77-C77</x:f>
        <x:v>0</x:v>
      </x:c>
      <x:c r="F77" s="19" t="str">
        <x:v>CP0 becslési csomag: segédanyag és munkadíj a megnevezett tartalom szerint; külön szállítás a 14 sorban. Nem ingyenes szállítás.</x:v>
      </x:c>
    </x:row>
    <x:row r="78" ht="76" customHeight="1">
      <x:c r="A78" s="19" t="str">
        <x:v>KI-077</x:v>
      </x:c>
      <x:c r="B78" s="19" t="str">
        <x:v>Függöny, sín, varrás és rögzítés</x:v>
      </x:c>
      <x:c r="C78" s="19" t="n">
        <x:v>100000</x:v>
      </x:c>
      <x:c r="D78" s="19" t="n">
        <x:f>'Elemregiszter'!U78</x:f>
        <x:v>100000</x:v>
      </x:c>
      <x:c r="E78" s="19" t="n">
        <x:f>D78-C78</x:f>
        <x:v>0</x:v>
      </x:c>
      <x:c r="F78" s="19" t="str">
        <x:v>CP0 becslési csomag: segédanyag és munkadíj a megnevezett tartalom szerint; külön szállítás a 14 sorban. Nem ingyenes szállítás.</x:v>
      </x:c>
    </x:row>
    <x:row r="79" ht="76" customHeight="1">
      <x:c r="A79" s="19" t="str">
        <x:v>KI-078</x:v>
      </x:c>
      <x:c r="B79" s="19" t="str">
        <x:v>Ágynemű, párna, paplan és ágytakaró</x:v>
      </x:c>
      <x:c r="C79" s="19" t="n">
        <x:v>50000</x:v>
      </x:c>
      <x:c r="D79" s="19" t="n">
        <x:f>'Elemregiszter'!U79</x:f>
        <x:v>50000</x:v>
      </x:c>
      <x:c r="E79" s="19" t="n">
        <x:f>D79-C79</x:f>
        <x:v>0</x:v>
      </x:c>
      <x:c r="F79" s="19" t="str">
        <x:v>CP0 becslési csomag: segédanyag és munkadíj a megnevezett tartalom szerint; külön szállítás a 14 sorban. Nem ingyenes szállítás.</x:v>
      </x:c>
    </x:row>
    <x:row r="80" ht="76" customHeight="1">
      <x:c r="A80" s="19" t="str">
        <x:v>KI-079</x:v>
      </x:c>
      <x:c r="B80" s="19" t="str">
        <x:v>Szőnyeg</x:v>
      </x:c>
      <x:c r="C80" s="19" t="n">
        <x:v>35000</x:v>
      </x:c>
      <x:c r="D80" s="19" t="n">
        <x:f>'Elemregiszter'!U80</x:f>
        <x:v>35000</x:v>
      </x:c>
      <x:c r="E80" s="19" t="n">
        <x:f>D80-C80</x:f>
        <x:v>0</x:v>
      </x:c>
      <x:c r="F80" s="19" t="str">
        <x:v>CP0 becslési csomag: segédanyag és munkadíj a megnevezett tartalom szerint; külön szállítás a 14 sorban. Nem ingyenes szállítás.</x:v>
      </x:c>
    </x:row>
    <x:row r="81" ht="76" customHeight="1">
      <x:c r="A81" s="19" t="str">
        <x:v>KI-080</x:v>
      </x:c>
      <x:c r="B81" s="19" t="str">
        <x:v>Keretelt saját tusgrafika és rögzítés</x:v>
      </x:c>
      <x:c r="C81" s="19" t="n">
        <x:v>30000</x:v>
      </x:c>
      <x:c r="D81" s="19" t="n">
        <x:f>'Elemregiszter'!U81</x:f>
        <x:v>30000</x:v>
      </x:c>
      <x:c r="E81" s="19" t="n">
        <x:f>D81-C81</x:f>
        <x:v>0</x:v>
      </x:c>
      <x:c r="F81" s="19" t="str">
        <x:v>CP0 becslési csomag: segédanyag és munkadíj a megnevezett tartalom szerint; külön szállítás a 14 sorban. Nem ingyenes szállítás.</x:v>
      </x:c>
    </x:row>
    <x:row r="82" ht="76" customHeight="1">
      <x:c r="A82" s="19" t="str">
        <x:v>KI-081</x:v>
      </x:c>
      <x:c r="B82" s="19" t="str">
        <x:v>Mennyezeti és munkafény Hue izzóval</x:v>
      </x:c>
      <x:c r="C82" s="19" t="n">
        <x:v>70000</x:v>
      </x:c>
      <x:c r="D82" s="19" t="n">
        <x:f>'Elemregiszter'!U82</x:f>
        <x:v>70000</x:v>
      </x:c>
      <x:c r="E82" s="19" t="n">
        <x:f>D82-C82</x:f>
        <x:v>0</x:v>
      </x:c>
      <x:c r="F82" s="19" t="str">
        <x:v>CP0 becslési csomag: segédanyag és munkadíj a megnevezett tartalom szerint; külön szállítás a 14 sorban. Nem ingyenes szállítás.</x:v>
      </x:c>
    </x:row>
    <x:row r="83" ht="76" customHeight="1">
      <x:c r="A83" s="19" t="str">
        <x:v>KI-082</x:v>
      </x:c>
      <x:c r="B83" s="19" t="str">
        <x:v>Előtéri kabát- és cipőtároló belső/front/vasalat</x:v>
      </x:c>
      <x:c r="C83" s="19" t="n">
        <x:v>240000</x:v>
      </x:c>
      <x:c r="D83" s="19" t="n">
        <x:f>'Elemregiszter'!U83</x:f>
        <x:v>240000</x:v>
      </x:c>
      <x:c r="E83" s="19" t="n">
        <x:f>D83-C83</x:f>
        <x:v>0</x:v>
      </x:c>
      <x:c r="F83" s="19" t="str">
        <x:v>CP0 becslési csomag: segédanyag és munkadíj a megnevezett tartalom szerint; külön szállítás a 14 sorban. Nem ingyenes szállítás.</x:v>
      </x:c>
    </x:row>
    <x:row r="84" ht="76" customHeight="1">
      <x:c r="A84" s="19" t="str">
        <x:v>KI-083</x:v>
      </x:c>
      <x:c r="B84" s="19" t="str">
        <x:v>Előtéri pad és fali fogas</x:v>
      </x:c>
      <x:c r="C84" s="19" t="n">
        <x:v>70000</x:v>
      </x:c>
      <x:c r="D84" s="19" t="n">
        <x:f>'Elemregiszter'!U84</x:f>
        <x:v>70000</x:v>
      </x:c>
      <x:c r="E84" s="19" t="n">
        <x:f>D84-C84</x:f>
        <x:v>0</x:v>
      </x:c>
      <x:c r="F84" s="19" t="str">
        <x:v>CP0 becslési csomag: segédanyag és munkadíj a megnevezett tartalom szerint; külön szállítás a 14 sorban. Nem ingyenes szállítás.</x:v>
      </x:c>
    </x:row>
    <x:row r="85" ht="76" customHeight="1">
      <x:c r="A85" s="19" t="str">
        <x:v>KI-084</x:v>
      </x:c>
      <x:c r="B85" s="19" t="str">
        <x:v>Előtéri tükör és rögzítés</x:v>
      </x:c>
      <x:c r="C85" s="19" t="n">
        <x:v>70000</x:v>
      </x:c>
      <x:c r="D85" s="19" t="n">
        <x:f>'Elemregiszter'!U85</x:f>
        <x:v>70000</x:v>
      </x:c>
      <x:c r="E85" s="19" t="n">
        <x:f>D85-C85</x:f>
        <x:v>0</x:v>
      </x:c>
      <x:c r="F85" s="19" t="str">
        <x:v>CP0 becslési csomag: segédanyag és munkadíj a megnevezett tartalom szerint; külön szállítás a 14 sorban. Nem ingyenes szállítás.</x:v>
      </x:c>
    </x:row>
    <x:row r="86" ht="76" customHeight="1">
      <x:c r="A86" s="19" t="str">
        <x:v>KI-085</x:v>
      </x:c>
      <x:c r="B86" s="19" t="str">
        <x:v>Előtéri bútor beépítés és takaróelemek</x:v>
      </x:c>
      <x:c r="C86" s="19" t="n">
        <x:v>60000</x:v>
      </x:c>
      <x:c r="D86" s="19" t="n">
        <x:f>'Elemregiszter'!U86</x:f>
        <x:v>60000</x:v>
      </x:c>
      <x:c r="E86" s="19" t="n">
        <x:f>D86-C86</x:f>
        <x:v>0</x:v>
      </x:c>
      <x:c r="F86" s="19" t="str">
        <x:v>CP0 becslési csomag: segédanyag és munkadíj a megnevezett tartalom szerint; külön szállítás a 14 sorban. Nem ingyenes szállítás.</x:v>
      </x:c>
    </x:row>
    <x:row r="87" ht="76" customHeight="1">
      <x:c r="A87" s="19" t="str">
        <x:v>KI-086</x:v>
      </x:c>
      <x:c r="B87" s="19" t="str">
        <x:v>Keskeny lerakó és ajtók körüli zárórészletek</x:v>
      </x:c>
      <x:c r="C87" s="19" t="n">
        <x:v>40000</x:v>
      </x:c>
      <x:c r="D87" s="19" t="n">
        <x:f>'Elemregiszter'!U87</x:f>
        <x:v>40000</x:v>
      </x:c>
      <x:c r="E87" s="19" t="n">
        <x:f>D87-C87</x:f>
        <x:v>0</x:v>
      </x:c>
      <x:c r="F87" s="19" t="str">
        <x:v>CP0 becslési csomag: segédanyag és munkadíj a megnevezett tartalom szerint; külön szállítás a 14 sorban. Nem ingyenes szállítás.</x:v>
      </x:c>
    </x:row>
    <x:row r="88" ht="76" customHeight="1">
      <x:c r="A88" s="19" t="str">
        <x:v>KI-087</x:v>
      </x:c>
      <x:c r="B88" s="19" t="str">
        <x:v>Bosch WGG244Z0BY mosógép</x:v>
      </x:c>
      <x:c r="C88" s="19" t="n">
        <x:v>180000</x:v>
      </x:c>
      <x:c r="D88" s="19" t="n">
        <x:f>'Elemregiszter'!U88</x:f>
        <x:v>180000</x:v>
      </x:c>
      <x:c r="E88" s="19" t="n">
        <x:f>D88-C88</x:f>
        <x:v>0</x:v>
      </x:c>
      <x:c r="F88" s="19" t="str">
        <x:v>CP0 becslési csomag: segédanyag és munkadíj a megnevezett tartalom szerint; külön szállítás a 14 sorban. Nem ingyenes szállítás.</x:v>
      </x:c>
    </x:row>
    <x:row r="89" ht="76" customHeight="1">
      <x:c r="A89" s="19" t="str">
        <x:v>KI-088</x:v>
      </x:c>
      <x:c r="B89" s="19" t="str">
        <x:v>Bosch WQG24590BY hőszivattyús szárító</x:v>
      </x:c>
      <x:c r="C89" s="19" t="n">
        <x:v>230000</x:v>
      </x:c>
      <x:c r="D89" s="19" t="n">
        <x:f>'Elemregiszter'!U89</x:f>
        <x:v>230000</x:v>
      </x:c>
      <x:c r="E89" s="19" t="n">
        <x:f>D89-C89</x:f>
        <x:v>0</x:v>
      </x:c>
      <x:c r="F89" s="19" t="str">
        <x:v>CP0 becslési csomag: segédanyag és munkadíj a megnevezett tartalom szerint; külön szállítás a 14 sorban. Nem ingyenes szállítás.</x:v>
      </x:c>
    </x:row>
    <x:row r="90" ht="76" customHeight="1">
      <x:c r="A90" s="19" t="str">
        <x:v>KI-089</x:v>
      </x:c>
      <x:c r="B90" s="19" t="str">
        <x:v>Összeépítő keret, csatlakozó, rezgéscsillapító</x:v>
      </x:c>
      <x:c r="C90" s="19" t="n">
        <x:v>40000</x:v>
      </x:c>
      <x:c r="D90" s="19" t="n">
        <x:f>'Elemregiszter'!U90</x:f>
        <x:v>40000</x:v>
      </x:c>
      <x:c r="E90" s="19" t="n">
        <x:f>D90-C90</x:f>
        <x:v>0</x:v>
      </x:c>
      <x:c r="F90" s="19" t="str">
        <x:v>CP0 becslési csomag: segédanyag és munkadíj a megnevezett tartalom szerint; külön szállítás a 14 sorban. Nem ingyenes szállítás.</x:v>
      </x:c>
    </x:row>
    <x:row r="91" ht="76" customHeight="1">
      <x:c r="A91" s="19" t="str">
        <x:v>KI-090</x:v>
      </x:c>
      <x:c r="B91" s="19" t="str">
        <x:v>Vízbekötés és beüzemelés</x:v>
      </x:c>
      <x:c r="C91" s="19" t="n">
        <x:v>35000</x:v>
      </x:c>
      <x:c r="D91" s="19" t="n">
        <x:f>'Elemregiszter'!U91</x:f>
        <x:v>35000</x:v>
      </x:c>
      <x:c r="E91" s="19" t="n">
        <x:f>D91-C91</x:f>
        <x:v>0</x:v>
      </x:c>
      <x:c r="F91" s="19" t="str">
        <x:v>CP0 becslési csomag: segédanyag és munkadíj a megnevezett tartalom szerint; külön szállítás a 14 sorban. Nem ingyenes szállítás.</x:v>
      </x:c>
    </x:row>
    <x:row r="92" ht="76" customHeight="1">
      <x:c r="A92" s="19" t="str">
        <x:v>KI-091</x:v>
      </x:c>
      <x:c r="B92" s="19" t="str">
        <x:v>100 cm fix zuhanyüveg, profil, alátámasztás, vízzárás és szerelés</x:v>
      </x:c>
      <x:c r="C92" s="19" t="n">
        <x:v>180000</x:v>
      </x:c>
      <x:c r="D92" s="19" t="n">
        <x:f>'Elemregiszter'!U92</x:f>
        <x:v>180000</x:v>
      </x:c>
      <x:c r="E92" s="19" t="n">
        <x:f>D92-C92</x:f>
        <x:v>0</x:v>
      </x:c>
      <x:c r="F92" s="19" t="str">
        <x:v>CP0 becslési csomag: segédanyag és munkadíj a megnevezett tartalom szerint; külön szállítás a 14 sorban. Nem ingyenes szállítás.</x:v>
      </x:c>
    </x:row>
    <x:row r="93" ht="76" customHeight="1">
      <x:c r="A93" s="19" t="str">
        <x:v>KI-092</x:v>
      </x:c>
      <x:c r="B93" s="19" t="str">
        <x:v>Integrált vízálló mosdóbútor, munkalap és szerelés</x:v>
      </x:c>
      <x:c r="C93" s="19" t="n">
        <x:v>250000</x:v>
      </x:c>
      <x:c r="D93" s="19" t="n">
        <x:f>'Elemregiszter'!U93</x:f>
        <x:v>270000</x:v>
      </x:c>
      <x:c r="E93" s="19" t="n">
        <x:f>D93-C93</x:f>
        <x:v>20000</x:v>
      </x:c>
      <x:c r="F93" s="19" t="str">
        <x:v>CP0 becslési csomag: segédanyag és munkadíj a megnevezett tartalom szerint; külön szállítás a 14 sorban. Nem ingyenes szállítás.</x:v>
      </x:c>
    </x:row>
    <x:row r="94" ht="76" customHeight="1">
      <x:c r="A94" s="19" t="str">
        <x:v>KI-093</x:v>
      </x:c>
      <x:c r="B94" s="19" t="str">
        <x:v>Aszimmetrikus tükör, biztonsági hátlap és szerelés</x:v>
      </x:c>
      <x:c r="C94" s="19" t="n">
        <x:v>90000</x:v>
      </x:c>
      <x:c r="D94" s="19" t="n">
        <x:f>'Elemregiszter'!U94</x:f>
        <x:v>90000</x:v>
      </x:c>
      <x:c r="E94" s="19" t="n">
        <x:f>D94-C94</x:f>
        <x:v>0</x:v>
      </x:c>
      <x:c r="F94" s="19" t="str">
        <x:v>CP0 becslési csomag: segédanyag és munkadíj a megnevezett tartalom szerint; külön szállítás a 14 sorban. Nem ingyenes szállítás.</x:v>
      </x:c>
    </x:row>
    <x:row r="95" ht="76" customHeight="1">
      <x:c r="A95" s="19" t="str">
        <x:v>KI-094</x:v>
      </x:c>
      <x:c r="B95" s="19" t="str">
        <x:v>Zárt fali tároló és nyitott oldalsó polc</x:v>
      </x:c>
      <x:c r="C95" s="19" t="n">
        <x:v>90000</x:v>
      </x:c>
      <x:c r="D95" s="19" t="n">
        <x:f>'Elemregiszter'!U95</x:f>
        <x:v>90000</x:v>
      </x:c>
      <x:c r="E95" s="19" t="n">
        <x:f>D95-C95</x:f>
        <x:v>0</x:v>
      </x:c>
      <x:c r="F95" s="19" t="str">
        <x:v>CP0 becslési csomag: segédanyag és munkadíj a megnevezett tartalom szerint; külön szállítás a 14 sorban. Nem ingyenes szállítás.</x:v>
      </x:c>
    </x:row>
    <x:row r="96" ht="76" customHeight="1">
      <x:c r="A96" s="19" t="str">
        <x:v>KI-095</x:v>
      </x:c>
      <x:c r="B96" s="19" t="str">
        <x:v>Feltételes beépíthető mosdócsere és vízszerelés</x:v>
      </x:c>
      <x:c r="C96" s="19" t="n">
        <x:v>100000</x:v>
      </x:c>
      <x:c r="D96" s="19" t="n">
        <x:f>'Elemregiszter'!U96</x:f>
        <x:v>100000</x:v>
      </x:c>
      <x:c r="E96" s="19" t="n">
        <x:f>D96-C96</x:f>
        <x:v>0</x:v>
      </x:c>
      <x:c r="F96" s="19" t="str">
        <x:v>CP0 becslési csomag: segédanyag és munkadíj a megnevezett tartalom szerint; külön szállítás a 14 sorban. Nem ingyenes szállítás.</x:v>
      </x:c>
    </x:row>
    <x:row r="97" ht="76" customHeight="1">
      <x:c r="A97" s="19" t="str">
        <x:v>KI-096</x:v>
      </x:c>
      <x:c r="B97" s="19" t="str">
        <x:v>Szifon, tömítések, tisztítható csatlakozás</x:v>
      </x:c>
      <x:c r="C97" s="19" t="n">
        <x:v>25000</x:v>
      </x:c>
      <x:c r="D97" s="19" t="n">
        <x:f>'Elemregiszter'!U97</x:f>
        <x:v>25000</x:v>
      </x:c>
      <x:c r="E97" s="19" t="n">
        <x:f>D97-C97</x:f>
        <x:v>0</x:v>
      </x:c>
      <x:c r="F97" s="19" t="str">
        <x:v>CP0 becslési csomag: segédanyag és munkadíj a megnevezett tartalom szerint; külön szállítás a 14 sorban. Nem ingyenes szállítás.</x:v>
      </x:c>
    </x:row>
    <x:row r="98" ht="76" customHeight="1">
      <x:c r="A98" s="19" t="str">
        <x:v>KI-097</x:v>
      </x:c>
      <x:c r="B98" s="19" t="str">
        <x:v>Törölközőtartók, akasztók, adagoló és textil</x:v>
      </x:c>
      <x:c r="C98" s="19" t="n">
        <x:v>35000</x:v>
      </x:c>
      <x:c r="D98" s="19" t="n">
        <x:f>'Elemregiszter'!U98</x:f>
        <x:v>35000</x:v>
      </x:c>
      <x:c r="E98" s="19" t="n">
        <x:f>D98-C98</x:f>
        <x:v>0</x:v>
      </x:c>
      <x:c r="F98" s="19" t="str">
        <x:v>CP0 becslési csomag: segédanyag és munkadíj a megnevezett tartalom szerint; külön szállítás a 14 sorban. Nem ingyenes szállítás.</x:v>
      </x:c>
    </x:row>
    <x:row r="99" ht="76" customHeight="1">
      <x:c r="A99" s="19" t="str">
        <x:v>KI-098</x:v>
      </x:c>
      <x:c r="B99" s="19" t="str">
        <x:v>Mosdó alatti tároló és szerelés</x:v>
      </x:c>
      <x:c r="C99" s="19" t="n">
        <x:v>100000</x:v>
      </x:c>
      <x:c r="D99" s="19" t="n">
        <x:f>'Elemregiszter'!U99</x:f>
        <x:v>100000</x:v>
      </x:c>
      <x:c r="E99" s="19" t="n">
        <x:f>D99-C99</x:f>
        <x:v>0</x:v>
      </x:c>
      <x:c r="F99" s="19" t="str">
        <x:v>CP0 becslési csomag: segédanyag és munkadíj a megnevezett tartalom szerint; külön szállítás a 14 sorban. Nem ingyenes szállítás.</x:v>
      </x:c>
    </x:row>
    <x:row r="100" ht="76" customHeight="1">
      <x:c r="A100" s="19" t="str">
        <x:v>KI-099</x:v>
      </x:c>
      <x:c r="B100" s="19" t="str">
        <x:v>Tükör és rögzítés</x:v>
      </x:c>
      <x:c r="C100" s="19" t="n">
        <x:v>45000</x:v>
      </x:c>
      <x:c r="D100" s="19" t="n">
        <x:f>'Elemregiszter'!U100</x:f>
        <x:v>45000</x:v>
      </x:c>
      <x:c r="E100" s="19" t="n">
        <x:f>D100-C100</x:f>
        <x:v>0</x:v>
      </x:c>
      <x:c r="F100" s="19" t="str">
        <x:v>CP0 becslési csomag: segédanyag és munkadíj a megnevezett tartalom szerint; külön szállítás a 14 sorban. Nem ingyenes szállítás.</x:v>
      </x:c>
    </x:row>
    <x:row r="101" ht="76" customHeight="1">
      <x:c r="A101" s="19" t="str">
        <x:v>KI-100</x:v>
      </x:c>
      <x:c r="B101" s="19" t="str">
        <x:v>Kád melletti tároló, törölközőtartó, textil</x:v>
      </x:c>
      <x:c r="C101" s="19" t="n">
        <x:v>40000</x:v>
      </x:c>
      <x:c r="D101" s="19" t="n">
        <x:f>'Elemregiszter'!U101</x:f>
        <x:v>40000</x:v>
      </x:c>
      <x:c r="E101" s="19" t="n">
        <x:f>D101-C101</x:f>
        <x:v>0</x:v>
      </x:c>
      <x:c r="F101" s="19" t="str">
        <x:v>CP0 becslési csomag: segédanyag és munkadíj a megnevezett tartalom szerint; külön szállítás a 14 sorban. Nem ingyenes szállítás.</x:v>
      </x:c>
    </x:row>
    <x:row r="102" ht="76" customHeight="1">
      <x:c r="A102" s="19" t="str">
        <x:v>KI-101</x:v>
      </x:c>
      <x:c r="B102" s="19" t="str">
        <x:v>WC keskeny tároló és tükör</x:v>
      </x:c>
      <x:c r="C102" s="19" t="n">
        <x:v>50000</x:v>
      </x:c>
      <x:c r="D102" s="19" t="n">
        <x:f>'Elemregiszter'!U102</x:f>
        <x:v>50000</x:v>
      </x:c>
      <x:c r="E102" s="19" t="n">
        <x:f>D102-C102</x:f>
        <x:v>0</x:v>
      </x:c>
      <x:c r="F102" s="19" t="str">
        <x:v>CP0 becslési csomag: segédanyag és munkadíj a megnevezett tartalom szerint; külön szállítás a 14 sorban. Nem ingyenes szállítás.</x:v>
      </x:c>
    </x:row>
    <x:row r="103" ht="76" customHeight="1">
      <x:c r="A103" s="19" t="str">
        <x:v>KI-102</x:v>
      </x:c>
      <x:c r="B103" s="19" t="str">
        <x:v>Papírtartó, kefe, szappanadagoló, kis hulladékgyűjtő</x:v>
      </x:c>
      <x:c r="C103" s="19" t="n">
        <x:v>25000</x:v>
      </x:c>
      <x:c r="D103" s="19" t="n">
        <x:f>'Elemregiszter'!U103</x:f>
        <x:v>25000</x:v>
      </x:c>
      <x:c r="E103" s="19" t="n">
        <x:f>D103-C103</x:f>
        <x:v>0</x:v>
      </x:c>
      <x:c r="F103" s="19" t="str">
        <x:v>CP0 becslési csomag: segédanyag és munkadíj a megnevezett tartalom szerint; külön szállítás a 14 sorban. Nem ingyenes szállítás.</x:v>
      </x:c>
    </x:row>
    <x:row r="104" ht="76" customHeight="1">
      <x:c r="A104" s="19" t="str">
        <x:v>KI-103</x:v>
      </x:c>
      <x:c r="B104" s="19" t="str">
        <x:v>Meglévő szaniterek, szellőzés és tömítések felülvizsgálata</x:v>
      </x:c>
      <x:c r="C104" s="19" t="n">
        <x:v>35000</x:v>
      </x:c>
      <x:c r="D104" s="19" t="n">
        <x:f>'Elemregiszter'!U104</x:f>
        <x:v>35000</x:v>
      </x:c>
      <x:c r="E104" s="19" t="n">
        <x:f>D104-C104</x:f>
        <x:v>0</x:v>
      </x:c>
      <x:c r="F104" s="19" t="str">
        <x:v>CP0 becslési csomag: segédanyag és munkadíj a megnevezett tartalom szerint; külön szállítás a 14 sorban. Nem ingyenes szállítás.</x:v>
      </x:c>
    </x:row>
    <x:row r="105" ht="76" customHeight="1">
      <x:c r="A105" s="19" t="str">
        <x:v>KI-104</x:v>
      </x:c>
      <x:c r="B105" s="19" t="str">
        <x:v>Hue Bridge és hálózati csatlakozás</x:v>
      </x:c>
      <x:c r="C105" s="19" t="n">
        <x:v>40000</x:v>
      </x:c>
      <x:c r="D105" s="19" t="n">
        <x:f>'Elemregiszter'!U105</x:f>
        <x:v>40000</x:v>
      </x:c>
      <x:c r="E105" s="19" t="n">
        <x:f>D105-C105</x:f>
        <x:v>0</x:v>
      </x:c>
      <x:c r="F105" s="19" t="str">
        <x:v>CP0 becslési csomag: segédanyag és munkadíj a megnevezett tartalom szerint; külön szállítás a 14 sorban. Nem ingyenes szállítás.</x:v>
      </x:c>
    </x:row>
    <x:row r="106" ht="76" customHeight="1">
      <x:c r="A106" s="19" t="str">
        <x:v>KI-105</x:v>
      </x:c>
      <x:c r="B106" s="19" t="str">
        <x:v>Hue vezérlők és kapcsolómodulok</x:v>
      </x:c>
      <x:c r="C106" s="19" t="n">
        <x:v>100000</x:v>
      </x:c>
      <x:c r="D106" s="19" t="n">
        <x:f>'Elemregiszter'!U106</x:f>
        <x:v>100000</x:v>
      </x:c>
      <x:c r="E106" s="19" t="n">
        <x:f>D106-C106</x:f>
        <x:v>0</x:v>
      </x:c>
      <x:c r="F106" s="19" t="str">
        <x:v>CP0 becslési csomag: segédanyag és munkadíj a megnevezett tartalom szerint; külön szállítás a 14 sorban. Nem ingyenes szállítás.</x:v>
      </x:c>
    </x:row>
    <x:row r="107" ht="76" customHeight="1">
      <x:c r="A107" s="19" t="str">
        <x:v>KI-106</x:v>
      </x:c>
      <x:c r="B107" s="19" t="str">
        <x:v>Villamos kábel, csatlakozó, doboz és kábelrejtés</x:v>
      </x:c>
      <x:c r="C107" s="19" t="n">
        <x:v>100000</x:v>
      </x:c>
      <x:c r="D107" s="19" t="n">
        <x:f>'Elemregiszter'!U107</x:f>
        <x:v>100000</x:v>
      </x:c>
      <x:c r="E107" s="19" t="n">
        <x:f>D107-C107</x:f>
        <x:v>0</x:v>
      </x:c>
      <x:c r="F107" s="19" t="str">
        <x:v>CP0 becslési csomag: segédanyag és munkadíj a megnevezett tartalom szerint; külön szállítás a 14 sorban. Nem ingyenes szállítás.</x:v>
      </x:c>
    </x:row>
    <x:row r="108" ht="76" customHeight="1">
      <x:c r="A108" s="19" t="str">
        <x:v>KI-107</x:v>
      </x:c>
      <x:c r="B108" s="19" t="str">
        <x:v>Villanyszerelés, mérések, címkézés</x:v>
      </x:c>
      <x:c r="C108" s="19" t="n">
        <x:v>220000</x:v>
      </x:c>
      <x:c r="D108" s="19" t="n">
        <x:f>'Elemregiszter'!U108</x:f>
        <x:v>220000</x:v>
      </x:c>
      <x:c r="E108" s="19" t="n">
        <x:f>D108-C108</x:f>
        <x:v>0</x:v>
      </x:c>
      <x:c r="F108" s="19" t="str">
        <x:v>CP0 becslési csomag: segédanyag és munkadíj a megnevezett tartalom szerint; külön szállítás a 14 sorban. Nem ingyenes szállítás.</x:v>
      </x:c>
    </x:row>
    <x:row r="109" ht="76" customHeight="1">
      <x:c r="A109" s="19" t="str">
        <x:v>KI-108</x:v>
      </x:c>
      <x:c r="B109" s="19" t="str">
        <x:v>Hue programozás, jelenetek, próbaüzem</x:v>
      </x:c>
      <x:c r="C109" s="19" t="n">
        <x:v>80000</x:v>
      </x:c>
      <x:c r="D109" s="19" t="n">
        <x:f>'Elemregiszter'!U109</x:f>
        <x:v>80000</x:v>
      </x:c>
      <x:c r="E109" s="19" t="n">
        <x:f>D109-C109</x:f>
        <x:v>0</x:v>
      </x:c>
      <x:c r="F109" s="19" t="str">
        <x:v>CP0 becslési csomag: segédanyag és munkadíj a megnevezett tartalom szerint; külön szállítás a 14 sorban. Nem ingyenes szállítás.</x:v>
      </x:c>
    </x:row>
    <x:row r="110" ht="76" customHeight="1">
      <x:c r="A110" s="19" t="str">
        <x:v>KI-109</x:v>
      </x:c>
      <x:c r="B110" s="19" t="str">
        <x:v>Somar függeszték és Hue E27</x:v>
      </x:c>
      <x:c r="C110" s="19" t="n">
        <x:v>260000</x:v>
      </x:c>
      <x:c r="D110" s="19" t="n">
        <x:f>'Elemregiszter'!U110</x:f>
        <x:v>260000</x:v>
      </x:c>
      <x:c r="E110" s="19" t="n">
        <x:f>D110-C110</x:f>
        <x:v>0</x:v>
      </x:c>
      <x:c r="F110" s="19" t="str">
        <x:v>E27 Hue fizikai beférés; függesztési magasság; max40W korábbi adat, szerb oldal25W: gyártói címke dönt. Nincs automatikus kompatibilitás. Csomagelőirányzat maradt, nem puszta termékár.</x:v>
      </x:c>
    </x:row>
    <x:row r="111" ht="76" customHeight="1">
      <x:c r="A111" s="19" t="str">
        <x:v>KI-110</x:v>
      </x:c>
      <x:c r="B111" s="19" t="str">
        <x:v>Négy Hue-kompatibilis általános lámpatest/izzó</x:v>
      </x:c>
      <x:c r="C111" s="19" t="n">
        <x:v>130000</x:v>
      </x:c>
      <x:c r="D111" s="19" t="n">
        <x:f>'Elemregiszter'!U111</x:f>
        <x:v>130000</x:v>
      </x:c>
      <x:c r="E111" s="19" t="n">
        <x:f>D111-C111</x:f>
        <x:v>0</x:v>
      </x:c>
      <x:c r="F111" s="19" t="str">
        <x:v>CP0 becslési csomag: segédanyag és munkadíj a megnevezett tartalom szerint; külön szállítás a 14 sorban. Nem ingyenes szállítás.</x:v>
      </x:c>
    </x:row>
    <x:row r="112" ht="76" customHeight="1">
      <x:c r="A112" s="19" t="str">
        <x:v>KI-111</x:v>
      </x:c>
      <x:c r="B112" s="19" t="str">
        <x:v>ML03 általános fény és FL01 falikar, Hue fényforrások</x:v>
      </x:c>
      <x:c r="C112" s="19" t="n">
        <x:v>85000</x:v>
      </x:c>
      <x:c r="D112" s="19" t="n">
        <x:f>'Elemregiszter'!U112</x:f>
        <x:v>85000</x:v>
      </x:c>
      <x:c r="E112" s="19" t="n">
        <x:f>D112-C112</x:f>
        <x:v>0</x:v>
      </x:c>
      <x:c r="F112" s="19" t="str">
        <x:v>CP0 becslési csomag: segédanyag és munkadíj a megnevezett tartalom szerint; külön szállítás a 14 sorban. Nem ingyenes szállítás.</x:v>
      </x:c>
    </x:row>
    <x:row r="113" ht="76" customHeight="1">
      <x:c r="A113" s="19" t="str">
        <x:v>KI-112</x:v>
      </x:c>
      <x:c r="B113" s="19" t="str">
        <x:v>Pultvilágítás szalag, táp, vezérlő, profil és fedél</x:v>
      </x:c>
      <x:c r="C113" s="19" t="n">
        <x:v>65000</x:v>
      </x:c>
      <x:c r="D113" s="19" t="n">
        <x:f>'Elemregiszter'!U113</x:f>
        <x:v>65000</x:v>
      </x:c>
      <x:c r="E113" s="19" t="n">
        <x:f>D113-C113</x:f>
        <x:v>0</x:v>
      </x:c>
      <x:c r="F113" s="19" t="str">
        <x:v>CP0 becslési csomag: segédanyag és munkadíj a megnevezett tartalom szerint; külön szállítás a 14 sorban. Nem ingyenes szállítás.</x:v>
      </x:c>
    </x:row>
    <x:row r="114" ht="76" customHeight="1">
      <x:c r="A114" s="19" t="str">
        <x:v>KI-113</x:v>
      </x:c>
      <x:c r="B114" s="19" t="str">
        <x:v>ML05 Hue mennyezeti lámpa</x:v>
      </x:c>
      <x:c r="C114" s="19" t="n">
        <x:v>86190</x:v>
      </x:c>
      <x:c r="D114" s="19" t="n">
        <x:f>'Elemregiszter'!U114</x:f>
        <x:v>86190</x:v>
      </x:c>
      <x:c r="E114" s="19" t="n">
        <x:f>D114-C114</x:f>
        <x:v>0</x:v>
      </x:c>
      <x:c r="F114" s="19" t="str">
        <x:v>Gyártói Signify katalógus: IP20,19,2W,2200–6500K. HF-rögzítés és kapcsolás villanyszerelői kapu.</x:v>
      </x:c>
    </x:row>
    <x:row r="115" ht="76" customHeight="1">
      <x:c r="A115" s="19" t="str">
        <x:v>KI-114</x:v>
      </x:c>
      <x:c r="B115" s="19" t="str">
        <x:v>W01 felső, függőleges és alsó vonalfény komplett</x:v>
      </x:c>
      <x:c r="C115" s="19" t="n">
        <x:v>150000</x:v>
      </x:c>
      <x:c r="D115" s="19" t="n">
        <x:f>'Elemregiszter'!U115</x:f>
        <x:v>150000</x:v>
      </x:c>
      <x:c r="E115" s="19" t="n">
        <x:f>D115-C115</x:f>
        <x:v>0</x:v>
      </x:c>
      <x:c r="F115" s="19" t="str">
        <x:v>CP0 becslési csomag: segédanyag és munkadíj a megnevezett tartalom szerint; külön szállítás a 14 sorban. Nem ingyenes szállítás.</x:v>
      </x:c>
    </x:row>
    <x:row r="116" ht="76" customHeight="1">
      <x:c r="A116" s="19" t="str">
        <x:v>KI-115</x:v>
      </x:c>
      <x:c r="B116" s="19" t="str">
        <x:v>W02/W07 grafikai falmosás komplett</x:v>
      </x:c>
      <x:c r="C116" s="19" t="n">
        <x:v>65000</x:v>
      </x:c>
      <x:c r="D116" s="19" t="n">
        <x:f>'Elemregiszter'!U116</x:f>
        <x:v>65000</x:v>
      </x:c>
      <x:c r="E116" s="19" t="n">
        <x:f>D116-C116</x:f>
        <x:v>0</x:v>
      </x:c>
      <x:c r="F116" s="19" t="str">
        <x:v>CP0 becslési csomag: segédanyag és munkadíj a megnevezett tartalom szerint; külön szállítás a 14 sorban. Nem ingyenes szállítás.</x:v>
      </x:c>
    </x:row>
    <x:row r="117" ht="76" customHeight="1">
      <x:c r="A117" s="19" t="str">
        <x:v>KI-116</x:v>
      </x:c>
      <x:c r="B117" s="19" t="str">
        <x:v>ML06 mennyezeti Hue lámpa</x:v>
      </x:c>
      <x:c r="C117" s="19" t="n">
        <x:v>86190</x:v>
      </x:c>
      <x:c r="D117" s="19" t="n">
        <x:f>'Elemregiszter'!U117</x:f>
        <x:v>86190</x:v>
      </x:c>
      <x:c r="E117" s="19" t="n">
        <x:f>D117-C117</x:f>
        <x:v>0</x:v>
      </x:c>
      <x:c r="F117" s="19" t="str">
        <x:v>Gyártói Signify katalógus: IP20,19,2W,2200–6500K. HF-rögzítés és kapcsolás villanyszerelői kapu.</x:v>
      </x:c>
    </x:row>
    <x:row r="118" ht="76" customHeight="1">
      <x:c r="A118" s="19" t="str">
        <x:v>KI-117</x:v>
      </x:c>
      <x:c r="B118" s="19" t="str">
        <x:v>2×FADO fehér opálgömb + 2×Hue E27</x:v>
      </x:c>
      <x:c r="C118" s="19" t="n">
        <x:v>70000</x:v>
      </x:c>
      <x:c r="D118" s="19" t="n">
        <x:f>'Elemregiszter'!U118</x:f>
        <x:v>45980</x:v>
      </x:c>
      <x:c r="E118" s="19" t="n">
        <x:f>D118-C118</x:f>
        <x:v>-24020</x:v>
      </x:c>
      <x:c r="F118" s="19" t="str">
        <x:v>CP0 becslési csomag: segédanyag és munkadíj a megnevezett tartalom szerint; külön szállítás a 14 sorban. Nem ingyenes szállítás.</x:v>
      </x:c>
    </x:row>
    <x:row r="119" ht="76" customHeight="1">
      <x:c r="A119" s="19" t="str">
        <x:v>KI-118</x:v>
      </x:c>
      <x:c r="B119" s="19" t="str">
        <x:v>Fejvég rejtett fénye szalag/táp/profil</x:v>
      </x:c>
      <x:c r="C119" s="19" t="n">
        <x:v>70000</x:v>
      </x:c>
      <x:c r="D119" s="19" t="n">
        <x:f>'Elemregiszter'!U119</x:f>
        <x:v>70000</x:v>
      </x:c>
      <x:c r="E119" s="19" t="n">
        <x:f>D119-C119</x:f>
        <x:v>0</x:v>
      </x:c>
      <x:c r="F119" s="19" t="str">
        <x:v>CP0 becslési csomag: segédanyag és munkadíj a megnevezett tartalom szerint; külön szállítás a 14 sorban. Nem ingyenes szállítás.</x:v>
      </x:c>
    </x:row>
    <x:row r="120" ht="76" customHeight="1">
      <x:c r="A120" s="19" t="str">
        <x:v>KI-119</x:v>
      </x:c>
      <x:c r="B120" s="19" t="str">
        <x:v>Gardróbbelsők funkcionális fénye</x:v>
      </x:c>
      <x:c r="C120" s="19" t="n">
        <x:v>55000</x:v>
      </x:c>
      <x:c r="D120" s="19" t="n">
        <x:f>'Elemregiszter'!U120</x:f>
        <x:v>137000</x:v>
      </x:c>
      <x:c r="E120" s="19" t="n">
        <x:f>D120-C120</x:f>
        <x:v>82000</x:v>
      </x:c>
      <x:c r="F120" s="19" t="str">
        <x:v>CP0 becslési csomag: segédanyag és munkadíj a megnevezett tartalom szerint; külön szállítás a 14 sorban. Nem ingyenes szállítás.</x:v>
      </x:c>
    </x:row>
    <x:row r="121" ht="76" customHeight="1">
      <x:c r="A121" s="19" t="str">
        <x:v>KI-120</x:v>
      </x:c>
      <x:c r="B121" s="19" t="str">
        <x:v>Két fürdő mennyezeti és mosdó feletti gyári Hue lámpái</x:v>
      </x:c>
      <x:c r="C121" s="19" t="n">
        <x:v>180000</x:v>
      </x:c>
      <x:c r="D121" s="19" t="n">
        <x:f>'Elemregiszter'!U121</x:f>
        <x:v>180000</x:v>
      </x:c>
      <x:c r="E121" s="19" t="n">
        <x:f>D121-C121</x:f>
        <x:v>0</x:v>
      </x:c>
      <x:c r="F121" s="19" t="str">
        <x:v>CP0 becslési csomag: segédanyag és munkadíj a megnevezett tartalom szerint; külön szállítás a 14 sorban. Nem ingyenes szállítás.</x:v>
      </x:c>
    </x:row>
    <x:row r="122" ht="76" customHeight="1">
      <x:c r="A122" s="19" t="str">
        <x:v>KI-121</x:v>
      </x:c>
      <x:c r="B122" s="19" t="str">
        <x:v>06.2 két külön rejtett fény és védett szerelvényrendszer</x:v>
      </x:c>
      <x:c r="C122" s="19" t="n">
        <x:v>120000</x:v>
      </x:c>
      <x:c r="D122" s="19" t="n">
        <x:f>'Elemregiszter'!U122</x:f>
        <x:v>120000</x:v>
      </x:c>
      <x:c r="E122" s="19" t="n">
        <x:f>D122-C122</x:f>
        <x:v>0</x:v>
      </x:c>
      <x:c r="F122" s="19" t="str">
        <x:v>CP0 becslési csomag: segédanyag és munkadíj a megnevezett tartalom szerint; külön szállítás a 14 sorban. Nem ingyenes szállítás.</x:v>
      </x:c>
    </x:row>
    <x:row r="123" ht="76" customHeight="1">
      <x:c r="A123" s="19" t="str">
        <x:v>KI-122</x:v>
      </x:c>
      <x:c r="B123" s="19" t="str">
        <x:v>Fürdő tápegységek száraz oldali szervizelhelyezése</x:v>
      </x:c>
      <x:c r="C123" s="19" t="n">
        <x:v>40000</x:v>
      </x:c>
      <x:c r="D123" s="19" t="n">
        <x:f>'Elemregiszter'!U123</x:f>
        <x:v>40000</x:v>
      </x:c>
      <x:c r="E123" s="19" t="n">
        <x:f>D123-C123</x:f>
        <x:v>0</x:v>
      </x:c>
      <x:c r="F123" s="19" t="str">
        <x:v>CP0 becslési csomag: segédanyag és munkadíj a megnevezett tartalom szerint; külön szállítás a 14 sorban. Nem ingyenes szállítás.</x:v>
      </x:c>
    </x:row>
    <x:row r="124" ht="76" customHeight="1">
      <x:c r="A124" s="19" t="str">
        <x:v>KI-123</x:v>
      </x:c>
      <x:c r="B124" s="19" t="str">
        <x:v>W02 papírhatású vlies</x:v>
      </x:c>
      <x:c r="C124" s="19" t="n">
        <x:v>60000</x:v>
      </x:c>
      <x:c r="D124" s="19" t="n">
        <x:f>'Elemregiszter'!U124</x:f>
        <x:v>0</x:v>
      </x:c>
      <x:c r="E124" s="19" t="n">
        <x:f>D124-C124</x:f>
        <x:v>-60000</x:v>
      </x:c>
      <x:c r="F124" s="19" t="str">
        <x:v>W02 alapvlies helyett KI-132 textilpanel; kiváltott sor, nincs kettős számolás</x:v>
      </x:c>
    </x:row>
    <x:row r="125" ht="76" customHeight="1">
      <x:c r="A125" s="19" t="str">
        <x:v>KI-124</x:v>
      </x:c>
      <x:c r="B125" s="19" t="str">
        <x:v>W07 folytató tapéta és grafikai vonal</x:v>
      </x:c>
      <x:c r="C125" s="19" t="n">
        <x:v>45000</x:v>
      </x:c>
      <x:c r="D125" s="19" t="n">
        <x:f>'Elemregiszter'!U125</x:f>
        <x:v>45000</x:v>
      </x:c>
      <x:c r="E125" s="19" t="n">
        <x:f>D125-C125</x:f>
        <x:v>0</x:v>
      </x:c>
      <x:c r="F125" s="19" t="str">
        <x:v>CP0 becslési csomag: segédanyag és munkadíj a megnevezett tartalom szerint; külön szállítás a 14 sorban. Nem ingyenes szállítás.</x:v>
      </x:c>
    </x:row>
    <x:row r="126" ht="76" customHeight="1">
      <x:c r="A126" s="19" t="str">
        <x:v>KI-125</x:v>
      </x:c>
      <x:c r="B126" s="19" t="str">
        <x:v>W03 és szemöldök tapéta</x:v>
      </x:c>
      <x:c r="C126" s="19" t="n">
        <x:v>40000</x:v>
      </x:c>
      <x:c r="D126" s="19" t="n">
        <x:f>'Elemregiszter'!U126</x:f>
        <x:v>40000</x:v>
      </x:c>
      <x:c r="E126" s="19" t="n">
        <x:f>D126-C126</x:f>
        <x:v>0</x:v>
      </x:c>
      <x:c r="F126" s="19" t="str">
        <x:v>CP0 becslési csomag: segédanyag és munkadíj a megnevezett tartalom szerint; külön szállítás a 14 sorban. Nem ingyenes szállítás.</x:v>
      </x:c>
    </x:row>
    <x:row r="127" ht="76" customHeight="1">
      <x:c r="A127" s="19" t="str">
        <x:v>KI-126</x:v>
      </x:c>
      <x:c r="B127" s="19" t="str">
        <x:v>W04 tömör mezők tapéta</x:v>
      </x:c>
      <x:c r="C127" s="19" t="n">
        <x:v>30000</x:v>
      </x:c>
      <x:c r="D127" s="19" t="n">
        <x:f>'Elemregiszter'!U127</x:f>
        <x:v>30000</x:v>
      </x:c>
      <x:c r="E127" s="19" t="n">
        <x:f>D127-C127</x:f>
        <x:v>0</x:v>
      </x:c>
      <x:c r="F127" s="19" t="str">
        <x:v>CP0 becslési csomag: segédanyag és munkadíj a megnevezett tartalom szerint; külön szállítás a 14 sorban. Nem ingyenes szállítás.</x:v>
      </x:c>
    </x:row>
    <x:row r="128" ht="76" customHeight="1">
      <x:c r="A128" s="19" t="str">
        <x:v>KI-127</x:v>
      </x:c>
      <x:c r="B128" s="19" t="str">
        <x:v>Alapozó, ragasztó és faljavítás</x:v>
      </x:c>
      <x:c r="C128" s="19" t="n">
        <x:v>65000</x:v>
      </x:c>
      <x:c r="D128" s="19" t="n">
        <x:f>'Elemregiszter'!U128</x:f>
        <x:v>65000</x:v>
      </x:c>
      <x:c r="E128" s="19" t="n">
        <x:f>D128-C128</x:f>
        <x:v>0</x:v>
      </x:c>
      <x:c r="F128" s="19" t="str">
        <x:v>CP0 becslési csomag: segédanyag és munkadíj a megnevezett tartalom szerint; külön szállítás a 14 sorban. Nem ingyenes szállítás.</x:v>
      </x:c>
    </x:row>
    <x:row r="129" ht="76" customHeight="1">
      <x:c r="A129" s="19" t="str">
        <x:v>KI-128</x:v>
      </x:c>
      <x:c r="B129" s="19" t="str">
        <x:v>Tapétázás, sarkok, élek és kapcsolók körbevágása</x:v>
      </x:c>
      <x:c r="C129" s="19" t="n">
        <x:v>100000</x:v>
      </x:c>
      <x:c r="D129" s="19" t="n">
        <x:f>'Elemregiszter'!U129</x:f>
        <x:v>100000</x:v>
      </x:c>
      <x:c r="E129" s="19" t="n">
        <x:f>D129-C129</x:f>
        <x:v>0</x:v>
      </x:c>
      <x:c r="F129" s="19" t="str">
        <x:v>CP0 becslési csomag: segédanyag és munkadíj a megnevezett tartalom szerint; külön szállítás a 14 sorban. Nem ingyenes szállítás.</x:v>
      </x:c>
    </x:row>
    <x:row r="130" ht="76" customHeight="1">
      <x:c r="A130" s="19" t="str">
        <x:v>KI-129</x:v>
      </x:c>
      <x:c r="B130" s="19" t="str">
        <x:v>Szabási és illesztési veszteség</x:v>
      </x:c>
      <x:c r="C130" s="19" t="n">
        <x:v>35000</x:v>
      </x:c>
      <x:c r="D130" s="19" t="n">
        <x:f>'Elemregiszter'!U130</x:f>
        <x:v>35000</x:v>
      </x:c>
      <x:c r="E130" s="19" t="n">
        <x:f>D130-C130</x:f>
        <x:v>0</x:v>
      </x:c>
      <x:c r="F130" s="19" t="str">
        <x:v>CP0 becslési csomag: segédanyag és munkadíj a megnevezett tartalom szerint; külön szállítás a 14 sorban. Nem ingyenes szállítás.</x:v>
      </x:c>
    </x:row>
    <x:row r="131" ht="76" customHeight="1">
      <x:c r="A131" s="19" t="str">
        <x:v>KI-130</x:v>
      </x:c>
      <x:c r="B131" s="19" t="str">
        <x:v>Fejvég feletti és ablak melletti vlies felrakással</x:v>
      </x:c>
      <x:c r="C131" s="19" t="n">
        <x:v>90000</x:v>
      </x:c>
      <x:c r="D131" s="19" t="n">
        <x:f>'Elemregiszter'!U131</x:f>
        <x:v>90000</x:v>
      </x:c>
      <x:c r="E131" s="19" t="n">
        <x:f>D131-C131</x:f>
        <x:v>0</x:v>
      </x:c>
      <x:c r="F131" s="19" t="str">
        <x:v>CP0 becslési csomag: segédanyag és munkadíj a megnevezett tartalom szerint; külön szállítás a 14 sorban. Nem ingyenes szállítás.</x:v>
      </x:c>
    </x:row>
    <x:row r="132" ht="76" customHeight="1">
      <x:c r="A132" s="19" t="str">
        <x:v>KI-131</x:v>
      </x:c>
      <x:c r="B132" s="19" t="str">
        <x:v>W02 eredeti tusgrafika előállítása és nyomdai előkészítése</x:v>
      </x:c>
      <x:c r="C132" s="19" t="n">
        <x:v>60000</x:v>
      </x:c>
      <x:c r="D132" s="19" t="n">
        <x:f>'Elemregiszter'!U132</x:f>
        <x:v>60000</x:v>
      </x:c>
      <x:c r="E132" s="19" t="n">
        <x:f>D132-C132</x:f>
        <x:v>0</x:v>
      </x:c>
      <x:c r="F132" s="19" t="str">
        <x:v>CP0 becslési csomag: segédanyag és munkadíj a megnevezett tartalom szerint; külön szállítás a 14 sorban. Nem ingyenes szállítás.</x:v>
      </x:c>
    </x:row>
    <x:row r="133" ht="76" customHeight="1">
      <x:c r="A133" s="19" t="str">
        <x:v>KI-132</x:v>
      </x:c>
      <x:c r="B133" s="19" t="str">
        <x:v>W02 textilnyomat 150×220 célméret</x:v>
      </x:c>
      <x:c r="C133" s="19" t="n">
        <x:v>80000</x:v>
      </x:c>
      <x:c r="D133" s="19" t="n">
        <x:f>'Elemregiszter'!U133</x:f>
        <x:v>224000</x:v>
      </x:c>
      <x:c r="E133" s="19" t="n">
        <x:f>D133-C133</x:f>
        <x:v>144000</x:v>
      </x:c>
      <x:c r="F133" s="19" t="str">
        <x:v>W02 2100×2880 mm textilborítású levehető panelmező, nem 150×220 keretelt kép</x:v>
      </x:c>
    </x:row>
    <x:row r="134" ht="76" customHeight="1">
      <x:c r="A134" s="19" t="str">
        <x:v>KI-133</x:v>
      </x:c>
      <x:c r="B134" s="19" t="str">
        <x:v>W02 vékony keret, szállítás és rögzítés</x:v>
      </x:c>
      <x:c r="C134" s="19" t="n">
        <x:v>60000</x:v>
      </x:c>
      <x:c r="D134" s="19" t="n">
        <x:f>'Elemregiszter'!U134</x:f>
        <x:v>177000</x:v>
      </x:c>
      <x:c r="E134" s="19" t="n">
        <x:f>D134-C134</x:f>
        <x:v>117000</x:v>
      </x:c>
      <x:c r="F134" s="19" t="str">
        <x:v>W02 hordozó, hátoldali sínek, rejtett rögzítés; nem képkeret</x:v>
      </x:c>
    </x:row>
    <x:row r="135" ht="76" customHeight="1">
      <x:c r="A135" s="19" t="str">
        <x:v>KI-134</x:v>
      </x:c>
      <x:c r="B135" s="19" t="str">
        <x:v>Nappali párnák és takaró</x:v>
      </x:c>
      <x:c r="C135" s="19" t="n">
        <x:v>40000</x:v>
      </x:c>
      <x:c r="D135" s="19" t="n">
        <x:f>'Elemregiszter'!U135</x:f>
        <x:v>40000</x:v>
      </x:c>
      <x:c r="E135" s="19" t="n">
        <x:f>D135-C135</x:f>
        <x:v>0</x:v>
      </x:c>
      <x:c r="F135" s="19" t="str">
        <x:v>CP0 becslési csomag: segédanyag és munkadíj a megnevezett tartalom szerint; külön szállítás a 14 sorban. Nem ingyenes szállítás.</x:v>
      </x:c>
    </x:row>
    <x:row r="136" ht="76" customHeight="1">
      <x:c r="A136" s="19" t="str">
        <x:v>KI-135</x:v>
      </x:c>
      <x:c r="B136" s="19" t="str">
        <x:v>Kerámiák, művészeti könyvek és kisebb növények</x:v>
      </x:c>
      <x:c r="C136" s="19" t="n">
        <x:v>50000</x:v>
      </x:c>
      <x:c r="D136" s="19" t="n">
        <x:f>'Elemregiszter'!U136</x:f>
        <x:v>50000</x:v>
      </x:c>
      <x:c r="E136" s="19" t="n">
        <x:f>D136-C136</x:f>
        <x:v>0</x:v>
      </x:c>
      <x:c r="F136" s="19" t="str">
        <x:v>CP0 becslési csomag: segédanyag és munkadíj a megnevezett tartalom szerint; külön szállítás a 14 sorban. Nem ingyenes szállítás.</x:v>
      </x:c>
    </x:row>
    <x:row r="137" ht="76" customHeight="1">
      <x:c r="A137" s="19" t="str">
        <x:v>KI-136</x:v>
      </x:c>
      <x:c r="B137" s="19" t="str">
        <x:v>Jakuzzi – régi fix baseline feltételes kerete</x:v>
      </x:c>
      <x:c r="C137" s="19" t="n">
        <x:v>1700000</x:v>
      </x:c>
      <x:c r="D137" s="19" t="n">
        <x:f>'Elemregiszter'!U137</x:f>
        <x:v>1700000</x:v>
      </x:c>
      <x:c r="E137" s="19" t="n">
        <x:f>D137-C137</x:f>
        <x:v>0</x:v>
      </x:c>
      <x:c r="F137" s="19" t="str">
        <x:v>CP0 becslési csomag: segédanyag és munkadíj a megnevezett tartalom szerint; külön szállítás a 14 sorban. Nem ingyenes szállítás.</x:v>
      </x:c>
    </x:row>
    <x:row r="138" ht="76" customHeight="1">
      <x:c r="A138" s="19" t="str">
        <x:v>KI-137</x:v>
      </x:c>
      <x:c r="B138" s="19" t="str">
        <x:v>Jakuzzi daruzás, szállítás és bekötés – feltételes</x:v>
      </x:c>
      <x:c r="C138" s="19" t="n">
        <x:v>300000</x:v>
      </x:c>
      <x:c r="D138" s="19" t="n">
        <x:f>'Elemregiszter'!U138</x:f>
        <x:v>300000</x:v>
      </x:c>
      <x:c r="E138" s="19" t="n">
        <x:f>D138-C138</x:f>
        <x:v>0</x:v>
      </x:c>
      <x:c r="F138" s="19" t="str">
        <x:v>CP0 becslési csomag: segédanyag és munkadíj a megnevezett tartalom szerint; külön szállítás a 14 sorban. Nem ingyenes szállítás.</x:v>
      </x:c>
    </x:row>
    <x:row r="139" ht="76" customHeight="1">
      <x:c r="A139" s="19" t="str">
        <x:v>KI-138</x:v>
      </x:c>
      <x:c r="B139" s="19" t="str">
        <x:v>Kültéri lounge-kanapé és párnák</x:v>
      </x:c>
      <x:c r="C139" s="19" t="n">
        <x:v>350000</x:v>
      </x:c>
      <x:c r="D139" s="19" t="n">
        <x:f>'Elemregiszter'!U139</x:f>
        <x:v>350000</x:v>
      </x:c>
      <x:c r="E139" s="19" t="n">
        <x:f>D139-C139</x:f>
        <x:v>0</x:v>
      </x:c>
      <x:c r="F139" s="19" t="str">
        <x:v>CP0 becslési csomag: segédanyag és munkadíj a megnevezett tartalom szerint; külön szállítás a 14 sorban. Nem ingyenes szállítás.</x:v>
      </x:c>
    </x:row>
    <x:row r="140" ht="76" customHeight="1">
      <x:c r="A140" s="19" t="str">
        <x:v>KI-139</x:v>
      </x:c>
      <x:c r="B140" s="19" t="str">
        <x:v>Két kültéri fotel és párnák</x:v>
      </x:c>
      <x:c r="C140" s="19" t="n">
        <x:v>180000</x:v>
      </x:c>
      <x:c r="D140" s="19" t="n">
        <x:f>'Elemregiszter'!U140</x:f>
        <x:v>180000</x:v>
      </x:c>
      <x:c r="E140" s="19" t="n">
        <x:f>D140-C140</x:f>
        <x:v>0</x:v>
      </x:c>
      <x:c r="F140" s="19" t="str">
        <x:v>CP0 becslési csomag: segédanyag és munkadíj a megnevezett tartalom szerint; külön szállítás a 14 sorban. Nem ingyenes szállítás.</x:v>
      </x:c>
    </x:row>
    <x:row r="141" ht="76" customHeight="1">
      <x:c r="A141" s="19" t="str">
        <x:v>KI-140</x:v>
      </x:c>
      <x:c r="B141" s="19" t="str">
        <x:v>Kültéri dohányzóasztal</x:v>
      </x:c>
      <x:c r="C141" s="19" t="n">
        <x:v>70000</x:v>
      </x:c>
      <x:c r="D141" s="19" t="n">
        <x:f>'Elemregiszter'!U141</x:f>
        <x:v>70000</x:v>
      </x:c>
      <x:c r="E141" s="19" t="n">
        <x:f>D141-C141</x:f>
        <x:v>0</x:v>
      </x:c>
      <x:c r="F141" s="19" t="str">
        <x:v>CP0 becslési csomag: segédanyag és munkadíj a megnevezett tartalom szerint; külön szállítás a 14 sorban. Nem ingyenes szállítás.</x:v>
      </x:c>
    </x:row>
    <x:row r="142" ht="76" customHeight="1">
      <x:c r="A142" s="19" t="str">
        <x:v>KI-141</x:v>
      </x:c>
      <x:c r="B142" s="19" t="str">
        <x:v>Kültéri étkezőasztal</x:v>
      </x:c>
      <x:c r="C142" s="19" t="n">
        <x:v>180000</x:v>
      </x:c>
      <x:c r="D142" s="19" t="n">
        <x:f>'Elemregiszter'!U142</x:f>
        <x:v>180000</x:v>
      </x:c>
      <x:c r="E142" s="19" t="n">
        <x:f>D142-C142</x:f>
        <x:v>0</x:v>
      </x:c>
      <x:c r="F142" s="19" t="str">
        <x:v>CP0 becslési csomag: segédanyag és munkadíj a megnevezett tartalom szerint; külön szállítás a 14 sorban. Nem ingyenes szállítás.</x:v>
      </x:c>
    </x:row>
    <x:row r="143" ht="76" customHeight="1">
      <x:c r="A143" s="19" t="str">
        <x:v>KI-142</x:v>
      </x:c>
      <x:c r="B143" s="19" t="str">
        <x:v>Hat kültéri étkezőszék</x:v>
      </x:c>
      <x:c r="C143" s="19" t="n">
        <x:v>240000</x:v>
      </x:c>
      <x:c r="D143" s="19" t="n">
        <x:f>'Elemregiszter'!U143</x:f>
        <x:v>240000</x:v>
      </x:c>
      <x:c r="E143" s="19" t="n">
        <x:f>D143-C143</x:f>
        <x:v>0</x:v>
      </x:c>
      <x:c r="F143" s="19" t="str">
        <x:v>CP0 becslési csomag: segédanyag és munkadíj a megnevezett tartalom szerint; külön szállítás a 14 sorban. Nem ingyenes szállítás.</x:v>
      </x:c>
    </x:row>
    <x:row r="144" ht="76" customHeight="1">
      <x:c r="A144" s="19" t="str">
        <x:v>KI-143</x:v>
      </x:c>
      <x:c r="B144" s="19" t="str">
        <x:v>Két napozó</x:v>
      </x:c>
      <x:c r="C144" s="19" t="n">
        <x:v>130000</x:v>
      </x:c>
      <x:c r="D144" s="19" t="n">
        <x:f>'Elemregiszter'!U144</x:f>
        <x:v>130000</x:v>
      </x:c>
      <x:c r="E144" s="19" t="n">
        <x:f>D144-C144</x:f>
        <x:v>0</x:v>
      </x:c>
      <x:c r="F144" s="19" t="str">
        <x:v>CP0 becslési csomag: segédanyag és munkadíj a megnevezett tartalom szerint; külön szállítás a 14 sorban. Nem ingyenes szállítás.</x:v>
      </x:c>
    </x:row>
    <x:row r="145" ht="76" customHeight="1">
      <x:c r="A145" s="19" t="str">
        <x:v>KI-144</x:v>
      </x:c>
      <x:c r="B145" s="19" t="str">
        <x:v>Kaspók, növények és gyökér-/vízvédelem</x:v>
      </x:c>
      <x:c r="C145" s="19" t="n">
        <x:v>110000</x:v>
      </x:c>
      <x:c r="D145" s="19" t="n">
        <x:f>'Elemregiszter'!U145</x:f>
        <x:v>110000</x:v>
      </x:c>
      <x:c r="E145" s="19" t="n">
        <x:f>D145-C145</x:f>
        <x:v>0</x:v>
      </x:c>
      <x:c r="F145" s="19" t="str">
        <x:v>CP0 becslési csomag: segédanyag és munkadíj a megnevezett tartalom szerint; külön szállítás a 14 sorban. Nem ingyenes szállítás.</x:v>
      </x:c>
    </x:row>
    <x:row r="146" ht="76" customHeight="1">
      <x:c r="A146" s="19" t="str">
        <x:v>KI-145</x:v>
      </x:c>
      <x:c r="B146" s="19" t="str">
        <x:v>Kültéri fények meglévő FL-pontokra</x:v>
      </x:c>
      <x:c r="C146" s="19" t="n">
        <x:v>100000</x:v>
      </x:c>
      <x:c r="D146" s="19" t="n">
        <x:f>'Elemregiszter'!U146</x:f>
        <x:v>100000</x:v>
      </x:c>
      <x:c r="E146" s="19" t="n">
        <x:f>D146-C146</x:f>
        <x:v>0</x:v>
      </x:c>
      <x:c r="F146" s="19" t="str">
        <x:v>CP0 becslési csomag: segédanyag és munkadíj a megnevezett tartalom szerint; külön szállítás a 14 sorban. Nem ingyenes szállítás.</x:v>
      </x:c>
    </x:row>
    <x:row r="147" ht="76" customHeight="1">
      <x:c r="A147" s="19" t="str">
        <x:v>KI-146</x:v>
      </x:c>
      <x:c r="B147" s="19" t="str">
        <x:v>Árnyékolás, igazolt szélálló rögzítéssel</x:v>
      </x:c>
      <x:c r="C147" s="19" t="n">
        <x:v>150000</x:v>
      </x:c>
      <x:c r="D147" s="19" t="n">
        <x:f>'Elemregiszter'!U147</x:f>
        <x:v>150000</x:v>
      </x:c>
      <x:c r="E147" s="19" t="n">
        <x:f>D147-C147</x:f>
        <x:v>0</x:v>
      </x:c>
      <x:c r="F147" s="19" t="str">
        <x:v>CP0 becslési csomag: segédanyag és munkadíj a megnevezett tartalom szerint; külön szállítás a 14 sorban. Nem ingyenes szállítás.</x:v>
      </x:c>
    </x:row>
    <x:row r="148" ht="76" customHeight="1">
      <x:c r="A148" s="19" t="str">
        <x:v>KI-147</x:v>
      </x:c>
      <x:c r="B148" s="19" t="str">
        <x:v>Kültéri párnatároló</x:v>
      </x:c>
      <x:c r="C148" s="19" t="n">
        <x:v>60000</x:v>
      </x:c>
      <x:c r="D148" s="19" t="n">
        <x:f>'Elemregiszter'!U148</x:f>
        <x:v>60000</x:v>
      </x:c>
      <x:c r="E148" s="19" t="n">
        <x:f>D148-C148</x:f>
        <x:v>0</x:v>
      </x:c>
      <x:c r="F148" s="19" t="str">
        <x:v>CP0 becslési csomag: segédanyag és munkadíj a megnevezett tartalom szerint; külön szállítás a 14 sorban. Nem ingyenes szállítás.</x:v>
      </x:c>
    </x:row>
    <x:row r="149" ht="76" customHeight="1">
      <x:c r="A149" s="19" t="str">
        <x:v>KI-148</x:v>
      </x:c>
      <x:c r="B149" s="19" t="str">
        <x:v>Takaróponyva, téli tárolás és ápolószer</x:v>
      </x:c>
      <x:c r="C149" s="19" t="n">
        <x:v>50000</x:v>
      </x:c>
      <x:c r="D149" s="19" t="n">
        <x:f>'Elemregiszter'!U149</x:f>
        <x:v>50000</x:v>
      </x:c>
      <x:c r="E149" s="19" t="n">
        <x:f>D149-C149</x:f>
        <x:v>0</x:v>
      </x:c>
      <x:c r="F149" s="19" t="str">
        <x:v>CP0 becslési csomag: segédanyag és munkadíj a megnevezett tartalom szerint; külön szállítás a 14 sorban. Nem ingyenes szállítás.</x:v>
      </x:c>
    </x:row>
    <x:row r="150" ht="76" customHeight="1">
      <x:c r="A150" s="19" t="str">
        <x:v>KI-149</x:v>
      </x:c>
      <x:c r="B150" s="19" t="str">
        <x:v>Meglévő WPC, lépcsők, korlát és lefolyók ellenőrzése/tisztítása</x:v>
      </x:c>
      <x:c r="C150" s="19" t="n">
        <x:v>70000</x:v>
      </x:c>
      <x:c r="D150" s="19" t="n">
        <x:f>'Elemregiszter'!U150</x:f>
        <x:v>70000</x:v>
      </x:c>
      <x:c r="E150" s="19" t="n">
        <x:f>D150-C150</x:f>
        <x:v>0</x:v>
      </x:c>
      <x:c r="F150" s="19" t="str">
        <x:v>CP0 becslési csomag: segédanyag és munkadíj a megnevezett tartalom szerint; külön szállítás a 14 sorban. Nem ingyenes szállítás.</x:v>
      </x:c>
    </x:row>
    <x:row r="151" ht="76" customHeight="1">
      <x:c r="A151" s="19" t="str">
        <x:v>KI-150</x:v>
      </x:c>
      <x:c r="B151" s="19" t="str">
        <x:v>Kültéri lerakók és textilek</x:v>
      </x:c>
      <x:c r="C151" s="19" t="n">
        <x:v>50000</x:v>
      </x:c>
      <x:c r="D151" s="19" t="n">
        <x:f>'Elemregiszter'!U151</x:f>
        <x:v>50000</x:v>
      </x:c>
      <x:c r="E151" s="19" t="n">
        <x:f>D151-C151</x:f>
        <x:v>0</x:v>
      </x:c>
      <x:c r="F151" s="19" t="str">
        <x:v>CP0 becslési csomag: segédanyag és munkadíj a megnevezett tartalom szerint; külön szállítás a 14 sorban. Nem ingyenes szállítás.</x:v>
      </x:c>
    </x:row>
    <x:row r="152" ht="76" customHeight="1">
      <x:c r="A152" s="19" t="str">
        <x:v>KI-151</x:v>
      </x:c>
      <x:c r="B152" s="19" t="str">
        <x:v>Szállítás és emeletre felhordás</x:v>
      </x:c>
      <x:c r="C152" s="19" t="n">
        <x:v>180000</x:v>
      </x:c>
      <x:c r="D152" s="19" t="n">
        <x:f>'Elemregiszter'!U152</x:f>
        <x:v>180000</x:v>
      </x:c>
      <x:c r="E152" s="19" t="n">
        <x:f>D152-C152</x:f>
        <x:v>0</x:v>
      </x:c>
      <x:c r="F152" s="19" t="str">
        <x:v>CP0 becslési csomag: segédanyag és munkadíj a megnevezett tartalom szerint; külön szállítás a 14 sorban. Nem ingyenes szállítás.</x:v>
      </x:c>
    </x:row>
    <x:row r="153" ht="76" customHeight="1">
      <x:c r="A153" s="19" t="str">
        <x:v>KI-152</x:v>
      </x:c>
      <x:c r="B153" s="19" t="str">
        <x:v>Standard bútorok összeszerelése</x:v>
      </x:c>
      <x:c r="C153" s="19" t="n">
        <x:v>100000</x:v>
      </x:c>
      <x:c r="D153" s="19" t="n">
        <x:f>'Elemregiszter'!U153</x:f>
        <x:v>100000</x:v>
      </x:c>
      <x:c r="E153" s="19" t="n">
        <x:f>D153-C153</x:f>
        <x:v>0</x:v>
      </x:c>
      <x:c r="F153" s="19" t="str">
        <x:v>CP0 becslési csomag: segédanyag és munkadíj a megnevezett tartalom szerint; külön szállítás a 14 sorban. Nem ingyenes szállítás.</x:v>
      </x:c>
    </x:row>
    <x:row r="154" ht="76" customHeight="1">
      <x:c r="A154" s="19" t="str">
        <x:v>KI-153</x:v>
      </x:c>
      <x:c r="B154" s="19" t="str">
        <x:v>Padló- és élvédelem, csomagolás elszállítása</x:v>
      </x:c>
      <x:c r="C154" s="19" t="n">
        <x:v>60000</x:v>
      </x:c>
      <x:c r="D154" s="19" t="n">
        <x:f>'Elemregiszter'!U154</x:f>
        <x:v>60000</x:v>
      </x:c>
      <x:c r="E154" s="19" t="n">
        <x:f>D154-C154</x:f>
        <x:v>0</x:v>
      </x:c>
      <x:c r="F154" s="19" t="str">
        <x:v>CP0 becslési csomag: segédanyag és munkadíj a megnevezett tartalom szerint; külön szállítás a 14 sorban. Nem ingyenes szállítás.</x:v>
      </x:c>
    </x:row>
    <x:row r="155" ht="76" customHeight="1">
      <x:c r="A155" s="19" t="str">
        <x:v>KI-154</x:v>
      </x:c>
      <x:c r="B155" s="19" t="str">
        <x:v>Átadási takarítás</x:v>
      </x:c>
      <x:c r="C155" s="19" t="n">
        <x:v>70000</x:v>
      </x:c>
      <x:c r="D155" s="19" t="n">
        <x:f>'Elemregiszter'!U155</x:f>
        <x:v>70000</x:v>
      </x:c>
      <x:c r="E155" s="19" t="n">
        <x:f>D155-C155</x:f>
        <x:v>0</x:v>
      </x:c>
      <x:c r="F155" s="19" t="str">
        <x:v>CP0 becslési csomag: segédanyag és munkadíj a megnevezett tartalom szerint; külön szállítás a 14 sorban. Nem ingyenes szállítás.</x:v>
      </x:c>
    </x:row>
    <x:row r="156" ht="76" customHeight="1">
      <x:c r="A156" s="19" t="str">
        <x:v>KI-155</x:v>
      </x:c>
      <x:c r="B156" s="19" t="str">
        <x:v>Hibajavítás és kisebb festésjavítás</x:v>
      </x:c>
      <x:c r="C156" s="19" t="n">
        <x:v>70000</x:v>
      </x:c>
      <x:c r="D156" s="19" t="n">
        <x:f>'Elemregiszter'!U156</x:f>
        <x:v>70000</x:v>
      </x:c>
      <x:c r="E156" s="19" t="n">
        <x:f>D156-C156</x:f>
        <x:v>0</x:v>
      </x:c>
      <x:c r="F156" s="19" t="str">
        <x:v>CP0 becslési csomag: segédanyag és munkadíj a megnevezett tartalom szerint; külön szállítás a 14 sorban. Nem ingyenes szállítás.</x:v>
      </x:c>
    </x:row>
    <x:row r="157" ht="76" customHeight="1">
      <x:c r="A157" s="19" t="str">
        <x:v>KI-156</x:v>
      </x:c>
      <x:c r="B157" s="19" t="str">
        <x:v>Garanciadokumentumok, próbaüzem és átadási leltár</x:v>
      </x:c>
      <x:c r="C157" s="19" t="n">
        <x:v>30000</x:v>
      </x:c>
      <x:c r="D157" s="19" t="n">
        <x:f>'Elemregiszter'!U157</x:f>
        <x:v>30000</x:v>
      </x:c>
      <x:c r="E157" s="19" t="n">
        <x:f>D157-C157</x:f>
        <x:v>0</x:v>
      </x:c>
      <x:c r="F157" s="19" t="str">
        <x:v>CP0 becslési csomag: segédanyag és munkadíj a megnevezett tartalom szerint; külön szállítás a 14 sorban. Nem ingyenes szállítás.</x:v>
      </x:c>
    </x:row>
    <x:row r="158" ht="76" customHeight="1">
      <x:c r="A158" s="19" t="str">
        <x:v>KI-157</x:v>
      </x:c>
      <x:c r="B158" s="19" t="str">
        <x:v>Evőeszköz, edény, pohár, konyhai hulladékszelektálás és alap kisgépek</x:v>
      </x:c>
      <x:c r="C158" s="19" t="n">
        <x:v>150000</x:v>
      </x:c>
      <x:c r="D158" s="19" t="n">
        <x:f>'Elemregiszter'!U158</x:f>
        <x:v>150000</x:v>
      </x:c>
      <x:c r="E158" s="19" t="n">
        <x:f>D158-C158</x:f>
        <x:v>0</x:v>
      </x:c>
      <x:c r="F158" s="19" t="str">
        <x:v>CP0 becslési csomag: segédanyag és munkadíj a megnevezett tartalom szerint; külön szállítás a 14 sorban. Nem ingyenes szállítás.</x:v>
      </x:c>
    </x:row>
    <x:row r="159" ht="76" customHeight="1">
      <x:c r="A159" s="19" t="str">
        <x:v>KI-158</x:v>
      </x:c>
      <x:c r="B159" s="19" t="str">
        <x:v>Router/Wi-Fi és hálózati beüzemelés</x:v>
      </x:c>
      <x:c r="C159" s="19" t="n">
        <x:v>60000</x:v>
      </x:c>
      <x:c r="D159" s="19" t="n">
        <x:f>'Elemregiszter'!U159</x:f>
        <x:v>60000</x:v>
      </x:c>
      <x:c r="E159" s="19" t="n">
        <x:f>D159-C159</x:f>
        <x:v>0</x:v>
      </x:c>
      <x:c r="F159" s="19" t="str">
        <x:v>CP0 becslési csomag: segédanyag és munkadíj a megnevezett tartalom szerint; külön szállítás a 14 sorban. Nem ingyenes szállítás.</x:v>
      </x:c>
    </x:row>
    <x:row r="160" ht="76" customHeight="1">
      <x:c r="A160" s="19" t="str">
        <x:v>KI-159</x:v>
      </x:c>
      <x:c r="B160" s="19" t="str">
        <x:v>Riasztó és redőnymotor tényleges meglétének felmérése, hiány esetére előirányzat</x:v>
      </x:c>
      <x:c r="C160" s="19" t="n">
        <x:v>300000</x:v>
      </x:c>
      <x:c r="D160" s="19" t="n">
        <x:f>'Elemregiszter'!U160</x:f>
        <x:v>300000</x:v>
      </x:c>
      <x:c r="E160" s="19" t="n">
        <x:f>D160-C160</x:f>
        <x:v>0</x:v>
      </x:c>
      <x:c r="F160" s="19" t="str">
        <x:v>CP0 becslési csomag: segédanyag és munkadíj a megnevezett tartalom szerint; külön szállítás a 14 sorban. Nem ingyenes szállítás.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25" hidden="0" customWidth="1"/>
    <x:col min="3" max="3" width="45" hidden="0" customWidth="1"/>
    <x:col min="4" max="4" width="65" hidden="0" customWidth="1"/>
    <x:col min="5" max="5" width="25" hidden="0" customWidth="1"/>
    <x:col min="6" max="6" width="80" hidden="0" customWidth="1"/>
    <x:col min="7" max="7" width="25" hidden="0" customWidth="1"/>
  </x:cols>
  <x:sheetData>
    <x:row r="1" ht="45" customHeight="1">
      <x:c r="A1" s="42" t="str">
        <x:v>id</x:v>
      </x:c>
      <x:c r="B1" s="42" t="str">
        <x:v>target</x:v>
      </x:c>
      <x:c r="C1" s="42" t="str">
        <x:v>solution</x:v>
      </x:c>
      <x:c r="D1" s="42" t="str">
        <x:v>detail</x:v>
      </x:c>
      <x:c r="E1" s="42" t="str">
        <x:v>cost_rows</x:v>
      </x:c>
      <x:c r="F1" s="42" t="str">
        <x:v>deviation</x:v>
      </x:c>
      <x:c r="G1" s="42" t="str">
        <x:v>approval</x:v>
      </x:c>
    </x:row>
    <x:row r="2" ht="76" customHeight="1">
      <x:c r="A2" s="19" t="str">
        <x:v>V01</x:v>
      </x:c>
      <x:c r="B2" s="19" t="str">
        <x:v>Cam02/12 W01</x:v>
      </x:c>
      <x:c r="C2" s="19" t="str">
        <x:v>TV-01/02/03</x:v>
      </x:c>
      <x:c r="D2" s="19" t="str">
        <x:v>3300mm alsó,700mm magas,2600mm panel; valódi helyből méretezve, nem perspektívából</x:v>
      </x:c>
      <x:c r="E2" s="19" t="str">
        <x:v>KI-030–032</x:v>
      </x:c>
      <x:c r="F2" s="19" t="str">
        <x:v>Frontosztás és nyomat megváltozik; mintajóváhagyás kell</x:v>
      </x:c>
      <x:c r="G2" s="19" t="str">
        <x:v>NINCS JÓVÁHAGYVA</x:v>
      </x:c>
    </x:row>
    <x:row r="3" ht="76" customHeight="1">
      <x:c r="A3" s="19" t="str">
        <x:v>V02</x:v>
      </x:c>
      <x:c r="B3" s="19" t="str">
        <x:v>Cam12 W02</x:v>
      </x:c>
      <x:c r="C3" s="19" t="str">
        <x:v>ART-02</x:v>
      </x:c>
      <x:c r="D3" s="19" t="str">
        <x:v>2100×2880,3×700 textilpanel; saját SVG tusgrafika</x:v>
      </x:c>
      <x:c r="E3" s="19" t="str">
        <x:v>KI-123,131–133</x:v>
      </x:c>
      <x:c r="F3" s="19" t="str">
        <x:v>A grafika újrarajzolt javaslat, nem pixelazonos; kapcsolósáv és sarokillesztés felmérendő</x:v>
      </x:c>
      <x:c r="G3" s="19" t="str">
        <x:v>NINCS JÓVÁHAGYVA</x:v>
      </x:c>
    </x:row>
    <x:row r="4" ht="76" customHeight="1">
      <x:c r="A4" s="19" t="str">
        <x:v>V03</x:v>
      </x:c>
      <x:c r="B4" s="19" t="str">
        <x:v>Cam02/12 konyha</x:v>
      </x:c>
      <x:c r="C4" s="19" t="str">
        <x:v>K-01…K-09</x:v>
      </x:c>
      <x:c r="D4" s="19" t="str">
        <x:v>Kréta magas/felső, grafit alsó, betonhatású pult/hátfal</x:v>
      </x:c>
      <x:c r="E4" s="19" t="str">
        <x:v>KI-006–027</x:v>
      </x:c>
      <x:c r="F4" s="19" t="str">
        <x:v>Cam03 korábbi színanyagát egységesíteni;840mm folyosó, elszívó nincs lezárva</x:v>
      </x:c>
      <x:c r="G4" s="19" t="str">
        <x:v>NINCS JÓVÁHAGYVA</x:v>
      </x:c>
    </x:row>
    <x:row r="5" ht="76" customHeight="1">
      <x:c r="A5" s="19" t="str">
        <x:v>V04</x:v>
      </x:c>
      <x:c r="B5" s="19" t="str">
        <x:v>Cam02 kanapé</x:v>
      </x:c>
      <x:c r="C5" s="19" t="str">
        <x:v>Lennon DEQ21WES12329-168260</x:v>
      </x:c>
      <x:c r="D5" s="19" t="str">
        <x:v>238×180 taupe; gyári kéz és modulforma még igazolandó</x:v>
      </x:c>
      <x:c r="E5" s="19" t="str">
        <x:v>KI-036</x:v>
      </x:c>
      <x:c r="F5" s="19" t="str">
        <x:v>L-befoglaló ellenőrzött, részletes kárpitmodell nincs</x:v>
      </x:c>
      <x:c r="G5" s="19" t="str">
        <x:v>NINCS JÓVÁHAGYVA</x:v>
      </x:c>
    </x:row>
    <x:row r="6" ht="76" customHeight="1">
      <x:c r="A6" s="19" t="str">
        <x:v>V05</x:v>
      </x:c>
      <x:c r="B6" s="19" t="str">
        <x:v>Cam02 asztalok</x:v>
      </x:c>
      <x:c r="C6" s="19" t="str">
        <x:v>CF-01/ST-01</x:v>
      </x:c>
      <x:c r="D6" s="19" t="str">
        <x:v>Grafit egyedi700×450×350 és300×300×450</x:v>
      </x:c>
      <x:c r="E6" s="19" t="str">
        <x:v>KI-037–038</x:v>
      </x:c>
      <x:c r="F6" s="19" t="str">
        <x:v>A kerek/fehér DELIFE jelölt nem egyező; egyedi felületminta szükséges</x:v>
      </x:c>
      <x:c r="G6" s="19" t="str">
        <x:v>NINCS JÓVÁHAGYVA</x:v>
      </x:c>
    </x:row>
    <x:row r="7" ht="76" customHeight="1">
      <x:c r="A7" s="19" t="str">
        <x:v>V06</x:v>
      </x:c>
      <x:c r="B7" s="19" t="str">
        <x:v>Cam12 étkező</x:v>
      </x:c>
      <x:c r="C7" s="19" t="str">
        <x:v>Toni160 + Eamy C0100003HE12</x:v>
      </x:c>
      <x:c r="D7" s="19" t="str">
        <x:v>Hat szék;37cm feltételezett kihúzás lefutott</x:v>
      </x:c>
      <x:c r="E7" s="19" t="str">
        <x:v>KI-028–029</x:v>
      </x:c>
      <x:c r="F7" s="19" t="str">
        <x:v>Kárpit tónusa és lábprofilja gyári fotóhoz/modelhez egyeztetendő</x:v>
      </x:c>
      <x:c r="G7" s="19" t="str">
        <x:v>NINCS JÓVÁHAGYVA</x:v>
      </x:c>
    </x:row>
    <x:row r="8" ht="76" customHeight="1">
      <x:c r="A8" s="19" t="str">
        <x:v>V07</x:v>
      </x:c>
      <x:c r="B8" s="19" t="str">
        <x:v>Cam12 függeszték</x:v>
      </x:c>
      <x:c r="C8" s="19" t="str">
        <x:v>Somar L00148FA05</x:v>
      </x:c>
      <x:c r="D8" s="19" t="str">
        <x:v>76cm fehér búra; pontos függesztési magasság még nyitott</x:v>
      </x:c>
      <x:c r="E8" s="19" t="str">
        <x:v>KI-109</x:v>
      </x:c>
      <x:c r="F8" s="19" t="str">
        <x:v>Tényleges SKU mesh és fényforrás nincs modellezve</x:v>
      </x:c>
      <x:c r="G8" s="19" t="str">
        <x:v>NINCS JÓVÁHAGYVA</x:v>
      </x:c>
    </x:row>
    <x:row r="9" ht="76" customHeight="1">
      <x:c r="A9" s="19" t="str">
        <x:v>V08</x:v>
      </x:c>
      <x:c r="B9" s="19" t="str">
        <x:v>Cam02 mennyezeti lámpa</x:v>
      </x:c>
      <x:c r="C9" s="19" t="str">
        <x:v>Enrave M4115931P6</x:v>
      </x:c>
      <x:c r="D9" s="19" t="str">
        <x:v>Ø38.1×8.4cm lapos opál</x:v>
      </x:c>
      <x:c r="E9" s="19" t="str">
        <x:v>KI-113</x:v>
      </x:c>
      <x:c r="F9" s="19" t="str">
        <x:v>Lényeges eltérés a célkép magas dobformájától; nincs automatikusan elfogadva</x:v>
      </x:c>
      <x:c r="G9" s="19" t="str">
        <x:v>NINCS JÓVÁHAGYVA</x:v>
      </x:c>
    </x:row>
    <x:row r="10" ht="76" customHeight="1">
      <x:c r="A10" s="19" t="str">
        <x:v>V09</x:v>
      </x:c>
      <x:c r="B10" s="19" t="str">
        <x:v>Nappali szőnyeg</x:v>
      </x:c>
      <x:c r="C10" s="19" t="str">
        <x:v>Nifelia X0100244JJ12</x:v>
      </x:c>
      <x:c r="D10" s="19" t="str">
        <x:v>200×300cm bézs</x:v>
      </x:c>
      <x:c r="E10" s="19" t="str">
        <x:v>KI-039</x:v>
      </x:c>
      <x:c r="F10" s="19" t="str">
        <x:v>Anyagminta és szálirány; képernyőszín nem színjóváhagyás</x:v>
      </x:c>
      <x:c r="G10" s="19" t="str">
        <x:v>NINCS JÓVÁHAGYVA</x:v>
      </x:c>
    </x:row>
    <x:row r="11" ht="76" customHeight="1">
      <x:c r="A11" s="19" t="str">
        <x:v>V10</x:v>
      </x:c>
      <x:c r="B11" s="19" t="str">
        <x:v>Master éjjelik</x:v>
      </x:c>
      <x:c r="C11" s="19" t="str">
        <x:v>NT-L/NT-R + FADO800.963.72</x:v>
      </x:c>
      <x:c r="D11" s="19" t="str">
        <x:v>Grafit egyedi30×42×45; opálgömbØ25H24</x:v>
      </x:c>
      <x:c r="E11" s="19" t="str">
        <x:v>KI-047,117</x:v>
      </x:c>
      <x:c r="F11" s="19" t="str">
        <x:v>Gömb nagyobb, talpa más, mint a célképen; Hue izzó beférés nem igazolt</x:v>
      </x:c>
      <x:c r="G11" s="19" t="str">
        <x:v>NINCS JÓVÁHAGYVA</x:v>
      </x:c>
    </x:row>
    <x:row r="12" ht="76" customHeight="1">
      <x:c r="A12" s="19" t="str">
        <x:v>V11</x:v>
      </x:c>
      <x:c r="B12" s="19" t="str">
        <x:v>Master tároló</x:v>
      </x:c>
      <x:c r="C12" s="19" t="str">
        <x:v>WN-01/WS-01</x:v>
      </x:c>
      <x:c r="D12" s="19" t="str">
        <x:v>2920 és2380mm; egyedi belsők, sekély déli rúd</x:v>
      </x:c>
      <x:c r="E12" s="19" t="str">
        <x:v>KI-048–052</x:v>
      </x:c>
      <x:c r="F12" s="19" t="str">
        <x:v>PAX illeszkedése nincs igazolva; saját korpusz ajánlati javaslat</x:v>
      </x:c>
      <x:c r="G12" s="19" t="str">
        <x:v>NINCS JÓVÁHAGYVA</x:v>
      </x:c>
    </x:row>
    <x:row r="13" ht="76" customHeight="1">
      <x:c r="A13" s="19" t="str">
        <x:v>V12</x:v>
      </x:c>
      <x:c r="B13" s="19" t="str">
        <x:v>Master fejvég</x:v>
      </x:c>
      <x:c r="C13" s="19" t="str">
        <x:v>HB-01</x:v>
      </x:c>
      <x:c r="D13" s="19" t="str">
        <x:v>2700×1500 két anyagmező;2700mm fényvonal</x:v>
      </x:c>
      <x:c r="E13" s="19" t="str">
        <x:v>KI-046,118</x:v>
      </x:c>
      <x:c r="F13" s="19" t="str">
        <x:v>Taupe/grafit kárpitminták és ragasztás/tűzvédelmi termékadatok kellnek</x:v>
      </x:c>
      <x:c r="G13" s="19" t="str">
        <x:v>NINCS JÓVÁHAGYVA</x:v>
      </x:c>
    </x:row>
    <x:row r="14" ht="76" customHeight="1">
      <x:c r="A14" s="19" t="str">
        <x:v>V13</x:v>
      </x:c>
      <x:c r="B14" s="19" t="str">
        <x:v>Nem renderelt05.2</x:v>
      </x:c>
      <x:c r="C14" s="19" t="str">
        <x:v>SLATTUM160 + W52/DS52</x:v>
      </x:c>
      <x:c r="D14" s="19" t="str">
        <x:v>160cm fekvőfelület és munkahely tervjavaslat</x:v>
      </x:c>
      <x:c r="E14" s="19" t="str">
        <x:v>KI-058–069</x:v>
      </x:c>
      <x:c r="F14" s="19" t="str">
        <x:v>Erkélyajtó ütközés a DS52/FLINTAN elhelyezésével: nem elfogadható főelrendezés</x:v>
      </x:c>
      <x:c r="G14" s="19" t="str">
        <x:v>NINCS JÓVÁHAGYVA</x:v>
      </x:c>
    </x:row>
    <x:row r="15" ht="76" customHeight="1">
      <x:c r="A15" s="19" t="str">
        <x:v>V14</x:v>
      </x:c>
      <x:c r="B15" s="19" t="str">
        <x:v>Nem renderelt05.3</x:v>
      </x:c>
      <x:c r="C15" s="19" t="str">
        <x:v>NORDLI180 + W53/TROTTEN</x:v>
      </x:c>
      <x:c r="D15" s="19" t="str">
        <x:v>180cm ágy megmarad; íróasztal északkeleti sarokban</x:v>
      </x:c>
      <x:c r="E15" s="19" t="str">
        <x:v>KI-070–081</x:v>
      </x:c>
      <x:c r="F15" s="19" t="str">
        <x:v>Új helyiségterv; sekély gardrób és használati hely owner döntés</x:v>
      </x:c>
      <x:c r="G15" s="19" t="str">
        <x:v>NINCS JÓVÁHAGYVA</x:v>
      </x:c>
    </x:row>
    <x:row r="16" ht="76" customHeight="1">
      <x:c r="A16" s="19" t="str">
        <x:v>V15</x:v>
      </x:c>
      <x:c r="B16" s="19" t="str">
        <x:v>Cam10 fürdő</x:v>
      </x:c>
      <x:c r="C16" s="19" t="str">
        <x:v>B62-01/02 és GL-01</x:v>
      </x:c>
      <x:c r="D16" s="19" t="str">
        <x:v>Smyle megtartás, fix1000mm üveg</x:v>
      </x:c>
      <x:c r="E16" s="19" t="str">
        <x:v>KI-091–097</x:v>
      </x:c>
      <x:c r="F16" s="19" t="str">
        <x:v>Fotó hatszögburkolata elsődleges; szifon, üveg és méret még nem gyártható</x:v>
      </x:c>
      <x:c r="G16" s="19" t="str">
        <x:v>NINCS JÓVÁHAGYVA</x:v>
      </x:c>
    </x:row>
    <x:row r="17" ht="76" customHeight="1">
      <x:c r="A17" s="19" t="str">
        <x:v>V16</x:v>
      </x:c>
      <x:c r="B17" s="19" t="str">
        <x:v>Terasz</x:v>
      </x:c>
      <x:c r="C17" s="19" t="str">
        <x:v>Grafit lounge fő / NÄMMARÖ295.752.24 gazdaságos</x:v>
      </x:c>
      <x:c r="D17" s="19" t="str">
        <x:v>Fő pontos család nincs lezárva; alternatíva akác190500Ft</x:v>
      </x:c>
      <x:c r="E17" s="19" t="str">
        <x:v>KI-138–142</x:v>
      </x:c>
      <x:c r="F17" s="19" t="str">
        <x:v>Akác váz jelentős anyageltérés; chaise más geometria; nincs jóváhagyva</x:v>
      </x:c>
      <x:c r="G17" s="19" t="str">
        <x:v>NINCS JÓVÁHAGYVA</x:v>
      </x:c>
    </x:row>
    <x:row r="18" ht="76" customHeight="1">
      <x:c r="A18" s="19" t="str">
        <x:v>V17</x:v>
      </x:c>
      <x:c r="B18" s="19" t="str">
        <x:v>Teljes kültér</x:v>
      </x:c>
      <x:c r="C18" s="19" t="str">
        <x:v>Jakuzzi + emelés/bekötés</x:v>
      </x:c>
      <x:c r="D18" s="19" t="str">
        <x:v>1.7M+0.3M keret megtartva</x:v>
      </x:c>
      <x:c r="E18" s="19" t="str">
        <x:v>KI-136–137</x:v>
      </x:c>
      <x:c r="F18" s="19" t="str">
        <x:v>Típus, tömeg, statika és logisztika nyitott; nem eltüntetett költség</x:v>
      </x:c>
      <x:c r="G18" s="19" t="str">
        <x:v>NINCS JÓVÁHAGYVA</x:v>
      </x:c>
    </x:row>
    <x:row r="19" ht="76" customHeight="1">
      <x:c r="A19" s="19" t="str">
        <x:v>V18</x:v>
      </x:c>
      <x:c r="B19" s="19" t="str">
        <x:v>Küszöb / szintek</x:v>
      </x:c>
      <x:c r="C19" s="19" t="str">
        <x:v>SURVEY-THRESHOLD</x:v>
      </x:c>
      <x:c r="D19" s="19" t="str">
        <x:v>Fotón látható fellépés; modell120mm jelölő</x:v>
      </x:c>
      <x:c r="E19" s="19" t="str">
        <x:v>KI-003,149</x:v>
      </x:c>
      <x:c r="F19" s="19" t="str">
        <x:v>Nem helyszíni méret; végleges renderben pontosítani kell</x:v>
      </x:c>
      <x:c r="G19" s="19" t="str">
        <x:v>NINCS JÓVÁHAGYVA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35" hidden="0" customWidth="1"/>
    <x:col min="3" max="3" width="35" hidden="0" customWidth="1"/>
    <x:col min="4" max="4" width="18" hidden="0" customWidth="1"/>
    <x:col min="5" max="5" width="18" hidden="0" customWidth="1"/>
    <x:col min="6" max="6" width="18" hidden="0" customWidth="1"/>
    <x:col min="7" max="7" width="12" hidden="0" customWidth="1"/>
    <x:col min="8" max="8" width="50" hidden="0" customWidth="1"/>
    <x:col min="9" max="9" width="30" hidden="0" customWidth="1"/>
    <x:col min="10" max="10" width="70" hidden="0" customWidth="1"/>
    <x:col min="11" max="11" width="55" hidden="0" customWidth="1"/>
  </x:cols>
  <x:sheetData>
    <x:row r="1" ht="45" customHeight="1">
      <x:c r="A1" s="42" t="str">
        <x:v>szerkezet</x:v>
      </x:c>
      <x:c r="B1" s="42" t="str">
        <x:v>elem</x:v>
      </x:c>
      <x:c r="C1" s="42" t="str">
        <x:v>alkatresz</x:v>
      </x:c>
      <x:c r="D1" s="42" t="str">
        <x:v>hossz_mm</x:v>
      </x:c>
      <x:c r="E1" s="42" t="str">
        <x:v>szeles_mm</x:v>
      </x:c>
      <x:c r="F1" s="42" t="str">
        <x:v>vastag_mm</x:v>
      </x:c>
      <x:c r="G1" s="42" t="str">
        <x:v>db</x:v>
      </x:c>
      <x:c r="H1" s="42" t="str">
        <x:v>anyag</x:v>
      </x:c>
      <x:c r="I1" s="42" t="str">
        <x:v>felulet</x:v>
      </x:c>
      <x:c r="J1" s="42" t="str">
        <x:v>megjegyzes</x:v>
      </x:c>
      <x:c r="K1" s="42" t="str">
        <x:v>status</x:v>
      </x:c>
    </x:row>
    <x:row r="2" ht="76" customHeight="1">
      <x:c r="A2" s="19" t="str">
        <x:v>K-01</x:v>
      </x:c>
      <x:c r="B2" s="19" t="str">
        <x:v>KI-008;KI-009;KI-010;KI-013;KI-015</x:v>
      </x:c>
      <x:c r="C2" s="19" t="str">
        <x:v>Oldal</x:v>
      </x:c>
      <x:c r="D2" s="19" t="n">
        <x:v>2400</x:v>
      </x:c>
      <x:c r="E2" s="19" t="n">
        <x:v>600</x:v>
      </x:c>
      <x:c r="F2" s="19" t="n">
        <x:v>18</x:v>
      </x:c>
      <x:c r="G2" s="19" t="n">
        <x:v>2</x:v>
      </x:c>
      <x:c r="H2" s="19" t="str">
        <x:v>18 mm laminált korpusz; 19 mm MDF front; 8 mm hátlap</x:v>
      </x:c>
      <x:c r="I2" s="19" t="str">
        <x:v>kréta matt</x:v>
      </x:c>
      <x:c r="J2" s="19" t="str">
        <x:v>Látható él2mmABS; készméretből élvastagság gyártó szerint levonandó.</x:v>
      </x:c>
      <x:c r="K2" s="19" t="str">
        <x:v>AJÁNLATI KÉSZMÉRET; NEM CNC/GYÁRTÁSI KIADÁS</x:v>
      </x:c>
    </x:row>
    <x:row r="3" ht="76" customHeight="1">
      <x:c r="A3" s="19" t="str">
        <x:v>K-01</x:v>
      </x:c>
      <x:c r="B3" s="19" t="str">
        <x:v>KI-008;KI-009;KI-010;KI-013;KI-015</x:v>
      </x:c>
      <x:c r="C3" s="19" t="str">
        <x:v>Alsó/felső</x:v>
      </x:c>
      <x:c r="D3" s="19" t="n">
        <x:v>564</x:v>
      </x:c>
      <x:c r="E3" s="19" t="n">
        <x:v>581</x:v>
      </x:c>
      <x:c r="F3" s="19" t="n">
        <x:v>18</x:v>
      </x:c>
      <x:c r="G3" s="19" t="n">
        <x:v>2</x:v>
      </x:c>
      <x:c r="H3" s="19" t="str">
        <x:v>18 mm laminált korpusz; 19 mm MDF front; 8 mm hátlap</x:v>
      </x:c>
      <x:c r="I3" s="19" t="str">
        <x:v>kréta matt</x:v>
      </x:c>
      <x:c r="J3" s="19" t="str">
        <x:v>Felső lap gép/szifon körül kiváltandó a részletrajz szerint.</x:v>
      </x:c>
      <x:c r="K3" s="19" t="str">
        <x:v>AJÁNLATI KÉSZMÉRET; NEM CNC/GYÁRTÁSI KIADÁS</x:v>
      </x:c>
    </x:row>
    <x:row r="4" ht="76" customHeight="1">
      <x:c r="A4" s="19" t="str">
        <x:v>K-01</x:v>
      </x:c>
      <x:c r="B4" s="19" t="str">
        <x:v>KI-008;KI-009;KI-010;KI-013;KI-015</x:v>
      </x:c>
      <x:c r="C4" s="19" t="str">
        <x:v>Hát</x:v>
      </x:c>
      <x:c r="D4" s="19" t="n">
        <x:v>564</x:v>
      </x:c>
      <x:c r="E4" s="19" t="n">
        <x:v>2364</x:v>
      </x:c>
      <x:c r="F4" s="19" t="n">
        <x:v>8</x:v>
      </x:c>
      <x:c r="G4" s="19" t="n">
        <x:v>1</x:v>
      </x:c>
      <x:c r="H4" s="19" t="str">
        <x:v>18 mm laminált korpusz; 19 mm MDF front; 8 mm hátlap</x:v>
      </x:c>
      <x:c r="I4" s="19" t="str">
        <x:v>kréta matt</x:v>
      </x:c>
      <x:c r="J4" s="19" t="str">
        <x:v>Levehető szervizhát; géptorony szellőzőnyílások külön.</x:v>
      </x:c>
      <x:c r="K4" s="19" t="str">
        <x:v>AJÁNLATI KÉSZMÉRET; NEM CNC/GYÁRTÁSI KIADÁS</x:v>
      </x:c>
    </x:row>
    <x:row r="5" ht="76" customHeight="1">
      <x:c r="A5" s="19" t="str">
        <x:v>K-01</x:v>
      </x:c>
      <x:c r="B5" s="19" t="str">
        <x:v>KI-008;KI-009;KI-010;KI-013;KI-015</x:v>
      </x:c>
      <x:c r="C5" s="19" t="str">
        <x:v>Belső osztó</x:v>
      </x:c>
      <x:c r="D5" s="19" t="n">
        <x:v>2364</x:v>
      </x:c>
      <x:c r="E5" s="19" t="n">
        <x:v>573</x:v>
      </x:c>
      <x:c r="F5" s="19" t="n">
        <x:v>18</x:v>
      </x:c>
      <x:c r="G5" s="19" t="n">
        <x:v>0</x:v>
      </x:c>
      <x:c r="H5" s="19" t="str">
        <x:v>18 mm laminált korpusz; 19 mm MDF front; 8 mm hátlap</x:v>
      </x:c>
      <x:c r="I5" s="19" t="str">
        <x:v>kréta matt</x:v>
      </x:c>
      <x:c r="J5" s="19" t="str">
        <x:v>Nem automatikus modulonkénti duplaoldal.</x:v>
      </x:c>
      <x:c r="K5" s="19" t="str">
        <x:v>AJÁNLATI KÉSZMÉRET; NEM CNC/GYÁRTÁSI KIADÁS</x:v>
      </x:c>
    </x:row>
    <x:row r="6" ht="76" customHeight="1">
      <x:c r="A6" s="19" t="str">
        <x:v>K-01</x:v>
      </x:c>
      <x:c r="B6" s="19" t="str">
        <x:v>KI-008;KI-009;KI-010;KI-013;KI-015</x:v>
      </x:c>
      <x:c r="C6" s="19" t="str">
        <x:v>Géptorony köztes polc</x:v>
      </x:c>
      <x:c r="D6" s="19" t="n">
        <x:v>564</x:v>
      </x:c>
      <x:c r="E6" s="19" t="n">
        <x:v>573</x:v>
      </x:c>
      <x:c r="F6" s="19" t="n">
        <x:v>18</x:v>
      </x:c>
      <x:c r="G6" s="19" t="n">
        <x:v>3</x:v>
      </x:c>
      <x:c r="H6" s="19" t="str">
        <x:v>18 mm laminált korpusz; 19 mm MDF front; 8 mm hátlap</x:v>
      </x:c>
      <x:c r="I6" s="19" t="str">
        <x:v>kréta matt</x:v>
      </x:c>
      <x:c r="J6" s="19" t="str">
        <x:v>Pontos szintek CS-K; géptartó teherbírás ellenőrizendő.</x:v>
      </x:c>
      <x:c r="K6" s="19" t="str">
        <x:v>AJÁNLATI KÉSZMÉRET; NEM CNC/GYÁRTÁSI KIADÁS</x:v>
      </x:c>
    </x:row>
    <x:row r="7" ht="76" customHeight="1">
      <x:c r="A7" s="19" t="str">
        <x:v>K-01</x:v>
      </x:c>
      <x:c r="B7" s="19" t="str">
        <x:v>KI-008;KI-009;KI-010;KI-013;KI-015</x:v>
      </x:c>
      <x:c r="C7" s="19" t="str">
        <x:v>Front anyagelőirányzat</x:v>
      </x:c>
      <x:c r="D7" s="19" t="n">
        <x:v>597</x:v>
      </x:c>
      <x:c r="E7" s="19" t="n">
        <x:v>2397</x:v>
      </x:c>
      <x:c r="F7" s="19" t="n">
        <x:v>19</x:v>
      </x:c>
      <x:c r="G7" s="19" t="n">
        <x:v>1</x:v>
      </x:c>
      <x:c r="H7" s="19" t="str">
        <x:v>18 mm laminált korpusz; 19 mm MDF front; 8 mm hátlap</x:v>
      </x:c>
      <x:c r="I7" s="19" t="str">
        <x:v>kréta matt</x:v>
      </x:c>
      <x:c r="J7" s="19" t="str">
        <x:v>NEM egy darab gyártási front! Kivágás/frontosztás CS-K szerint, gyári sablonra vár.</x:v>
      </x:c>
      <x:c r="K7" s="19" t="str">
        <x:v>AJÁNLATI KÉSZMÉRET; NEM CNC/GYÁRTÁSI KIADÁS</x:v>
      </x:c>
    </x:row>
    <x:row r="8" ht="76" customHeight="1">
      <x:c r="A8" s="19" t="str">
        <x:v>K-02</x:v>
      </x:c>
      <x:c r="B8" s="19" t="str">
        <x:v>KI-008;KI-009;KI-010;KI-013;KI-015</x:v>
      </x:c>
      <x:c r="C8" s="19" t="str">
        <x:v>Oldal</x:v>
      </x:c>
      <x:c r="D8" s="19" t="n">
        <x:v>2400</x:v>
      </x:c>
      <x:c r="E8" s="19" t="n">
        <x:v>620</x:v>
      </x:c>
      <x:c r="F8" s="19" t="n">
        <x:v>18</x:v>
      </x:c>
      <x:c r="G8" s="19" t="n">
        <x:v>2</x:v>
      </x:c>
      <x:c r="H8" s="19" t="str">
        <x:v>18 mm laminált korpusz; 19 mm MDF front; 8 mm hátlap</x:v>
      </x:c>
      <x:c r="I8" s="19" t="str">
        <x:v>kréta matt</x:v>
      </x:c>
      <x:c r="J8" s="19" t="str">
        <x:v>Látható él2mmABS; készméretből élvastagság gyártó szerint levonandó.</x:v>
      </x:c>
      <x:c r="K8" s="19" t="str">
        <x:v>AJÁNLATI KÉSZMÉRET; NEM CNC/GYÁRTÁSI KIADÁS</x:v>
      </x:c>
    </x:row>
    <x:row r="9" ht="76" customHeight="1">
      <x:c r="A9" s="19" t="str">
        <x:v>K-02</x:v>
      </x:c>
      <x:c r="B9" s="19" t="str">
        <x:v>KI-008;KI-009;KI-010;KI-013;KI-015</x:v>
      </x:c>
      <x:c r="C9" s="19" t="str">
        <x:v>Alsó/felső</x:v>
      </x:c>
      <x:c r="D9" s="19" t="n">
        <x:v>564</x:v>
      </x:c>
      <x:c r="E9" s="19" t="n">
        <x:v>601</x:v>
      </x:c>
      <x:c r="F9" s="19" t="n">
        <x:v>18</x:v>
      </x:c>
      <x:c r="G9" s="19" t="n">
        <x:v>2</x:v>
      </x:c>
      <x:c r="H9" s="19" t="str">
        <x:v>18 mm laminált korpusz; 19 mm MDF front; 8 mm hátlap</x:v>
      </x:c>
      <x:c r="I9" s="19" t="str">
        <x:v>kréta matt</x:v>
      </x:c>
      <x:c r="J9" s="19" t="str">
        <x:v>Felső lap gép/szifon körül kiváltandó a részletrajz szerint.</x:v>
      </x:c>
      <x:c r="K9" s="19" t="str">
        <x:v>AJÁNLATI KÉSZMÉRET; NEM CNC/GYÁRTÁSI KIADÁS</x:v>
      </x:c>
    </x:row>
    <x:row r="10" ht="76" customHeight="1">
      <x:c r="A10" s="19" t="str">
        <x:v>K-02</x:v>
      </x:c>
      <x:c r="B10" s="19" t="str">
        <x:v>KI-008;KI-009;KI-010;KI-013;KI-015</x:v>
      </x:c>
      <x:c r="C10" s="19" t="str">
        <x:v>Hát</x:v>
      </x:c>
      <x:c r="D10" s="19" t="n">
        <x:v>564</x:v>
      </x:c>
      <x:c r="E10" s="19" t="n">
        <x:v>2364</x:v>
      </x:c>
      <x:c r="F10" s="19" t="n">
        <x:v>8</x:v>
      </x:c>
      <x:c r="G10" s="19" t="n">
        <x:v>1</x:v>
      </x:c>
      <x:c r="H10" s="19" t="str">
        <x:v>18 mm laminált korpusz; 19 mm MDF front; 8 mm hátlap</x:v>
      </x:c>
      <x:c r="I10" s="19" t="str">
        <x:v>kréta matt</x:v>
      </x:c>
      <x:c r="J10" s="19" t="str">
        <x:v>Levehető szervizhát; géptorony szellőzőnyílások külön.</x:v>
      </x:c>
      <x:c r="K10" s="19" t="str">
        <x:v>AJÁNLATI KÉSZMÉRET; NEM CNC/GYÁRTÁSI KIADÁS</x:v>
      </x:c>
    </x:row>
    <x:row r="11" ht="76" customHeight="1">
      <x:c r="A11" s="19" t="str">
        <x:v>K-02</x:v>
      </x:c>
      <x:c r="B11" s="19" t="str">
        <x:v>KI-008;KI-009;KI-010;KI-013;KI-015</x:v>
      </x:c>
      <x:c r="C11" s="19" t="str">
        <x:v>Belső osztó</x:v>
      </x:c>
      <x:c r="D11" s="19" t="n">
        <x:v>2364</x:v>
      </x:c>
      <x:c r="E11" s="19" t="n">
        <x:v>593</x:v>
      </x:c>
      <x:c r="F11" s="19" t="n">
        <x:v>18</x:v>
      </x:c>
      <x:c r="G11" s="19" t="n">
        <x:v>0</x:v>
      </x:c>
      <x:c r="H11" s="19" t="str">
        <x:v>18 mm laminált korpusz; 19 mm MDF front; 8 mm hátlap</x:v>
      </x:c>
      <x:c r="I11" s="19" t="str">
        <x:v>kréta matt</x:v>
      </x:c>
      <x:c r="J11" s="19" t="str">
        <x:v>Nem automatikus modulonkénti duplaoldal.</x:v>
      </x:c>
      <x:c r="K11" s="19" t="str">
        <x:v>AJÁNLATI KÉSZMÉRET; NEM CNC/GYÁRTÁSI KIADÁS</x:v>
      </x:c>
    </x:row>
    <x:row r="12" ht="76" customHeight="1">
      <x:c r="A12" s="19" t="str">
        <x:v>K-02</x:v>
      </x:c>
      <x:c r="B12" s="19" t="str">
        <x:v>KI-008;KI-009;KI-010;KI-013;KI-015</x:v>
      </x:c>
      <x:c r="C12" s="19" t="str">
        <x:v>Géptorony köztes polc</x:v>
      </x:c>
      <x:c r="D12" s="19" t="n">
        <x:v>564</x:v>
      </x:c>
      <x:c r="E12" s="19" t="n">
        <x:v>593</x:v>
      </x:c>
      <x:c r="F12" s="19" t="n">
        <x:v>18</x:v>
      </x:c>
      <x:c r="G12" s="19" t="n">
        <x:v>1</x:v>
      </x:c>
      <x:c r="H12" s="19" t="str">
        <x:v>18 mm laminált korpusz; 19 mm MDF front; 8 mm hátlap</x:v>
      </x:c>
      <x:c r="I12" s="19" t="str">
        <x:v>kréta matt</x:v>
      </x:c>
      <x:c r="J12" s="19" t="str">
        <x:v>Pontos szintek CS-K; géptartó teherbírás ellenőrizendő.</x:v>
      </x:c>
      <x:c r="K12" s="19" t="str">
        <x:v>AJÁNLATI KÉSZMÉRET; NEM CNC/GYÁRTÁSI KIADÁS</x:v>
      </x:c>
    </x:row>
    <x:row r="13" ht="76" customHeight="1">
      <x:c r="A13" s="19" t="str">
        <x:v>K-02</x:v>
      </x:c>
      <x:c r="B13" s="19" t="str">
        <x:v>KI-008;KI-009;KI-010;KI-013;KI-015</x:v>
      </x:c>
      <x:c r="C13" s="19" t="str">
        <x:v>Front anyagelőirányzat</x:v>
      </x:c>
      <x:c r="D13" s="19" t="n">
        <x:v>597</x:v>
      </x:c>
      <x:c r="E13" s="19" t="n">
        <x:v>2397</x:v>
      </x:c>
      <x:c r="F13" s="19" t="n">
        <x:v>19</x:v>
      </x:c>
      <x:c r="G13" s="19" t="n">
        <x:v>1</x:v>
      </x:c>
      <x:c r="H13" s="19" t="str">
        <x:v>18 mm laminált korpusz; 19 mm MDF front; 8 mm hátlap</x:v>
      </x:c>
      <x:c r="I13" s="19" t="str">
        <x:v>kréta matt</x:v>
      </x:c>
      <x:c r="J13" s="19" t="str">
        <x:v>NEM egy darab gyártási front! Kivágás/frontosztás CS-K szerint, gyári sablonra vár.</x:v>
      </x:c>
      <x:c r="K13" s="19" t="str">
        <x:v>AJÁNLATI KÉSZMÉRET; NEM CNC/GYÁRTÁSI KIADÁS</x:v>
      </x:c>
    </x:row>
    <x:row r="14" ht="76" customHeight="1">
      <x:c r="A14" s="19" t="str">
        <x:v>K-03</x:v>
      </x:c>
      <x:c r="B14" s="19" t="str">
        <x:v>KI-006;KI-009;KI-010;KI-015</x:v>
      </x:c>
      <x:c r="C14" s="19" t="str">
        <x:v>Oldal</x:v>
      </x:c>
      <x:c r="D14" s="19" t="n">
        <x:v>900</x:v>
      </x:c>
      <x:c r="E14" s="19" t="n">
        <x:v>620</x:v>
      </x:c>
      <x:c r="F14" s="19" t="n">
        <x:v>18</x:v>
      </x:c>
      <x:c r="G14" s="19" t="n">
        <x:v>2</x:v>
      </x:c>
      <x:c r="H14" s="19" t="str">
        <x:v>18 mm laminált korpusz; 19 mm MDF front; 8 mm hátlap</x:v>
      </x:c>
      <x:c r="I14" s="19" t="str">
        <x:v>grafit matt</x:v>
      </x:c>
      <x:c r="J14" s="19" t="str">
        <x:v>Látható él2mmABS; készméretből élvastagság gyártó szerint levonandó.</x:v>
      </x:c>
      <x:c r="K14" s="19" t="str">
        <x:v>AJÁNLATI KÉSZMÉRET; NEM CNC/GYÁRTÁSI KIADÁS</x:v>
      </x:c>
    </x:row>
    <x:row r="15" ht="76" customHeight="1">
      <x:c r="A15" s="19" t="str">
        <x:v>K-03</x:v>
      </x:c>
      <x:c r="B15" s="19" t="str">
        <x:v>KI-006;KI-009;KI-010;KI-015</x:v>
      </x:c>
      <x:c r="C15" s="19" t="str">
        <x:v>Alsó/felső</x:v>
      </x:c>
      <x:c r="D15" s="19" t="n">
        <x:v>764</x:v>
      </x:c>
      <x:c r="E15" s="19" t="n">
        <x:v>601</x:v>
      </x:c>
      <x:c r="F15" s="19" t="n">
        <x:v>18</x:v>
      </x:c>
      <x:c r="G15" s="19" t="n">
        <x:v>2</x:v>
      </x:c>
      <x:c r="H15" s="19" t="str">
        <x:v>18 mm laminált korpusz; 19 mm MDF front; 8 mm hátlap</x:v>
      </x:c>
      <x:c r="I15" s="19" t="str">
        <x:v>grafit matt</x:v>
      </x:c>
      <x:c r="J15" s="19" t="str">
        <x:v>Felső lap gép/szifon körül kiváltandó a részletrajz szerint.</x:v>
      </x:c>
      <x:c r="K15" s="19" t="str">
        <x:v>AJÁNLATI KÉSZMÉRET; NEM CNC/GYÁRTÁSI KIADÁS</x:v>
      </x:c>
    </x:row>
    <x:row r="16" ht="76" customHeight="1">
      <x:c r="A16" s="19" t="str">
        <x:v>K-03</x:v>
      </x:c>
      <x:c r="B16" s="19" t="str">
        <x:v>KI-006;KI-009;KI-010;KI-015</x:v>
      </x:c>
      <x:c r="C16" s="19" t="str">
        <x:v>Hát</x:v>
      </x:c>
      <x:c r="D16" s="19" t="n">
        <x:v>764</x:v>
      </x:c>
      <x:c r="E16" s="19" t="n">
        <x:v>864</x:v>
      </x:c>
      <x:c r="F16" s="19" t="n">
        <x:v>8</x:v>
      </x:c>
      <x:c r="G16" s="19" t="n">
        <x:v>1</x:v>
      </x:c>
      <x:c r="H16" s="19" t="str">
        <x:v>18 mm laminált korpusz; 19 mm MDF front; 8 mm hátlap</x:v>
      </x:c>
      <x:c r="I16" s="19" t="str">
        <x:v>grafit matt</x:v>
      </x:c>
      <x:c r="J16" s="19" t="str">
        <x:v>Levehető szervizhát; géptorony szellőzőnyílások külön.</x:v>
      </x:c>
      <x:c r="K16" s="19" t="str">
        <x:v>AJÁNLATI KÉSZMÉRET; NEM CNC/GYÁRTÁSI KIADÁS</x:v>
      </x:c>
    </x:row>
    <x:row r="17" ht="76" customHeight="1">
      <x:c r="A17" s="19" t="str">
        <x:v>K-03</x:v>
      </x:c>
      <x:c r="B17" s="19" t="str">
        <x:v>KI-006;KI-009;KI-010;KI-015</x:v>
      </x:c>
      <x:c r="C17" s="19" t="str">
        <x:v>Belső osztó</x:v>
      </x:c>
      <x:c r="D17" s="19" t="n">
        <x:v>864</x:v>
      </x:c>
      <x:c r="E17" s="19" t="n">
        <x:v>593</x:v>
      </x:c>
      <x:c r="F17" s="19" t="n">
        <x:v>18</x:v>
      </x:c>
      <x:c r="G17" s="19" t="n">
        <x:v>0</x:v>
      </x:c>
      <x:c r="H17" s="19" t="str">
        <x:v>18 mm laminált korpusz; 19 mm MDF front; 8 mm hátlap</x:v>
      </x:c>
      <x:c r="I17" s="19" t="str">
        <x:v>grafit matt</x:v>
      </x:c>
      <x:c r="J17" s="19" t="str">
        <x:v>Nem automatikus modulonkénti duplaoldal.</x:v>
      </x:c>
      <x:c r="K17" s="19" t="str">
        <x:v>AJÁNLATI KÉSZMÉRET; NEM CNC/GYÁRTÁSI KIADÁS</x:v>
      </x:c>
    </x:row>
    <x:row r="18" ht="76" customHeight="1">
      <x:c r="A18" s="19" t="str">
        <x:v>K-03</x:v>
      </x:c>
      <x:c r="B18" s="19" t="str">
        <x:v>KI-006;KI-009;KI-010;KI-015</x:v>
      </x:c>
      <x:c r="C18" s="19" t="str">
        <x:v>Polc</x:v>
      </x:c>
      <x:c r="D18" s="19" t="n">
        <x:v>764</x:v>
      </x:c>
      <x:c r="E18" s="19" t="n">
        <x:v>593</x:v>
      </x:c>
      <x:c r="F18" s="19" t="n">
        <x:v>18</x:v>
      </x:c>
      <x:c r="G18" s="19" t="n">
        <x:v>0</x:v>
      </x:c>
      <x:c r="H18" s="19" t="str">
        <x:v>18 mm laminált korpusz; 19 mm MDF front; 8 mm hátlap</x:v>
      </x:c>
      <x:c r="I18" s="19" t="str">
        <x:v>grafit matt</x:v>
      </x:c>
      <x:c r="J18" s="19" t="str">
        <x:v>Osztott elemnél rekeszenként újraméretezendő.</x:v>
      </x:c>
      <x:c r="K18" s="19" t="str">
        <x:v>AJÁNLATI KÉSZMÉRET; NEM CNC/GYÁRTÁSI KIADÁS</x:v>
      </x:c>
    </x:row>
    <x:row r="19" ht="76" customHeight="1">
      <x:c r="A19" s="19" t="str">
        <x:v>K-03</x:v>
      </x:c>
      <x:c r="B19" s="19" t="str">
        <x:v>KI-006;KI-009;KI-010;KI-015</x:v>
      </x:c>
      <x:c r="C19" s="19" t="str">
        <x:v>Front1</x:v>
      </x:c>
      <x:c r="D19" s="19" t="n">
        <x:v>797</x:v>
      </x:c>
      <x:c r="E19" s="19" t="n">
        <x:v>897</x:v>
      </x:c>
      <x:c r="F19" s="19" t="n">
        <x:v>19</x:v>
      </x:c>
      <x:c r="G19" s="19" t="n">
        <x:v>1</x:v>
      </x:c>
      <x:c r="H19" s="19" t="str">
        <x:v>18 mm laminált korpusz; 19 mm MDF front; 8 mm hátlap</x:v>
      </x:c>
      <x:c r="I19" s="19" t="str">
        <x:v>grafit matt</x:v>
      </x:c>
      <x:c r="J19" s="19" t="str">
        <x:v>Fiókrendszer hézagai, szifon és lábazat még gyártói egyeztetés.</x:v>
      </x:c>
      <x:c r="K19" s="19" t="str">
        <x:v>AJÁNLATI KÉSZMÉRET; NEM CNC/GYÁRTÁSI KIADÁS</x:v>
      </x:c>
    </x:row>
    <x:row r="20" ht="76" customHeight="1">
      <x:c r="A20" s="19" t="str">
        <x:v>K-04</x:v>
      </x:c>
      <x:c r="B20" s="19" t="str">
        <x:v>KI-006;KI-009;KI-013;KI-015</x:v>
      </x:c>
      <x:c r="C20" s="19" t="str">
        <x:v>Gépfront</x:v>
      </x:c>
      <x:c r="D20" s="19" t="n">
        <x:v>597</x:v>
      </x:c>
      <x:c r="E20" s="19" t="n">
        <x:v>732</x:v>
      </x:c>
      <x:c r="F20" s="19" t="n">
        <x:v>19</x:v>
      </x:c>
      <x:c r="G20" s="19" t="n">
        <x:v>1</x:v>
      </x:c>
      <x:c r="H20" s="19" t="str">
        <x:v>18 mm laminált korpusz; 19 mm MDF front; 8 mm hátlap</x:v>
      </x:c>
      <x:c r="I20" s="19" t="str">
        <x:v>grafit matt</x:v>
      </x:c>
      <x:c r="J20" s="19" t="str">
        <x:v>Frontmagasság és lábazatkivágás gyári sablonnal; nincs korpusz.</x:v>
      </x:c>
      <x:c r="K20" s="19" t="str">
        <x:v>AJÁNLATI KÉSZMÉRET; NEM CNC/GYÁRTÁSI KIADÁS</x:v>
      </x:c>
    </x:row>
    <x:row r="21" ht="76" customHeight="1">
      <x:c r="A21" s="19" t="str">
        <x:v>K-05</x:v>
      </x:c>
      <x:c r="B21" s="19" t="str">
        <x:v>KI-006;KI-009;KI-010;KI-015</x:v>
      </x:c>
      <x:c r="C21" s="19" t="str">
        <x:v>Oldal</x:v>
      </x:c>
      <x:c r="D21" s="19" t="n">
        <x:v>900</x:v>
      </x:c>
      <x:c r="E21" s="19" t="n">
        <x:v>620</x:v>
      </x:c>
      <x:c r="F21" s="19" t="n">
        <x:v>18</x:v>
      </x:c>
      <x:c r="G21" s="19" t="n">
        <x:v>2</x:v>
      </x:c>
      <x:c r="H21" s="19" t="str">
        <x:v>18 mm laminált korpusz; 19 mm MDF front; 8 mm hátlap</x:v>
      </x:c>
      <x:c r="I21" s="19" t="str">
        <x:v>grafit matt</x:v>
      </x:c>
      <x:c r="J21" s="19" t="str">
        <x:v>Látható él2mmABS; készméretből élvastagság gyártó szerint levonandó.</x:v>
      </x:c>
      <x:c r="K21" s="19" t="str">
        <x:v>AJÁNLATI KÉSZMÉRET; NEM CNC/GYÁRTÁSI KIADÁS</x:v>
      </x:c>
    </x:row>
    <x:row r="22" ht="76" customHeight="1">
      <x:c r="A22" s="19" t="str">
        <x:v>K-05</x:v>
      </x:c>
      <x:c r="B22" s="19" t="str">
        <x:v>KI-006;KI-009;KI-010;KI-015</x:v>
      </x:c>
      <x:c r="C22" s="19" t="str">
        <x:v>Alsó/felső</x:v>
      </x:c>
      <x:c r="D22" s="19" t="n">
        <x:v>564</x:v>
      </x:c>
      <x:c r="E22" s="19" t="n">
        <x:v>601</x:v>
      </x:c>
      <x:c r="F22" s="19" t="n">
        <x:v>18</x:v>
      </x:c>
      <x:c r="G22" s="19" t="n">
        <x:v>2</x:v>
      </x:c>
      <x:c r="H22" s="19" t="str">
        <x:v>18 mm laminált korpusz; 19 mm MDF front; 8 mm hátlap</x:v>
      </x:c>
      <x:c r="I22" s="19" t="str">
        <x:v>grafit matt</x:v>
      </x:c>
      <x:c r="J22" s="19" t="str">
        <x:v>Felső lap gép/szifon körül kiváltandó a részletrajz szerint.</x:v>
      </x:c>
      <x:c r="K22" s="19" t="str">
        <x:v>AJÁNLATI KÉSZMÉRET; NEM CNC/GYÁRTÁSI KIADÁS</x:v>
      </x:c>
    </x:row>
    <x:row r="23" ht="76" customHeight="1">
      <x:c r="A23" s="19" t="str">
        <x:v>K-05</x:v>
      </x:c>
      <x:c r="B23" s="19" t="str">
        <x:v>KI-006;KI-009;KI-010;KI-015</x:v>
      </x:c>
      <x:c r="C23" s="19" t="str">
        <x:v>Hát</x:v>
      </x:c>
      <x:c r="D23" s="19" t="n">
        <x:v>564</x:v>
      </x:c>
      <x:c r="E23" s="19" t="n">
        <x:v>864</x:v>
      </x:c>
      <x:c r="F23" s="19" t="n">
        <x:v>8</x:v>
      </x:c>
      <x:c r="G23" s="19" t="n">
        <x:v>1</x:v>
      </x:c>
      <x:c r="H23" s="19" t="str">
        <x:v>18 mm laminált korpusz; 19 mm MDF front; 8 mm hátlap</x:v>
      </x:c>
      <x:c r="I23" s="19" t="str">
        <x:v>grafit matt</x:v>
      </x:c>
      <x:c r="J23" s="19" t="str">
        <x:v>Levehető szervizhát; géptorony szellőzőnyílások külön.</x:v>
      </x:c>
      <x:c r="K23" s="19" t="str">
        <x:v>AJÁNLATI KÉSZMÉRET; NEM CNC/GYÁRTÁSI KIADÁS</x:v>
      </x:c>
    </x:row>
    <x:row r="24" ht="76" customHeight="1">
      <x:c r="A24" s="19" t="str">
        <x:v>K-05</x:v>
      </x:c>
      <x:c r="B24" s="19" t="str">
        <x:v>KI-006;KI-009;KI-010;KI-015</x:v>
      </x:c>
      <x:c r="C24" s="19" t="str">
        <x:v>Belső osztó</x:v>
      </x:c>
      <x:c r="D24" s="19" t="n">
        <x:v>864</x:v>
      </x:c>
      <x:c r="E24" s="19" t="n">
        <x:v>593</x:v>
      </x:c>
      <x:c r="F24" s="19" t="n">
        <x:v>18</x:v>
      </x:c>
      <x:c r="G24" s="19" t="n">
        <x:v>0</x:v>
      </x:c>
      <x:c r="H24" s="19" t="str">
        <x:v>18 mm laminált korpusz; 19 mm MDF front; 8 mm hátlap</x:v>
      </x:c>
      <x:c r="I24" s="19" t="str">
        <x:v>grafit matt</x:v>
      </x:c>
      <x:c r="J24" s="19" t="str">
        <x:v>Nem automatikus modulonkénti duplaoldal.</x:v>
      </x:c>
      <x:c r="K24" s="19" t="str">
        <x:v>AJÁNLATI KÉSZMÉRET; NEM CNC/GYÁRTÁSI KIADÁS</x:v>
      </x:c>
    </x:row>
    <x:row r="25" ht="76" customHeight="1">
      <x:c r="A25" s="19" t="str">
        <x:v>K-05</x:v>
      </x:c>
      <x:c r="B25" s="19" t="str">
        <x:v>KI-006;KI-009;KI-010;KI-015</x:v>
      </x:c>
      <x:c r="C25" s="19" t="str">
        <x:v>Polc</x:v>
      </x:c>
      <x:c r="D25" s="19" t="n">
        <x:v>564</x:v>
      </x:c>
      <x:c r="E25" s="19" t="n">
        <x:v>593</x:v>
      </x:c>
      <x:c r="F25" s="19" t="n">
        <x:v>18</x:v>
      </x:c>
      <x:c r="G25" s="19" t="n">
        <x:v>0</x:v>
      </x:c>
      <x:c r="H25" s="19" t="str">
        <x:v>18 mm laminált korpusz; 19 mm MDF front; 8 mm hátlap</x:v>
      </x:c>
      <x:c r="I25" s="19" t="str">
        <x:v>grafit matt</x:v>
      </x:c>
      <x:c r="J25" s="19" t="str">
        <x:v>Osztott elemnél rekeszenként újraméretezendő.</x:v>
      </x:c>
      <x:c r="K25" s="19" t="str">
        <x:v>AJÁNLATI KÉSZMÉRET; NEM CNC/GYÁRTÁSI KIADÁS</x:v>
      </x:c>
    </x:row>
    <x:row r="26" ht="76" customHeight="1">
      <x:c r="A26" s="19" t="str">
        <x:v>K-05</x:v>
      </x:c>
      <x:c r="B26" s="19" t="str">
        <x:v>KI-006;KI-009;KI-010;KI-015</x:v>
      </x:c>
      <x:c r="C26" s="19" t="str">
        <x:v>Front1</x:v>
      </x:c>
      <x:c r="D26" s="19" t="n">
        <x:v>597</x:v>
      </x:c>
      <x:c r="E26" s="19" t="n">
        <x:v>297</x:v>
      </x:c>
      <x:c r="F26" s="19" t="n">
        <x:v>19</x:v>
      </x:c>
      <x:c r="G26" s="19" t="n">
        <x:v>3</x:v>
      </x:c>
      <x:c r="H26" s="19" t="str">
        <x:v>18 mm laminált korpusz; 19 mm MDF front; 8 mm hátlap</x:v>
      </x:c>
      <x:c r="I26" s="19" t="str">
        <x:v>grafit matt</x:v>
      </x:c>
      <x:c r="J26" s="19" t="str">
        <x:v>Fiókrendszer hézagai, szifon és lábazat még gyártói egyeztetés.</x:v>
      </x:c>
      <x:c r="K26" s="19" t="str">
        <x:v>AJÁNLATI KÉSZMÉRET; NEM CNC/GYÁRTÁSI KIADÁS</x:v>
      </x:c>
    </x:row>
    <x:row r="27" ht="76" customHeight="1">
      <x:c r="A27" s="19" t="str">
        <x:v>K-06</x:v>
      </x:c>
      <x:c r="B27" s="19" t="str">
        <x:v>KI-006;KI-009;KI-010;KI-015</x:v>
      </x:c>
      <x:c r="C27" s="19" t="str">
        <x:v>Oldal</x:v>
      </x:c>
      <x:c r="D27" s="19" t="n">
        <x:v>900</x:v>
      </x:c>
      <x:c r="E27" s="19" t="n">
        <x:v>620</x:v>
      </x:c>
      <x:c r="F27" s="19" t="n">
        <x:v>18</x:v>
      </x:c>
      <x:c r="G27" s="19" t="n">
        <x:v>2</x:v>
      </x:c>
      <x:c r="H27" s="19" t="str">
        <x:v>18 mm laminált korpusz; 19 mm MDF front; 8 mm hátlap</x:v>
      </x:c>
      <x:c r="I27" s="19" t="str">
        <x:v>grafit matt</x:v>
      </x:c>
      <x:c r="J27" s="19" t="str">
        <x:v>Látható él2mmABS; készméretből élvastagság gyártó szerint levonandó.</x:v>
      </x:c>
      <x:c r="K27" s="19" t="str">
        <x:v>AJÁNLATI KÉSZMÉRET; NEM CNC/GYÁRTÁSI KIADÁS</x:v>
      </x:c>
    </x:row>
    <x:row r="28" ht="76" customHeight="1">
      <x:c r="A28" s="19" t="str">
        <x:v>K-06</x:v>
      </x:c>
      <x:c r="B28" s="19" t="str">
        <x:v>KI-006;KI-009;KI-010;KI-015</x:v>
      </x:c>
      <x:c r="C28" s="19" t="str">
        <x:v>Alsó/felső</x:v>
      </x:c>
      <x:c r="D28" s="19" t="n">
        <x:v>964</x:v>
      </x:c>
      <x:c r="E28" s="19" t="n">
        <x:v>601</x:v>
      </x:c>
      <x:c r="F28" s="19" t="n">
        <x:v>18</x:v>
      </x:c>
      <x:c r="G28" s="19" t="n">
        <x:v>2</x:v>
      </x:c>
      <x:c r="H28" s="19" t="str">
        <x:v>18 mm laminált korpusz; 19 mm MDF front; 8 mm hátlap</x:v>
      </x:c>
      <x:c r="I28" s="19" t="str">
        <x:v>grafit matt</x:v>
      </x:c>
      <x:c r="J28" s="19" t="str">
        <x:v>Felső lap gép/szifon körül kiváltandó a részletrajz szerint.</x:v>
      </x:c>
      <x:c r="K28" s="19" t="str">
        <x:v>AJÁNLATI KÉSZMÉRET; NEM CNC/GYÁRTÁSI KIADÁS</x:v>
      </x:c>
    </x:row>
    <x:row r="29" ht="76" customHeight="1">
      <x:c r="A29" s="19" t="str">
        <x:v>K-06</x:v>
      </x:c>
      <x:c r="B29" s="19" t="str">
        <x:v>KI-006;KI-009;KI-010;KI-015</x:v>
      </x:c>
      <x:c r="C29" s="19" t="str">
        <x:v>Hát</x:v>
      </x:c>
      <x:c r="D29" s="19" t="n">
        <x:v>964</x:v>
      </x:c>
      <x:c r="E29" s="19" t="n">
        <x:v>864</x:v>
      </x:c>
      <x:c r="F29" s="19" t="n">
        <x:v>8</x:v>
      </x:c>
      <x:c r="G29" s="19" t="n">
        <x:v>1</x:v>
      </x:c>
      <x:c r="H29" s="19" t="str">
        <x:v>18 mm laminált korpusz; 19 mm MDF front; 8 mm hátlap</x:v>
      </x:c>
      <x:c r="I29" s="19" t="str">
        <x:v>grafit matt</x:v>
      </x:c>
      <x:c r="J29" s="19" t="str">
        <x:v>Levehető szervizhát; géptorony szellőzőnyílások külön.</x:v>
      </x:c>
      <x:c r="K29" s="19" t="str">
        <x:v>AJÁNLATI KÉSZMÉRET; NEM CNC/GYÁRTÁSI KIADÁS</x:v>
      </x:c>
    </x:row>
    <x:row r="30" ht="76" customHeight="1">
      <x:c r="A30" s="19" t="str">
        <x:v>K-06</x:v>
      </x:c>
      <x:c r="B30" s="19" t="str">
        <x:v>KI-006;KI-009;KI-010;KI-015</x:v>
      </x:c>
      <x:c r="C30" s="19" t="str">
        <x:v>Belső osztó</x:v>
      </x:c>
      <x:c r="D30" s="19" t="n">
        <x:v>864</x:v>
      </x:c>
      <x:c r="E30" s="19" t="n">
        <x:v>593</x:v>
      </x:c>
      <x:c r="F30" s="19" t="n">
        <x:v>18</x:v>
      </x:c>
      <x:c r="G30" s="19" t="n">
        <x:v>1</x:v>
      </x:c>
      <x:c r="H30" s="19" t="str">
        <x:v>18 mm laminált korpusz; 19 mm MDF front; 8 mm hátlap</x:v>
      </x:c>
      <x:c r="I30" s="19" t="str">
        <x:v>grafit matt</x:v>
      </x:c>
      <x:c r="J30" s="19" t="str">
        <x:v>Nem automatikus modulonkénti duplaoldal.</x:v>
      </x:c>
      <x:c r="K30" s="19" t="str">
        <x:v>AJÁNLATI KÉSZMÉRET; NEM CNC/GYÁRTÁSI KIADÁS</x:v>
      </x:c>
    </x:row>
    <x:row r="31" ht="76" customHeight="1">
      <x:c r="A31" s="19" t="str">
        <x:v>K-06</x:v>
      </x:c>
      <x:c r="B31" s="19" t="str">
        <x:v>KI-006;KI-009;KI-010;KI-015</x:v>
      </x:c>
      <x:c r="C31" s="19" t="str">
        <x:v>Polc</x:v>
      </x:c>
      <x:c r="D31" s="19" t="n">
        <x:v>964</x:v>
      </x:c>
      <x:c r="E31" s="19" t="n">
        <x:v>593</x:v>
      </x:c>
      <x:c r="F31" s="19" t="n">
        <x:v>18</x:v>
      </x:c>
      <x:c r="G31" s="19" t="n">
        <x:v>0</x:v>
      </x:c>
      <x:c r="H31" s="19" t="str">
        <x:v>18 mm laminált korpusz; 19 mm MDF front; 8 mm hátlap</x:v>
      </x:c>
      <x:c r="I31" s="19" t="str">
        <x:v>grafit matt</x:v>
      </x:c>
      <x:c r="J31" s="19" t="str">
        <x:v>Osztott elemnél rekeszenként újraméretezendő.</x:v>
      </x:c>
      <x:c r="K31" s="19" t="str">
        <x:v>AJÁNLATI KÉSZMÉRET; NEM CNC/GYÁRTÁSI KIADÁS</x:v>
      </x:c>
    </x:row>
    <x:row r="32" ht="76" customHeight="1">
      <x:c r="A32" s="19" t="str">
        <x:v>K-06</x:v>
      </x:c>
      <x:c r="B32" s="19" t="str">
        <x:v>KI-006;KI-009;KI-010;KI-015</x:v>
      </x:c>
      <x:c r="C32" s="19" t="str">
        <x:v>Front1</x:v>
      </x:c>
      <x:c r="D32" s="19" t="n">
        <x:v>497</x:v>
      </x:c>
      <x:c r="E32" s="19" t="n">
        <x:v>297</x:v>
      </x:c>
      <x:c r="F32" s="19" t="n">
        <x:v>19</x:v>
      </x:c>
      <x:c r="G32" s="19" t="n">
        <x:v>3</x:v>
      </x:c>
      <x:c r="H32" s="19" t="str">
        <x:v>18 mm laminált korpusz; 19 mm MDF front; 8 mm hátlap</x:v>
      </x:c>
      <x:c r="I32" s="19" t="str">
        <x:v>grafit matt</x:v>
      </x:c>
      <x:c r="J32" s="19" t="str">
        <x:v>Fiókrendszer hézagai, szifon és lábazat még gyártói egyeztetés.</x:v>
      </x:c>
      <x:c r="K32" s="19" t="str">
        <x:v>AJÁNLATI KÉSZMÉRET; NEM CNC/GYÁRTÁSI KIADÁS</x:v>
      </x:c>
    </x:row>
    <x:row r="33" ht="76" customHeight="1">
      <x:c r="A33" s="19" t="str">
        <x:v>K-06</x:v>
      </x:c>
      <x:c r="B33" s="19" t="str">
        <x:v>KI-006;KI-009;KI-010;KI-015</x:v>
      </x:c>
      <x:c r="C33" s="19" t="str">
        <x:v>Front2</x:v>
      </x:c>
      <x:c r="D33" s="19" t="n">
        <x:v>497</x:v>
      </x:c>
      <x:c r="E33" s="19" t="n">
        <x:v>297</x:v>
      </x:c>
      <x:c r="F33" s="19" t="n">
        <x:v>19</x:v>
      </x:c>
      <x:c r="G33" s="19" t="n">
        <x:v>3</x:v>
      </x:c>
      <x:c r="H33" s="19" t="str">
        <x:v>18 mm laminált korpusz; 19 mm MDF front; 8 mm hátlap</x:v>
      </x:c>
      <x:c r="I33" s="19" t="str">
        <x:v>grafit matt</x:v>
      </x:c>
      <x:c r="J33" s="19" t="str">
        <x:v>Fiókrendszer hézagai, szifon és lábazat még gyártói egyeztetés.</x:v>
      </x:c>
      <x:c r="K33" s="19" t="str">
        <x:v>AJÁNLATI KÉSZMÉRET; NEM CNC/GYÁRTÁSI KIADÁS</x:v>
      </x:c>
    </x:row>
    <x:row r="34" ht="76" customHeight="1">
      <x:c r="A34" s="19" t="str">
        <x:v>K-07</x:v>
      </x:c>
      <x:c r="B34" s="19" t="str">
        <x:v>KI-007;KI-009;KI-010;KI-015</x:v>
      </x:c>
      <x:c r="C34" s="19" t="str">
        <x:v>Oldal</x:v>
      </x:c>
      <x:c r="D34" s="19" t="n">
        <x:v>900</x:v>
      </x:c>
      <x:c r="E34" s="19" t="n">
        <x:v>350</x:v>
      </x:c>
      <x:c r="F34" s="19" t="n">
        <x:v>18</x:v>
      </x:c>
      <x:c r="G34" s="19" t="n">
        <x:v>2</x:v>
      </x:c>
      <x:c r="H34" s="19" t="str">
        <x:v>18 mm laminált korpusz; 19 mm MDF front; 8 mm hátlap</x:v>
      </x:c>
      <x:c r="I34" s="19" t="str">
        <x:v>kréta matt</x:v>
      </x:c>
      <x:c r="J34" s="19" t="str">
        <x:v>Látható él2mmABS; készméretből élvastagság gyártó szerint levonandó.</x:v>
      </x:c>
      <x:c r="K34" s="19" t="str">
        <x:v>AJÁNLATI KÉSZMÉRET; NEM CNC/GYÁRTÁSI KIADÁS</x:v>
      </x:c>
    </x:row>
    <x:row r="35" ht="76" customHeight="1">
      <x:c r="A35" s="19" t="str">
        <x:v>K-07</x:v>
      </x:c>
      <x:c r="B35" s="19" t="str">
        <x:v>KI-007;KI-009;KI-010;KI-015</x:v>
      </x:c>
      <x:c r="C35" s="19" t="str">
        <x:v>Alsó/felső</x:v>
      </x:c>
      <x:c r="D35" s="19" t="n">
        <x:v>1364</x:v>
      </x:c>
      <x:c r="E35" s="19" t="n">
        <x:v>331</x:v>
      </x:c>
      <x:c r="F35" s="19" t="n">
        <x:v>18</x:v>
      </x:c>
      <x:c r="G35" s="19" t="n">
        <x:v>2</x:v>
      </x:c>
      <x:c r="H35" s="19" t="str">
        <x:v>18 mm laminált korpusz; 19 mm MDF front; 8 mm hátlap</x:v>
      </x:c>
      <x:c r="I35" s="19" t="str">
        <x:v>kréta matt</x:v>
      </x:c>
      <x:c r="J35" s="19" t="str">
        <x:v>Felső lap gép/szifon körül kiváltandó a részletrajz szerint.</x:v>
      </x:c>
      <x:c r="K35" s="19" t="str">
        <x:v>AJÁNLATI KÉSZMÉRET; NEM CNC/GYÁRTÁSI KIADÁS</x:v>
      </x:c>
    </x:row>
    <x:row r="36" ht="76" customHeight="1">
      <x:c r="A36" s="19" t="str">
        <x:v>K-07</x:v>
      </x:c>
      <x:c r="B36" s="19" t="str">
        <x:v>KI-007;KI-009;KI-010;KI-015</x:v>
      </x:c>
      <x:c r="C36" s="19" t="str">
        <x:v>Hát</x:v>
      </x:c>
      <x:c r="D36" s="19" t="n">
        <x:v>1364</x:v>
      </x:c>
      <x:c r="E36" s="19" t="n">
        <x:v>864</x:v>
      </x:c>
      <x:c r="F36" s="19" t="n">
        <x:v>8</x:v>
      </x:c>
      <x:c r="G36" s="19" t="n">
        <x:v>1</x:v>
      </x:c>
      <x:c r="H36" s="19" t="str">
        <x:v>18 mm laminált korpusz; 19 mm MDF front; 8 mm hátlap</x:v>
      </x:c>
      <x:c r="I36" s="19" t="str">
        <x:v>kréta matt</x:v>
      </x:c>
      <x:c r="J36" s="19" t="str">
        <x:v>Levehető szervizhát; géptorony szellőzőnyílások külön.</x:v>
      </x:c>
      <x:c r="K36" s="19" t="str">
        <x:v>AJÁNLATI KÉSZMÉRET; NEM CNC/GYÁRTÁSI KIADÁS</x:v>
      </x:c>
    </x:row>
    <x:row r="37" ht="76" customHeight="1">
      <x:c r="A37" s="19" t="str">
        <x:v>K-07</x:v>
      </x:c>
      <x:c r="B37" s="19" t="str">
        <x:v>KI-007;KI-009;KI-010;KI-015</x:v>
      </x:c>
      <x:c r="C37" s="19" t="str">
        <x:v>Belső osztó</x:v>
      </x:c>
      <x:c r="D37" s="19" t="n">
        <x:v>864</x:v>
      </x:c>
      <x:c r="E37" s="19" t="n">
        <x:v>323</x:v>
      </x:c>
      <x:c r="F37" s="19" t="n">
        <x:v>18</x:v>
      </x:c>
      <x:c r="G37" s="19" t="n">
        <x:v>1</x:v>
      </x:c>
      <x:c r="H37" s="19" t="str">
        <x:v>18 mm laminált korpusz; 19 mm MDF front; 8 mm hátlap</x:v>
      </x:c>
      <x:c r="I37" s="19" t="str">
        <x:v>kréta matt</x:v>
      </x:c>
      <x:c r="J37" s="19" t="str">
        <x:v>Nem automatikus modulonkénti duplaoldal.</x:v>
      </x:c>
      <x:c r="K37" s="19" t="str">
        <x:v>AJÁNLATI KÉSZMÉRET; NEM CNC/GYÁRTÁSI KIADÁS</x:v>
      </x:c>
    </x:row>
    <x:row r="38" ht="76" customHeight="1">
      <x:c r="A38" s="19" t="str">
        <x:v>K-07</x:v>
      </x:c>
      <x:c r="B38" s="19" t="str">
        <x:v>KI-007;KI-009;KI-010;KI-015</x:v>
      </x:c>
      <x:c r="C38" s="19" t="str">
        <x:v>Polc</x:v>
      </x:c>
      <x:c r="D38" s="19" t="n">
        <x:v>1364</x:v>
      </x:c>
      <x:c r="E38" s="19" t="n">
        <x:v>323</x:v>
      </x:c>
      <x:c r="F38" s="19" t="n">
        <x:v>18</x:v>
      </x:c>
      <x:c r="G38" s="19" t="n">
        <x:v>2</x:v>
      </x:c>
      <x:c r="H38" s="19" t="str">
        <x:v>18 mm laminált korpusz; 19 mm MDF front; 8 mm hátlap</x:v>
      </x:c>
      <x:c r="I38" s="19" t="str">
        <x:v>kréta matt</x:v>
      </x:c>
      <x:c r="J38" s="19" t="str">
        <x:v>Osztott elemnél rekeszenként újraméretezendő.</x:v>
      </x:c>
      <x:c r="K38" s="19" t="str">
        <x:v>AJÁNLATI KÉSZMÉRET; NEM CNC/GYÁRTÁSI KIADÁS</x:v>
      </x:c>
    </x:row>
    <x:row r="39" ht="76" customHeight="1">
      <x:c r="A39" s="19" t="str">
        <x:v>K-07</x:v>
      </x:c>
      <x:c r="B39" s="19" t="str">
        <x:v>KI-007;KI-009;KI-010;KI-015</x:v>
      </x:c>
      <x:c r="C39" s="19" t="str">
        <x:v>Front1</x:v>
      </x:c>
      <x:c r="D39" s="19" t="n">
        <x:v>597</x:v>
      </x:c>
      <x:c r="E39" s="19" t="n">
        <x:v>897</x:v>
      </x:c>
      <x:c r="F39" s="19" t="n">
        <x:v>19</x:v>
      </x:c>
      <x:c r="G39" s="19" t="n">
        <x:v>1</x:v>
      </x:c>
      <x:c r="H39" s="19" t="str">
        <x:v>18 mm laminált korpusz; 19 mm MDF front; 8 mm hátlap</x:v>
      </x:c>
      <x:c r="I39" s="19" t="str">
        <x:v>kréta matt</x:v>
      </x:c>
      <x:c r="J39" s="19" t="str">
        <x:v>Fiókrendszer hézagai, szifon és lábazat még gyártói egyeztetés.</x:v>
      </x:c>
      <x:c r="K39" s="19" t="str">
        <x:v>AJÁNLATI KÉSZMÉRET; NEM CNC/GYÁRTÁSI KIADÁS</x:v>
      </x:c>
    </x:row>
    <x:row r="40" ht="76" customHeight="1">
      <x:c r="A40" s="19" t="str">
        <x:v>K-07</x:v>
      </x:c>
      <x:c r="B40" s="19" t="str">
        <x:v>KI-007;KI-009;KI-010;KI-015</x:v>
      </x:c>
      <x:c r="C40" s="19" t="str">
        <x:v>Front2</x:v>
      </x:c>
      <x:c r="D40" s="19" t="n">
        <x:v>797</x:v>
      </x:c>
      <x:c r="E40" s="19" t="n">
        <x:v>897</x:v>
      </x:c>
      <x:c r="F40" s="19" t="n">
        <x:v>19</x:v>
      </x:c>
      <x:c r="G40" s="19" t="n">
        <x:v>1</x:v>
      </x:c>
      <x:c r="H40" s="19" t="str">
        <x:v>18 mm laminált korpusz; 19 mm MDF front; 8 mm hátlap</x:v>
      </x:c>
      <x:c r="I40" s="19" t="str">
        <x:v>kréta matt</x:v>
      </x:c>
      <x:c r="J40" s="19" t="str">
        <x:v>Fiókrendszer hézagai, szifon és lábazat még gyártói egyeztetés.</x:v>
      </x:c>
      <x:c r="K40" s="19" t="str">
        <x:v>AJÁNLATI KÉSZMÉRET; NEM CNC/GYÁRTÁSI KIADÁS</x:v>
      </x:c>
    </x:row>
    <x:row r="41" ht="76" customHeight="1">
      <x:c r="A41" s="19" t="str">
        <x:v>K-08</x:v>
      </x:c>
      <x:c r="B41" s="19" t="str">
        <x:v>KI-011;KI-012;KI-014</x:v>
      </x:c>
      <x:c r="C41" s="19" t="str">
        <x:v>Mező 1</x:v>
      </x:c>
      <x:c r="D41" s="19" t="n">
        <x:v>1457</x:v>
      </x:c>
      <x:c r="E41" s="19" t="n">
        <x:v>38</x:v>
      </x:c>
      <x:c r="F41" s="19" t="n">
        <x:v>18</x:v>
      </x:c>
      <x:c r="G41" s="19" t="n">
        <x:v>1</x:v>
      </x:c>
      <x:c r="H41" s="19" t="str">
        <x:v>18 mm laminált korpusz; 19 mm MDF front; 8 mm hátlap</x:v>
      </x:c>
      <x:c r="I41" s="19" t="str">
        <x:v>F274 betonhatás</x:v>
      </x:c>
      <x:c r="J41" s="19" t="str">
        <x:v>Nyomat/kárpit ráhagyás külön; hordozó vastagság egyeztetendő.</x:v>
      </x:c>
      <x:c r="K41" s="19" t="str">
        <x:v>AJÁNLATI KÉSZMÉRET; NEM CNC/GYÁRTÁSI KIADÁS</x:v>
      </x:c>
    </x:row>
    <x:row r="42" ht="76" customHeight="1">
      <x:c r="A42" s="19" t="str">
        <x:v>TV-01</x:v>
      </x:c>
      <x:c r="B42" s="19" t="str">
        <x:v>KI-030;KI-032</x:v>
      </x:c>
      <x:c r="C42" s="19" t="str">
        <x:v>Oldal</x:v>
      </x:c>
      <x:c r="D42" s="19" t="n">
        <x:v>2330</x:v>
      </x:c>
      <x:c r="E42" s="19" t="n">
        <x:v>400</x:v>
      </x:c>
      <x:c r="F42" s="19" t="n">
        <x:v>18</x:v>
      </x:c>
      <x:c r="G42" s="19" t="n">
        <x:v>2</x:v>
      </x:c>
      <x:c r="H42" s="19" t="str">
        <x:v>18 mm laminált korpusz; 19 mm MDF front; 8 mm hátlap</x:v>
      </x:c>
      <x:c r="I42" s="19" t="str">
        <x:v>textilhatású kréta + tusnyomat</x:v>
      </x:c>
      <x:c r="J42" s="19" t="str">
        <x:v>Látható él2mmABS; készméretből élvastagság gyártó szerint levonandó.</x:v>
      </x:c>
      <x:c r="K42" s="19" t="str">
        <x:v>AJÁNLATI KÉSZMÉRET; NEM CNC/GYÁRTÁSI KIADÁS</x:v>
      </x:c>
    </x:row>
    <x:row r="43" ht="76" customHeight="1">
      <x:c r="A43" s="19" t="str">
        <x:v>TV-01</x:v>
      </x:c>
      <x:c r="B43" s="19" t="str">
        <x:v>KI-030;KI-032</x:v>
      </x:c>
      <x:c r="C43" s="19" t="str">
        <x:v>Alsó/felső</x:v>
      </x:c>
      <x:c r="D43" s="19" t="n">
        <x:v>664</x:v>
      </x:c>
      <x:c r="E43" s="19" t="n">
        <x:v>381</x:v>
      </x:c>
      <x:c r="F43" s="19" t="n">
        <x:v>18</x:v>
      </x:c>
      <x:c r="G43" s="19" t="n">
        <x:v>2</x:v>
      </x:c>
      <x:c r="H43" s="19" t="str">
        <x:v>18 mm laminált korpusz; 19 mm MDF front; 8 mm hátlap</x:v>
      </x:c>
      <x:c r="I43" s="19" t="str">
        <x:v>textilhatású kréta + tusnyomat</x:v>
      </x:c>
      <x:c r="J43" s="19" t="str">
        <x:v>Felső lap gép/szifon körül kiváltandó a részletrajz szerint.</x:v>
      </x:c>
      <x:c r="K43" s="19" t="str">
        <x:v>AJÁNLATI KÉSZMÉRET; NEM CNC/GYÁRTÁSI KIADÁS</x:v>
      </x:c>
    </x:row>
    <x:row r="44" ht="76" customHeight="1">
      <x:c r="A44" s="19" t="str">
        <x:v>TV-01</x:v>
      </x:c>
      <x:c r="B44" s="19" t="str">
        <x:v>KI-030;KI-032</x:v>
      </x:c>
      <x:c r="C44" s="19" t="str">
        <x:v>Hát</x:v>
      </x:c>
      <x:c r="D44" s="19" t="n">
        <x:v>664</x:v>
      </x:c>
      <x:c r="E44" s="19" t="n">
        <x:v>2294</x:v>
      </x:c>
      <x:c r="F44" s="19" t="n">
        <x:v>8</x:v>
      </x:c>
      <x:c r="G44" s="19" t="n">
        <x:v>1</x:v>
      </x:c>
      <x:c r="H44" s="19" t="str">
        <x:v>18 mm laminált korpusz; 19 mm MDF front; 8 mm hátlap</x:v>
      </x:c>
      <x:c r="I44" s="19" t="str">
        <x:v>textilhatású kréta + tusnyomat</x:v>
      </x:c>
      <x:c r="J44" s="19" t="str">
        <x:v>Levehető szervizhát; géptorony szellőzőnyílások külön.</x:v>
      </x:c>
      <x:c r="K44" s="19" t="str">
        <x:v>AJÁNLATI KÉSZMÉRET; NEM CNC/GYÁRTÁSI KIADÁS</x:v>
      </x:c>
    </x:row>
    <x:row r="45" ht="76" customHeight="1">
      <x:c r="A45" s="19" t="str">
        <x:v>TV-01</x:v>
      </x:c>
      <x:c r="B45" s="19" t="str">
        <x:v>KI-030;KI-032</x:v>
      </x:c>
      <x:c r="C45" s="19" t="str">
        <x:v>Belső osztó</x:v>
      </x:c>
      <x:c r="D45" s="19" t="n">
        <x:v>2294</x:v>
      </x:c>
      <x:c r="E45" s="19" t="n">
        <x:v>373</x:v>
      </x:c>
      <x:c r="F45" s="19" t="n">
        <x:v>18</x:v>
      </x:c>
      <x:c r="G45" s="19" t="n">
        <x:v>1</x:v>
      </x:c>
      <x:c r="H45" s="19" t="str">
        <x:v>18 mm laminált korpusz; 19 mm MDF front; 8 mm hátlap</x:v>
      </x:c>
      <x:c r="I45" s="19" t="str">
        <x:v>textilhatású kréta + tusnyomat</x:v>
      </x:c>
      <x:c r="J45" s="19" t="str">
        <x:v>Nem automatikus modulonkénti duplaoldal.</x:v>
      </x:c>
      <x:c r="K45" s="19" t="str">
        <x:v>AJÁNLATI KÉSZMÉRET; NEM CNC/GYÁRTÁSI KIADÁS</x:v>
      </x:c>
    </x:row>
    <x:row r="46" ht="76" customHeight="1">
      <x:c r="A46" s="19" t="str">
        <x:v>TV-01</x:v>
      </x:c>
      <x:c r="B46" s="19" t="str">
        <x:v>KI-030;KI-032</x:v>
      </x:c>
      <x:c r="C46" s="19" t="str">
        <x:v>Polc</x:v>
      </x:c>
      <x:c r="D46" s="19" t="n">
        <x:v>664</x:v>
      </x:c>
      <x:c r="E46" s="19" t="n">
        <x:v>373</x:v>
      </x:c>
      <x:c r="F46" s="19" t="n">
        <x:v>18</x:v>
      </x:c>
      <x:c r="G46" s="19" t="n">
        <x:v>4</x:v>
      </x:c>
      <x:c r="H46" s="19" t="str">
        <x:v>18 mm laminált korpusz; 19 mm MDF front; 8 mm hátlap</x:v>
      </x:c>
      <x:c r="I46" s="19" t="str">
        <x:v>textilhatású kréta + tusnyomat</x:v>
      </x:c>
      <x:c r="J46" s="19" t="str">
        <x:v>Osztott elemnél rekeszenként újraméretezendő.</x:v>
      </x:c>
      <x:c r="K46" s="19" t="str">
        <x:v>AJÁNLATI KÉSZMÉRET; NEM CNC/GYÁRTÁSI KIADÁS</x:v>
      </x:c>
    </x:row>
    <x:row r="47" ht="76" customHeight="1">
      <x:c r="A47" s="19" t="str">
        <x:v>TV-01</x:v>
      </x:c>
      <x:c r="B47" s="19" t="str">
        <x:v>KI-030;KI-032</x:v>
      </x:c>
      <x:c r="C47" s="19" t="str">
        <x:v>Front1</x:v>
      </x:c>
      <x:c r="D47" s="19" t="n">
        <x:v>347</x:v>
      </x:c>
      <x:c r="E47" s="19" t="n">
        <x:v>2327</x:v>
      </x:c>
      <x:c r="F47" s="19" t="n">
        <x:v>19</x:v>
      </x:c>
      <x:c r="G47" s="19" t="n">
        <x:v>1</x:v>
      </x:c>
      <x:c r="H47" s="19" t="str">
        <x:v>18 mm laminált korpusz; 19 mm MDF front; 8 mm hátlap</x:v>
      </x:c>
      <x:c r="I47" s="19" t="str">
        <x:v>textilhatású kréta + tusnyomat</x:v>
      </x:c>
      <x:c r="J47" s="19" t="str">
        <x:v>Fiókrendszer hézagai, szifon és lábazat még gyártói egyeztetés.</x:v>
      </x:c>
      <x:c r="K47" s="19" t="str">
        <x:v>AJÁNLATI KÉSZMÉRET; NEM CNC/GYÁRTÁSI KIADÁS</x:v>
      </x:c>
    </x:row>
    <x:row r="48" ht="76" customHeight="1">
      <x:c r="A48" s="19" t="str">
        <x:v>TV-01</x:v>
      </x:c>
      <x:c r="B48" s="19" t="str">
        <x:v>KI-030;KI-032</x:v>
      </x:c>
      <x:c r="C48" s="19" t="str">
        <x:v>Front2</x:v>
      </x:c>
      <x:c r="D48" s="19" t="n">
        <x:v>347</x:v>
      </x:c>
      <x:c r="E48" s="19" t="n">
        <x:v>2327</x:v>
      </x:c>
      <x:c r="F48" s="19" t="n">
        <x:v>19</x:v>
      </x:c>
      <x:c r="G48" s="19" t="n">
        <x:v>1</x:v>
      </x:c>
      <x:c r="H48" s="19" t="str">
        <x:v>18 mm laminált korpusz; 19 mm MDF front; 8 mm hátlap</x:v>
      </x:c>
      <x:c r="I48" s="19" t="str">
        <x:v>textilhatású kréta + tusnyomat</x:v>
      </x:c>
      <x:c r="J48" s="19" t="str">
        <x:v>Fiókrendszer hézagai, szifon és lábazat még gyártói egyeztetés.</x:v>
      </x:c>
      <x:c r="K48" s="19" t="str">
        <x:v>AJÁNLATI KÉSZMÉRET; NEM CNC/GYÁRTÁSI KIADÁS</x:v>
      </x:c>
    </x:row>
    <x:row r="49" ht="76" customHeight="1">
      <x:c r="A49" s="19" t="str">
        <x:v>TV-02</x:v>
      </x:c>
      <x:c r="B49" s="19" t="str">
        <x:v>KI-031;KI-032</x:v>
      </x:c>
      <x:c r="C49" s="19" t="str">
        <x:v>Oldal</x:v>
      </x:c>
      <x:c r="D49" s="19" t="n">
        <x:v>400</x:v>
      </x:c>
      <x:c r="E49" s="19" t="n">
        <x:v>400</x:v>
      </x:c>
      <x:c r="F49" s="19" t="n">
        <x:v>18</x:v>
      </x:c>
      <x:c r="G49" s="19" t="n">
        <x:v>2</x:v>
      </x:c>
      <x:c r="H49" s="19" t="str">
        <x:v>18 mm laminált korpusz; 19 mm MDF front; 8 mm hátlap</x:v>
      </x:c>
      <x:c r="I49" s="19" t="str">
        <x:v>grafit matt</x:v>
      </x:c>
      <x:c r="J49" s="19" t="str">
        <x:v>Látható él2mmABS; készméretből élvastagság gyártó szerint levonandó.</x:v>
      </x:c>
      <x:c r="K49" s="19" t="str">
        <x:v>AJÁNLATI KÉSZMÉRET; NEM CNC/GYÁRTÁSI KIADÁS</x:v>
      </x:c>
    </x:row>
    <x:row r="50" ht="76" customHeight="1">
      <x:c r="A50" s="19" t="str">
        <x:v>TV-02</x:v>
      </x:c>
      <x:c r="B50" s="19" t="str">
        <x:v>KI-031;KI-032</x:v>
      </x:c>
      <x:c r="C50" s="19" t="str">
        <x:v>Alsó/felső</x:v>
      </x:c>
      <x:c r="D50" s="19" t="n">
        <x:v>3264</x:v>
      </x:c>
      <x:c r="E50" s="19" t="n">
        <x:v>381</x:v>
      </x:c>
      <x:c r="F50" s="19" t="n">
        <x:v>18</x:v>
      </x:c>
      <x:c r="G50" s="19" t="n">
        <x:v>2</x:v>
      </x:c>
      <x:c r="H50" s="19" t="str">
        <x:v>18 mm laminált korpusz; 19 mm MDF front; 8 mm hátlap</x:v>
      </x:c>
      <x:c r="I50" s="19" t="str">
        <x:v>grafit matt</x:v>
      </x:c>
      <x:c r="J50" s="19" t="str">
        <x:v>Felső lap gép/szifon körül kiváltandó a részletrajz szerint.</x:v>
      </x:c>
      <x:c r="K50" s="19" t="str">
        <x:v>AJÁNLATI KÉSZMÉRET; NEM CNC/GYÁRTÁSI KIADÁS</x:v>
      </x:c>
    </x:row>
    <x:row r="51" ht="76" customHeight="1">
      <x:c r="A51" s="19" t="str">
        <x:v>TV-02</x:v>
      </x:c>
      <x:c r="B51" s="19" t="str">
        <x:v>KI-031;KI-032</x:v>
      </x:c>
      <x:c r="C51" s="19" t="str">
        <x:v>Hát</x:v>
      </x:c>
      <x:c r="D51" s="19" t="n">
        <x:v>3264</x:v>
      </x:c>
      <x:c r="E51" s="19" t="n">
        <x:v>364</x:v>
      </x:c>
      <x:c r="F51" s="19" t="n">
        <x:v>8</x:v>
      </x:c>
      <x:c r="G51" s="19" t="n">
        <x:v>1</x:v>
      </x:c>
      <x:c r="H51" s="19" t="str">
        <x:v>18 mm laminált korpusz; 19 mm MDF front; 8 mm hátlap</x:v>
      </x:c>
      <x:c r="I51" s="19" t="str">
        <x:v>grafit matt</x:v>
      </x:c>
      <x:c r="J51" s="19" t="str">
        <x:v>Levehető szervizhát; géptorony szellőzőnyílások külön.</x:v>
      </x:c>
      <x:c r="K51" s="19" t="str">
        <x:v>AJÁNLATI KÉSZMÉRET; NEM CNC/GYÁRTÁSI KIADÁS</x:v>
      </x:c>
    </x:row>
    <x:row r="52" ht="76" customHeight="1">
      <x:c r="A52" s="19" t="str">
        <x:v>TV-02</x:v>
      </x:c>
      <x:c r="B52" s="19" t="str">
        <x:v>KI-031;KI-032</x:v>
      </x:c>
      <x:c r="C52" s="19" t="str">
        <x:v>Belső osztó</x:v>
      </x:c>
      <x:c r="D52" s="19" t="n">
        <x:v>364</x:v>
      </x:c>
      <x:c r="E52" s="19" t="n">
        <x:v>373</x:v>
      </x:c>
      <x:c r="F52" s="19" t="n">
        <x:v>18</x:v>
      </x:c>
      <x:c r="G52" s="19" t="n">
        <x:v>4</x:v>
      </x:c>
      <x:c r="H52" s="19" t="str">
        <x:v>18 mm laminált korpusz; 19 mm MDF front; 8 mm hátlap</x:v>
      </x:c>
      <x:c r="I52" s="19" t="str">
        <x:v>grafit matt</x:v>
      </x:c>
      <x:c r="J52" s="19" t="str">
        <x:v>Nem automatikus modulonkénti duplaoldal.</x:v>
      </x:c>
      <x:c r="K52" s="19" t="str">
        <x:v>AJÁNLATI KÉSZMÉRET; NEM CNC/GYÁRTÁSI KIADÁS</x:v>
      </x:c>
    </x:row>
    <x:row r="53" ht="76" customHeight="1">
      <x:c r="A53" s="19" t="str">
        <x:v>TV-02</x:v>
      </x:c>
      <x:c r="B53" s="19" t="str">
        <x:v>KI-031;KI-032</x:v>
      </x:c>
      <x:c r="C53" s="19" t="str">
        <x:v>Polc</x:v>
      </x:c>
      <x:c r="D53" s="19" t="n">
        <x:v>3264</x:v>
      </x:c>
      <x:c r="E53" s="19" t="n">
        <x:v>373</x:v>
      </x:c>
      <x:c r="F53" s="19" t="n">
        <x:v>18</x:v>
      </x:c>
      <x:c r="G53" s="19" t="n">
        <x:v>1</x:v>
      </x:c>
      <x:c r="H53" s="19" t="str">
        <x:v>18 mm laminált korpusz; 19 mm MDF front; 8 mm hátlap</x:v>
      </x:c>
      <x:c r="I53" s="19" t="str">
        <x:v>grafit matt</x:v>
      </x:c>
      <x:c r="J53" s="19" t="str">
        <x:v>Osztott elemnél rekeszenként újraméretezendő.</x:v>
      </x:c>
      <x:c r="K53" s="19" t="str">
        <x:v>AJÁNLATI KÉSZMÉRET; NEM CNC/GYÁRTÁSI KIADÁS</x:v>
      </x:c>
    </x:row>
    <x:row r="54" ht="76" customHeight="1">
      <x:c r="A54" s="19" t="str">
        <x:v>TV-02</x:v>
      </x:c>
      <x:c r="B54" s="19" t="str">
        <x:v>KI-031;KI-032</x:v>
      </x:c>
      <x:c r="C54" s="19" t="str">
        <x:v>Front1</x:v>
      </x:c>
      <x:c r="D54" s="19" t="n">
        <x:v>597</x:v>
      </x:c>
      <x:c r="E54" s="19" t="n">
        <x:v>397</x:v>
      </x:c>
      <x:c r="F54" s="19" t="n">
        <x:v>19</x:v>
      </x:c>
      <x:c r="G54" s="19" t="n">
        <x:v>1</x:v>
      </x:c>
      <x:c r="H54" s="19" t="str">
        <x:v>18 mm laminált korpusz; 19 mm MDF front; 8 mm hátlap</x:v>
      </x:c>
      <x:c r="I54" s="19" t="str">
        <x:v>grafit matt</x:v>
      </x:c>
      <x:c r="J54" s="19" t="str">
        <x:v>Fiókrendszer hézagai, szifon és lábazat még gyártói egyeztetés.</x:v>
      </x:c>
      <x:c r="K54" s="19" t="str">
        <x:v>AJÁNLATI KÉSZMÉRET; NEM CNC/GYÁRTÁSI KIADÁS</x:v>
      </x:c>
    </x:row>
    <x:row r="55" ht="76" customHeight="1">
      <x:c r="A55" s="19" t="str">
        <x:v>TV-02</x:v>
      </x:c>
      <x:c r="B55" s="19" t="str">
        <x:v>KI-031;KI-032</x:v>
      </x:c>
      <x:c r="C55" s="19" t="str">
        <x:v>Front2</x:v>
      </x:c>
      <x:c r="D55" s="19" t="n">
        <x:v>597</x:v>
      </x:c>
      <x:c r="E55" s="19" t="n">
        <x:v>397</x:v>
      </x:c>
      <x:c r="F55" s="19" t="n">
        <x:v>19</x:v>
      </x:c>
      <x:c r="G55" s="19" t="n">
        <x:v>1</x:v>
      </x:c>
      <x:c r="H55" s="19" t="str">
        <x:v>18 mm laminált korpusz; 19 mm MDF front; 8 mm hátlap</x:v>
      </x:c>
      <x:c r="I55" s="19" t="str">
        <x:v>grafit matt</x:v>
      </x:c>
      <x:c r="J55" s="19" t="str">
        <x:v>Fiókrendszer hézagai, szifon és lábazat még gyártói egyeztetés.</x:v>
      </x:c>
      <x:c r="K55" s="19" t="str">
        <x:v>AJÁNLATI KÉSZMÉRET; NEM CNC/GYÁRTÁSI KIADÁS</x:v>
      </x:c>
    </x:row>
    <x:row r="56" ht="76" customHeight="1">
      <x:c r="A56" s="19" t="str">
        <x:v>TV-02</x:v>
      </x:c>
      <x:c r="B56" s="19" t="str">
        <x:v>KI-031;KI-032</x:v>
      </x:c>
      <x:c r="C56" s="19" t="str">
        <x:v>Front3</x:v>
      </x:c>
      <x:c r="D56" s="19" t="n">
        <x:v>597</x:v>
      </x:c>
      <x:c r="E56" s="19" t="n">
        <x:v>397</x:v>
      </x:c>
      <x:c r="F56" s="19" t="n">
        <x:v>19</x:v>
      </x:c>
      <x:c r="G56" s="19" t="n">
        <x:v>1</x:v>
      </x:c>
      <x:c r="H56" s="19" t="str">
        <x:v>18 mm laminált korpusz; 19 mm MDF front; 8 mm hátlap</x:v>
      </x:c>
      <x:c r="I56" s="19" t="str">
        <x:v>grafit matt</x:v>
      </x:c>
      <x:c r="J56" s="19" t="str">
        <x:v>Fiókrendszer hézagai, szifon és lábazat még gyártói egyeztetés.</x:v>
      </x:c>
      <x:c r="K56" s="19" t="str">
        <x:v>AJÁNLATI KÉSZMÉRET; NEM CNC/GYÁRTÁSI KIADÁS</x:v>
      </x:c>
    </x:row>
    <x:row r="57" ht="76" customHeight="1">
      <x:c r="A57" s="19" t="str">
        <x:v>TV-02</x:v>
      </x:c>
      <x:c r="B57" s="19" t="str">
        <x:v>KI-031;KI-032</x:v>
      </x:c>
      <x:c r="C57" s="19" t="str">
        <x:v>Front4</x:v>
      </x:c>
      <x:c r="D57" s="19" t="n">
        <x:v>747</x:v>
      </x:c>
      <x:c r="E57" s="19" t="n">
        <x:v>397</x:v>
      </x:c>
      <x:c r="F57" s="19" t="n">
        <x:v>19</x:v>
      </x:c>
      <x:c r="G57" s="19" t="n">
        <x:v>1</x:v>
      </x:c>
      <x:c r="H57" s="19" t="str">
        <x:v>18 mm laminált korpusz; 19 mm MDF front; 8 mm hátlap</x:v>
      </x:c>
      <x:c r="I57" s="19" t="str">
        <x:v>grafit matt</x:v>
      </x:c>
      <x:c r="J57" s="19" t="str">
        <x:v>Fiókrendszer hézagai, szifon és lábazat még gyártói egyeztetés.</x:v>
      </x:c>
      <x:c r="K57" s="19" t="str">
        <x:v>AJÁNLATI KÉSZMÉRET; NEM CNC/GYÁRTÁSI KIADÁS</x:v>
      </x:c>
    </x:row>
    <x:row r="58" ht="76" customHeight="1">
      <x:c r="A58" s="19" t="str">
        <x:v>TV-02</x:v>
      </x:c>
      <x:c r="B58" s="19" t="str">
        <x:v>KI-031;KI-032</x:v>
      </x:c>
      <x:c r="C58" s="19" t="str">
        <x:v>Front5</x:v>
      </x:c>
      <x:c r="D58" s="19" t="n">
        <x:v>747</x:v>
      </x:c>
      <x:c r="E58" s="19" t="n">
        <x:v>397</x:v>
      </x:c>
      <x:c r="F58" s="19" t="n">
        <x:v>19</x:v>
      </x:c>
      <x:c r="G58" s="19" t="n">
        <x:v>1</x:v>
      </x:c>
      <x:c r="H58" s="19" t="str">
        <x:v>18 mm laminált korpusz; 19 mm MDF front; 8 mm hátlap</x:v>
      </x:c>
      <x:c r="I58" s="19" t="str">
        <x:v>grafit matt</x:v>
      </x:c>
      <x:c r="J58" s="19" t="str">
        <x:v>Fiókrendszer hézagai, szifon és lábazat még gyártói egyeztetés.</x:v>
      </x:c>
      <x:c r="K58" s="19" t="str">
        <x:v>AJÁNLATI KÉSZMÉRET; NEM CNC/GYÁRTÁSI KIADÁS</x:v>
      </x:c>
    </x:row>
    <x:row r="59" ht="76" customHeight="1">
      <x:c r="A59" s="19" t="str">
        <x:v>TV-03</x:v>
      </x:c>
      <x:c r="B59" s="19" t="str">
        <x:v>KI-030;KI-032;KI-034;KI-114</x:v>
      </x:c>
      <x:c r="C59" s="19" t="str">
        <x:v>Mező 1</x:v>
      </x:c>
      <x:c r="D59" s="19" t="n">
        <x:v>647</x:v>
      </x:c>
      <x:c r="E59" s="19" t="n">
        <x:v>2330</x:v>
      </x:c>
      <x:c r="F59" s="19" t="n">
        <x:v>18</x:v>
      </x:c>
      <x:c r="G59" s="19" t="n">
        <x:v>1</x:v>
      </x:c>
      <x:c r="H59" s="19" t="str">
        <x:v>18 mm laminált korpusz; 19 mm MDF front; 8 mm hátlap</x:v>
      </x:c>
      <x:c r="I59" s="19" t="str">
        <x:v>greige textil + nyomtatott tus</x:v>
      </x:c>
      <x:c r="J59" s="19" t="str">
        <x:v>Nyomat/kárpit ráhagyás külön; hordozó vastagság egyeztetendő.</x:v>
      </x:c>
      <x:c r="K59" s="19" t="str">
        <x:v>AJÁNLATI KÉSZMÉRET; NEM CNC/GYÁRTÁSI KIADÁS</x:v>
      </x:c>
    </x:row>
    <x:row r="60" ht="76" customHeight="1">
      <x:c r="A60" s="19" t="str">
        <x:v>TV-03</x:v>
      </x:c>
      <x:c r="B60" s="19" t="str">
        <x:v>KI-030;KI-032;KI-034;KI-114</x:v>
      </x:c>
      <x:c r="C60" s="19" t="str">
        <x:v>Mező 2</x:v>
      </x:c>
      <x:c r="D60" s="19" t="n">
        <x:v>647</x:v>
      </x:c>
      <x:c r="E60" s="19" t="n">
        <x:v>2330</x:v>
      </x:c>
      <x:c r="F60" s="19" t="n">
        <x:v>18</x:v>
      </x:c>
      <x:c r="G60" s="19" t="n">
        <x:v>1</x:v>
      </x:c>
      <x:c r="H60" s="19" t="str">
        <x:v>18 mm laminált korpusz; 19 mm MDF front; 8 mm hátlap</x:v>
      </x:c>
      <x:c r="I60" s="19" t="str">
        <x:v>greige textil + nyomtatott tus</x:v>
      </x:c>
      <x:c r="J60" s="19" t="str">
        <x:v>Nyomat/kárpit ráhagyás külön; hordozó vastagság egyeztetendő.</x:v>
      </x:c>
      <x:c r="K60" s="19" t="str">
        <x:v>AJÁNLATI KÉSZMÉRET; NEM CNC/GYÁRTÁSI KIADÁS</x:v>
      </x:c>
    </x:row>
    <x:row r="61" ht="76" customHeight="1">
      <x:c r="A61" s="19" t="str">
        <x:v>TV-03</x:v>
      </x:c>
      <x:c r="B61" s="19" t="str">
        <x:v>KI-030;KI-032;KI-034;KI-114</x:v>
      </x:c>
      <x:c r="C61" s="19" t="str">
        <x:v>Mező 3</x:v>
      </x:c>
      <x:c r="D61" s="19" t="n">
        <x:v>647</x:v>
      </x:c>
      <x:c r="E61" s="19" t="n">
        <x:v>2330</x:v>
      </x:c>
      <x:c r="F61" s="19" t="n">
        <x:v>18</x:v>
      </x:c>
      <x:c r="G61" s="19" t="n">
        <x:v>1</x:v>
      </x:c>
      <x:c r="H61" s="19" t="str">
        <x:v>18 mm laminált korpusz; 19 mm MDF front; 8 mm hátlap</x:v>
      </x:c>
      <x:c r="I61" s="19" t="str">
        <x:v>greige textil + nyomtatott tus</x:v>
      </x:c>
      <x:c r="J61" s="19" t="str">
        <x:v>Nyomat/kárpit ráhagyás külön; hordozó vastagság egyeztetendő.</x:v>
      </x:c>
      <x:c r="K61" s="19" t="str">
        <x:v>AJÁNLATI KÉSZMÉRET; NEM CNC/GYÁRTÁSI KIADÁS</x:v>
      </x:c>
    </x:row>
    <x:row r="62" ht="76" customHeight="1">
      <x:c r="A62" s="19" t="str">
        <x:v>TV-03</x:v>
      </x:c>
      <x:c r="B62" s="19" t="str">
        <x:v>KI-030;KI-032;KI-034;KI-114</x:v>
      </x:c>
      <x:c r="C62" s="19" t="str">
        <x:v>Mező 4</x:v>
      </x:c>
      <x:c r="D62" s="19" t="n">
        <x:v>647</x:v>
      </x:c>
      <x:c r="E62" s="19" t="n">
        <x:v>2330</x:v>
      </x:c>
      <x:c r="F62" s="19" t="n">
        <x:v>18</x:v>
      </x:c>
      <x:c r="G62" s="19" t="n">
        <x:v>1</x:v>
      </x:c>
      <x:c r="H62" s="19" t="str">
        <x:v>18 mm laminált korpusz; 19 mm MDF front; 8 mm hátlap</x:v>
      </x:c>
      <x:c r="I62" s="19" t="str">
        <x:v>greige textil + nyomtatott tus</x:v>
      </x:c>
      <x:c r="J62" s="19" t="str">
        <x:v>Nyomat/kárpit ráhagyás külön; hordozó vastagság egyeztetendő.</x:v>
      </x:c>
      <x:c r="K62" s="19" t="str">
        <x:v>AJÁNLATI KÉSZMÉRET; NEM CNC/GYÁRTÁSI KIADÁS</x:v>
      </x:c>
    </x:row>
    <x:row r="63" ht="76" customHeight="1">
      <x:c r="A63" s="19" t="str">
        <x:v>ART-02</x:v>
      </x:c>
      <x:c r="B63" s="19" t="str">
        <x:v>KI-123;KI-131;KI-132;KI-133</x:v>
      </x:c>
      <x:c r="C63" s="19" t="str">
        <x:v>Mező 1</x:v>
      </x:c>
      <x:c r="D63" s="19" t="n">
        <x:v>697</x:v>
      </x:c>
      <x:c r="E63" s="19" t="n">
        <x:v>2880</x:v>
      </x:c>
      <x:c r="F63" s="19" t="n">
        <x:v>18</x:v>
      </x:c>
      <x:c r="G63" s="19" t="n">
        <x:v>1</x:v>
      </x:c>
      <x:c r="H63" s="19" t="str">
        <x:v>18 mm laminált korpusz; 19 mm MDF front; 8 mm hátlap</x:v>
      </x:c>
      <x:c r="I63" s="19" t="str">
        <x:v>greige textilszövés + fekete tus</x:v>
      </x:c>
      <x:c r="J63" s="19" t="str">
        <x:v>Nyomat/kárpit ráhagyás külön; hordozó vastagság egyeztetendő.</x:v>
      </x:c>
      <x:c r="K63" s="19" t="str">
        <x:v>AJÁNLATI KÉSZMÉRET; NEM CNC/GYÁRTÁSI KIADÁS</x:v>
      </x:c>
    </x:row>
    <x:row r="64" ht="76" customHeight="1">
      <x:c r="A64" s="19" t="str">
        <x:v>ART-02</x:v>
      </x:c>
      <x:c r="B64" s="19" t="str">
        <x:v>KI-123;KI-131;KI-132;KI-133</x:v>
      </x:c>
      <x:c r="C64" s="19" t="str">
        <x:v>Mező 2</x:v>
      </x:c>
      <x:c r="D64" s="19" t="n">
        <x:v>697</x:v>
      </x:c>
      <x:c r="E64" s="19" t="n">
        <x:v>2880</x:v>
      </x:c>
      <x:c r="F64" s="19" t="n">
        <x:v>18</x:v>
      </x:c>
      <x:c r="G64" s="19" t="n">
        <x:v>1</x:v>
      </x:c>
      <x:c r="H64" s="19" t="str">
        <x:v>18 mm laminált korpusz; 19 mm MDF front; 8 mm hátlap</x:v>
      </x:c>
      <x:c r="I64" s="19" t="str">
        <x:v>greige textilszövés + fekete tus</x:v>
      </x:c>
      <x:c r="J64" s="19" t="str">
        <x:v>Nyomat/kárpit ráhagyás külön; hordozó vastagság egyeztetendő.</x:v>
      </x:c>
      <x:c r="K64" s="19" t="str">
        <x:v>AJÁNLATI KÉSZMÉRET; NEM CNC/GYÁRTÁSI KIADÁS</x:v>
      </x:c>
    </x:row>
    <x:row r="65" ht="76" customHeight="1">
      <x:c r="A65" s="19" t="str">
        <x:v>ART-02</x:v>
      </x:c>
      <x:c r="B65" s="19" t="str">
        <x:v>KI-123;KI-131;KI-132;KI-133</x:v>
      </x:c>
      <x:c r="C65" s="19" t="str">
        <x:v>Mező 3</x:v>
      </x:c>
      <x:c r="D65" s="19" t="n">
        <x:v>697</x:v>
      </x:c>
      <x:c r="E65" s="19" t="n">
        <x:v>2880</x:v>
      </x:c>
      <x:c r="F65" s="19" t="n">
        <x:v>18</x:v>
      </x:c>
      <x:c r="G65" s="19" t="n">
        <x:v>1</x:v>
      </x:c>
      <x:c r="H65" s="19" t="str">
        <x:v>18 mm laminált korpusz; 19 mm MDF front; 8 mm hátlap</x:v>
      </x:c>
      <x:c r="I65" s="19" t="str">
        <x:v>greige textilszövés + fekete tus</x:v>
      </x:c>
      <x:c r="J65" s="19" t="str">
        <x:v>Nyomat/kárpit ráhagyás külön; hordozó vastagság egyeztetendő.</x:v>
      </x:c>
      <x:c r="K65" s="19" t="str">
        <x:v>AJÁNLATI KÉSZMÉRET; NEM CNC/GYÁRTÁSI KIADÁS</x:v>
      </x:c>
    </x:row>
    <x:row r="66" ht="76" customHeight="1">
      <x:c r="A66" s="19" t="str">
        <x:v>ART-07</x:v>
      </x:c>
      <x:c r="B66" s="19" t="str">
        <x:v>KI-124;KI-127;KI-128</x:v>
      </x:c>
      <x:c r="C66" s="19" t="str">
        <x:v>Mező 1</x:v>
      </x:c>
      <x:c r="D66" s="19" t="n">
        <x:v>1527</x:v>
      </x:c>
      <x:c r="E66" s="19" t="n">
        <x:v>2880</x:v>
      </x:c>
      <x:c r="F66" s="19" t="n">
        <x:v>18</x:v>
      </x:c>
      <x:c r="G66" s="19" t="n">
        <x:v>1</x:v>
      </x:c>
      <x:c r="H66" s="19" t="str">
        <x:v>18 mm laminált korpusz; 19 mm MDF front; 8 mm hátlap</x:v>
      </x:c>
      <x:c r="I66" s="19" t="str">
        <x:v>greige vlies</x:v>
      </x:c>
      <x:c r="J66" s="19" t="str">
        <x:v>Nyomat/kárpit ráhagyás külön; hordozó vastagság egyeztetendő.</x:v>
      </x:c>
      <x:c r="K66" s="19" t="str">
        <x:v>AJÁNLATI KÉSZMÉRET; NEM CNC/GYÁRTÁSI KIADÁS</x:v>
      </x:c>
    </x:row>
    <x:row r="67" ht="76" customHeight="1">
      <x:c r="A67" s="19" t="str">
        <x:v>CF-01</x:v>
      </x:c>
      <x:c r="B67" s="19" t="str">
        <x:v>KI-037</x:v>
      </x:c>
      <x:c r="C67" s="19" t="str">
        <x:v>Tető / munkalap</x:v>
      </x:c>
      <x:c r="D67" s="19" t="n">
        <x:v>700</x:v>
      </x:c>
      <x:c r="E67" s="19" t="n">
        <x:v>450</x:v>
      </x:c>
      <x:c r="F67" s="19" t="n">
        <x:v>38</x:v>
      </x:c>
      <x:c r="G67" s="19" t="n">
        <x:v>1</x:v>
      </x:c>
      <x:c r="H67" s="19" t="str">
        <x:v>18 mm laminált korpusz; 19 mm MDF front; 8 mm hátlap</x:v>
      </x:c>
      <x:c r="I67" s="19" t="str">
        <x:v>grafit matt</x:v>
      </x:c>
      <x:c r="J67" s="19" t="str">
        <x:v>Egyedi tartóváz/láb külön gyártói méretezéssel; nem zárt szabáslista.</x:v>
      </x:c>
      <x:c r="K67" s="19" t="str">
        <x:v>AJÁNLATI KÉSZMÉRET; NEM CNC/GYÁRTÁSI KIADÁS</x:v>
      </x:c>
    </x:row>
    <x:row r="68" ht="76" customHeight="1">
      <x:c r="A68" s="19" t="str">
        <x:v>ST-01</x:v>
      </x:c>
      <x:c r="B68" s="19" t="str">
        <x:v>KI-038</x:v>
      </x:c>
      <x:c r="C68" s="19" t="str">
        <x:v>Tető / munkalap</x:v>
      </x:c>
      <x:c r="D68" s="19" t="n">
        <x:v>300</x:v>
      </x:c>
      <x:c r="E68" s="19" t="n">
        <x:v>300</x:v>
      </x:c>
      <x:c r="F68" s="19" t="n">
        <x:v>38</x:v>
      </x:c>
      <x:c r="G68" s="19" t="n">
        <x:v>1</x:v>
      </x:c>
      <x:c r="H68" s="19" t="str">
        <x:v>18 mm laminált korpusz; 19 mm MDF front; 8 mm hátlap</x:v>
      </x:c>
      <x:c r="I68" s="19" t="str">
        <x:v>grafit matt</x:v>
      </x:c>
      <x:c r="J68" s="19" t="str">
        <x:v>Egyedi tartóváz/láb külön gyártói méretezéssel; nem zárt szabáslista.</x:v>
      </x:c>
      <x:c r="K68" s="19" t="str">
        <x:v>AJÁNLATI KÉSZMÉRET; NEM CNC/GYÁRTÁSI KIADÁS</x:v>
      </x:c>
    </x:row>
    <x:row r="69" ht="76" customHeight="1">
      <x:c r="A69" s="19" t="str">
        <x:v>WN-01</x:v>
      </x:c>
      <x:c r="B69" s="19" t="str">
        <x:v>KI-048;KI-050;KI-051;KI-052</x:v>
      </x:c>
      <x:c r="C69" s="19" t="str">
        <x:v>Oldal</x:v>
      </x:c>
      <x:c r="D69" s="19" t="n">
        <x:v>2840</x:v>
      </x:c>
      <x:c r="E69" s="19" t="n">
        <x:v>600</x:v>
      </x:c>
      <x:c r="F69" s="19" t="n">
        <x:v>18</x:v>
      </x:c>
      <x:c r="G69" s="19" t="n">
        <x:v>2</x:v>
      </x:c>
      <x:c r="H69" s="19" t="str">
        <x:v>18 mm laminált korpusz; 19 mm MDF front; 8 mm hátlap</x:v>
      </x:c>
      <x:c r="I69" s="19" t="str">
        <x:v>kréta + folytonos tusnyomat</x:v>
      </x:c>
      <x:c r="J69" s="19" t="str">
        <x:v>Látható él2mmABS; készméretből élvastagság gyártó szerint levonandó.</x:v>
      </x:c>
      <x:c r="K69" s="19" t="str">
        <x:v>AJÁNLATI KÉSZMÉRET; NEM CNC/GYÁRTÁSI KIADÁS</x:v>
      </x:c>
    </x:row>
    <x:row r="70" ht="76" customHeight="1">
      <x:c r="A70" s="19" t="str">
        <x:v>WN-01</x:v>
      </x:c>
      <x:c r="B70" s="19" t="str">
        <x:v>KI-048;KI-050;KI-051;KI-052</x:v>
      </x:c>
      <x:c r="C70" s="19" t="str">
        <x:v>Alsó/felső</x:v>
      </x:c>
      <x:c r="D70" s="19" t="n">
        <x:v>2884</x:v>
      </x:c>
      <x:c r="E70" s="19" t="n">
        <x:v>581</x:v>
      </x:c>
      <x:c r="F70" s="19" t="n">
        <x:v>18</x:v>
      </x:c>
      <x:c r="G70" s="19" t="n">
        <x:v>2</x:v>
      </x:c>
      <x:c r="H70" s="19" t="str">
        <x:v>18 mm laminált korpusz; 19 mm MDF front; 8 mm hátlap</x:v>
      </x:c>
      <x:c r="I70" s="19" t="str">
        <x:v>kréta + folytonos tusnyomat</x:v>
      </x:c>
      <x:c r="J70" s="19" t="str">
        <x:v>Felső lap gép/szifon körül kiváltandó a részletrajz szerint.</x:v>
      </x:c>
      <x:c r="K70" s="19" t="str">
        <x:v>AJÁNLATI KÉSZMÉRET; NEM CNC/GYÁRTÁSI KIADÁS</x:v>
      </x:c>
    </x:row>
    <x:row r="71" ht="76" customHeight="1">
      <x:c r="A71" s="19" t="str">
        <x:v>WN-01</x:v>
      </x:c>
      <x:c r="B71" s="19" t="str">
        <x:v>KI-048;KI-050;KI-051;KI-052</x:v>
      </x:c>
      <x:c r="C71" s="19" t="str">
        <x:v>Hát</x:v>
      </x:c>
      <x:c r="D71" s="19" t="n">
        <x:v>2884</x:v>
      </x:c>
      <x:c r="E71" s="19" t="n">
        <x:v>2804</x:v>
      </x:c>
      <x:c r="F71" s="19" t="n">
        <x:v>8</x:v>
      </x:c>
      <x:c r="G71" s="19" t="n">
        <x:v>1</x:v>
      </x:c>
      <x:c r="H71" s="19" t="str">
        <x:v>18 mm laminált korpusz; 19 mm MDF front; 8 mm hátlap</x:v>
      </x:c>
      <x:c r="I71" s="19" t="str">
        <x:v>kréta + folytonos tusnyomat</x:v>
      </x:c>
      <x:c r="J71" s="19" t="str">
        <x:v>Levehető szervizhát; géptorony szellőzőnyílások külön.</x:v>
      </x:c>
      <x:c r="K71" s="19" t="str">
        <x:v>AJÁNLATI KÉSZMÉRET; NEM CNC/GYÁRTÁSI KIADÁS</x:v>
      </x:c>
    </x:row>
    <x:row r="72" ht="76" customHeight="1">
      <x:c r="A72" s="19" t="str">
        <x:v>WN-01</x:v>
      </x:c>
      <x:c r="B72" s="19" t="str">
        <x:v>KI-048;KI-050;KI-051;KI-052</x:v>
      </x:c>
      <x:c r="C72" s="19" t="str">
        <x:v>Belső osztó</x:v>
      </x:c>
      <x:c r="D72" s="19" t="n">
        <x:v>2804</x:v>
      </x:c>
      <x:c r="E72" s="19" t="n">
        <x:v>573</x:v>
      </x:c>
      <x:c r="F72" s="19" t="n">
        <x:v>18</x:v>
      </x:c>
      <x:c r="G72" s="19" t="n">
        <x:v>3</x:v>
      </x:c>
      <x:c r="H72" s="19" t="str">
        <x:v>18 mm laminált korpusz; 19 mm MDF front; 8 mm hátlap</x:v>
      </x:c>
      <x:c r="I72" s="19" t="str">
        <x:v>kréta + folytonos tusnyomat</x:v>
      </x:c>
      <x:c r="J72" s="19" t="str">
        <x:v>Nem automatikus modulonkénti duplaoldal.</x:v>
      </x:c>
      <x:c r="K72" s="19" t="str">
        <x:v>AJÁNLATI KÉSZMÉRET; NEM CNC/GYÁRTÁSI KIADÁS</x:v>
      </x:c>
    </x:row>
    <x:row r="73" ht="76" customHeight="1">
      <x:c r="A73" s="19" t="str">
        <x:v>WN-01</x:v>
      </x:c>
      <x:c r="B73" s="19" t="str">
        <x:v>KI-048;KI-050;KI-051;KI-052</x:v>
      </x:c>
      <x:c r="C73" s="19" t="str">
        <x:v>Felső fix polc</x:v>
      </x:c>
      <x:c r="D73" s="19" t="n">
        <x:v>2884</x:v>
      </x:c>
      <x:c r="E73" s="19" t="n">
        <x:v>573</x:v>
      </x:c>
      <x:c r="F73" s="19" t="n">
        <x:v>18</x:v>
      </x:c>
      <x:c r="G73" s="19" t="n">
        <x:v>1</x:v>
      </x:c>
      <x:c r="H73" s="19" t="str">
        <x:v>18 mm laminált korpusz; 19 mm MDF front; 8 mm hátlap</x:v>
      </x:c>
      <x:c r="I73" s="19" t="str">
        <x:v>kréta + folytonos tusnyomat</x:v>
      </x:c>
      <x:c r="J73" s="19" t="str">
        <x:v>Felső szint2360mm.</x:v>
      </x:c>
      <x:c r="K73" s="19" t="str">
        <x:v>AJÁNLATI KÉSZMÉRET; NEM CNC/GYÁRTÁSI KIADÁS</x:v>
      </x:c>
    </x:row>
    <x:row r="74" ht="76" customHeight="1">
      <x:c r="A74" s="19" t="str">
        <x:v>WN-01</x:v>
      </x:c>
      <x:c r="B74" s="19" t="str">
        <x:v>KI-048;KI-050;KI-051;KI-052</x:v>
      </x:c>
      <x:c r="C74" s="19" t="str">
        <x:v>Rekesz1 polc</x:v>
      </x:c>
      <x:c r="D74" s="19" t="n">
        <x:v>694</x:v>
      </x:c>
      <x:c r="E74" s="19" t="n">
        <x:v>573</x:v>
      </x:c>
      <x:c r="F74" s="19" t="n">
        <x:v>18</x:v>
      </x:c>
      <x:c r="G74" s="19" t="n">
        <x:v>1</x:v>
      </x:c>
      <x:c r="H74" s="19" t="str">
        <x:v>18 mm laminált korpusz; 19 mm MDF front; 8 mm hátlap</x:v>
      </x:c>
      <x:c r="I74" s="19" t="str">
        <x:v>kréta + folytonos tusnyomat</x:v>
      </x:c>
      <x:c r="J74" s="19" t="str">
        <x:v>Szerelési polcrés gyártóval.</x:v>
      </x:c>
      <x:c r="K74" s="19" t="str">
        <x:v>AJÁNLATI KÉSZMÉRET; NEM CNC/GYÁRTÁSI KIADÁS</x:v>
      </x:c>
    </x:row>
    <x:row r="75" ht="76" customHeight="1">
      <x:c r="A75" s="19" t="str">
        <x:v>WN-01</x:v>
      </x:c>
      <x:c r="B75" s="19" t="str">
        <x:v>KI-048;KI-050;KI-051;KI-052</x:v>
      </x:c>
      <x:c r="C75" s="19" t="str">
        <x:v>Rekesz1 fiókfront</x:v>
      </x:c>
      <x:c r="D75" s="19" t="n">
        <x:v>660</x:v>
      </x:c>
      <x:c r="E75" s="19" t="n">
        <x:v>160</x:v>
      </x:c>
      <x:c r="F75" s="19" t="n">
        <x:v>16</x:v>
      </x:c>
      <x:c r="G75" s="19" t="n">
        <x:v>0</x:v>
      </x:c>
      <x:c r="H75" s="19" t="str">
        <x:v>18 mm laminált korpusz; 19 mm MDF front; 8 mm hátlap</x:v>
      </x:c>
      <x:c r="I75" s="19" t="str">
        <x:v>kréta + folytonos tusnyomat</x:v>
      </x:c>
      <x:c r="J75" s="19" t="str">
        <x:v>Belső fióktest és sín szabása választott vasalat szerint.</x:v>
      </x:c>
      <x:c r="K75" s="19" t="str">
        <x:v>AJÁNLATI KÉSZMÉRET; NEM CNC/GYÁRTÁSI KIADÁS</x:v>
      </x:c>
    </x:row>
    <x:row r="76" ht="76" customHeight="1">
      <x:c r="A76" s="19" t="str">
        <x:v>WN-01</x:v>
      </x:c>
      <x:c r="B76" s="19" t="str">
        <x:v>KI-048;KI-050;KI-051;KI-052</x:v>
      </x:c>
      <x:c r="C76" s="19" t="str">
        <x:v>Rekesz2 polc</x:v>
      </x:c>
      <x:c r="D76" s="19" t="n">
        <x:v>694</x:v>
      </x:c>
      <x:c r="E76" s="19" t="n">
        <x:v>573</x:v>
      </x:c>
      <x:c r="F76" s="19" t="n">
        <x:v>18</x:v>
      </x:c>
      <x:c r="G76" s="19" t="n">
        <x:v>1</x:v>
      </x:c>
      <x:c r="H76" s="19" t="str">
        <x:v>18 mm laminált korpusz; 19 mm MDF front; 8 mm hátlap</x:v>
      </x:c>
      <x:c r="I76" s="19" t="str">
        <x:v>kréta + folytonos tusnyomat</x:v>
      </x:c>
      <x:c r="J76" s="19" t="str">
        <x:v>Szerelési polcrés gyártóval.</x:v>
      </x:c>
      <x:c r="K76" s="19" t="str">
        <x:v>AJÁNLATI KÉSZMÉRET; NEM CNC/GYÁRTÁSI KIADÁS</x:v>
      </x:c>
    </x:row>
    <x:row r="77" ht="76" customHeight="1">
      <x:c r="A77" s="19" t="str">
        <x:v>WN-01</x:v>
      </x:c>
      <x:c r="B77" s="19" t="str">
        <x:v>KI-048;KI-050;KI-051;KI-052</x:v>
      </x:c>
      <x:c r="C77" s="19" t="str">
        <x:v>Rekesz2 fiókfront</x:v>
      </x:c>
      <x:c r="D77" s="19" t="n">
        <x:v>660</x:v>
      </x:c>
      <x:c r="E77" s="19" t="n">
        <x:v>160</x:v>
      </x:c>
      <x:c r="F77" s="19" t="n">
        <x:v>16</x:v>
      </x:c>
      <x:c r="G77" s="19" t="n">
        <x:v>0</x:v>
      </x:c>
      <x:c r="H77" s="19" t="str">
        <x:v>18 mm laminált korpusz; 19 mm MDF front; 8 mm hátlap</x:v>
      </x:c>
      <x:c r="I77" s="19" t="str">
        <x:v>kréta + folytonos tusnyomat</x:v>
      </x:c>
      <x:c r="J77" s="19" t="str">
        <x:v>Belső fióktest és sín szabása választott vasalat szerint.</x:v>
      </x:c>
      <x:c r="K77" s="19" t="str">
        <x:v>AJÁNLATI KÉSZMÉRET; NEM CNC/GYÁRTÁSI KIADÁS</x:v>
      </x:c>
    </x:row>
    <x:row r="78" ht="76" customHeight="1">
      <x:c r="A78" s="19" t="str">
        <x:v>WN-01</x:v>
      </x:c>
      <x:c r="B78" s="19" t="str">
        <x:v>KI-048;KI-050;KI-051;KI-052</x:v>
      </x:c>
      <x:c r="C78" s="19" t="str">
        <x:v>Rekesz3 polc</x:v>
      </x:c>
      <x:c r="D78" s="19" t="n">
        <x:v>694</x:v>
      </x:c>
      <x:c r="E78" s="19" t="n">
        <x:v>573</x:v>
      </x:c>
      <x:c r="F78" s="19" t="n">
        <x:v>18</x:v>
      </x:c>
      <x:c r="G78" s="19" t="n">
        <x:v>1</x:v>
      </x:c>
      <x:c r="H78" s="19" t="str">
        <x:v>18 mm laminált korpusz; 19 mm MDF front; 8 mm hátlap</x:v>
      </x:c>
      <x:c r="I78" s="19" t="str">
        <x:v>kréta + folytonos tusnyomat</x:v>
      </x:c>
      <x:c r="J78" s="19" t="str">
        <x:v>Szerelési polcrés gyártóval.</x:v>
      </x:c>
      <x:c r="K78" s="19" t="str">
        <x:v>AJÁNLATI KÉSZMÉRET; NEM CNC/GYÁRTÁSI KIADÁS</x:v>
      </x:c>
    </x:row>
    <x:row r="79" ht="76" customHeight="1">
      <x:c r="A79" s="19" t="str">
        <x:v>WN-01</x:v>
      </x:c>
      <x:c r="B79" s="19" t="str">
        <x:v>KI-048;KI-050;KI-051;KI-052</x:v>
      </x:c>
      <x:c r="C79" s="19" t="str">
        <x:v>Rekesz3 fiókfront</x:v>
      </x:c>
      <x:c r="D79" s="19" t="n">
        <x:v>660</x:v>
      </x:c>
      <x:c r="E79" s="19" t="n">
        <x:v>160</x:v>
      </x:c>
      <x:c r="F79" s="19" t="n">
        <x:v>16</x:v>
      </x:c>
      <x:c r="G79" s="19" t="n">
        <x:v>0</x:v>
      </x:c>
      <x:c r="H79" s="19" t="str">
        <x:v>18 mm laminált korpusz; 19 mm MDF front; 8 mm hátlap</x:v>
      </x:c>
      <x:c r="I79" s="19" t="str">
        <x:v>kréta + folytonos tusnyomat</x:v>
      </x:c>
      <x:c r="J79" s="19" t="str">
        <x:v>Belső fióktest és sín szabása választott vasalat szerint.</x:v>
      </x:c>
      <x:c r="K79" s="19" t="str">
        <x:v>AJÁNLATI KÉSZMÉRET; NEM CNC/GYÁRTÁSI KIADÁS</x:v>
      </x:c>
    </x:row>
    <x:row r="80" ht="76" customHeight="1">
      <x:c r="A80" s="19" t="str">
        <x:v>WN-01</x:v>
      </x:c>
      <x:c r="B80" s="19" t="str">
        <x:v>KI-048;KI-050;KI-051;KI-052</x:v>
      </x:c>
      <x:c r="C80" s="19" t="str">
        <x:v>Rekesz4 polc</x:v>
      </x:c>
      <x:c r="D80" s="19" t="n">
        <x:v>694</x:v>
      </x:c>
      <x:c r="E80" s="19" t="n">
        <x:v>573</x:v>
      </x:c>
      <x:c r="F80" s="19" t="n">
        <x:v>18</x:v>
      </x:c>
      <x:c r="G80" s="19" t="n">
        <x:v>4</x:v>
      </x:c>
      <x:c r="H80" s="19" t="str">
        <x:v>18 mm laminált korpusz; 19 mm MDF front; 8 mm hátlap</x:v>
      </x:c>
      <x:c r="I80" s="19" t="str">
        <x:v>kréta + folytonos tusnyomat</x:v>
      </x:c>
      <x:c r="J80" s="19" t="str">
        <x:v>Szerelési polcrés gyártóval.</x:v>
      </x:c>
      <x:c r="K80" s="19" t="str">
        <x:v>AJÁNLATI KÉSZMÉRET; NEM CNC/GYÁRTÁSI KIADÁS</x:v>
      </x:c>
    </x:row>
    <x:row r="81" ht="76" customHeight="1">
      <x:c r="A81" s="19" t="str">
        <x:v>WN-01</x:v>
      </x:c>
      <x:c r="B81" s="19" t="str">
        <x:v>KI-048;KI-050;KI-051;KI-052</x:v>
      </x:c>
      <x:c r="C81" s="19" t="str">
        <x:v>Rekesz4 fiókfront</x:v>
      </x:c>
      <x:c r="D81" s="19" t="n">
        <x:v>660</x:v>
      </x:c>
      <x:c r="E81" s="19" t="n">
        <x:v>160</x:v>
      </x:c>
      <x:c r="F81" s="19" t="n">
        <x:v>16</x:v>
      </x:c>
      <x:c r="G81" s="19" t="n">
        <x:v>4</x:v>
      </x:c>
      <x:c r="H81" s="19" t="str">
        <x:v>18 mm laminált korpusz; 19 mm MDF front; 8 mm hátlap</x:v>
      </x:c>
      <x:c r="I81" s="19" t="str">
        <x:v>kréta + folytonos tusnyomat</x:v>
      </x:c>
      <x:c r="J81" s="19" t="str">
        <x:v>Belső fióktest és sín szabása választott vasalat szerint.</x:v>
      </x:c>
      <x:c r="K81" s="19" t="str">
        <x:v>AJÁNLATI KÉSZMÉRET; NEM CNC/GYÁRTÁSI KIADÁS</x:v>
      </x:c>
    </x:row>
    <x:row r="82" ht="76" customHeight="1">
      <x:c r="A82" s="19" t="str">
        <x:v>WN-01</x:v>
      </x:c>
      <x:c r="B82" s="19" t="str">
        <x:v>KI-048;KI-050;KI-051;KI-052</x:v>
      </x:c>
      <x:c r="C82" s="19" t="str">
        <x:v>Alsó ajtó1</x:v>
      </x:c>
      <x:c r="D82" s="19" t="n">
        <x:v>727</x:v>
      </x:c>
      <x:c r="E82" s="19" t="n">
        <x:v>2357</x:v>
      </x:c>
      <x:c r="F82" s="19" t="n">
        <x:v>19</x:v>
      </x:c>
      <x:c r="G82" s="19" t="n">
        <x:v>1</x:v>
      </x:c>
      <x:c r="H82" s="19" t="str">
        <x:v>18 mm laminált korpusz; 19 mm MDF front; 8 mm hátlap</x:v>
      </x:c>
      <x:c r="I82" s="19" t="str">
        <x:v>kréta + folytonos tusnyomat</x:v>
      </x:c>
      <x:c r="J82" s="19" t="str">
        <x:v>110°csillapított; pontos pántszám gyártói tömeg alapján.</x:v>
      </x:c>
      <x:c r="K82" s="19" t="str">
        <x:v>AJÁNLATI KÉSZMÉRET; NEM CNC/GYÁRTÁSI KIADÁS</x:v>
      </x:c>
    </x:row>
    <x:row r="83" ht="76" customHeight="1">
      <x:c r="A83" s="19" t="str">
        <x:v>WN-01</x:v>
      </x:c>
      <x:c r="B83" s="19" t="str">
        <x:v>KI-048;KI-050;KI-051;KI-052</x:v>
      </x:c>
      <x:c r="C83" s="19" t="str">
        <x:v>Felső ajtó1</x:v>
      </x:c>
      <x:c r="D83" s="19" t="n">
        <x:v>727</x:v>
      </x:c>
      <x:c r="E83" s="19" t="n">
        <x:v>477</x:v>
      </x:c>
      <x:c r="F83" s="19" t="n">
        <x:v>19</x:v>
      </x:c>
      <x:c r="G83" s="19" t="n">
        <x:v>1</x:v>
      </x:c>
      <x:c r="H83" s="19" t="str">
        <x:v>18 mm laminált korpusz; 19 mm MDF front; 8 mm hátlap</x:v>
      </x:c>
      <x:c r="I83" s="19" t="str">
        <x:v>kréta + folytonos tusnyomat</x:v>
      </x:c>
      <x:c r="J83" s="19" t="str">
        <x:v>Fogásprofil; nyomat illesztés csukott frontállapotban.</x:v>
      </x:c>
      <x:c r="K83" s="19" t="str">
        <x:v>AJÁNLATI KÉSZMÉRET; NEM CNC/GYÁRTÁSI KIADÁS</x:v>
      </x:c>
    </x:row>
    <x:row r="84" ht="76" customHeight="1">
      <x:c r="A84" s="19" t="str">
        <x:v>WN-01</x:v>
      </x:c>
      <x:c r="B84" s="19" t="str">
        <x:v>KI-048;KI-050;KI-051;KI-052</x:v>
      </x:c>
      <x:c r="C84" s="19" t="str">
        <x:v>Alsó ajtó2</x:v>
      </x:c>
      <x:c r="D84" s="19" t="n">
        <x:v>727</x:v>
      </x:c>
      <x:c r="E84" s="19" t="n">
        <x:v>2357</x:v>
      </x:c>
      <x:c r="F84" s="19" t="n">
        <x:v>19</x:v>
      </x:c>
      <x:c r="G84" s="19" t="n">
        <x:v>1</x:v>
      </x:c>
      <x:c r="H84" s="19" t="str">
        <x:v>18 mm laminált korpusz; 19 mm MDF front; 8 mm hátlap</x:v>
      </x:c>
      <x:c r="I84" s="19" t="str">
        <x:v>kréta + folytonos tusnyomat</x:v>
      </x:c>
      <x:c r="J84" s="19" t="str">
        <x:v>110°csillapított; pontos pántszám gyártói tömeg alapján.</x:v>
      </x:c>
      <x:c r="K84" s="19" t="str">
        <x:v>AJÁNLATI KÉSZMÉRET; NEM CNC/GYÁRTÁSI KIADÁS</x:v>
      </x:c>
    </x:row>
    <x:row r="85" ht="76" customHeight="1">
      <x:c r="A85" s="19" t="str">
        <x:v>WN-01</x:v>
      </x:c>
      <x:c r="B85" s="19" t="str">
        <x:v>KI-048;KI-050;KI-051;KI-052</x:v>
      </x:c>
      <x:c r="C85" s="19" t="str">
        <x:v>Felső ajtó2</x:v>
      </x:c>
      <x:c r="D85" s="19" t="n">
        <x:v>727</x:v>
      </x:c>
      <x:c r="E85" s="19" t="n">
        <x:v>477</x:v>
      </x:c>
      <x:c r="F85" s="19" t="n">
        <x:v>19</x:v>
      </x:c>
      <x:c r="G85" s="19" t="n">
        <x:v>1</x:v>
      </x:c>
      <x:c r="H85" s="19" t="str">
        <x:v>18 mm laminált korpusz; 19 mm MDF front; 8 mm hátlap</x:v>
      </x:c>
      <x:c r="I85" s="19" t="str">
        <x:v>kréta + folytonos tusnyomat</x:v>
      </x:c>
      <x:c r="J85" s="19" t="str">
        <x:v>Fogásprofil; nyomat illesztés csukott frontállapotban.</x:v>
      </x:c>
      <x:c r="K85" s="19" t="str">
        <x:v>AJÁNLATI KÉSZMÉRET; NEM CNC/GYÁRTÁSI KIADÁS</x:v>
      </x:c>
    </x:row>
    <x:row r="86" ht="76" customHeight="1">
      <x:c r="A86" s="19" t="str">
        <x:v>WN-01</x:v>
      </x:c>
      <x:c r="B86" s="19" t="str">
        <x:v>KI-048;KI-050;KI-051;KI-052</x:v>
      </x:c>
      <x:c r="C86" s="19" t="str">
        <x:v>Alsó ajtó3</x:v>
      </x:c>
      <x:c r="D86" s="19" t="n">
        <x:v>727</x:v>
      </x:c>
      <x:c r="E86" s="19" t="n">
        <x:v>2357</x:v>
      </x:c>
      <x:c r="F86" s="19" t="n">
        <x:v>19</x:v>
      </x:c>
      <x:c r="G86" s="19" t="n">
        <x:v>1</x:v>
      </x:c>
      <x:c r="H86" s="19" t="str">
        <x:v>18 mm laminált korpusz; 19 mm MDF front; 8 mm hátlap</x:v>
      </x:c>
      <x:c r="I86" s="19" t="str">
        <x:v>kréta + folytonos tusnyomat</x:v>
      </x:c>
      <x:c r="J86" s="19" t="str">
        <x:v>110°csillapított; pontos pántszám gyártói tömeg alapján.</x:v>
      </x:c>
      <x:c r="K86" s="19" t="str">
        <x:v>AJÁNLATI KÉSZMÉRET; NEM CNC/GYÁRTÁSI KIADÁS</x:v>
      </x:c>
    </x:row>
    <x:row r="87" ht="76" customHeight="1">
      <x:c r="A87" s="19" t="str">
        <x:v>WN-01</x:v>
      </x:c>
      <x:c r="B87" s="19" t="str">
        <x:v>KI-048;KI-050;KI-051;KI-052</x:v>
      </x:c>
      <x:c r="C87" s="19" t="str">
        <x:v>Felső ajtó3</x:v>
      </x:c>
      <x:c r="D87" s="19" t="n">
        <x:v>727</x:v>
      </x:c>
      <x:c r="E87" s="19" t="n">
        <x:v>477</x:v>
      </x:c>
      <x:c r="F87" s="19" t="n">
        <x:v>19</x:v>
      </x:c>
      <x:c r="G87" s="19" t="n">
        <x:v>1</x:v>
      </x:c>
      <x:c r="H87" s="19" t="str">
        <x:v>18 mm laminált korpusz; 19 mm MDF front; 8 mm hátlap</x:v>
      </x:c>
      <x:c r="I87" s="19" t="str">
        <x:v>kréta + folytonos tusnyomat</x:v>
      </x:c>
      <x:c r="J87" s="19" t="str">
        <x:v>Fogásprofil; nyomat illesztés csukott frontállapotban.</x:v>
      </x:c>
      <x:c r="K87" s="19" t="str">
        <x:v>AJÁNLATI KÉSZMÉRET; NEM CNC/GYÁRTÁSI KIADÁS</x:v>
      </x:c>
    </x:row>
    <x:row r="88" ht="76" customHeight="1">
      <x:c r="A88" s="19" t="str">
        <x:v>WN-01</x:v>
      </x:c>
      <x:c r="B88" s="19" t="str">
        <x:v>KI-048;KI-050;KI-051;KI-052</x:v>
      </x:c>
      <x:c r="C88" s="19" t="str">
        <x:v>Alsó ajtó4</x:v>
      </x:c>
      <x:c r="D88" s="19" t="n">
        <x:v>727</x:v>
      </x:c>
      <x:c r="E88" s="19" t="n">
        <x:v>2357</x:v>
      </x:c>
      <x:c r="F88" s="19" t="n">
        <x:v>19</x:v>
      </x:c>
      <x:c r="G88" s="19" t="n">
        <x:v>1</x:v>
      </x:c>
      <x:c r="H88" s="19" t="str">
        <x:v>18 mm laminált korpusz; 19 mm MDF front; 8 mm hátlap</x:v>
      </x:c>
      <x:c r="I88" s="19" t="str">
        <x:v>kréta + folytonos tusnyomat</x:v>
      </x:c>
      <x:c r="J88" s="19" t="str">
        <x:v>110°csillapított; pontos pántszám gyártói tömeg alapján.</x:v>
      </x:c>
      <x:c r="K88" s="19" t="str">
        <x:v>AJÁNLATI KÉSZMÉRET; NEM CNC/GYÁRTÁSI KIADÁS</x:v>
      </x:c>
    </x:row>
    <x:row r="89" ht="76" customHeight="1">
      <x:c r="A89" s="19" t="str">
        <x:v>WN-01</x:v>
      </x:c>
      <x:c r="B89" s="19" t="str">
        <x:v>KI-048;KI-050;KI-051;KI-052</x:v>
      </x:c>
      <x:c r="C89" s="19" t="str">
        <x:v>Felső ajtó4</x:v>
      </x:c>
      <x:c r="D89" s="19" t="n">
        <x:v>727</x:v>
      </x:c>
      <x:c r="E89" s="19" t="n">
        <x:v>477</x:v>
      </x:c>
      <x:c r="F89" s="19" t="n">
        <x:v>19</x:v>
      </x:c>
      <x:c r="G89" s="19" t="n">
        <x:v>1</x:v>
      </x:c>
      <x:c r="H89" s="19" t="str">
        <x:v>18 mm laminált korpusz; 19 mm MDF front; 8 mm hátlap</x:v>
      </x:c>
      <x:c r="I89" s="19" t="str">
        <x:v>kréta + folytonos tusnyomat</x:v>
      </x:c>
      <x:c r="J89" s="19" t="str">
        <x:v>Fogásprofil; nyomat illesztés csukott frontállapotban.</x:v>
      </x:c>
      <x:c r="K89" s="19" t="str">
        <x:v>AJÁNLATI KÉSZMÉRET; NEM CNC/GYÁRTÁSI KIADÁS</x:v>
      </x:c>
    </x:row>
    <x:row r="90" ht="76" customHeight="1">
      <x:c r="A90" s="19" t="str">
        <x:v>WS-01</x:v>
      </x:c>
      <x:c r="B90" s="19" t="str">
        <x:v>KI-049;KI-050;KI-051;KI-052</x:v>
      </x:c>
      <x:c r="C90" s="19" t="str">
        <x:v>Oldal</x:v>
      </x:c>
      <x:c r="D90" s="19" t="n">
        <x:v>2840</x:v>
      </x:c>
      <x:c r="E90" s="19" t="n">
        <x:v>480</x:v>
      </x:c>
      <x:c r="F90" s="19" t="n">
        <x:v>18</x:v>
      </x:c>
      <x:c r="G90" s="19" t="n">
        <x:v>2</x:v>
      </x:c>
      <x:c r="H90" s="19" t="str">
        <x:v>18 mm laminált korpusz; 19 mm MDF front; 8 mm hátlap</x:v>
      </x:c>
      <x:c r="I90" s="19" t="str">
        <x:v>kréta matt</x:v>
      </x:c>
      <x:c r="J90" s="19" t="str">
        <x:v>Látható él2mmABS; készméretből élvastagság gyártó szerint levonandó.</x:v>
      </x:c>
      <x:c r="K90" s="19" t="str">
        <x:v>AJÁNLATI KÉSZMÉRET; NEM CNC/GYÁRTÁSI KIADÁS</x:v>
      </x:c>
    </x:row>
    <x:row r="91" ht="76" customHeight="1">
      <x:c r="A91" s="19" t="str">
        <x:v>WS-01</x:v>
      </x:c>
      <x:c r="B91" s="19" t="str">
        <x:v>KI-049;KI-050;KI-051;KI-052</x:v>
      </x:c>
      <x:c r="C91" s="19" t="str">
        <x:v>Alsó/felső</x:v>
      </x:c>
      <x:c r="D91" s="19" t="n">
        <x:v>2344</x:v>
      </x:c>
      <x:c r="E91" s="19" t="n">
        <x:v>461</x:v>
      </x:c>
      <x:c r="F91" s="19" t="n">
        <x:v>18</x:v>
      </x:c>
      <x:c r="G91" s="19" t="n">
        <x:v>2</x:v>
      </x:c>
      <x:c r="H91" s="19" t="str">
        <x:v>18 mm laminált korpusz; 19 mm MDF front; 8 mm hátlap</x:v>
      </x:c>
      <x:c r="I91" s="19" t="str">
        <x:v>kréta matt</x:v>
      </x:c>
      <x:c r="J91" s="19" t="str">
        <x:v>Felső lap gép/szifon körül kiváltandó a részletrajz szerint.</x:v>
      </x:c>
      <x:c r="K91" s="19" t="str">
        <x:v>AJÁNLATI KÉSZMÉRET; NEM CNC/GYÁRTÁSI KIADÁS</x:v>
      </x:c>
    </x:row>
    <x:row r="92" ht="76" customHeight="1">
      <x:c r="A92" s="19" t="str">
        <x:v>WS-01</x:v>
      </x:c>
      <x:c r="B92" s="19" t="str">
        <x:v>KI-049;KI-050;KI-051;KI-052</x:v>
      </x:c>
      <x:c r="C92" s="19" t="str">
        <x:v>Hát</x:v>
      </x:c>
      <x:c r="D92" s="19" t="n">
        <x:v>2344</x:v>
      </x:c>
      <x:c r="E92" s="19" t="n">
        <x:v>2804</x:v>
      </x:c>
      <x:c r="F92" s="19" t="n">
        <x:v>8</x:v>
      </x:c>
      <x:c r="G92" s="19" t="n">
        <x:v>1</x:v>
      </x:c>
      <x:c r="H92" s="19" t="str">
        <x:v>18 mm laminált korpusz; 19 mm MDF front; 8 mm hátlap</x:v>
      </x:c>
      <x:c r="I92" s="19" t="str">
        <x:v>kréta matt</x:v>
      </x:c>
      <x:c r="J92" s="19" t="str">
        <x:v>Levehető szervizhát; géptorony szellőzőnyílások külön.</x:v>
      </x:c>
      <x:c r="K92" s="19" t="str">
        <x:v>AJÁNLATI KÉSZMÉRET; NEM CNC/GYÁRTÁSI KIADÁS</x:v>
      </x:c>
    </x:row>
    <x:row r="93" ht="76" customHeight="1">
      <x:c r="A93" s="19" t="str">
        <x:v>WS-01</x:v>
      </x:c>
      <x:c r="B93" s="19" t="str">
        <x:v>KI-049;KI-050;KI-051;KI-052</x:v>
      </x:c>
      <x:c r="C93" s="19" t="str">
        <x:v>Belső osztó</x:v>
      </x:c>
      <x:c r="D93" s="19" t="n">
        <x:v>2804</x:v>
      </x:c>
      <x:c r="E93" s="19" t="n">
        <x:v>453</x:v>
      </x:c>
      <x:c r="F93" s="19" t="n">
        <x:v>18</x:v>
      </x:c>
      <x:c r="G93" s="19" t="n">
        <x:v>3</x:v>
      </x:c>
      <x:c r="H93" s="19" t="str">
        <x:v>18 mm laminált korpusz; 19 mm MDF front; 8 mm hátlap</x:v>
      </x:c>
      <x:c r="I93" s="19" t="str">
        <x:v>kréta matt</x:v>
      </x:c>
      <x:c r="J93" s="19" t="str">
        <x:v>Nem automatikus modulonkénti duplaoldal.</x:v>
      </x:c>
      <x:c r="K93" s="19" t="str">
        <x:v>AJÁNLATI KÉSZMÉRET; NEM CNC/GYÁRTÁSI KIADÁS</x:v>
      </x:c>
    </x:row>
    <x:row r="94" ht="76" customHeight="1">
      <x:c r="A94" s="19" t="str">
        <x:v>WS-01</x:v>
      </x:c>
      <x:c r="B94" s="19" t="str">
        <x:v>KI-049;KI-050;KI-051;KI-052</x:v>
      </x:c>
      <x:c r="C94" s="19" t="str">
        <x:v>Felső fix polc</x:v>
      </x:c>
      <x:c r="D94" s="19" t="n">
        <x:v>2344</x:v>
      </x:c>
      <x:c r="E94" s="19" t="n">
        <x:v>453</x:v>
      </x:c>
      <x:c r="F94" s="19" t="n">
        <x:v>18</x:v>
      </x:c>
      <x:c r="G94" s="19" t="n">
        <x:v>1</x:v>
      </x:c>
      <x:c r="H94" s="19" t="str">
        <x:v>18 mm laminált korpusz; 19 mm MDF front; 8 mm hátlap</x:v>
      </x:c>
      <x:c r="I94" s="19" t="str">
        <x:v>kréta matt</x:v>
      </x:c>
      <x:c r="J94" s="19" t="str">
        <x:v>Felső szint2360mm.</x:v>
      </x:c>
      <x:c r="K94" s="19" t="str">
        <x:v>AJÁNLATI KÉSZMÉRET; NEM CNC/GYÁRTÁSI KIADÁS</x:v>
      </x:c>
    </x:row>
    <x:row r="95" ht="76" customHeight="1">
      <x:c r="A95" s="19" t="str">
        <x:v>WS-01</x:v>
      </x:c>
      <x:c r="B95" s="19" t="str">
        <x:v>KI-049;KI-050;KI-051;KI-052</x:v>
      </x:c>
      <x:c r="C95" s="19" t="str">
        <x:v>Rekesz1 polc</x:v>
      </x:c>
      <x:c r="D95" s="19" t="n">
        <x:v>559</x:v>
      </x:c>
      <x:c r="E95" s="19" t="n">
        <x:v>453</x:v>
      </x:c>
      <x:c r="F95" s="19" t="n">
        <x:v>18</x:v>
      </x:c>
      <x:c r="G95" s="19" t="n">
        <x:v>1</x:v>
      </x:c>
      <x:c r="H95" s="19" t="str">
        <x:v>18 mm laminált korpusz; 19 mm MDF front; 8 mm hátlap</x:v>
      </x:c>
      <x:c r="I95" s="19" t="str">
        <x:v>kréta matt</x:v>
      </x:c>
      <x:c r="J95" s="19" t="str">
        <x:v>Szerelési polcrés gyártóval.</x:v>
      </x:c>
      <x:c r="K95" s="19" t="str">
        <x:v>AJÁNLATI KÉSZMÉRET; NEM CNC/GYÁRTÁSI KIADÁS</x:v>
      </x:c>
    </x:row>
    <x:row r="96" ht="76" customHeight="1">
      <x:c r="A96" s="19" t="str">
        <x:v>WS-01</x:v>
      </x:c>
      <x:c r="B96" s="19" t="str">
        <x:v>KI-049;KI-050;KI-051;KI-052</x:v>
      </x:c>
      <x:c r="C96" s="19" t="str">
        <x:v>Rekesz1 fiókfront</x:v>
      </x:c>
      <x:c r="D96" s="19" t="n">
        <x:v>525</x:v>
      </x:c>
      <x:c r="E96" s="19" t="n">
        <x:v>160</x:v>
      </x:c>
      <x:c r="F96" s="19" t="n">
        <x:v>16</x:v>
      </x:c>
      <x:c r="G96" s="19" t="n">
        <x:v>0</x:v>
      </x:c>
      <x:c r="H96" s="19" t="str">
        <x:v>18 mm laminált korpusz; 19 mm MDF front; 8 mm hátlap</x:v>
      </x:c>
      <x:c r="I96" s="19" t="str">
        <x:v>kréta matt</x:v>
      </x:c>
      <x:c r="J96" s="19" t="str">
        <x:v>Belső fióktest és sín szabása választott vasalat szerint.</x:v>
      </x:c>
      <x:c r="K96" s="19" t="str">
        <x:v>AJÁNLATI KÉSZMÉRET; NEM CNC/GYÁRTÁSI KIADÁS</x:v>
      </x:c>
    </x:row>
    <x:row r="97" ht="76" customHeight="1">
      <x:c r="A97" s="19" t="str">
        <x:v>WS-01</x:v>
      </x:c>
      <x:c r="B97" s="19" t="str">
        <x:v>KI-049;KI-050;KI-051;KI-052</x:v>
      </x:c>
      <x:c r="C97" s="19" t="str">
        <x:v>Rekesz2 polc</x:v>
      </x:c>
      <x:c r="D97" s="19" t="n">
        <x:v>559</x:v>
      </x:c>
      <x:c r="E97" s="19" t="n">
        <x:v>453</x:v>
      </x:c>
      <x:c r="F97" s="19" t="n">
        <x:v>18</x:v>
      </x:c>
      <x:c r="G97" s="19" t="n">
        <x:v>1</x:v>
      </x:c>
      <x:c r="H97" s="19" t="str">
        <x:v>18 mm laminált korpusz; 19 mm MDF front; 8 mm hátlap</x:v>
      </x:c>
      <x:c r="I97" s="19" t="str">
        <x:v>kréta matt</x:v>
      </x:c>
      <x:c r="J97" s="19" t="str">
        <x:v>Szerelési polcrés gyártóval.</x:v>
      </x:c>
      <x:c r="K97" s="19" t="str">
        <x:v>AJÁNLATI KÉSZMÉRET; NEM CNC/GYÁRTÁSI KIADÁS</x:v>
      </x:c>
    </x:row>
    <x:row r="98" ht="76" customHeight="1">
      <x:c r="A98" s="19" t="str">
        <x:v>WS-01</x:v>
      </x:c>
      <x:c r="B98" s="19" t="str">
        <x:v>KI-049;KI-050;KI-051;KI-052</x:v>
      </x:c>
      <x:c r="C98" s="19" t="str">
        <x:v>Rekesz2 fiókfront</x:v>
      </x:c>
      <x:c r="D98" s="19" t="n">
        <x:v>525</x:v>
      </x:c>
      <x:c r="E98" s="19" t="n">
        <x:v>160</x:v>
      </x:c>
      <x:c r="F98" s="19" t="n">
        <x:v>16</x:v>
      </x:c>
      <x:c r="G98" s="19" t="n">
        <x:v>0</x:v>
      </x:c>
      <x:c r="H98" s="19" t="str">
        <x:v>18 mm laminált korpusz; 19 mm MDF front; 8 mm hátlap</x:v>
      </x:c>
      <x:c r="I98" s="19" t="str">
        <x:v>kréta matt</x:v>
      </x:c>
      <x:c r="J98" s="19" t="str">
        <x:v>Belső fióktest és sín szabása választott vasalat szerint.</x:v>
      </x:c>
      <x:c r="K98" s="19" t="str">
        <x:v>AJÁNLATI KÉSZMÉRET; NEM CNC/GYÁRTÁSI KIADÁS</x:v>
      </x:c>
    </x:row>
    <x:row r="99" ht="76" customHeight="1">
      <x:c r="A99" s="19" t="str">
        <x:v>WS-01</x:v>
      </x:c>
      <x:c r="B99" s="19" t="str">
        <x:v>KI-049;KI-050;KI-051;KI-052</x:v>
      </x:c>
      <x:c r="C99" s="19" t="str">
        <x:v>Rekesz3 polc</x:v>
      </x:c>
      <x:c r="D99" s="19" t="n">
        <x:v>559</x:v>
      </x:c>
      <x:c r="E99" s="19" t="n">
        <x:v>453</x:v>
      </x:c>
      <x:c r="F99" s="19" t="n">
        <x:v>18</x:v>
      </x:c>
      <x:c r="G99" s="19" t="n">
        <x:v>4</x:v>
      </x:c>
      <x:c r="H99" s="19" t="str">
        <x:v>18 mm laminált korpusz; 19 mm MDF front; 8 mm hátlap</x:v>
      </x:c>
      <x:c r="I99" s="19" t="str">
        <x:v>kréta matt</x:v>
      </x:c>
      <x:c r="J99" s="19" t="str">
        <x:v>Szerelési polcrés gyártóval.</x:v>
      </x:c>
      <x:c r="K99" s="19" t="str">
        <x:v>AJÁNLATI KÉSZMÉRET; NEM CNC/GYÁRTÁSI KIADÁS</x:v>
      </x:c>
    </x:row>
    <x:row r="100" ht="76" customHeight="1">
      <x:c r="A100" s="19" t="str">
        <x:v>WS-01</x:v>
      </x:c>
      <x:c r="B100" s="19" t="str">
        <x:v>KI-049;KI-050;KI-051;KI-052</x:v>
      </x:c>
      <x:c r="C100" s="19" t="str">
        <x:v>Rekesz3 fiókfront</x:v>
      </x:c>
      <x:c r="D100" s="19" t="n">
        <x:v>525</x:v>
      </x:c>
      <x:c r="E100" s="19" t="n">
        <x:v>160</x:v>
      </x:c>
      <x:c r="F100" s="19" t="n">
        <x:v>16</x:v>
      </x:c>
      <x:c r="G100" s="19" t="n">
        <x:v>2</x:v>
      </x:c>
      <x:c r="H100" s="19" t="str">
        <x:v>18 mm laminált korpusz; 19 mm MDF front; 8 mm hátlap</x:v>
      </x:c>
      <x:c r="I100" s="19" t="str">
        <x:v>kréta matt</x:v>
      </x:c>
      <x:c r="J100" s="19" t="str">
        <x:v>Belső fióktest és sín szabása választott vasalat szerint.</x:v>
      </x:c>
      <x:c r="K100" s="19" t="str">
        <x:v>AJÁNLATI KÉSZMÉRET; NEM CNC/GYÁRTÁSI KIADÁS</x:v>
      </x:c>
    </x:row>
    <x:row r="101" ht="76" customHeight="1">
      <x:c r="A101" s="19" t="str">
        <x:v>WS-01</x:v>
      </x:c>
      <x:c r="B101" s="19" t="str">
        <x:v>KI-049;KI-050;KI-051;KI-052</x:v>
      </x:c>
      <x:c r="C101" s="19" t="str">
        <x:v>Rekesz4 polc</x:v>
      </x:c>
      <x:c r="D101" s="19" t="n">
        <x:v>559</x:v>
      </x:c>
      <x:c r="E101" s="19" t="n">
        <x:v>453</x:v>
      </x:c>
      <x:c r="F101" s="19" t="n">
        <x:v>18</x:v>
      </x:c>
      <x:c r="G101" s="19" t="n">
        <x:v>5</x:v>
      </x:c>
      <x:c r="H101" s="19" t="str">
        <x:v>18 mm laminált korpusz; 19 mm MDF front; 8 mm hátlap</x:v>
      </x:c>
      <x:c r="I101" s="19" t="str">
        <x:v>kréta matt</x:v>
      </x:c>
      <x:c r="J101" s="19" t="str">
        <x:v>Szerelési polcrés gyártóval.</x:v>
      </x:c>
      <x:c r="K101" s="19" t="str">
        <x:v>AJÁNLATI KÉSZMÉRET; NEM CNC/GYÁRTÁSI KIADÁS</x:v>
      </x:c>
    </x:row>
    <x:row r="102" ht="76" customHeight="1">
      <x:c r="A102" s="19" t="str">
        <x:v>WS-01</x:v>
      </x:c>
      <x:c r="B102" s="19" t="str">
        <x:v>KI-049;KI-050;KI-051;KI-052</x:v>
      </x:c>
      <x:c r="C102" s="19" t="str">
        <x:v>Rekesz4 fiókfront</x:v>
      </x:c>
      <x:c r="D102" s="19" t="n">
        <x:v>525</x:v>
      </x:c>
      <x:c r="E102" s="19" t="n">
        <x:v>160</x:v>
      </x:c>
      <x:c r="F102" s="19" t="n">
        <x:v>16</x:v>
      </x:c>
      <x:c r="G102" s="19" t="n">
        <x:v>0</x:v>
      </x:c>
      <x:c r="H102" s="19" t="str">
        <x:v>18 mm laminált korpusz; 19 mm MDF front; 8 mm hátlap</x:v>
      </x:c>
      <x:c r="I102" s="19" t="str">
        <x:v>kréta matt</x:v>
      </x:c>
      <x:c r="J102" s="19" t="str">
        <x:v>Belső fióktest és sín szabása választott vasalat szerint.</x:v>
      </x:c>
      <x:c r="K102" s="19" t="str">
        <x:v>AJÁNLATI KÉSZMÉRET; NEM CNC/GYÁRTÁSI KIADÁS</x:v>
      </x:c>
    </x:row>
    <x:row r="103" ht="76" customHeight="1">
      <x:c r="A103" s="19" t="str">
        <x:v>WS-01</x:v>
      </x:c>
      <x:c r="B103" s="19" t="str">
        <x:v>KI-049;KI-050;KI-051;KI-052</x:v>
      </x:c>
      <x:c r="C103" s="19" t="str">
        <x:v>Alsó ajtó1</x:v>
      </x:c>
      <x:c r="D103" s="19" t="n">
        <x:v>592</x:v>
      </x:c>
      <x:c r="E103" s="19" t="n">
        <x:v>2357</x:v>
      </x:c>
      <x:c r="F103" s="19" t="n">
        <x:v>19</x:v>
      </x:c>
      <x:c r="G103" s="19" t="n">
        <x:v>1</x:v>
      </x:c>
      <x:c r="H103" s="19" t="str">
        <x:v>18 mm laminált korpusz; 19 mm MDF front; 8 mm hátlap</x:v>
      </x:c>
      <x:c r="I103" s="19" t="str">
        <x:v>kréta matt</x:v>
      </x:c>
      <x:c r="J103" s="19" t="str">
        <x:v>110°csillapított; pontos pántszám gyártói tömeg alapján.</x:v>
      </x:c>
      <x:c r="K103" s="19" t="str">
        <x:v>AJÁNLATI KÉSZMÉRET; NEM CNC/GYÁRTÁSI KIADÁS</x:v>
      </x:c>
    </x:row>
    <x:row r="104" ht="76" customHeight="1">
      <x:c r="A104" s="19" t="str">
        <x:v>WS-01</x:v>
      </x:c>
      <x:c r="B104" s="19" t="str">
        <x:v>KI-049;KI-050;KI-051;KI-052</x:v>
      </x:c>
      <x:c r="C104" s="19" t="str">
        <x:v>Felső ajtó1</x:v>
      </x:c>
      <x:c r="D104" s="19" t="n">
        <x:v>592</x:v>
      </x:c>
      <x:c r="E104" s="19" t="n">
        <x:v>477</x:v>
      </x:c>
      <x:c r="F104" s="19" t="n">
        <x:v>19</x:v>
      </x:c>
      <x:c r="G104" s="19" t="n">
        <x:v>1</x:v>
      </x:c>
      <x:c r="H104" s="19" t="str">
        <x:v>18 mm laminált korpusz; 19 mm MDF front; 8 mm hátlap</x:v>
      </x:c>
      <x:c r="I104" s="19" t="str">
        <x:v>kréta matt</x:v>
      </x:c>
      <x:c r="J104" s="19" t="str">
        <x:v>Fogásprofil; nyomat illesztés csukott frontállapotban.</x:v>
      </x:c>
      <x:c r="K104" s="19" t="str">
        <x:v>AJÁNLATI KÉSZMÉRET; NEM CNC/GYÁRTÁSI KIADÁS</x:v>
      </x:c>
    </x:row>
    <x:row r="105" ht="76" customHeight="1">
      <x:c r="A105" s="19" t="str">
        <x:v>WS-01</x:v>
      </x:c>
      <x:c r="B105" s="19" t="str">
        <x:v>KI-049;KI-050;KI-051;KI-052</x:v>
      </x:c>
      <x:c r="C105" s="19" t="str">
        <x:v>Alsó ajtó2</x:v>
      </x:c>
      <x:c r="D105" s="19" t="n">
        <x:v>592</x:v>
      </x:c>
      <x:c r="E105" s="19" t="n">
        <x:v>2357</x:v>
      </x:c>
      <x:c r="F105" s="19" t="n">
        <x:v>19</x:v>
      </x:c>
      <x:c r="G105" s="19" t="n">
        <x:v>1</x:v>
      </x:c>
      <x:c r="H105" s="19" t="str">
        <x:v>18 mm laminált korpusz; 19 mm MDF front; 8 mm hátlap</x:v>
      </x:c>
      <x:c r="I105" s="19" t="str">
        <x:v>kréta matt</x:v>
      </x:c>
      <x:c r="J105" s="19" t="str">
        <x:v>110°csillapított; pontos pántszám gyártói tömeg alapján.</x:v>
      </x:c>
      <x:c r="K105" s="19" t="str">
        <x:v>AJÁNLATI KÉSZMÉRET; NEM CNC/GYÁRTÁSI KIADÁS</x:v>
      </x:c>
    </x:row>
    <x:row r="106" ht="76" customHeight="1">
      <x:c r="A106" s="19" t="str">
        <x:v>WS-01</x:v>
      </x:c>
      <x:c r="B106" s="19" t="str">
        <x:v>KI-049;KI-050;KI-051;KI-052</x:v>
      </x:c>
      <x:c r="C106" s="19" t="str">
        <x:v>Felső ajtó2</x:v>
      </x:c>
      <x:c r="D106" s="19" t="n">
        <x:v>592</x:v>
      </x:c>
      <x:c r="E106" s="19" t="n">
        <x:v>477</x:v>
      </x:c>
      <x:c r="F106" s="19" t="n">
        <x:v>19</x:v>
      </x:c>
      <x:c r="G106" s="19" t="n">
        <x:v>1</x:v>
      </x:c>
      <x:c r="H106" s="19" t="str">
        <x:v>18 mm laminált korpusz; 19 mm MDF front; 8 mm hátlap</x:v>
      </x:c>
      <x:c r="I106" s="19" t="str">
        <x:v>kréta matt</x:v>
      </x:c>
      <x:c r="J106" s="19" t="str">
        <x:v>Fogásprofil; nyomat illesztés csukott frontállapotban.</x:v>
      </x:c>
      <x:c r="K106" s="19" t="str">
        <x:v>AJÁNLATI KÉSZMÉRET; NEM CNC/GYÁRTÁSI KIADÁS</x:v>
      </x:c>
    </x:row>
    <x:row r="107" ht="76" customHeight="1">
      <x:c r="A107" s="19" t="str">
        <x:v>WS-01</x:v>
      </x:c>
      <x:c r="B107" s="19" t="str">
        <x:v>KI-049;KI-050;KI-051;KI-052</x:v>
      </x:c>
      <x:c r="C107" s="19" t="str">
        <x:v>Alsó ajtó3</x:v>
      </x:c>
      <x:c r="D107" s="19" t="n">
        <x:v>592</x:v>
      </x:c>
      <x:c r="E107" s="19" t="n">
        <x:v>2357</x:v>
      </x:c>
      <x:c r="F107" s="19" t="n">
        <x:v>19</x:v>
      </x:c>
      <x:c r="G107" s="19" t="n">
        <x:v>1</x:v>
      </x:c>
      <x:c r="H107" s="19" t="str">
        <x:v>18 mm laminált korpusz; 19 mm MDF front; 8 mm hátlap</x:v>
      </x:c>
      <x:c r="I107" s="19" t="str">
        <x:v>kréta matt</x:v>
      </x:c>
      <x:c r="J107" s="19" t="str">
        <x:v>110°csillapított; pontos pántszám gyártói tömeg alapján.</x:v>
      </x:c>
      <x:c r="K107" s="19" t="str">
        <x:v>AJÁNLATI KÉSZMÉRET; NEM CNC/GYÁRTÁSI KIADÁS</x:v>
      </x:c>
    </x:row>
    <x:row r="108" ht="76" customHeight="1">
      <x:c r="A108" s="19" t="str">
        <x:v>WS-01</x:v>
      </x:c>
      <x:c r="B108" s="19" t="str">
        <x:v>KI-049;KI-050;KI-051;KI-052</x:v>
      </x:c>
      <x:c r="C108" s="19" t="str">
        <x:v>Felső ajtó3</x:v>
      </x:c>
      <x:c r="D108" s="19" t="n">
        <x:v>592</x:v>
      </x:c>
      <x:c r="E108" s="19" t="n">
        <x:v>477</x:v>
      </x:c>
      <x:c r="F108" s="19" t="n">
        <x:v>19</x:v>
      </x:c>
      <x:c r="G108" s="19" t="n">
        <x:v>1</x:v>
      </x:c>
      <x:c r="H108" s="19" t="str">
        <x:v>18 mm laminált korpusz; 19 mm MDF front; 8 mm hátlap</x:v>
      </x:c>
      <x:c r="I108" s="19" t="str">
        <x:v>kréta matt</x:v>
      </x:c>
      <x:c r="J108" s="19" t="str">
        <x:v>Fogásprofil; nyomat illesztés csukott frontállapotban.</x:v>
      </x:c>
      <x:c r="K108" s="19" t="str">
        <x:v>AJÁNLATI KÉSZMÉRET; NEM CNC/GYÁRTÁSI KIADÁS</x:v>
      </x:c>
    </x:row>
    <x:row r="109" ht="76" customHeight="1">
      <x:c r="A109" s="19" t="str">
        <x:v>WS-01</x:v>
      </x:c>
      <x:c r="B109" s="19" t="str">
        <x:v>KI-049;KI-050;KI-051;KI-052</x:v>
      </x:c>
      <x:c r="C109" s="19" t="str">
        <x:v>Alsó ajtó4</x:v>
      </x:c>
      <x:c r="D109" s="19" t="n">
        <x:v>592</x:v>
      </x:c>
      <x:c r="E109" s="19" t="n">
        <x:v>2357</x:v>
      </x:c>
      <x:c r="F109" s="19" t="n">
        <x:v>19</x:v>
      </x:c>
      <x:c r="G109" s="19" t="n">
        <x:v>1</x:v>
      </x:c>
      <x:c r="H109" s="19" t="str">
        <x:v>18 mm laminált korpusz; 19 mm MDF front; 8 mm hátlap</x:v>
      </x:c>
      <x:c r="I109" s="19" t="str">
        <x:v>kréta matt</x:v>
      </x:c>
      <x:c r="J109" s="19" t="str">
        <x:v>110°csillapított; pontos pántszám gyártói tömeg alapján.</x:v>
      </x:c>
      <x:c r="K109" s="19" t="str">
        <x:v>AJÁNLATI KÉSZMÉRET; NEM CNC/GYÁRTÁSI KIADÁS</x:v>
      </x:c>
    </x:row>
    <x:row r="110" ht="76" customHeight="1">
      <x:c r="A110" s="19" t="str">
        <x:v>WS-01</x:v>
      </x:c>
      <x:c r="B110" s="19" t="str">
        <x:v>KI-049;KI-050;KI-051;KI-052</x:v>
      </x:c>
      <x:c r="C110" s="19" t="str">
        <x:v>Felső ajtó4</x:v>
      </x:c>
      <x:c r="D110" s="19" t="n">
        <x:v>592</x:v>
      </x:c>
      <x:c r="E110" s="19" t="n">
        <x:v>477</x:v>
      </x:c>
      <x:c r="F110" s="19" t="n">
        <x:v>19</x:v>
      </x:c>
      <x:c r="G110" s="19" t="n">
        <x:v>1</x:v>
      </x:c>
      <x:c r="H110" s="19" t="str">
        <x:v>18 mm laminált korpusz; 19 mm MDF front; 8 mm hátlap</x:v>
      </x:c>
      <x:c r="I110" s="19" t="str">
        <x:v>kréta matt</x:v>
      </x:c>
      <x:c r="J110" s="19" t="str">
        <x:v>Fogásprofil; nyomat illesztés csukott frontállapotban.</x:v>
      </x:c>
      <x:c r="K110" s="19" t="str">
        <x:v>AJÁNLATI KÉSZMÉRET; NEM CNC/GYÁRTÁSI KIADÁS</x:v>
      </x:c>
    </x:row>
    <x:row r="111" ht="76" customHeight="1">
      <x:c r="A111" s="19" t="str">
        <x:v>HB-01</x:v>
      </x:c>
      <x:c r="B111" s="19" t="str">
        <x:v>KI-046;KI-047;KI-118</x:v>
      </x:c>
      <x:c r="C111" s="19" t="str">
        <x:v>Mező 1</x:v>
      </x:c>
      <x:c r="D111" s="19" t="n">
        <x:v>1797</x:v>
      </x:c>
      <x:c r="E111" s="19" t="n">
        <x:v>1500</x:v>
      </x:c>
      <x:c r="F111" s="19" t="n">
        <x:v>18</x:v>
      </x:c>
      <x:c r="G111" s="19" t="n">
        <x:v>1</x:v>
      </x:c>
      <x:c r="H111" s="19" t="str">
        <x:v>18 mm laminált korpusz; 19 mm MDF front; 8 mm hátlap</x:v>
      </x:c>
      <x:c r="I111" s="19" t="str">
        <x:v>taupe/grafit kárpit</x:v>
      </x:c>
      <x:c r="J111" s="19" t="str">
        <x:v>Nyomat/kárpit ráhagyás külön; hordozó vastagság egyeztetendő.</x:v>
      </x:c>
      <x:c r="K111" s="19" t="str">
        <x:v>AJÁNLATI KÉSZMÉRET; NEM CNC/GYÁRTÁSI KIADÁS</x:v>
      </x:c>
    </x:row>
    <x:row r="112" ht="76" customHeight="1">
      <x:c r="A112" s="19" t="str">
        <x:v>HB-01</x:v>
      </x:c>
      <x:c r="B112" s="19" t="str">
        <x:v>KI-046;KI-047;KI-118</x:v>
      </x:c>
      <x:c r="C112" s="19" t="str">
        <x:v>Mező 2</x:v>
      </x:c>
      <x:c r="D112" s="19" t="n">
        <x:v>897</x:v>
      </x:c>
      <x:c r="E112" s="19" t="n">
        <x:v>1500</x:v>
      </x:c>
      <x:c r="F112" s="19" t="n">
        <x:v>18</x:v>
      </x:c>
      <x:c r="G112" s="19" t="n">
        <x:v>1</x:v>
      </x:c>
      <x:c r="H112" s="19" t="str">
        <x:v>18 mm laminált korpusz; 19 mm MDF front; 8 mm hátlap</x:v>
      </x:c>
      <x:c r="I112" s="19" t="str">
        <x:v>taupe/grafit kárpit</x:v>
      </x:c>
      <x:c r="J112" s="19" t="str">
        <x:v>Nyomat/kárpit ráhagyás külön; hordozó vastagság egyeztetendő.</x:v>
      </x:c>
      <x:c r="K112" s="19" t="str">
        <x:v>AJÁNLATI KÉSZMÉRET; NEM CNC/GYÁRTÁSI KIADÁS</x:v>
      </x:c>
    </x:row>
    <x:row r="113" ht="76" customHeight="1">
      <x:c r="A113" s="19" t="str">
        <x:v>NT-L</x:v>
      </x:c>
      <x:c r="B113" s="19" t="str">
        <x:v>KI-053</x:v>
      </x:c>
      <x:c r="C113" s="19" t="str">
        <x:v>Oldal</x:v>
      </x:c>
      <x:c r="D113" s="19" t="n">
        <x:v>450</x:v>
      </x:c>
      <x:c r="E113" s="19" t="n">
        <x:v>420</x:v>
      </x:c>
      <x:c r="F113" s="19" t="n">
        <x:v>18</x:v>
      </x:c>
      <x:c r="G113" s="19" t="n">
        <x:v>2</x:v>
      </x:c>
      <x:c r="H113" s="19" t="str">
        <x:v>18 mm laminált korpusz; 19 mm MDF front; 8 mm hátlap</x:v>
      </x:c>
      <x:c r="I113" s="19" t="str">
        <x:v>grafit matt</x:v>
      </x:c>
      <x:c r="J113" s="19" t="str">
        <x:v>Látható él2mmABS; készméretből élvastagság gyártó szerint levonandó.</x:v>
      </x:c>
      <x:c r="K113" s="19" t="str">
        <x:v>AJÁNLATI KÉSZMÉRET; NEM CNC/GYÁRTÁSI KIADÁS</x:v>
      </x:c>
    </x:row>
    <x:row r="114" ht="76" customHeight="1">
      <x:c r="A114" s="19" t="str">
        <x:v>NT-L</x:v>
      </x:c>
      <x:c r="B114" s="19" t="str">
        <x:v>KI-053</x:v>
      </x:c>
      <x:c r="C114" s="19" t="str">
        <x:v>Alsó/felső</x:v>
      </x:c>
      <x:c r="D114" s="19" t="n">
        <x:v>264</x:v>
      </x:c>
      <x:c r="E114" s="19" t="n">
        <x:v>401</x:v>
      </x:c>
      <x:c r="F114" s="19" t="n">
        <x:v>18</x:v>
      </x:c>
      <x:c r="G114" s="19" t="n">
        <x:v>2</x:v>
      </x:c>
      <x:c r="H114" s="19" t="str">
        <x:v>18 mm laminált korpusz; 19 mm MDF front; 8 mm hátlap</x:v>
      </x:c>
      <x:c r="I114" s="19" t="str">
        <x:v>grafit matt</x:v>
      </x:c>
      <x:c r="J114" s="19" t="str">
        <x:v>Felső lap gép/szifon körül kiváltandó a részletrajz szerint.</x:v>
      </x:c>
      <x:c r="K114" s="19" t="str">
        <x:v>AJÁNLATI KÉSZMÉRET; NEM CNC/GYÁRTÁSI KIADÁS</x:v>
      </x:c>
    </x:row>
    <x:row r="115" ht="76" customHeight="1">
      <x:c r="A115" s="19" t="str">
        <x:v>NT-L</x:v>
      </x:c>
      <x:c r="B115" s="19" t="str">
        <x:v>KI-053</x:v>
      </x:c>
      <x:c r="C115" s="19" t="str">
        <x:v>Hát</x:v>
      </x:c>
      <x:c r="D115" s="19" t="n">
        <x:v>264</x:v>
      </x:c>
      <x:c r="E115" s="19" t="n">
        <x:v>414</x:v>
      </x:c>
      <x:c r="F115" s="19" t="n">
        <x:v>8</x:v>
      </x:c>
      <x:c r="G115" s="19" t="n">
        <x:v>1</x:v>
      </x:c>
      <x:c r="H115" s="19" t="str">
        <x:v>18 mm laminált korpusz; 19 mm MDF front; 8 mm hátlap</x:v>
      </x:c>
      <x:c r="I115" s="19" t="str">
        <x:v>grafit matt</x:v>
      </x:c>
      <x:c r="J115" s="19" t="str">
        <x:v>Levehető szervizhát; géptorony szellőzőnyílások külön.</x:v>
      </x:c>
      <x:c r="K115" s="19" t="str">
        <x:v>AJÁNLATI KÉSZMÉRET; NEM CNC/GYÁRTÁSI KIADÁS</x:v>
      </x:c>
    </x:row>
    <x:row r="116" ht="76" customHeight="1">
      <x:c r="A116" s="19" t="str">
        <x:v>NT-L</x:v>
      </x:c>
      <x:c r="B116" s="19" t="str">
        <x:v>KI-053</x:v>
      </x:c>
      <x:c r="C116" s="19" t="str">
        <x:v>Belső osztó</x:v>
      </x:c>
      <x:c r="D116" s="19" t="n">
        <x:v>414</x:v>
      </x:c>
      <x:c r="E116" s="19" t="n">
        <x:v>393</x:v>
      </x:c>
      <x:c r="F116" s="19" t="n">
        <x:v>18</x:v>
      </x:c>
      <x:c r="G116" s="19" t="n">
        <x:v>0</x:v>
      </x:c>
      <x:c r="H116" s="19" t="str">
        <x:v>18 mm laminált korpusz; 19 mm MDF front; 8 mm hátlap</x:v>
      </x:c>
      <x:c r="I116" s="19" t="str">
        <x:v>grafit matt</x:v>
      </x:c>
      <x:c r="J116" s="19" t="str">
        <x:v>Nem automatikus modulonkénti duplaoldal.</x:v>
      </x:c>
      <x:c r="K116" s="19" t="str">
        <x:v>AJÁNLATI KÉSZMÉRET; NEM CNC/GYÁRTÁSI KIADÁS</x:v>
      </x:c>
    </x:row>
    <x:row r="117" ht="76" customHeight="1">
      <x:c r="A117" s="19" t="str">
        <x:v>NT-L</x:v>
      </x:c>
      <x:c r="B117" s="19" t="str">
        <x:v>KI-053</x:v>
      </x:c>
      <x:c r="C117" s="19" t="str">
        <x:v>Polc</x:v>
      </x:c>
      <x:c r="D117" s="19" t="n">
        <x:v>264</x:v>
      </x:c>
      <x:c r="E117" s="19" t="n">
        <x:v>393</x:v>
      </x:c>
      <x:c r="F117" s="19" t="n">
        <x:v>18</x:v>
      </x:c>
      <x:c r="G117" s="19" t="n">
        <x:v>0</x:v>
      </x:c>
      <x:c r="H117" s="19" t="str">
        <x:v>18 mm laminált korpusz; 19 mm MDF front; 8 mm hátlap</x:v>
      </x:c>
      <x:c r="I117" s="19" t="str">
        <x:v>grafit matt</x:v>
      </x:c>
      <x:c r="J117" s="19" t="str">
        <x:v>Osztott elemnél rekeszenként újraméretezendő.</x:v>
      </x:c>
      <x:c r="K117" s="19" t="str">
        <x:v>AJÁNLATI KÉSZMÉRET; NEM CNC/GYÁRTÁSI KIADÁS</x:v>
      </x:c>
    </x:row>
    <x:row r="118" ht="76" customHeight="1">
      <x:c r="A118" s="19" t="str">
        <x:v>NT-L</x:v>
      </x:c>
      <x:c r="B118" s="19" t="str">
        <x:v>KI-053</x:v>
      </x:c>
      <x:c r="C118" s="19" t="str">
        <x:v>Front1</x:v>
      </x:c>
      <x:c r="D118" s="19" t="n">
        <x:v>297</x:v>
      </x:c>
      <x:c r="E118" s="19" t="n">
        <x:v>222</x:v>
      </x:c>
      <x:c r="F118" s="19" t="n">
        <x:v>19</x:v>
      </x:c>
      <x:c r="G118" s="19" t="n">
        <x:v>2</x:v>
      </x:c>
      <x:c r="H118" s="19" t="str">
        <x:v>18 mm laminált korpusz; 19 mm MDF front; 8 mm hátlap</x:v>
      </x:c>
      <x:c r="I118" s="19" t="str">
        <x:v>grafit matt</x:v>
      </x:c>
      <x:c r="J118" s="19" t="str">
        <x:v>Fiókrendszer hézagai, szifon és lábazat még gyártói egyeztetés.</x:v>
      </x:c>
      <x:c r="K118" s="19" t="str">
        <x:v>AJÁNLATI KÉSZMÉRET; NEM CNC/GYÁRTÁSI KIADÁS</x:v>
      </x:c>
    </x:row>
    <x:row r="119" ht="76" customHeight="1">
      <x:c r="A119" s="19" t="str">
        <x:v>NT-R</x:v>
      </x:c>
      <x:c r="B119" s="19" t="str">
        <x:v>KI-053</x:v>
      </x:c>
      <x:c r="C119" s="19" t="str">
        <x:v>Oldal</x:v>
      </x:c>
      <x:c r="D119" s="19" t="n">
        <x:v>450</x:v>
      </x:c>
      <x:c r="E119" s="19" t="n">
        <x:v>420</x:v>
      </x:c>
      <x:c r="F119" s="19" t="n">
        <x:v>18</x:v>
      </x:c>
      <x:c r="G119" s="19" t="n">
        <x:v>2</x:v>
      </x:c>
      <x:c r="H119" s="19" t="str">
        <x:v>18 mm laminált korpusz; 19 mm MDF front; 8 mm hátlap</x:v>
      </x:c>
      <x:c r="I119" s="19" t="str">
        <x:v>grafit matt</x:v>
      </x:c>
      <x:c r="J119" s="19" t="str">
        <x:v>Látható él2mmABS; készméretből élvastagság gyártó szerint levonandó.</x:v>
      </x:c>
      <x:c r="K119" s="19" t="str">
        <x:v>AJÁNLATI KÉSZMÉRET; NEM CNC/GYÁRTÁSI KIADÁS</x:v>
      </x:c>
    </x:row>
    <x:row r="120" ht="76" customHeight="1">
      <x:c r="A120" s="19" t="str">
        <x:v>NT-R</x:v>
      </x:c>
      <x:c r="B120" s="19" t="str">
        <x:v>KI-053</x:v>
      </x:c>
      <x:c r="C120" s="19" t="str">
        <x:v>Alsó/felső</x:v>
      </x:c>
      <x:c r="D120" s="19" t="n">
        <x:v>264</x:v>
      </x:c>
      <x:c r="E120" s="19" t="n">
        <x:v>401</x:v>
      </x:c>
      <x:c r="F120" s="19" t="n">
        <x:v>18</x:v>
      </x:c>
      <x:c r="G120" s="19" t="n">
        <x:v>2</x:v>
      </x:c>
      <x:c r="H120" s="19" t="str">
        <x:v>18 mm laminált korpusz; 19 mm MDF front; 8 mm hátlap</x:v>
      </x:c>
      <x:c r="I120" s="19" t="str">
        <x:v>grafit matt</x:v>
      </x:c>
      <x:c r="J120" s="19" t="str">
        <x:v>Felső lap gép/szifon körül kiváltandó a részletrajz szerint.</x:v>
      </x:c>
      <x:c r="K120" s="19" t="str">
        <x:v>AJÁNLATI KÉSZMÉRET; NEM CNC/GYÁRTÁSI KIADÁS</x:v>
      </x:c>
    </x:row>
    <x:row r="121" ht="76" customHeight="1">
      <x:c r="A121" s="19" t="str">
        <x:v>NT-R</x:v>
      </x:c>
      <x:c r="B121" s="19" t="str">
        <x:v>KI-053</x:v>
      </x:c>
      <x:c r="C121" s="19" t="str">
        <x:v>Hát</x:v>
      </x:c>
      <x:c r="D121" s="19" t="n">
        <x:v>264</x:v>
      </x:c>
      <x:c r="E121" s="19" t="n">
        <x:v>414</x:v>
      </x:c>
      <x:c r="F121" s="19" t="n">
        <x:v>8</x:v>
      </x:c>
      <x:c r="G121" s="19" t="n">
        <x:v>1</x:v>
      </x:c>
      <x:c r="H121" s="19" t="str">
        <x:v>18 mm laminált korpusz; 19 mm MDF front; 8 mm hátlap</x:v>
      </x:c>
      <x:c r="I121" s="19" t="str">
        <x:v>grafit matt</x:v>
      </x:c>
      <x:c r="J121" s="19" t="str">
        <x:v>Levehető szervizhát; géptorony szellőzőnyílások külön.</x:v>
      </x:c>
      <x:c r="K121" s="19" t="str">
        <x:v>AJÁNLATI KÉSZMÉRET; NEM CNC/GYÁRTÁSI KIADÁS</x:v>
      </x:c>
    </x:row>
    <x:row r="122" ht="76" customHeight="1">
      <x:c r="A122" s="19" t="str">
        <x:v>NT-R</x:v>
      </x:c>
      <x:c r="B122" s="19" t="str">
        <x:v>KI-053</x:v>
      </x:c>
      <x:c r="C122" s="19" t="str">
        <x:v>Belső osztó</x:v>
      </x:c>
      <x:c r="D122" s="19" t="n">
        <x:v>414</x:v>
      </x:c>
      <x:c r="E122" s="19" t="n">
        <x:v>393</x:v>
      </x:c>
      <x:c r="F122" s="19" t="n">
        <x:v>18</x:v>
      </x:c>
      <x:c r="G122" s="19" t="n">
        <x:v>0</x:v>
      </x:c>
      <x:c r="H122" s="19" t="str">
        <x:v>18 mm laminált korpusz; 19 mm MDF front; 8 mm hátlap</x:v>
      </x:c>
      <x:c r="I122" s="19" t="str">
        <x:v>grafit matt</x:v>
      </x:c>
      <x:c r="J122" s="19" t="str">
        <x:v>Nem automatikus modulonkénti duplaoldal.</x:v>
      </x:c>
      <x:c r="K122" s="19" t="str">
        <x:v>AJÁNLATI KÉSZMÉRET; NEM CNC/GYÁRTÁSI KIADÁS</x:v>
      </x:c>
    </x:row>
    <x:row r="123" ht="76" customHeight="1">
      <x:c r="A123" s="19" t="str">
        <x:v>NT-R</x:v>
      </x:c>
      <x:c r="B123" s="19" t="str">
        <x:v>KI-053</x:v>
      </x:c>
      <x:c r="C123" s="19" t="str">
        <x:v>Polc</x:v>
      </x:c>
      <x:c r="D123" s="19" t="n">
        <x:v>264</x:v>
      </x:c>
      <x:c r="E123" s="19" t="n">
        <x:v>393</x:v>
      </x:c>
      <x:c r="F123" s="19" t="n">
        <x:v>18</x:v>
      </x:c>
      <x:c r="G123" s="19" t="n">
        <x:v>0</x:v>
      </x:c>
      <x:c r="H123" s="19" t="str">
        <x:v>18 mm laminált korpusz; 19 mm MDF front; 8 mm hátlap</x:v>
      </x:c>
      <x:c r="I123" s="19" t="str">
        <x:v>grafit matt</x:v>
      </x:c>
      <x:c r="J123" s="19" t="str">
        <x:v>Osztott elemnél rekeszenként újraméretezendő.</x:v>
      </x:c>
      <x:c r="K123" s="19" t="str">
        <x:v>AJÁNLATI KÉSZMÉRET; NEM CNC/GYÁRTÁSI KIADÁS</x:v>
      </x:c>
    </x:row>
    <x:row r="124" ht="76" customHeight="1">
      <x:c r="A124" s="19" t="str">
        <x:v>NT-R</x:v>
      </x:c>
      <x:c r="B124" s="19" t="str">
        <x:v>KI-053</x:v>
      </x:c>
      <x:c r="C124" s="19" t="str">
        <x:v>Front1</x:v>
      </x:c>
      <x:c r="D124" s="19" t="n">
        <x:v>297</x:v>
      </x:c>
      <x:c r="E124" s="19" t="n">
        <x:v>222</x:v>
      </x:c>
      <x:c r="F124" s="19" t="n">
        <x:v>19</x:v>
      </x:c>
      <x:c r="G124" s="19" t="n">
        <x:v>2</x:v>
      </x:c>
      <x:c r="H124" s="19" t="str">
        <x:v>18 mm laminált korpusz; 19 mm MDF front; 8 mm hátlap</x:v>
      </x:c>
      <x:c r="I124" s="19" t="str">
        <x:v>grafit matt</x:v>
      </x:c>
      <x:c r="J124" s="19" t="str">
        <x:v>Fiókrendszer hézagai, szifon és lábazat még gyártói egyeztetés.</x:v>
      </x:c>
      <x:c r="K124" s="19" t="str">
        <x:v>AJÁNLATI KÉSZMÉRET; NEM CNC/GYÁRTÁSI KIADÁS</x:v>
      </x:c>
    </x:row>
    <x:row r="125" ht="76" customHeight="1">
      <x:c r="A125" s="19" t="str">
        <x:v>W52-01</x:v>
      </x:c>
      <x:c r="B125" s="19" t="str">
        <x:v>KI-060;KI-061</x:v>
      </x:c>
      <x:c r="C125" s="19" t="str">
        <x:v>Oldal</x:v>
      </x:c>
      <x:c r="D125" s="19" t="n">
        <x:v>2840</x:v>
      </x:c>
      <x:c r="E125" s="19" t="n">
        <x:v>600</x:v>
      </x:c>
      <x:c r="F125" s="19" t="n">
        <x:v>18</x:v>
      </x:c>
      <x:c r="G125" s="19" t="n">
        <x:v>2</x:v>
      </x:c>
      <x:c r="H125" s="19" t="str">
        <x:v>18 mm laminált korpusz; 19 mm MDF front; 8 mm hátlap</x:v>
      </x:c>
      <x:c r="I125" s="19" t="str">
        <x:v>kréta/grafit</x:v>
      </x:c>
      <x:c r="J125" s="19" t="str">
        <x:v>Látható él2mmABS; készméretből élvastagság gyártó szerint levonandó.</x:v>
      </x:c>
      <x:c r="K125" s="19" t="str">
        <x:v>AJÁNLATI KÉSZMÉRET; NEM CNC/GYÁRTÁSI KIADÁS</x:v>
      </x:c>
    </x:row>
    <x:row r="126" ht="76" customHeight="1">
      <x:c r="A126" s="19" t="str">
        <x:v>W52-01</x:v>
      </x:c>
      <x:c r="B126" s="19" t="str">
        <x:v>KI-060;KI-061</x:v>
      </x:c>
      <x:c r="C126" s="19" t="str">
        <x:v>Alsó/felső</x:v>
      </x:c>
      <x:c r="D126" s="19" t="n">
        <x:v>2344</x:v>
      </x:c>
      <x:c r="E126" s="19" t="n">
        <x:v>581</x:v>
      </x:c>
      <x:c r="F126" s="19" t="n">
        <x:v>18</x:v>
      </x:c>
      <x:c r="G126" s="19" t="n">
        <x:v>2</x:v>
      </x:c>
      <x:c r="H126" s="19" t="str">
        <x:v>18 mm laminált korpusz; 19 mm MDF front; 8 mm hátlap</x:v>
      </x:c>
      <x:c r="I126" s="19" t="str">
        <x:v>kréta/grafit</x:v>
      </x:c>
      <x:c r="J126" s="19" t="str">
        <x:v>Felső lap gép/szifon körül kiváltandó a részletrajz szerint.</x:v>
      </x:c>
      <x:c r="K126" s="19" t="str">
        <x:v>AJÁNLATI KÉSZMÉRET; NEM CNC/GYÁRTÁSI KIADÁS</x:v>
      </x:c>
    </x:row>
    <x:row r="127" ht="76" customHeight="1">
      <x:c r="A127" s="19" t="str">
        <x:v>W52-01</x:v>
      </x:c>
      <x:c r="B127" s="19" t="str">
        <x:v>KI-060;KI-061</x:v>
      </x:c>
      <x:c r="C127" s="19" t="str">
        <x:v>Hát</x:v>
      </x:c>
      <x:c r="D127" s="19" t="n">
        <x:v>2344</x:v>
      </x:c>
      <x:c r="E127" s="19" t="n">
        <x:v>2804</x:v>
      </x:c>
      <x:c r="F127" s="19" t="n">
        <x:v>8</x:v>
      </x:c>
      <x:c r="G127" s="19" t="n">
        <x:v>1</x:v>
      </x:c>
      <x:c r="H127" s="19" t="str">
        <x:v>18 mm laminált korpusz; 19 mm MDF front; 8 mm hátlap</x:v>
      </x:c>
      <x:c r="I127" s="19" t="str">
        <x:v>kréta/grafit</x:v>
      </x:c>
      <x:c r="J127" s="19" t="str">
        <x:v>Levehető szervizhát; géptorony szellőzőnyílások külön.</x:v>
      </x:c>
      <x:c r="K127" s="19" t="str">
        <x:v>AJÁNLATI KÉSZMÉRET; NEM CNC/GYÁRTÁSI KIADÁS</x:v>
      </x:c>
    </x:row>
    <x:row r="128" ht="76" customHeight="1">
      <x:c r="A128" s="19" t="str">
        <x:v>W52-01</x:v>
      </x:c>
      <x:c r="B128" s="19" t="str">
        <x:v>KI-060;KI-061</x:v>
      </x:c>
      <x:c r="C128" s="19" t="str">
        <x:v>Belső osztó</x:v>
      </x:c>
      <x:c r="D128" s="19" t="n">
        <x:v>2804</x:v>
      </x:c>
      <x:c r="E128" s="19" t="n">
        <x:v>573</x:v>
      </x:c>
      <x:c r="F128" s="19" t="n">
        <x:v>18</x:v>
      </x:c>
      <x:c r="G128" s="19" t="n">
        <x:v>3</x:v>
      </x:c>
      <x:c r="H128" s="19" t="str">
        <x:v>18 mm laminált korpusz; 19 mm MDF front; 8 mm hátlap</x:v>
      </x:c>
      <x:c r="I128" s="19" t="str">
        <x:v>kréta/grafit</x:v>
      </x:c>
      <x:c r="J128" s="19" t="str">
        <x:v>Nem automatikus modulonkénti duplaoldal.</x:v>
      </x:c>
      <x:c r="K128" s="19" t="str">
        <x:v>AJÁNLATI KÉSZMÉRET; NEM CNC/GYÁRTÁSI KIADÁS</x:v>
      </x:c>
    </x:row>
    <x:row r="129" ht="76" customHeight="1">
      <x:c r="A129" s="19" t="str">
        <x:v>W52-01</x:v>
      </x:c>
      <x:c r="B129" s="19" t="str">
        <x:v>KI-060;KI-061</x:v>
      </x:c>
      <x:c r="C129" s="19" t="str">
        <x:v>Felső fix polc</x:v>
      </x:c>
      <x:c r="D129" s="19" t="n">
        <x:v>2344</x:v>
      </x:c>
      <x:c r="E129" s="19" t="n">
        <x:v>573</x:v>
      </x:c>
      <x:c r="F129" s="19" t="n">
        <x:v>18</x:v>
      </x:c>
      <x:c r="G129" s="19" t="n">
        <x:v>1</x:v>
      </x:c>
      <x:c r="H129" s="19" t="str">
        <x:v>18 mm laminált korpusz; 19 mm MDF front; 8 mm hátlap</x:v>
      </x:c>
      <x:c r="I129" s="19" t="str">
        <x:v>kréta/grafit</x:v>
      </x:c>
      <x:c r="J129" s="19" t="str">
        <x:v>Felső szint2360mm.</x:v>
      </x:c>
      <x:c r="K129" s="19" t="str">
        <x:v>AJÁNLATI KÉSZMÉRET; NEM CNC/GYÁRTÁSI KIADÁS</x:v>
      </x:c>
    </x:row>
    <x:row r="130" ht="76" customHeight="1">
      <x:c r="A130" s="19" t="str">
        <x:v>W52-01</x:v>
      </x:c>
      <x:c r="B130" s="19" t="str">
        <x:v>KI-060;KI-061</x:v>
      </x:c>
      <x:c r="C130" s="19" t="str">
        <x:v>Rekesz1 polc</x:v>
      </x:c>
      <x:c r="D130" s="19" t="n">
        <x:v>559</x:v>
      </x:c>
      <x:c r="E130" s="19" t="n">
        <x:v>573</x:v>
      </x:c>
      <x:c r="F130" s="19" t="n">
        <x:v>18</x:v>
      </x:c>
      <x:c r="G130" s="19" t="n">
        <x:v>1</x:v>
      </x:c>
      <x:c r="H130" s="19" t="str">
        <x:v>18 mm laminált korpusz; 19 mm MDF front; 8 mm hátlap</x:v>
      </x:c>
      <x:c r="I130" s="19" t="str">
        <x:v>kréta/grafit</x:v>
      </x:c>
      <x:c r="J130" s="19" t="str">
        <x:v>Szerelési polcrés gyártóval.</x:v>
      </x:c>
      <x:c r="K130" s="19" t="str">
        <x:v>AJÁNLATI KÉSZMÉRET; NEM CNC/GYÁRTÁSI KIADÁS</x:v>
      </x:c>
    </x:row>
    <x:row r="131" ht="76" customHeight="1">
      <x:c r="A131" s="19" t="str">
        <x:v>W52-01</x:v>
      </x:c>
      <x:c r="B131" s="19" t="str">
        <x:v>KI-060;KI-061</x:v>
      </x:c>
      <x:c r="C131" s="19" t="str">
        <x:v>Rekesz1 fiókfront</x:v>
      </x:c>
      <x:c r="D131" s="19" t="n">
        <x:v>525</x:v>
      </x:c>
      <x:c r="E131" s="19" t="n">
        <x:v>160</x:v>
      </x:c>
      <x:c r="F131" s="19" t="n">
        <x:v>16</x:v>
      </x:c>
      <x:c r="G131" s="19" t="n">
        <x:v>0</x:v>
      </x:c>
      <x:c r="H131" s="19" t="str">
        <x:v>18 mm laminált korpusz; 19 mm MDF front; 8 mm hátlap</x:v>
      </x:c>
      <x:c r="I131" s="19" t="str">
        <x:v>kréta/grafit</x:v>
      </x:c>
      <x:c r="J131" s="19" t="str">
        <x:v>Belső fióktest és sín szabása választott vasalat szerint.</x:v>
      </x:c>
      <x:c r="K131" s="19" t="str">
        <x:v>AJÁNLATI KÉSZMÉRET; NEM CNC/GYÁRTÁSI KIADÁS</x:v>
      </x:c>
    </x:row>
    <x:row r="132" ht="76" customHeight="1">
      <x:c r="A132" s="19" t="str">
        <x:v>W52-01</x:v>
      </x:c>
      <x:c r="B132" s="19" t="str">
        <x:v>KI-060;KI-061</x:v>
      </x:c>
      <x:c r="C132" s="19" t="str">
        <x:v>Rekesz2 polc</x:v>
      </x:c>
      <x:c r="D132" s="19" t="n">
        <x:v>559</x:v>
      </x:c>
      <x:c r="E132" s="19" t="n">
        <x:v>573</x:v>
      </x:c>
      <x:c r="F132" s="19" t="n">
        <x:v>18</x:v>
      </x:c>
      <x:c r="G132" s="19" t="n">
        <x:v>1</x:v>
      </x:c>
      <x:c r="H132" s="19" t="str">
        <x:v>18 mm laminált korpusz; 19 mm MDF front; 8 mm hátlap</x:v>
      </x:c>
      <x:c r="I132" s="19" t="str">
        <x:v>kréta/grafit</x:v>
      </x:c>
      <x:c r="J132" s="19" t="str">
        <x:v>Szerelési polcrés gyártóval.</x:v>
      </x:c>
      <x:c r="K132" s="19" t="str">
        <x:v>AJÁNLATI KÉSZMÉRET; NEM CNC/GYÁRTÁSI KIADÁS</x:v>
      </x:c>
    </x:row>
    <x:row r="133" ht="76" customHeight="1">
      <x:c r="A133" s="19" t="str">
        <x:v>W52-01</x:v>
      </x:c>
      <x:c r="B133" s="19" t="str">
        <x:v>KI-060;KI-061</x:v>
      </x:c>
      <x:c r="C133" s="19" t="str">
        <x:v>Rekesz2 fiókfront</x:v>
      </x:c>
      <x:c r="D133" s="19" t="n">
        <x:v>525</x:v>
      </x:c>
      <x:c r="E133" s="19" t="n">
        <x:v>160</x:v>
      </x:c>
      <x:c r="F133" s="19" t="n">
        <x:v>16</x:v>
      </x:c>
      <x:c r="G133" s="19" t="n">
        <x:v>0</x:v>
      </x:c>
      <x:c r="H133" s="19" t="str">
        <x:v>18 mm laminált korpusz; 19 mm MDF front; 8 mm hátlap</x:v>
      </x:c>
      <x:c r="I133" s="19" t="str">
        <x:v>kréta/grafit</x:v>
      </x:c>
      <x:c r="J133" s="19" t="str">
        <x:v>Belső fióktest és sín szabása választott vasalat szerint.</x:v>
      </x:c>
      <x:c r="K133" s="19" t="str">
        <x:v>AJÁNLATI KÉSZMÉRET; NEM CNC/GYÁRTÁSI KIADÁS</x:v>
      </x:c>
    </x:row>
    <x:row r="134" ht="76" customHeight="1">
      <x:c r="A134" s="19" t="str">
        <x:v>W52-01</x:v>
      </x:c>
      <x:c r="B134" s="19" t="str">
        <x:v>KI-060;KI-061</x:v>
      </x:c>
      <x:c r="C134" s="19" t="str">
        <x:v>Rekesz3 polc</x:v>
      </x:c>
      <x:c r="D134" s="19" t="n">
        <x:v>559</x:v>
      </x:c>
      <x:c r="E134" s="19" t="n">
        <x:v>573</x:v>
      </x:c>
      <x:c r="F134" s="19" t="n">
        <x:v>18</x:v>
      </x:c>
      <x:c r="G134" s="19" t="n">
        <x:v>3</x:v>
      </x:c>
      <x:c r="H134" s="19" t="str">
        <x:v>18 mm laminált korpusz; 19 mm MDF front; 8 mm hátlap</x:v>
      </x:c>
      <x:c r="I134" s="19" t="str">
        <x:v>kréta/grafit</x:v>
      </x:c>
      <x:c r="J134" s="19" t="str">
        <x:v>Szerelési polcrés gyártóval.</x:v>
      </x:c>
      <x:c r="K134" s="19" t="str">
        <x:v>AJÁNLATI KÉSZMÉRET; NEM CNC/GYÁRTÁSI KIADÁS</x:v>
      </x:c>
    </x:row>
    <x:row r="135" ht="76" customHeight="1">
      <x:c r="A135" s="19" t="str">
        <x:v>W52-01</x:v>
      </x:c>
      <x:c r="B135" s="19" t="str">
        <x:v>KI-060;KI-061</x:v>
      </x:c>
      <x:c r="C135" s="19" t="str">
        <x:v>Rekesz3 fiókfront</x:v>
      </x:c>
      <x:c r="D135" s="19" t="n">
        <x:v>525</x:v>
      </x:c>
      <x:c r="E135" s="19" t="n">
        <x:v>160</x:v>
      </x:c>
      <x:c r="F135" s="19" t="n">
        <x:v>16</x:v>
      </x:c>
      <x:c r="G135" s="19" t="n">
        <x:v>4</x:v>
      </x:c>
      <x:c r="H135" s="19" t="str">
        <x:v>18 mm laminált korpusz; 19 mm MDF front; 8 mm hátlap</x:v>
      </x:c>
      <x:c r="I135" s="19" t="str">
        <x:v>kréta/grafit</x:v>
      </x:c>
      <x:c r="J135" s="19" t="str">
        <x:v>Belső fióktest és sín szabása választott vasalat szerint.</x:v>
      </x:c>
      <x:c r="K135" s="19" t="str">
        <x:v>AJÁNLATI KÉSZMÉRET; NEM CNC/GYÁRTÁSI KIADÁS</x:v>
      </x:c>
    </x:row>
    <x:row r="136" ht="76" customHeight="1">
      <x:c r="A136" s="19" t="str">
        <x:v>W52-01</x:v>
      </x:c>
      <x:c r="B136" s="19" t="str">
        <x:v>KI-060;KI-061</x:v>
      </x:c>
      <x:c r="C136" s="19" t="str">
        <x:v>Rekesz4 polc</x:v>
      </x:c>
      <x:c r="D136" s="19" t="n">
        <x:v>559</x:v>
      </x:c>
      <x:c r="E136" s="19" t="n">
        <x:v>573</x:v>
      </x:c>
      <x:c r="F136" s="19" t="n">
        <x:v>18</x:v>
      </x:c>
      <x:c r="G136" s="19" t="n">
        <x:v>5</x:v>
      </x:c>
      <x:c r="H136" s="19" t="str">
        <x:v>18 mm laminált korpusz; 19 mm MDF front; 8 mm hátlap</x:v>
      </x:c>
      <x:c r="I136" s="19" t="str">
        <x:v>kréta/grafit</x:v>
      </x:c>
      <x:c r="J136" s="19" t="str">
        <x:v>Szerelési polcrés gyártóval.</x:v>
      </x:c>
      <x:c r="K136" s="19" t="str">
        <x:v>AJÁNLATI KÉSZMÉRET; NEM CNC/GYÁRTÁSI KIADÁS</x:v>
      </x:c>
    </x:row>
    <x:row r="137" ht="76" customHeight="1">
      <x:c r="A137" s="19" t="str">
        <x:v>W52-01</x:v>
      </x:c>
      <x:c r="B137" s="19" t="str">
        <x:v>KI-060;KI-061</x:v>
      </x:c>
      <x:c r="C137" s="19" t="str">
        <x:v>Rekesz4 fiókfront</x:v>
      </x:c>
      <x:c r="D137" s="19" t="n">
        <x:v>525</x:v>
      </x:c>
      <x:c r="E137" s="19" t="n">
        <x:v>160</x:v>
      </x:c>
      <x:c r="F137" s="19" t="n">
        <x:v>16</x:v>
      </x:c>
      <x:c r="G137" s="19" t="n">
        <x:v>0</x:v>
      </x:c>
      <x:c r="H137" s="19" t="str">
        <x:v>18 mm laminált korpusz; 19 mm MDF front; 8 mm hátlap</x:v>
      </x:c>
      <x:c r="I137" s="19" t="str">
        <x:v>kréta/grafit</x:v>
      </x:c>
      <x:c r="J137" s="19" t="str">
        <x:v>Belső fióktest és sín szabása választott vasalat szerint.</x:v>
      </x:c>
      <x:c r="K137" s="19" t="str">
        <x:v>AJÁNLATI KÉSZMÉRET; NEM CNC/GYÁRTÁSI KIADÁS</x:v>
      </x:c>
    </x:row>
    <x:row r="138" ht="76" customHeight="1">
      <x:c r="A138" s="19" t="str">
        <x:v>W52-01</x:v>
      </x:c>
      <x:c r="B138" s="19" t="str">
        <x:v>KI-060;KI-061</x:v>
      </x:c>
      <x:c r="C138" s="19" t="str">
        <x:v>Alsó ajtó1</x:v>
      </x:c>
      <x:c r="D138" s="19" t="n">
        <x:v>592</x:v>
      </x:c>
      <x:c r="E138" s="19" t="n">
        <x:v>2357</x:v>
      </x:c>
      <x:c r="F138" s="19" t="n">
        <x:v>19</x:v>
      </x:c>
      <x:c r="G138" s="19" t="n">
        <x:v>1</x:v>
      </x:c>
      <x:c r="H138" s="19" t="str">
        <x:v>18 mm laminált korpusz; 19 mm MDF front; 8 mm hátlap</x:v>
      </x:c>
      <x:c r="I138" s="19" t="str">
        <x:v>kréta/grafit</x:v>
      </x:c>
      <x:c r="J138" s="19" t="str">
        <x:v>110°csillapított; pontos pántszám gyártói tömeg alapján.</x:v>
      </x:c>
      <x:c r="K138" s="19" t="str">
        <x:v>AJÁNLATI KÉSZMÉRET; NEM CNC/GYÁRTÁSI KIADÁS</x:v>
      </x:c>
    </x:row>
    <x:row r="139" ht="76" customHeight="1">
      <x:c r="A139" s="19" t="str">
        <x:v>W52-01</x:v>
      </x:c>
      <x:c r="B139" s="19" t="str">
        <x:v>KI-060;KI-061</x:v>
      </x:c>
      <x:c r="C139" s="19" t="str">
        <x:v>Felső ajtó1</x:v>
      </x:c>
      <x:c r="D139" s="19" t="n">
        <x:v>592</x:v>
      </x:c>
      <x:c r="E139" s="19" t="n">
        <x:v>477</x:v>
      </x:c>
      <x:c r="F139" s="19" t="n">
        <x:v>19</x:v>
      </x:c>
      <x:c r="G139" s="19" t="n">
        <x:v>1</x:v>
      </x:c>
      <x:c r="H139" s="19" t="str">
        <x:v>18 mm laminált korpusz; 19 mm MDF front; 8 mm hátlap</x:v>
      </x:c>
      <x:c r="I139" s="19" t="str">
        <x:v>kréta/grafit</x:v>
      </x:c>
      <x:c r="J139" s="19" t="str">
        <x:v>Fogásprofil; nyomat illesztés csukott frontállapotban.</x:v>
      </x:c>
      <x:c r="K139" s="19" t="str">
        <x:v>AJÁNLATI KÉSZMÉRET; NEM CNC/GYÁRTÁSI KIADÁS</x:v>
      </x:c>
    </x:row>
    <x:row r="140" ht="76" customHeight="1">
      <x:c r="A140" s="19" t="str">
        <x:v>W52-01</x:v>
      </x:c>
      <x:c r="B140" s="19" t="str">
        <x:v>KI-060;KI-061</x:v>
      </x:c>
      <x:c r="C140" s="19" t="str">
        <x:v>Alsó ajtó2</x:v>
      </x:c>
      <x:c r="D140" s="19" t="n">
        <x:v>592</x:v>
      </x:c>
      <x:c r="E140" s="19" t="n">
        <x:v>2357</x:v>
      </x:c>
      <x:c r="F140" s="19" t="n">
        <x:v>19</x:v>
      </x:c>
      <x:c r="G140" s="19" t="n">
        <x:v>1</x:v>
      </x:c>
      <x:c r="H140" s="19" t="str">
        <x:v>18 mm laminált korpusz; 19 mm MDF front; 8 mm hátlap</x:v>
      </x:c>
      <x:c r="I140" s="19" t="str">
        <x:v>kréta/grafit</x:v>
      </x:c>
      <x:c r="J140" s="19" t="str">
        <x:v>110°csillapított; pontos pántszám gyártói tömeg alapján.</x:v>
      </x:c>
      <x:c r="K140" s="19" t="str">
        <x:v>AJÁNLATI KÉSZMÉRET; NEM CNC/GYÁRTÁSI KIADÁS</x:v>
      </x:c>
    </x:row>
    <x:row r="141" ht="76" customHeight="1">
      <x:c r="A141" s="19" t="str">
        <x:v>W52-01</x:v>
      </x:c>
      <x:c r="B141" s="19" t="str">
        <x:v>KI-060;KI-061</x:v>
      </x:c>
      <x:c r="C141" s="19" t="str">
        <x:v>Felső ajtó2</x:v>
      </x:c>
      <x:c r="D141" s="19" t="n">
        <x:v>592</x:v>
      </x:c>
      <x:c r="E141" s="19" t="n">
        <x:v>477</x:v>
      </x:c>
      <x:c r="F141" s="19" t="n">
        <x:v>19</x:v>
      </x:c>
      <x:c r="G141" s="19" t="n">
        <x:v>1</x:v>
      </x:c>
      <x:c r="H141" s="19" t="str">
        <x:v>18 mm laminált korpusz; 19 mm MDF front; 8 mm hátlap</x:v>
      </x:c>
      <x:c r="I141" s="19" t="str">
        <x:v>kréta/grafit</x:v>
      </x:c>
      <x:c r="J141" s="19" t="str">
        <x:v>Fogásprofil; nyomat illesztés csukott frontállapotban.</x:v>
      </x:c>
      <x:c r="K141" s="19" t="str">
        <x:v>AJÁNLATI KÉSZMÉRET; NEM CNC/GYÁRTÁSI KIADÁS</x:v>
      </x:c>
    </x:row>
    <x:row r="142" ht="76" customHeight="1">
      <x:c r="A142" s="19" t="str">
        <x:v>W52-01</x:v>
      </x:c>
      <x:c r="B142" s="19" t="str">
        <x:v>KI-060;KI-061</x:v>
      </x:c>
      <x:c r="C142" s="19" t="str">
        <x:v>Alsó ajtó3</x:v>
      </x:c>
      <x:c r="D142" s="19" t="n">
        <x:v>592</x:v>
      </x:c>
      <x:c r="E142" s="19" t="n">
        <x:v>2357</x:v>
      </x:c>
      <x:c r="F142" s="19" t="n">
        <x:v>19</x:v>
      </x:c>
      <x:c r="G142" s="19" t="n">
        <x:v>1</x:v>
      </x:c>
      <x:c r="H142" s="19" t="str">
        <x:v>18 mm laminált korpusz; 19 mm MDF front; 8 mm hátlap</x:v>
      </x:c>
      <x:c r="I142" s="19" t="str">
        <x:v>kréta/grafit</x:v>
      </x:c>
      <x:c r="J142" s="19" t="str">
        <x:v>110°csillapított; pontos pántszám gyártói tömeg alapján.</x:v>
      </x:c>
      <x:c r="K142" s="19" t="str">
        <x:v>AJÁNLATI KÉSZMÉRET; NEM CNC/GYÁRTÁSI KIADÁS</x:v>
      </x:c>
    </x:row>
    <x:row r="143" ht="76" customHeight="1">
      <x:c r="A143" s="19" t="str">
        <x:v>W52-01</x:v>
      </x:c>
      <x:c r="B143" s="19" t="str">
        <x:v>KI-060;KI-061</x:v>
      </x:c>
      <x:c r="C143" s="19" t="str">
        <x:v>Felső ajtó3</x:v>
      </x:c>
      <x:c r="D143" s="19" t="n">
        <x:v>592</x:v>
      </x:c>
      <x:c r="E143" s="19" t="n">
        <x:v>477</x:v>
      </x:c>
      <x:c r="F143" s="19" t="n">
        <x:v>19</x:v>
      </x:c>
      <x:c r="G143" s="19" t="n">
        <x:v>1</x:v>
      </x:c>
      <x:c r="H143" s="19" t="str">
        <x:v>18 mm laminált korpusz; 19 mm MDF front; 8 mm hátlap</x:v>
      </x:c>
      <x:c r="I143" s="19" t="str">
        <x:v>kréta/grafit</x:v>
      </x:c>
      <x:c r="J143" s="19" t="str">
        <x:v>Fogásprofil; nyomat illesztés csukott frontállapotban.</x:v>
      </x:c>
      <x:c r="K143" s="19" t="str">
        <x:v>AJÁNLATI KÉSZMÉRET; NEM CNC/GYÁRTÁSI KIADÁS</x:v>
      </x:c>
    </x:row>
    <x:row r="144" ht="76" customHeight="1">
      <x:c r="A144" s="19" t="str">
        <x:v>W52-01</x:v>
      </x:c>
      <x:c r="B144" s="19" t="str">
        <x:v>KI-060;KI-061</x:v>
      </x:c>
      <x:c r="C144" s="19" t="str">
        <x:v>Alsó ajtó4</x:v>
      </x:c>
      <x:c r="D144" s="19" t="n">
        <x:v>592</x:v>
      </x:c>
      <x:c r="E144" s="19" t="n">
        <x:v>2357</x:v>
      </x:c>
      <x:c r="F144" s="19" t="n">
        <x:v>19</x:v>
      </x:c>
      <x:c r="G144" s="19" t="n">
        <x:v>1</x:v>
      </x:c>
      <x:c r="H144" s="19" t="str">
        <x:v>18 mm laminált korpusz; 19 mm MDF front; 8 mm hátlap</x:v>
      </x:c>
      <x:c r="I144" s="19" t="str">
        <x:v>kréta/grafit</x:v>
      </x:c>
      <x:c r="J144" s="19" t="str">
        <x:v>110°csillapított; pontos pántszám gyártói tömeg alapján.</x:v>
      </x:c>
      <x:c r="K144" s="19" t="str">
        <x:v>AJÁNLATI KÉSZMÉRET; NEM CNC/GYÁRTÁSI KIADÁS</x:v>
      </x:c>
    </x:row>
    <x:row r="145" ht="76" customHeight="1">
      <x:c r="A145" s="19" t="str">
        <x:v>W52-01</x:v>
      </x:c>
      <x:c r="B145" s="19" t="str">
        <x:v>KI-060;KI-061</x:v>
      </x:c>
      <x:c r="C145" s="19" t="str">
        <x:v>Felső ajtó4</x:v>
      </x:c>
      <x:c r="D145" s="19" t="n">
        <x:v>592</x:v>
      </x:c>
      <x:c r="E145" s="19" t="n">
        <x:v>477</x:v>
      </x:c>
      <x:c r="F145" s="19" t="n">
        <x:v>19</x:v>
      </x:c>
      <x:c r="G145" s="19" t="n">
        <x:v>1</x:v>
      </x:c>
      <x:c r="H145" s="19" t="str">
        <x:v>18 mm laminált korpusz; 19 mm MDF front; 8 mm hátlap</x:v>
      </x:c>
      <x:c r="I145" s="19" t="str">
        <x:v>kréta/grafit</x:v>
      </x:c>
      <x:c r="J145" s="19" t="str">
        <x:v>Fogásprofil; nyomat illesztés csukott frontállapotban.</x:v>
      </x:c>
      <x:c r="K145" s="19" t="str">
        <x:v>AJÁNLATI KÉSZMÉRET; NEM CNC/GYÁRTÁSI KIADÁS</x:v>
      </x:c>
    </x:row>
    <x:row r="146" ht="76" customHeight="1">
      <x:c r="A146" s="19" t="str">
        <x:v>W53-01</x:v>
      </x:c>
      <x:c r="B146" s="19" t="str">
        <x:v>KI-072;KI-073</x:v>
      </x:c>
      <x:c r="C146" s="19" t="str">
        <x:v>Oldal</x:v>
      </x:c>
      <x:c r="D146" s="19" t="n">
        <x:v>2840</x:v>
      </x:c>
      <x:c r="E146" s="19" t="n">
        <x:v>450</x:v>
      </x:c>
      <x:c r="F146" s="19" t="n">
        <x:v>18</x:v>
      </x:c>
      <x:c r="G146" s="19" t="n">
        <x:v>2</x:v>
      </x:c>
      <x:c r="H146" s="19" t="str">
        <x:v>18 mm laminált korpusz; 19 mm MDF front; 8 mm hátlap</x:v>
      </x:c>
      <x:c r="I146" s="19" t="str">
        <x:v>kréta/grafit</x:v>
      </x:c>
      <x:c r="J146" s="19" t="str">
        <x:v>Látható él2mmABS; készméretből élvastagság gyártó szerint levonandó.</x:v>
      </x:c>
      <x:c r="K146" s="19" t="str">
        <x:v>AJÁNLATI KÉSZMÉRET; NEM CNC/GYÁRTÁSI KIADÁS</x:v>
      </x:c>
    </x:row>
    <x:row r="147" ht="76" customHeight="1">
      <x:c r="A147" s="19" t="str">
        <x:v>W53-01</x:v>
      </x:c>
      <x:c r="B147" s="19" t="str">
        <x:v>KI-072;KI-073</x:v>
      </x:c>
      <x:c r="C147" s="19" t="str">
        <x:v>Alsó/felső</x:v>
      </x:c>
      <x:c r="D147" s="19" t="n">
        <x:v>1764</x:v>
      </x:c>
      <x:c r="E147" s="19" t="n">
        <x:v>431</x:v>
      </x:c>
      <x:c r="F147" s="19" t="n">
        <x:v>18</x:v>
      </x:c>
      <x:c r="G147" s="19" t="n">
        <x:v>2</x:v>
      </x:c>
      <x:c r="H147" s="19" t="str">
        <x:v>18 mm laminált korpusz; 19 mm MDF front; 8 mm hátlap</x:v>
      </x:c>
      <x:c r="I147" s="19" t="str">
        <x:v>kréta/grafit</x:v>
      </x:c>
      <x:c r="J147" s="19" t="str">
        <x:v>Felső lap gép/szifon körül kiváltandó a részletrajz szerint.</x:v>
      </x:c>
      <x:c r="K147" s="19" t="str">
        <x:v>AJÁNLATI KÉSZMÉRET; NEM CNC/GYÁRTÁSI KIADÁS</x:v>
      </x:c>
    </x:row>
    <x:row r="148" ht="76" customHeight="1">
      <x:c r="A148" s="19" t="str">
        <x:v>W53-01</x:v>
      </x:c>
      <x:c r="B148" s="19" t="str">
        <x:v>KI-072;KI-073</x:v>
      </x:c>
      <x:c r="C148" s="19" t="str">
        <x:v>Hát</x:v>
      </x:c>
      <x:c r="D148" s="19" t="n">
        <x:v>1764</x:v>
      </x:c>
      <x:c r="E148" s="19" t="n">
        <x:v>2804</x:v>
      </x:c>
      <x:c r="F148" s="19" t="n">
        <x:v>8</x:v>
      </x:c>
      <x:c r="G148" s="19" t="n">
        <x:v>1</x:v>
      </x:c>
      <x:c r="H148" s="19" t="str">
        <x:v>18 mm laminált korpusz; 19 mm MDF front; 8 mm hátlap</x:v>
      </x:c>
      <x:c r="I148" s="19" t="str">
        <x:v>kréta/grafit</x:v>
      </x:c>
      <x:c r="J148" s="19" t="str">
        <x:v>Levehető szervizhát; géptorony szellőzőnyílások külön.</x:v>
      </x:c>
      <x:c r="K148" s="19" t="str">
        <x:v>AJÁNLATI KÉSZMÉRET; NEM CNC/GYÁRTÁSI KIADÁS</x:v>
      </x:c>
    </x:row>
    <x:row r="149" ht="76" customHeight="1">
      <x:c r="A149" s="19" t="str">
        <x:v>W53-01</x:v>
      </x:c>
      <x:c r="B149" s="19" t="str">
        <x:v>KI-072;KI-073</x:v>
      </x:c>
      <x:c r="C149" s="19" t="str">
        <x:v>Belső osztó</x:v>
      </x:c>
      <x:c r="D149" s="19" t="n">
        <x:v>2804</x:v>
      </x:c>
      <x:c r="E149" s="19" t="n">
        <x:v>423</x:v>
      </x:c>
      <x:c r="F149" s="19" t="n">
        <x:v>18</x:v>
      </x:c>
      <x:c r="G149" s="19" t="n">
        <x:v>2</x:v>
      </x:c>
      <x:c r="H149" s="19" t="str">
        <x:v>18 mm laminált korpusz; 19 mm MDF front; 8 mm hátlap</x:v>
      </x:c>
      <x:c r="I149" s="19" t="str">
        <x:v>kréta/grafit</x:v>
      </x:c>
      <x:c r="J149" s="19" t="str">
        <x:v>Nem automatikus modulonkénti duplaoldal.</x:v>
      </x:c>
      <x:c r="K149" s="19" t="str">
        <x:v>AJÁNLATI KÉSZMÉRET; NEM CNC/GYÁRTÁSI KIADÁS</x:v>
      </x:c>
    </x:row>
    <x:row r="150" ht="76" customHeight="1">
      <x:c r="A150" s="19" t="str">
        <x:v>W53-01</x:v>
      </x:c>
      <x:c r="B150" s="19" t="str">
        <x:v>KI-072;KI-073</x:v>
      </x:c>
      <x:c r="C150" s="19" t="str">
        <x:v>Felső fix polc</x:v>
      </x:c>
      <x:c r="D150" s="19" t="n">
        <x:v>1764</x:v>
      </x:c>
      <x:c r="E150" s="19" t="n">
        <x:v>423</x:v>
      </x:c>
      <x:c r="F150" s="19" t="n">
        <x:v>18</x:v>
      </x:c>
      <x:c r="G150" s="19" t="n">
        <x:v>1</x:v>
      </x:c>
      <x:c r="H150" s="19" t="str">
        <x:v>18 mm laminált korpusz; 19 mm MDF front; 8 mm hátlap</x:v>
      </x:c>
      <x:c r="I150" s="19" t="str">
        <x:v>kréta/grafit</x:v>
      </x:c>
      <x:c r="J150" s="19" t="str">
        <x:v>Felső szint2360mm.</x:v>
      </x:c>
      <x:c r="K150" s="19" t="str">
        <x:v>AJÁNLATI KÉSZMÉRET; NEM CNC/GYÁRTÁSI KIADÁS</x:v>
      </x:c>
    </x:row>
    <x:row r="151" ht="76" customHeight="1">
      <x:c r="A151" s="19" t="str">
        <x:v>W53-01</x:v>
      </x:c>
      <x:c r="B151" s="19" t="str">
        <x:v>KI-072;KI-073</x:v>
      </x:c>
      <x:c r="C151" s="19" t="str">
        <x:v>Rekesz1 polc</x:v>
      </x:c>
      <x:c r="D151" s="19" t="n">
        <x:v>564</x:v>
      </x:c>
      <x:c r="E151" s="19" t="n">
        <x:v>423</x:v>
      </x:c>
      <x:c r="F151" s="19" t="n">
        <x:v>18</x:v>
      </x:c>
      <x:c r="G151" s="19" t="n">
        <x:v>1</x:v>
      </x:c>
      <x:c r="H151" s="19" t="str">
        <x:v>18 mm laminált korpusz; 19 mm MDF front; 8 mm hátlap</x:v>
      </x:c>
      <x:c r="I151" s="19" t="str">
        <x:v>kréta/grafit</x:v>
      </x:c>
      <x:c r="J151" s="19" t="str">
        <x:v>Szerelési polcrés gyártóval.</x:v>
      </x:c>
      <x:c r="K151" s="19" t="str">
        <x:v>AJÁNLATI KÉSZMÉRET; NEM CNC/GYÁRTÁSI KIADÁS</x:v>
      </x:c>
    </x:row>
    <x:row r="152" ht="76" customHeight="1">
      <x:c r="A152" s="19" t="str">
        <x:v>W53-01</x:v>
      </x:c>
      <x:c r="B152" s="19" t="str">
        <x:v>KI-072;KI-073</x:v>
      </x:c>
      <x:c r="C152" s="19" t="str">
        <x:v>Rekesz1 fiókfront</x:v>
      </x:c>
      <x:c r="D152" s="19" t="n">
        <x:v>530</x:v>
      </x:c>
      <x:c r="E152" s="19" t="n">
        <x:v>160</x:v>
      </x:c>
      <x:c r="F152" s="19" t="n">
        <x:v>16</x:v>
      </x:c>
      <x:c r="G152" s="19" t="n">
        <x:v>0</x:v>
      </x:c>
      <x:c r="H152" s="19" t="str">
        <x:v>18 mm laminált korpusz; 19 mm MDF front; 8 mm hátlap</x:v>
      </x:c>
      <x:c r="I152" s="19" t="str">
        <x:v>kréta/grafit</x:v>
      </x:c>
      <x:c r="J152" s="19" t="str">
        <x:v>Belső fióktest és sín szabása választott vasalat szerint.</x:v>
      </x:c>
      <x:c r="K152" s="19" t="str">
        <x:v>AJÁNLATI KÉSZMÉRET; NEM CNC/GYÁRTÁSI KIADÁS</x:v>
      </x:c>
    </x:row>
    <x:row r="153" ht="76" customHeight="1">
      <x:c r="A153" s="19" t="str">
        <x:v>W53-01</x:v>
      </x:c>
      <x:c r="B153" s="19" t="str">
        <x:v>KI-072;KI-073</x:v>
      </x:c>
      <x:c r="C153" s="19" t="str">
        <x:v>Rekesz2 polc</x:v>
      </x:c>
      <x:c r="D153" s="19" t="n">
        <x:v>564</x:v>
      </x:c>
      <x:c r="E153" s="19" t="n">
        <x:v>423</x:v>
      </x:c>
      <x:c r="F153" s="19" t="n">
        <x:v>18</x:v>
      </x:c>
      <x:c r="G153" s="19" t="n">
        <x:v>1</x:v>
      </x:c>
      <x:c r="H153" s="19" t="str">
        <x:v>18 mm laminált korpusz; 19 mm MDF front; 8 mm hátlap</x:v>
      </x:c>
      <x:c r="I153" s="19" t="str">
        <x:v>kréta/grafit</x:v>
      </x:c>
      <x:c r="J153" s="19" t="str">
        <x:v>Szerelési polcrés gyártóval.</x:v>
      </x:c>
      <x:c r="K153" s="19" t="str">
        <x:v>AJÁNLATI KÉSZMÉRET; NEM CNC/GYÁRTÁSI KIADÁS</x:v>
      </x:c>
    </x:row>
    <x:row r="154" ht="76" customHeight="1">
      <x:c r="A154" s="19" t="str">
        <x:v>W53-01</x:v>
      </x:c>
      <x:c r="B154" s="19" t="str">
        <x:v>KI-072;KI-073</x:v>
      </x:c>
      <x:c r="C154" s="19" t="str">
        <x:v>Rekesz2 fiókfront</x:v>
      </x:c>
      <x:c r="D154" s="19" t="n">
        <x:v>530</x:v>
      </x:c>
      <x:c r="E154" s="19" t="n">
        <x:v>160</x:v>
      </x:c>
      <x:c r="F154" s="19" t="n">
        <x:v>16</x:v>
      </x:c>
      <x:c r="G154" s="19" t="n">
        <x:v>0</x:v>
      </x:c>
      <x:c r="H154" s="19" t="str">
        <x:v>18 mm laminált korpusz; 19 mm MDF front; 8 mm hátlap</x:v>
      </x:c>
      <x:c r="I154" s="19" t="str">
        <x:v>kréta/grafit</x:v>
      </x:c>
      <x:c r="J154" s="19" t="str">
        <x:v>Belső fióktest és sín szabása választott vasalat szerint.</x:v>
      </x:c>
      <x:c r="K154" s="19" t="str">
        <x:v>AJÁNLATI KÉSZMÉRET; NEM CNC/GYÁRTÁSI KIADÁS</x:v>
      </x:c>
    </x:row>
    <x:row r="155" ht="76" customHeight="1">
      <x:c r="A155" s="19" t="str">
        <x:v>W53-01</x:v>
      </x:c>
      <x:c r="B155" s="19" t="str">
        <x:v>KI-072;KI-073</x:v>
      </x:c>
      <x:c r="C155" s="19" t="str">
        <x:v>Rekesz3 polc</x:v>
      </x:c>
      <x:c r="D155" s="19" t="n">
        <x:v>564</x:v>
      </x:c>
      <x:c r="E155" s="19" t="n">
        <x:v>423</x:v>
      </x:c>
      <x:c r="F155" s="19" t="n">
        <x:v>18</x:v>
      </x:c>
      <x:c r="G155" s="19" t="n">
        <x:v>3</x:v>
      </x:c>
      <x:c r="H155" s="19" t="str">
        <x:v>18 mm laminált korpusz; 19 mm MDF front; 8 mm hátlap</x:v>
      </x:c>
      <x:c r="I155" s="19" t="str">
        <x:v>kréta/grafit</x:v>
      </x:c>
      <x:c r="J155" s="19" t="str">
        <x:v>Szerelési polcrés gyártóval.</x:v>
      </x:c>
      <x:c r="K155" s="19" t="str">
        <x:v>AJÁNLATI KÉSZMÉRET; NEM CNC/GYÁRTÁSI KIADÁS</x:v>
      </x:c>
    </x:row>
    <x:row r="156" ht="76" customHeight="1">
      <x:c r="A156" s="19" t="str">
        <x:v>W53-01</x:v>
      </x:c>
      <x:c r="B156" s="19" t="str">
        <x:v>KI-072;KI-073</x:v>
      </x:c>
      <x:c r="C156" s="19" t="str">
        <x:v>Rekesz3 fiókfront</x:v>
      </x:c>
      <x:c r="D156" s="19" t="n">
        <x:v>530</x:v>
      </x:c>
      <x:c r="E156" s="19" t="n">
        <x:v>160</x:v>
      </x:c>
      <x:c r="F156" s="19" t="n">
        <x:v>16</x:v>
      </x:c>
      <x:c r="G156" s="19" t="n">
        <x:v>3</x:v>
      </x:c>
      <x:c r="H156" s="19" t="str">
        <x:v>18 mm laminált korpusz; 19 mm MDF front; 8 mm hátlap</x:v>
      </x:c>
      <x:c r="I156" s="19" t="str">
        <x:v>kréta/grafit</x:v>
      </x:c>
      <x:c r="J156" s="19" t="str">
        <x:v>Belső fióktest és sín szabása választott vasalat szerint.</x:v>
      </x:c>
      <x:c r="K156" s="19" t="str">
        <x:v>AJÁNLATI KÉSZMÉRET; NEM CNC/GYÁRTÁSI KIADÁS</x:v>
      </x:c>
    </x:row>
    <x:row r="157" ht="76" customHeight="1">
      <x:c r="A157" s="19" t="str">
        <x:v>W53-01</x:v>
      </x:c>
      <x:c r="B157" s="19" t="str">
        <x:v>KI-072;KI-073</x:v>
      </x:c>
      <x:c r="C157" s="19" t="str">
        <x:v>Alsó ajtó1</x:v>
      </x:c>
      <x:c r="D157" s="19" t="n">
        <x:v>597</x:v>
      </x:c>
      <x:c r="E157" s="19" t="n">
        <x:v>2357</x:v>
      </x:c>
      <x:c r="F157" s="19" t="n">
        <x:v>19</x:v>
      </x:c>
      <x:c r="G157" s="19" t="n">
        <x:v>1</x:v>
      </x:c>
      <x:c r="H157" s="19" t="str">
        <x:v>18 mm laminált korpusz; 19 mm MDF front; 8 mm hátlap</x:v>
      </x:c>
      <x:c r="I157" s="19" t="str">
        <x:v>kréta/grafit</x:v>
      </x:c>
      <x:c r="J157" s="19" t="str">
        <x:v>110°csillapított; pontos pántszám gyártói tömeg alapján.</x:v>
      </x:c>
      <x:c r="K157" s="19" t="str">
        <x:v>AJÁNLATI KÉSZMÉRET; NEM CNC/GYÁRTÁSI KIADÁS</x:v>
      </x:c>
    </x:row>
    <x:row r="158" ht="76" customHeight="1">
      <x:c r="A158" s="19" t="str">
        <x:v>W53-01</x:v>
      </x:c>
      <x:c r="B158" s="19" t="str">
        <x:v>KI-072;KI-073</x:v>
      </x:c>
      <x:c r="C158" s="19" t="str">
        <x:v>Felső ajtó1</x:v>
      </x:c>
      <x:c r="D158" s="19" t="n">
        <x:v>597</x:v>
      </x:c>
      <x:c r="E158" s="19" t="n">
        <x:v>477</x:v>
      </x:c>
      <x:c r="F158" s="19" t="n">
        <x:v>19</x:v>
      </x:c>
      <x:c r="G158" s="19" t="n">
        <x:v>1</x:v>
      </x:c>
      <x:c r="H158" s="19" t="str">
        <x:v>18 mm laminált korpusz; 19 mm MDF front; 8 mm hátlap</x:v>
      </x:c>
      <x:c r="I158" s="19" t="str">
        <x:v>kréta/grafit</x:v>
      </x:c>
      <x:c r="J158" s="19" t="str">
        <x:v>Fogásprofil; nyomat illesztés csukott frontállapotban.</x:v>
      </x:c>
      <x:c r="K158" s="19" t="str">
        <x:v>AJÁNLATI KÉSZMÉRET; NEM CNC/GYÁRTÁSI KIADÁS</x:v>
      </x:c>
    </x:row>
    <x:row r="159" ht="76" customHeight="1">
      <x:c r="A159" s="19" t="str">
        <x:v>W53-01</x:v>
      </x:c>
      <x:c r="B159" s="19" t="str">
        <x:v>KI-072;KI-073</x:v>
      </x:c>
      <x:c r="C159" s="19" t="str">
        <x:v>Alsó ajtó2</x:v>
      </x:c>
      <x:c r="D159" s="19" t="n">
        <x:v>597</x:v>
      </x:c>
      <x:c r="E159" s="19" t="n">
        <x:v>2357</x:v>
      </x:c>
      <x:c r="F159" s="19" t="n">
        <x:v>19</x:v>
      </x:c>
      <x:c r="G159" s="19" t="n">
        <x:v>1</x:v>
      </x:c>
      <x:c r="H159" s="19" t="str">
        <x:v>18 mm laminált korpusz; 19 mm MDF front; 8 mm hátlap</x:v>
      </x:c>
      <x:c r="I159" s="19" t="str">
        <x:v>kréta/grafit</x:v>
      </x:c>
      <x:c r="J159" s="19" t="str">
        <x:v>110°csillapított; pontos pántszám gyártói tömeg alapján.</x:v>
      </x:c>
      <x:c r="K159" s="19" t="str">
        <x:v>AJÁNLATI KÉSZMÉRET; NEM CNC/GYÁRTÁSI KIADÁS</x:v>
      </x:c>
    </x:row>
    <x:row r="160" ht="76" customHeight="1">
      <x:c r="A160" s="19" t="str">
        <x:v>W53-01</x:v>
      </x:c>
      <x:c r="B160" s="19" t="str">
        <x:v>KI-072;KI-073</x:v>
      </x:c>
      <x:c r="C160" s="19" t="str">
        <x:v>Felső ajtó2</x:v>
      </x:c>
      <x:c r="D160" s="19" t="n">
        <x:v>597</x:v>
      </x:c>
      <x:c r="E160" s="19" t="n">
        <x:v>477</x:v>
      </x:c>
      <x:c r="F160" s="19" t="n">
        <x:v>19</x:v>
      </x:c>
      <x:c r="G160" s="19" t="n">
        <x:v>1</x:v>
      </x:c>
      <x:c r="H160" s="19" t="str">
        <x:v>18 mm laminált korpusz; 19 mm MDF front; 8 mm hátlap</x:v>
      </x:c>
      <x:c r="I160" s="19" t="str">
        <x:v>kréta/grafit</x:v>
      </x:c>
      <x:c r="J160" s="19" t="str">
        <x:v>Fogásprofil; nyomat illesztés csukott frontállapotban.</x:v>
      </x:c>
      <x:c r="K160" s="19" t="str">
        <x:v>AJÁNLATI KÉSZMÉRET; NEM CNC/GYÁRTÁSI KIADÁS</x:v>
      </x:c>
    </x:row>
    <x:row r="161" ht="76" customHeight="1">
      <x:c r="A161" s="19" t="str">
        <x:v>W53-01</x:v>
      </x:c>
      <x:c r="B161" s="19" t="str">
        <x:v>KI-072;KI-073</x:v>
      </x:c>
      <x:c r="C161" s="19" t="str">
        <x:v>Alsó ajtó3</x:v>
      </x:c>
      <x:c r="D161" s="19" t="n">
        <x:v>597</x:v>
      </x:c>
      <x:c r="E161" s="19" t="n">
        <x:v>2357</x:v>
      </x:c>
      <x:c r="F161" s="19" t="n">
        <x:v>19</x:v>
      </x:c>
      <x:c r="G161" s="19" t="n">
        <x:v>1</x:v>
      </x:c>
      <x:c r="H161" s="19" t="str">
        <x:v>18 mm laminált korpusz; 19 mm MDF front; 8 mm hátlap</x:v>
      </x:c>
      <x:c r="I161" s="19" t="str">
        <x:v>kréta/grafit</x:v>
      </x:c>
      <x:c r="J161" s="19" t="str">
        <x:v>110°csillapított; pontos pántszám gyártói tömeg alapján.</x:v>
      </x:c>
      <x:c r="K161" s="19" t="str">
        <x:v>AJÁNLATI KÉSZMÉRET; NEM CNC/GYÁRTÁSI KIADÁS</x:v>
      </x:c>
    </x:row>
    <x:row r="162" ht="76" customHeight="1">
      <x:c r="A162" s="19" t="str">
        <x:v>W53-01</x:v>
      </x:c>
      <x:c r="B162" s="19" t="str">
        <x:v>KI-072;KI-073</x:v>
      </x:c>
      <x:c r="C162" s="19" t="str">
        <x:v>Felső ajtó3</x:v>
      </x:c>
      <x:c r="D162" s="19" t="n">
        <x:v>597</x:v>
      </x:c>
      <x:c r="E162" s="19" t="n">
        <x:v>477</x:v>
      </x:c>
      <x:c r="F162" s="19" t="n">
        <x:v>19</x:v>
      </x:c>
      <x:c r="G162" s="19" t="n">
        <x:v>1</x:v>
      </x:c>
      <x:c r="H162" s="19" t="str">
        <x:v>18 mm laminált korpusz; 19 mm MDF front; 8 mm hátlap</x:v>
      </x:c>
      <x:c r="I162" s="19" t="str">
        <x:v>kréta/grafit</x:v>
      </x:c>
      <x:c r="J162" s="19" t="str">
        <x:v>Fogásprofil; nyomat illesztés csukott frontállapotban.</x:v>
      </x:c>
      <x:c r="K162" s="19" t="str">
        <x:v>AJÁNLATI KÉSZMÉRET; NEM CNC/GYÁRTÁSI KIADÁS</x:v>
      </x:c>
    </x:row>
    <x:row r="163" ht="76" customHeight="1">
      <x:c r="A163" s="19" t="str">
        <x:v>ENT-01</x:v>
      </x:c>
      <x:c r="B163" s="19" t="str">
        <x:v>KI-082;KI-085</x:v>
      </x:c>
      <x:c r="C163" s="19" t="str">
        <x:v>Oldal</x:v>
      </x:c>
      <x:c r="D163" s="19" t="n">
        <x:v>2840</x:v>
      </x:c>
      <x:c r="E163" s="19" t="n">
        <x:v>540</x:v>
      </x:c>
      <x:c r="F163" s="19" t="n">
        <x:v>18</x:v>
      </x:c>
      <x:c r="G163" s="19" t="n">
        <x:v>2</x:v>
      </x:c>
      <x:c r="H163" s="19" t="str">
        <x:v>18 mm laminált korpusz; 19 mm MDF front; 8 mm hátlap</x:v>
      </x:c>
      <x:c r="I163" s="19" t="str">
        <x:v>kréta matt</x:v>
      </x:c>
      <x:c r="J163" s="19" t="str">
        <x:v>Látható él2mmABS; készméretből élvastagság gyártó szerint levonandó.</x:v>
      </x:c>
      <x:c r="K163" s="19" t="str">
        <x:v>AJÁNLATI KÉSZMÉRET; NEM CNC/GYÁRTÁSI KIADÁS</x:v>
      </x:c>
    </x:row>
    <x:row r="164" ht="76" customHeight="1">
      <x:c r="A164" s="19" t="str">
        <x:v>ENT-01</x:v>
      </x:c>
      <x:c r="B164" s="19" t="str">
        <x:v>KI-082;KI-085</x:v>
      </x:c>
      <x:c r="C164" s="19" t="str">
        <x:v>Alsó/felső</x:v>
      </x:c>
      <x:c r="D164" s="19" t="n">
        <x:v>824</x:v>
      </x:c>
      <x:c r="E164" s="19" t="n">
        <x:v>521</x:v>
      </x:c>
      <x:c r="F164" s="19" t="n">
        <x:v>18</x:v>
      </x:c>
      <x:c r="G164" s="19" t="n">
        <x:v>2</x:v>
      </x:c>
      <x:c r="H164" s="19" t="str">
        <x:v>18 mm laminált korpusz; 19 mm MDF front; 8 mm hátlap</x:v>
      </x:c>
      <x:c r="I164" s="19" t="str">
        <x:v>kréta matt</x:v>
      </x:c>
      <x:c r="J164" s="19" t="str">
        <x:v>Felső lap gép/szifon körül kiváltandó a részletrajz szerint.</x:v>
      </x:c>
      <x:c r="K164" s="19" t="str">
        <x:v>AJÁNLATI KÉSZMÉRET; NEM CNC/GYÁRTÁSI KIADÁS</x:v>
      </x:c>
    </x:row>
    <x:row r="165" ht="76" customHeight="1">
      <x:c r="A165" s="19" t="str">
        <x:v>ENT-01</x:v>
      </x:c>
      <x:c r="B165" s="19" t="str">
        <x:v>KI-082;KI-085</x:v>
      </x:c>
      <x:c r="C165" s="19" t="str">
        <x:v>Hát</x:v>
      </x:c>
      <x:c r="D165" s="19" t="n">
        <x:v>824</x:v>
      </x:c>
      <x:c r="E165" s="19" t="n">
        <x:v>2804</x:v>
      </x:c>
      <x:c r="F165" s="19" t="n">
        <x:v>8</x:v>
      </x:c>
      <x:c r="G165" s="19" t="n">
        <x:v>1</x:v>
      </x:c>
      <x:c r="H165" s="19" t="str">
        <x:v>18 mm laminált korpusz; 19 mm MDF front; 8 mm hátlap</x:v>
      </x:c>
      <x:c r="I165" s="19" t="str">
        <x:v>kréta matt</x:v>
      </x:c>
      <x:c r="J165" s="19" t="str">
        <x:v>Levehető szervizhát; géptorony szellőzőnyílások külön.</x:v>
      </x:c>
      <x:c r="K165" s="19" t="str">
        <x:v>AJÁNLATI KÉSZMÉRET; NEM CNC/GYÁRTÁSI KIADÁS</x:v>
      </x:c>
    </x:row>
    <x:row r="166" ht="76" customHeight="1">
      <x:c r="A166" s="19" t="str">
        <x:v>ENT-01</x:v>
      </x:c>
      <x:c r="B166" s="19" t="str">
        <x:v>KI-082;KI-085</x:v>
      </x:c>
      <x:c r="C166" s="19" t="str">
        <x:v>Belső osztó</x:v>
      </x:c>
      <x:c r="D166" s="19" t="n">
        <x:v>2804</x:v>
      </x:c>
      <x:c r="E166" s="19" t="n">
        <x:v>513</x:v>
      </x:c>
      <x:c r="F166" s="19" t="n">
        <x:v>18</x:v>
      </x:c>
      <x:c r="G166" s="19" t="n">
        <x:v>1</x:v>
      </x:c>
      <x:c r="H166" s="19" t="str">
        <x:v>18 mm laminált korpusz; 19 mm MDF front; 8 mm hátlap</x:v>
      </x:c>
      <x:c r="I166" s="19" t="str">
        <x:v>kréta matt</x:v>
      </x:c>
      <x:c r="J166" s="19" t="str">
        <x:v>Nem automatikus modulonkénti duplaoldal.</x:v>
      </x:c>
      <x:c r="K166" s="19" t="str">
        <x:v>AJÁNLATI KÉSZMÉRET; NEM CNC/GYÁRTÁSI KIADÁS</x:v>
      </x:c>
    </x:row>
    <x:row r="167" ht="76" customHeight="1">
      <x:c r="A167" s="19" t="str">
        <x:v>ENT-01</x:v>
      </x:c>
      <x:c r="B167" s="19" t="str">
        <x:v>KI-082;KI-085</x:v>
      </x:c>
      <x:c r="C167" s="19" t="str">
        <x:v>Polc</x:v>
      </x:c>
      <x:c r="D167" s="19" t="n">
        <x:v>824</x:v>
      </x:c>
      <x:c r="E167" s="19" t="n">
        <x:v>513</x:v>
      </x:c>
      <x:c r="F167" s="19" t="n">
        <x:v>18</x:v>
      </x:c>
      <x:c r="G167" s="19" t="n">
        <x:v>4</x:v>
      </x:c>
      <x:c r="H167" s="19" t="str">
        <x:v>18 mm laminált korpusz; 19 mm MDF front; 8 mm hátlap</x:v>
      </x:c>
      <x:c r="I167" s="19" t="str">
        <x:v>kréta matt</x:v>
      </x:c>
      <x:c r="J167" s="19" t="str">
        <x:v>Osztott elemnél rekeszenként újraméretezendő.</x:v>
      </x:c>
      <x:c r="K167" s="19" t="str">
        <x:v>AJÁNLATI KÉSZMÉRET; NEM CNC/GYÁRTÁSI KIADÁS</x:v>
      </x:c>
    </x:row>
    <x:row r="168" ht="76" customHeight="1">
      <x:c r="A168" s="19" t="str">
        <x:v>ENT-01</x:v>
      </x:c>
      <x:c r="B168" s="19" t="str">
        <x:v>KI-082;KI-085</x:v>
      </x:c>
      <x:c r="C168" s="19" t="str">
        <x:v>Front1</x:v>
      </x:c>
      <x:c r="D168" s="19" t="n">
        <x:v>427</x:v>
      </x:c>
      <x:c r="E168" s="19" t="n">
        <x:v>2837</x:v>
      </x:c>
      <x:c r="F168" s="19" t="n">
        <x:v>19</x:v>
      </x:c>
      <x:c r="G168" s="19" t="n">
        <x:v>1</x:v>
      </x:c>
      <x:c r="H168" s="19" t="str">
        <x:v>18 mm laminált korpusz; 19 mm MDF front; 8 mm hátlap</x:v>
      </x:c>
      <x:c r="I168" s="19" t="str">
        <x:v>kréta matt</x:v>
      </x:c>
      <x:c r="J168" s="19" t="str">
        <x:v>Fiókrendszer hézagai, szifon és lábazat még gyártói egyeztetés.</x:v>
      </x:c>
      <x:c r="K168" s="19" t="str">
        <x:v>AJÁNLATI KÉSZMÉRET; NEM CNC/GYÁRTÁSI KIADÁS</x:v>
      </x:c>
    </x:row>
    <x:row r="169" ht="76" customHeight="1">
      <x:c r="A169" s="19" t="str">
        <x:v>ENT-01</x:v>
      </x:c>
      <x:c r="B169" s="19" t="str">
        <x:v>KI-082;KI-085</x:v>
      </x:c>
      <x:c r="C169" s="19" t="str">
        <x:v>Front2</x:v>
      </x:c>
      <x:c r="D169" s="19" t="n">
        <x:v>427</x:v>
      </x:c>
      <x:c r="E169" s="19" t="n">
        <x:v>2837</x:v>
      </x:c>
      <x:c r="F169" s="19" t="n">
        <x:v>19</x:v>
      </x:c>
      <x:c r="G169" s="19" t="n">
        <x:v>1</x:v>
      </x:c>
      <x:c r="H169" s="19" t="str">
        <x:v>18 mm laminált korpusz; 19 mm MDF front; 8 mm hátlap</x:v>
      </x:c>
      <x:c r="I169" s="19" t="str">
        <x:v>kréta matt</x:v>
      </x:c>
      <x:c r="J169" s="19" t="str">
        <x:v>Fiókrendszer hézagai, szifon és lábazat még gyártói egyeztetés.</x:v>
      </x:c>
      <x:c r="K169" s="19" t="str">
        <x:v>AJÁNLATI KÉSZMÉRET; NEM CNC/GYÁRTÁSI KIADÁS</x:v>
      </x:c>
    </x:row>
    <x:row r="170" ht="76" customHeight="1">
      <x:c r="A170" s="19" t="str">
        <x:v>ENT-02</x:v>
      </x:c>
      <x:c r="B170" s="19" t="str">
        <x:v>KI-083</x:v>
      </x:c>
      <x:c r="C170" s="19" t="str">
        <x:v>Tető / munkalap</x:v>
      </x:c>
      <x:c r="D170" s="19" t="n">
        <x:v>800</x:v>
      </x:c>
      <x:c r="E170" s="19" t="n">
        <x:v>350</x:v>
      </x:c>
      <x:c r="F170" s="19" t="n">
        <x:v>18</x:v>
      </x:c>
      <x:c r="G170" s="19" t="n">
        <x:v>1</x:v>
      </x:c>
      <x:c r="H170" s="19" t="str">
        <x:v>18 mm laminált korpusz; 19 mm MDF front; 8 mm hátlap</x:v>
      </x:c>
      <x:c r="I170" s="19" t="str">
        <x:v>grafit/taupe</x:v>
      </x:c>
      <x:c r="J170" s="19" t="str">
        <x:v>Egyedi tartóváz/láb külön gyártói méretezéssel; nem zárt szabáslista.</x:v>
      </x:c>
      <x:c r="K170" s="19" t="str">
        <x:v>AJÁNLATI KÉSZMÉRET; NEM CNC/GYÁRTÁSI KIADÁS</x:v>
      </x:c>
    </x:row>
    <x:row r="171" ht="76" customHeight="1">
      <x:c r="A171" s="19" t="str">
        <x:v>HALL-01</x:v>
      </x:c>
      <x:c r="B171" s="19" t="str">
        <x:v>KI-086</x:v>
      </x:c>
      <x:c r="C171" s="19" t="str">
        <x:v>Tető / munkalap</x:v>
      </x:c>
      <x:c r="D171" s="19" t="n">
        <x:v>600</x:v>
      </x:c>
      <x:c r="E171" s="19" t="n">
        <x:v>150</x:v>
      </x:c>
      <x:c r="F171" s="19" t="n">
        <x:v>18</x:v>
      </x:c>
      <x:c r="G171" s="19" t="n">
        <x:v>1</x:v>
      </x:c>
      <x:c r="H171" s="19" t="str">
        <x:v>18 mm laminált korpusz; 19 mm MDF front; 8 mm hátlap</x:v>
      </x:c>
      <x:c r="I171" s="19" t="str">
        <x:v>grafit matt</x:v>
      </x:c>
      <x:c r="J171" s="19" t="str">
        <x:v>Egyedi tartóváz/láb külön gyártói méretezéssel; nem zárt szabáslista.</x:v>
      </x:c>
      <x:c r="K171" s="19" t="str">
        <x:v>AJÁNLATI KÉSZMÉRET; NEM CNC/GYÁRTÁSI KIADÁS</x:v>
      </x:c>
    </x:row>
    <x:row r="172" ht="76" customHeight="1">
      <x:c r="A172" s="19" t="str">
        <x:v>B62-01</x:v>
      </x:c>
      <x:c r="B172" s="19" t="str">
        <x:v>KI-092;KI-095;KI-096</x:v>
      </x:c>
      <x:c r="C172" s="19" t="str">
        <x:v>Oldal</x:v>
      </x:c>
      <x:c r="D172" s="19" t="n">
        <x:v>350</x:v>
      </x:c>
      <x:c r="E172" s="19" t="n">
        <x:v>500</x:v>
      </x:c>
      <x:c r="F172" s="19" t="n">
        <x:v>18</x:v>
      </x:c>
      <x:c r="G172" s="19" t="n">
        <x:v>2</x:v>
      </x:c>
      <x:c r="H172" s="19" t="str">
        <x:v>18 mm laminált korpusz; 19 mm MDF front; 8 mm hátlap</x:v>
      </x:c>
      <x:c r="I172" s="19" t="str">
        <x:v>vízálló grafit</x:v>
      </x:c>
      <x:c r="J172" s="19" t="str">
        <x:v>Látható él2mmABS; készméretből élvastagság gyártó szerint levonandó.</x:v>
      </x:c>
      <x:c r="K172" s="19" t="str">
        <x:v>AJÁNLATI KÉSZMÉRET; NEM CNC/GYÁRTÁSI KIADÁS</x:v>
      </x:c>
    </x:row>
    <x:row r="173" ht="76" customHeight="1">
      <x:c r="A173" s="19" t="str">
        <x:v>B62-01</x:v>
      </x:c>
      <x:c r="B173" s="19" t="str">
        <x:v>KI-092;KI-095;KI-096</x:v>
      </x:c>
      <x:c r="C173" s="19" t="str">
        <x:v>Alsó/felső</x:v>
      </x:c>
      <x:c r="D173" s="19" t="n">
        <x:v>864</x:v>
      </x:c>
      <x:c r="E173" s="19" t="n">
        <x:v>481</x:v>
      </x:c>
      <x:c r="F173" s="19" t="n">
        <x:v>18</x:v>
      </x:c>
      <x:c r="G173" s="19" t="n">
        <x:v>2</x:v>
      </x:c>
      <x:c r="H173" s="19" t="str">
        <x:v>18 mm laminált korpusz; 19 mm MDF front; 8 mm hátlap</x:v>
      </x:c>
      <x:c r="I173" s="19" t="str">
        <x:v>vízálló grafit</x:v>
      </x:c>
      <x:c r="J173" s="19" t="str">
        <x:v>Felső lap gép/szifon körül kiváltandó a részletrajz szerint.</x:v>
      </x:c>
      <x:c r="K173" s="19" t="str">
        <x:v>AJÁNLATI KÉSZMÉRET; NEM CNC/GYÁRTÁSI KIADÁS</x:v>
      </x:c>
    </x:row>
    <x:row r="174" ht="76" customHeight="1">
      <x:c r="A174" s="19" t="str">
        <x:v>B62-01</x:v>
      </x:c>
      <x:c r="B174" s="19" t="str">
        <x:v>KI-092;KI-095;KI-096</x:v>
      </x:c>
      <x:c r="C174" s="19" t="str">
        <x:v>Hát</x:v>
      </x:c>
      <x:c r="D174" s="19" t="n">
        <x:v>864</x:v>
      </x:c>
      <x:c r="E174" s="19" t="n">
        <x:v>314</x:v>
      </x:c>
      <x:c r="F174" s="19" t="n">
        <x:v>8</x:v>
      </x:c>
      <x:c r="G174" s="19" t="n">
        <x:v>1</x:v>
      </x:c>
      <x:c r="H174" s="19" t="str">
        <x:v>18 mm laminált korpusz; 19 mm MDF front; 8 mm hátlap</x:v>
      </x:c>
      <x:c r="I174" s="19" t="str">
        <x:v>vízálló grafit</x:v>
      </x:c>
      <x:c r="J174" s="19" t="str">
        <x:v>Levehető szervizhát; géptorony szellőzőnyílások külön.</x:v>
      </x:c>
      <x:c r="K174" s="19" t="str">
        <x:v>AJÁNLATI KÉSZMÉRET; NEM CNC/GYÁRTÁSI KIADÁS</x:v>
      </x:c>
    </x:row>
    <x:row r="175" ht="76" customHeight="1">
      <x:c r="A175" s="19" t="str">
        <x:v>B62-01</x:v>
      </x:c>
      <x:c r="B175" s="19" t="str">
        <x:v>KI-092;KI-095;KI-096</x:v>
      </x:c>
      <x:c r="C175" s="19" t="str">
        <x:v>Belső osztó</x:v>
      </x:c>
      <x:c r="D175" s="19" t="n">
        <x:v>314</x:v>
      </x:c>
      <x:c r="E175" s="19" t="n">
        <x:v>473</x:v>
      </x:c>
      <x:c r="F175" s="19" t="n">
        <x:v>18</x:v>
      </x:c>
      <x:c r="G175" s="19" t="n">
        <x:v>0</x:v>
      </x:c>
      <x:c r="H175" s="19" t="str">
        <x:v>18 mm laminált korpusz; 19 mm MDF front; 8 mm hátlap</x:v>
      </x:c>
      <x:c r="I175" s="19" t="str">
        <x:v>vízálló grafit</x:v>
      </x:c>
      <x:c r="J175" s="19" t="str">
        <x:v>Nem automatikus modulonkénti duplaoldal.</x:v>
      </x:c>
      <x:c r="K175" s="19" t="str">
        <x:v>AJÁNLATI KÉSZMÉRET; NEM CNC/GYÁRTÁSI KIADÁS</x:v>
      </x:c>
    </x:row>
    <x:row r="176" ht="76" customHeight="1">
      <x:c r="A176" s="19" t="str">
        <x:v>B62-01</x:v>
      </x:c>
      <x:c r="B176" s="19" t="str">
        <x:v>KI-092;KI-095;KI-096</x:v>
      </x:c>
      <x:c r="C176" s="19" t="str">
        <x:v>Polc</x:v>
      </x:c>
      <x:c r="D176" s="19" t="n">
        <x:v>864</x:v>
      </x:c>
      <x:c r="E176" s="19" t="n">
        <x:v>473</x:v>
      </x:c>
      <x:c r="F176" s="19" t="n">
        <x:v>18</x:v>
      </x:c>
      <x:c r="G176" s="19" t="n">
        <x:v>0</x:v>
      </x:c>
      <x:c r="H176" s="19" t="str">
        <x:v>18 mm laminált korpusz; 19 mm MDF front; 8 mm hátlap</x:v>
      </x:c>
      <x:c r="I176" s="19" t="str">
        <x:v>vízálló grafit</x:v>
      </x:c>
      <x:c r="J176" s="19" t="str">
        <x:v>Osztott elemnél rekeszenként újraméretezendő.</x:v>
      </x:c>
      <x:c r="K176" s="19" t="str">
        <x:v>AJÁNLATI KÉSZMÉRET; NEM CNC/GYÁRTÁSI KIADÁS</x:v>
      </x:c>
    </x:row>
    <x:row r="177" ht="76" customHeight="1">
      <x:c r="A177" s="19" t="str">
        <x:v>B62-01</x:v>
      </x:c>
      <x:c r="B177" s="19" t="str">
        <x:v>KI-092;KI-095;KI-096</x:v>
      </x:c>
      <x:c r="C177" s="19" t="str">
        <x:v>Front1</x:v>
      </x:c>
      <x:c r="D177" s="19" t="n">
        <x:v>897</x:v>
      </x:c>
      <x:c r="E177" s="19" t="n">
        <x:v>172</x:v>
      </x:c>
      <x:c r="F177" s="19" t="n">
        <x:v>19</x:v>
      </x:c>
      <x:c r="G177" s="19" t="n">
        <x:v>2</x:v>
      </x:c>
      <x:c r="H177" s="19" t="str">
        <x:v>18 mm laminált korpusz; 19 mm MDF front; 8 mm hátlap</x:v>
      </x:c>
      <x:c r="I177" s="19" t="str">
        <x:v>vízálló grafit</x:v>
      </x:c>
      <x:c r="J177" s="19" t="str">
        <x:v>Fiókrendszer hézagai, szifon és lábazat még gyártói egyeztetés.</x:v>
      </x:c>
      <x:c r="K177" s="19" t="str">
        <x:v>AJÁNLATI KÉSZMÉRET; NEM CNC/GYÁRTÁSI KIADÁS</x:v>
      </x:c>
    </x:row>
    <x:row r="178" ht="76" customHeight="1">
      <x:c r="A178" s="19" t="str">
        <x:v>B62-02</x:v>
      </x:c>
      <x:c r="B178" s="19" t="str">
        <x:v>KI-094</x:v>
      </x:c>
      <x:c r="C178" s="19" t="str">
        <x:v>Oldal</x:v>
      </x:c>
      <x:c r="D178" s="19" t="n">
        <x:v>800</x:v>
      </x:c>
      <x:c r="E178" s="19" t="n">
        <x:v>200</x:v>
      </x:c>
      <x:c r="F178" s="19" t="n">
        <x:v>18</x:v>
      </x:c>
      <x:c r="G178" s="19" t="n">
        <x:v>2</x:v>
      </x:c>
      <x:c r="H178" s="19" t="str">
        <x:v>18 mm laminált korpusz; 19 mm MDF front; 8 mm hátlap</x:v>
      </x:c>
      <x:c r="I178" s="19" t="str">
        <x:v>vízálló grafit</x:v>
      </x:c>
      <x:c r="J178" s="19" t="str">
        <x:v>Látható él2mmABS; készméretből élvastagság gyártó szerint levonandó.</x:v>
      </x:c>
      <x:c r="K178" s="19" t="str">
        <x:v>AJÁNLATI KÉSZMÉRET; NEM CNC/GYÁRTÁSI KIADÁS</x:v>
      </x:c>
    </x:row>
    <x:row r="179" ht="76" customHeight="1">
      <x:c r="A179" s="19" t="str">
        <x:v>B62-02</x:v>
      </x:c>
      <x:c r="B179" s="19" t="str">
        <x:v>KI-094</x:v>
      </x:c>
      <x:c r="C179" s="19" t="str">
        <x:v>Alsó/felső</x:v>
      </x:c>
      <x:c r="D179" s="19" t="n">
        <x:v>264</x:v>
      </x:c>
      <x:c r="E179" s="19" t="n">
        <x:v>181</x:v>
      </x:c>
      <x:c r="F179" s="19" t="n">
        <x:v>18</x:v>
      </x:c>
      <x:c r="G179" s="19" t="n">
        <x:v>2</x:v>
      </x:c>
      <x:c r="H179" s="19" t="str">
        <x:v>18 mm laminált korpusz; 19 mm MDF front; 8 mm hátlap</x:v>
      </x:c>
      <x:c r="I179" s="19" t="str">
        <x:v>vízálló grafit</x:v>
      </x:c>
      <x:c r="J179" s="19" t="str">
        <x:v>Felső lap gép/szifon körül kiváltandó a részletrajz szerint.</x:v>
      </x:c>
      <x:c r="K179" s="19" t="str">
        <x:v>AJÁNLATI KÉSZMÉRET; NEM CNC/GYÁRTÁSI KIADÁS</x:v>
      </x:c>
    </x:row>
    <x:row r="180" ht="76" customHeight="1">
      <x:c r="A180" s="19" t="str">
        <x:v>B62-02</x:v>
      </x:c>
      <x:c r="B180" s="19" t="str">
        <x:v>KI-094</x:v>
      </x:c>
      <x:c r="C180" s="19" t="str">
        <x:v>Hát</x:v>
      </x:c>
      <x:c r="D180" s="19" t="n">
        <x:v>264</x:v>
      </x:c>
      <x:c r="E180" s="19" t="n">
        <x:v>764</x:v>
      </x:c>
      <x:c r="F180" s="19" t="n">
        <x:v>8</x:v>
      </x:c>
      <x:c r="G180" s="19" t="n">
        <x:v>1</x:v>
      </x:c>
      <x:c r="H180" s="19" t="str">
        <x:v>18 mm laminált korpusz; 19 mm MDF front; 8 mm hátlap</x:v>
      </x:c>
      <x:c r="I180" s="19" t="str">
        <x:v>vízálló grafit</x:v>
      </x:c>
      <x:c r="J180" s="19" t="str">
        <x:v>Levehető szervizhát; géptorony szellőzőnyílások külön.</x:v>
      </x:c>
      <x:c r="K180" s="19" t="str">
        <x:v>AJÁNLATI KÉSZMÉRET; NEM CNC/GYÁRTÁSI KIADÁS</x:v>
      </x:c>
    </x:row>
    <x:row r="181" ht="76" customHeight="1">
      <x:c r="A181" s="19" t="str">
        <x:v>B62-02</x:v>
      </x:c>
      <x:c r="B181" s="19" t="str">
        <x:v>KI-094</x:v>
      </x:c>
      <x:c r="C181" s="19" t="str">
        <x:v>Belső osztó</x:v>
      </x:c>
      <x:c r="D181" s="19" t="n">
        <x:v>764</x:v>
      </x:c>
      <x:c r="E181" s="19" t="n">
        <x:v>173</x:v>
      </x:c>
      <x:c r="F181" s="19" t="n">
        <x:v>18</x:v>
      </x:c>
      <x:c r="G181" s="19" t="n">
        <x:v>0</x:v>
      </x:c>
      <x:c r="H181" s="19" t="str">
        <x:v>18 mm laminált korpusz; 19 mm MDF front; 8 mm hátlap</x:v>
      </x:c>
      <x:c r="I181" s="19" t="str">
        <x:v>vízálló grafit</x:v>
      </x:c>
      <x:c r="J181" s="19" t="str">
        <x:v>Nem automatikus modulonkénti duplaoldal.</x:v>
      </x:c>
      <x:c r="K181" s="19" t="str">
        <x:v>AJÁNLATI KÉSZMÉRET; NEM CNC/GYÁRTÁSI KIADÁS</x:v>
      </x:c>
    </x:row>
    <x:row r="182" ht="76" customHeight="1">
      <x:c r="A182" s="19" t="str">
        <x:v>B62-02</x:v>
      </x:c>
      <x:c r="B182" s="19" t="str">
        <x:v>KI-094</x:v>
      </x:c>
      <x:c r="C182" s="19" t="str">
        <x:v>Polc</x:v>
      </x:c>
      <x:c r="D182" s="19" t="n">
        <x:v>264</x:v>
      </x:c>
      <x:c r="E182" s="19" t="n">
        <x:v>173</x:v>
      </x:c>
      <x:c r="F182" s="19" t="n">
        <x:v>18</x:v>
      </x:c>
      <x:c r="G182" s="19" t="n">
        <x:v>3</x:v>
      </x:c>
      <x:c r="H182" s="19" t="str">
        <x:v>18 mm laminált korpusz; 19 mm MDF front; 8 mm hátlap</x:v>
      </x:c>
      <x:c r="I182" s="19" t="str">
        <x:v>vízálló grafit</x:v>
      </x:c>
      <x:c r="J182" s="19" t="str">
        <x:v>Osztott elemnél rekeszenként újraméretezendő.</x:v>
      </x:c>
      <x:c r="K182" s="19" t="str">
        <x:v>AJÁNLATI KÉSZMÉRET; NEM CNC/GYÁRTÁSI KIADÁS</x:v>
      </x:c>
    </x:row>
    <x:row r="183" ht="76" customHeight="1">
      <x:c r="A183" s="19" t="str">
        <x:v>B62-02</x:v>
      </x:c>
      <x:c r="B183" s="19" t="str">
        <x:v>KI-094</x:v>
      </x:c>
      <x:c r="C183" s="19" t="str">
        <x:v>Front1</x:v>
      </x:c>
      <x:c r="D183" s="19" t="n">
        <x:v>297</x:v>
      </x:c>
      <x:c r="E183" s="19" t="n">
        <x:v>797</x:v>
      </x:c>
      <x:c r="F183" s="19" t="n">
        <x:v>19</x:v>
      </x:c>
      <x:c r="G183" s="19" t="n">
        <x:v>1</x:v>
      </x:c>
      <x:c r="H183" s="19" t="str">
        <x:v>18 mm laminált korpusz; 19 mm MDF front; 8 mm hátlap</x:v>
      </x:c>
      <x:c r="I183" s="19" t="str">
        <x:v>vízálló grafit</x:v>
      </x:c>
      <x:c r="J183" s="19" t="str">
        <x:v>Fiókrendszer hézagai, szifon és lábazat még gyártói egyeztetés.</x:v>
      </x:c>
      <x:c r="K183" s="19" t="str">
        <x:v>AJÁNLATI KÉSZMÉRET; NEM CNC/GYÁRTÁSI KIADÁS</x:v>
      </x:c>
    </x:row>
    <x:row r="184" ht="76" customHeight="1">
      <x:c r="A184" s="19" t="str">
        <x:v>B61-01</x:v>
      </x:c>
      <x:c r="B184" s="19" t="str">
        <x:v>KI-098</x:v>
      </x:c>
      <x:c r="C184" s="19" t="str">
        <x:v>Oldal</x:v>
      </x:c>
      <x:c r="D184" s="19" t="n">
        <x:v>350</x:v>
      </x:c>
      <x:c r="E184" s="19" t="n">
        <x:v>450</x:v>
      </x:c>
      <x:c r="F184" s="19" t="n">
        <x:v>18</x:v>
      </x:c>
      <x:c r="G184" s="19" t="n">
        <x:v>2</x:v>
      </x:c>
      <x:c r="H184" s="19" t="str">
        <x:v>18 mm laminált korpusz; 19 mm MDF front; 8 mm hátlap</x:v>
      </x:c>
      <x:c r="I184" s="19" t="str">
        <x:v>vízálló grafit</x:v>
      </x:c>
      <x:c r="J184" s="19" t="str">
        <x:v>Látható él2mmABS; készméretből élvastagság gyártó szerint levonandó.</x:v>
      </x:c>
      <x:c r="K184" s="19" t="str">
        <x:v>AJÁNLATI KÉSZMÉRET; NEM CNC/GYÁRTÁSI KIADÁS</x:v>
      </x:c>
    </x:row>
    <x:row r="185" ht="76" customHeight="1">
      <x:c r="A185" s="19" t="str">
        <x:v>B61-01</x:v>
      </x:c>
      <x:c r="B185" s="19" t="str">
        <x:v>KI-098</x:v>
      </x:c>
      <x:c r="C185" s="19" t="str">
        <x:v>Alsó/felső</x:v>
      </x:c>
      <x:c r="D185" s="19" t="n">
        <x:v>564</x:v>
      </x:c>
      <x:c r="E185" s="19" t="n">
        <x:v>431</x:v>
      </x:c>
      <x:c r="F185" s="19" t="n">
        <x:v>18</x:v>
      </x:c>
      <x:c r="G185" s="19" t="n">
        <x:v>2</x:v>
      </x:c>
      <x:c r="H185" s="19" t="str">
        <x:v>18 mm laminált korpusz; 19 mm MDF front; 8 mm hátlap</x:v>
      </x:c>
      <x:c r="I185" s="19" t="str">
        <x:v>vízálló grafit</x:v>
      </x:c>
      <x:c r="J185" s="19" t="str">
        <x:v>Felső lap gép/szifon körül kiváltandó a részletrajz szerint.</x:v>
      </x:c>
      <x:c r="K185" s="19" t="str">
        <x:v>AJÁNLATI KÉSZMÉRET; NEM CNC/GYÁRTÁSI KIADÁS</x:v>
      </x:c>
    </x:row>
    <x:row r="186" ht="76" customHeight="1">
      <x:c r="A186" s="19" t="str">
        <x:v>B61-01</x:v>
      </x:c>
      <x:c r="B186" s="19" t="str">
        <x:v>KI-098</x:v>
      </x:c>
      <x:c r="C186" s="19" t="str">
        <x:v>Hát</x:v>
      </x:c>
      <x:c r="D186" s="19" t="n">
        <x:v>564</x:v>
      </x:c>
      <x:c r="E186" s="19" t="n">
        <x:v>314</x:v>
      </x:c>
      <x:c r="F186" s="19" t="n">
        <x:v>8</x:v>
      </x:c>
      <x:c r="G186" s="19" t="n">
        <x:v>1</x:v>
      </x:c>
      <x:c r="H186" s="19" t="str">
        <x:v>18 mm laminált korpusz; 19 mm MDF front; 8 mm hátlap</x:v>
      </x:c>
      <x:c r="I186" s="19" t="str">
        <x:v>vízálló grafit</x:v>
      </x:c>
      <x:c r="J186" s="19" t="str">
        <x:v>Levehető szervizhát; géptorony szellőzőnyílások külön.</x:v>
      </x:c>
      <x:c r="K186" s="19" t="str">
        <x:v>AJÁNLATI KÉSZMÉRET; NEM CNC/GYÁRTÁSI KIADÁS</x:v>
      </x:c>
    </x:row>
    <x:row r="187" ht="76" customHeight="1">
      <x:c r="A187" s="19" t="str">
        <x:v>B61-01</x:v>
      </x:c>
      <x:c r="B187" s="19" t="str">
        <x:v>KI-098</x:v>
      </x:c>
      <x:c r="C187" s="19" t="str">
        <x:v>Belső osztó</x:v>
      </x:c>
      <x:c r="D187" s="19" t="n">
        <x:v>314</x:v>
      </x:c>
      <x:c r="E187" s="19" t="n">
        <x:v>423</x:v>
      </x:c>
      <x:c r="F187" s="19" t="n">
        <x:v>18</x:v>
      </x:c>
      <x:c r="G187" s="19" t="n">
        <x:v>0</x:v>
      </x:c>
      <x:c r="H187" s="19" t="str">
        <x:v>18 mm laminált korpusz; 19 mm MDF front; 8 mm hátlap</x:v>
      </x:c>
      <x:c r="I187" s="19" t="str">
        <x:v>vízálló grafit</x:v>
      </x:c>
      <x:c r="J187" s="19" t="str">
        <x:v>Nem automatikus modulonkénti duplaoldal.</x:v>
      </x:c>
      <x:c r="K187" s="19" t="str">
        <x:v>AJÁNLATI KÉSZMÉRET; NEM CNC/GYÁRTÁSI KIADÁS</x:v>
      </x:c>
    </x:row>
    <x:row r="188" ht="76" customHeight="1">
      <x:c r="A188" s="19" t="str">
        <x:v>B61-01</x:v>
      </x:c>
      <x:c r="B188" s="19" t="str">
        <x:v>KI-098</x:v>
      </x:c>
      <x:c r="C188" s="19" t="str">
        <x:v>Polc</x:v>
      </x:c>
      <x:c r="D188" s="19" t="n">
        <x:v>564</x:v>
      </x:c>
      <x:c r="E188" s="19" t="n">
        <x:v>423</x:v>
      </x:c>
      <x:c r="F188" s="19" t="n">
        <x:v>18</x:v>
      </x:c>
      <x:c r="G188" s="19" t="n">
        <x:v>0</x:v>
      </x:c>
      <x:c r="H188" s="19" t="str">
        <x:v>18 mm laminált korpusz; 19 mm MDF front; 8 mm hátlap</x:v>
      </x:c>
      <x:c r="I188" s="19" t="str">
        <x:v>vízálló grafit</x:v>
      </x:c>
      <x:c r="J188" s="19" t="str">
        <x:v>Osztott elemnél rekeszenként újraméretezendő.</x:v>
      </x:c>
      <x:c r="K188" s="19" t="str">
        <x:v>AJÁNLATI KÉSZMÉRET; NEM CNC/GYÁRTÁSI KIADÁS</x:v>
      </x:c>
    </x:row>
    <x:row r="189" ht="76" customHeight="1">
      <x:c r="A189" s="19" t="str">
        <x:v>B61-01</x:v>
      </x:c>
      <x:c r="B189" s="19" t="str">
        <x:v>KI-098</x:v>
      </x:c>
      <x:c r="C189" s="19" t="str">
        <x:v>Front1</x:v>
      </x:c>
      <x:c r="D189" s="19" t="n">
        <x:v>597</x:v>
      </x:c>
      <x:c r="E189" s="19" t="n">
        <x:v>172</x:v>
      </x:c>
      <x:c r="F189" s="19" t="n">
        <x:v>19</x:v>
      </x:c>
      <x:c r="G189" s="19" t="n">
        <x:v>2</x:v>
      </x:c>
      <x:c r="H189" s="19" t="str">
        <x:v>18 mm laminált korpusz; 19 mm MDF front; 8 mm hátlap</x:v>
      </x:c>
      <x:c r="I189" s="19" t="str">
        <x:v>vízálló grafit</x:v>
      </x:c>
      <x:c r="J189" s="19" t="str">
        <x:v>Fiókrendszer hézagai, szifon és lábazat még gyártói egyeztetés.</x:v>
      </x:c>
      <x:c r="K189" s="19" t="str">
        <x:v>AJÁNLATI KÉSZMÉRET; NEM CNC/GYÁRTÁSI KIADÁS</x:v>
      </x:c>
    </x:row>
    <x:row r="190" ht="76" customHeight="1">
      <x:c r="A190" s="19" t="str">
        <x:v>WC-01</x:v>
      </x:c>
      <x:c r="B190" s="19" t="str">
        <x:v>KI-101</x:v>
      </x:c>
      <x:c r="C190" s="19" t="str">
        <x:v>Oldal</x:v>
      </x:c>
      <x:c r="D190" s="19" t="n">
        <x:v>700</x:v>
      </x:c>
      <x:c r="E190" s="19" t="n">
        <x:v>180</x:v>
      </x:c>
      <x:c r="F190" s="19" t="n">
        <x:v>18</x:v>
      </x:c>
      <x:c r="G190" s="19" t="n">
        <x:v>2</x:v>
      </x:c>
      <x:c r="H190" s="19" t="str">
        <x:v>18 mm laminált korpusz; 19 mm MDF front; 8 mm hátlap</x:v>
      </x:c>
      <x:c r="I190" s="19" t="str">
        <x:v>kréta matt</x:v>
      </x:c>
      <x:c r="J190" s="19" t="str">
        <x:v>Látható él2mmABS; készméretből élvastagság gyártó szerint levonandó.</x:v>
      </x:c>
      <x:c r="K190" s="19" t="str">
        <x:v>AJÁNLATI KÉSZMÉRET; NEM CNC/GYÁRTÁSI KIADÁS</x:v>
      </x:c>
    </x:row>
    <x:row r="191" ht="76" customHeight="1">
      <x:c r="A191" s="19" t="str">
        <x:v>WC-01</x:v>
      </x:c>
      <x:c r="B191" s="19" t="str">
        <x:v>KI-101</x:v>
      </x:c>
      <x:c r="C191" s="19" t="str">
        <x:v>Alsó/felső</x:v>
      </x:c>
      <x:c r="D191" s="19" t="n">
        <x:v>414</x:v>
      </x:c>
      <x:c r="E191" s="19" t="n">
        <x:v>161</x:v>
      </x:c>
      <x:c r="F191" s="19" t="n">
        <x:v>18</x:v>
      </x:c>
      <x:c r="G191" s="19" t="n">
        <x:v>2</x:v>
      </x:c>
      <x:c r="H191" s="19" t="str">
        <x:v>18 mm laminált korpusz; 19 mm MDF front; 8 mm hátlap</x:v>
      </x:c>
      <x:c r="I191" s="19" t="str">
        <x:v>kréta matt</x:v>
      </x:c>
      <x:c r="J191" s="19" t="str">
        <x:v>Felső lap gép/szifon körül kiváltandó a részletrajz szerint.</x:v>
      </x:c>
      <x:c r="K191" s="19" t="str">
        <x:v>AJÁNLATI KÉSZMÉRET; NEM CNC/GYÁRTÁSI KIADÁS</x:v>
      </x:c>
    </x:row>
    <x:row r="192" ht="76" customHeight="1">
      <x:c r="A192" s="19" t="str">
        <x:v>WC-01</x:v>
      </x:c>
      <x:c r="B192" s="19" t="str">
        <x:v>KI-101</x:v>
      </x:c>
      <x:c r="C192" s="19" t="str">
        <x:v>Hát</x:v>
      </x:c>
      <x:c r="D192" s="19" t="n">
        <x:v>414</x:v>
      </x:c>
      <x:c r="E192" s="19" t="n">
        <x:v>664</x:v>
      </x:c>
      <x:c r="F192" s="19" t="n">
        <x:v>8</x:v>
      </x:c>
      <x:c r="G192" s="19" t="n">
        <x:v>1</x:v>
      </x:c>
      <x:c r="H192" s="19" t="str">
        <x:v>18 mm laminált korpusz; 19 mm MDF front; 8 mm hátlap</x:v>
      </x:c>
      <x:c r="I192" s="19" t="str">
        <x:v>kréta matt</x:v>
      </x:c>
      <x:c r="J192" s="19" t="str">
        <x:v>Levehető szervizhát; géptorony szellőzőnyílások külön.</x:v>
      </x:c>
      <x:c r="K192" s="19" t="str">
        <x:v>AJÁNLATI KÉSZMÉRET; NEM CNC/GYÁRTÁSI KIADÁS</x:v>
      </x:c>
    </x:row>
    <x:row r="193" ht="76" customHeight="1">
      <x:c r="A193" s="19" t="str">
        <x:v>WC-01</x:v>
      </x:c>
      <x:c r="B193" s="19" t="str">
        <x:v>KI-101</x:v>
      </x:c>
      <x:c r="C193" s="19" t="str">
        <x:v>Belső osztó</x:v>
      </x:c>
      <x:c r="D193" s="19" t="n">
        <x:v>664</x:v>
      </x:c>
      <x:c r="E193" s="19" t="n">
        <x:v>153</x:v>
      </x:c>
      <x:c r="F193" s="19" t="n">
        <x:v>18</x:v>
      </x:c>
      <x:c r="G193" s="19" t="n">
        <x:v>0</x:v>
      </x:c>
      <x:c r="H193" s="19" t="str">
        <x:v>18 mm laminált korpusz; 19 mm MDF front; 8 mm hátlap</x:v>
      </x:c>
      <x:c r="I193" s="19" t="str">
        <x:v>kréta matt</x:v>
      </x:c>
      <x:c r="J193" s="19" t="str">
        <x:v>Nem automatikus modulonkénti duplaoldal.</x:v>
      </x:c>
      <x:c r="K193" s="19" t="str">
        <x:v>AJÁNLATI KÉSZMÉRET; NEM CNC/GYÁRTÁSI KIADÁS</x:v>
      </x:c>
    </x:row>
    <x:row r="194" ht="76" customHeight="1">
      <x:c r="A194" s="19" t="str">
        <x:v>WC-01</x:v>
      </x:c>
      <x:c r="B194" s="19" t="str">
        <x:v>KI-101</x:v>
      </x:c>
      <x:c r="C194" s="19" t="str">
        <x:v>Polc</x:v>
      </x:c>
      <x:c r="D194" s="19" t="n">
        <x:v>414</x:v>
      </x:c>
      <x:c r="E194" s="19" t="n">
        <x:v>153</x:v>
      </x:c>
      <x:c r="F194" s="19" t="n">
        <x:v>18</x:v>
      </x:c>
      <x:c r="G194" s="19" t="n">
        <x:v>2</x:v>
      </x:c>
      <x:c r="H194" s="19" t="str">
        <x:v>18 mm laminált korpusz; 19 mm MDF front; 8 mm hátlap</x:v>
      </x:c>
      <x:c r="I194" s="19" t="str">
        <x:v>kréta matt</x:v>
      </x:c>
      <x:c r="J194" s="19" t="str">
        <x:v>Osztott elemnél rekeszenként újraméretezendő.</x:v>
      </x:c>
      <x:c r="K194" s="19" t="str">
        <x:v>AJÁNLATI KÉSZMÉRET; NEM CNC/GYÁRTÁSI KIADÁS</x:v>
      </x:c>
    </x:row>
    <x:row r="195" ht="76" customHeight="1">
      <x:c r="A195" s="19" t="str">
        <x:v>WC-01</x:v>
      </x:c>
      <x:c r="B195" s="19" t="str">
        <x:v>KI-101</x:v>
      </x:c>
      <x:c r="C195" s="19" t="str">
        <x:v>Front1</x:v>
      </x:c>
      <x:c r="D195" s="19" t="n">
        <x:v>447</x:v>
      </x:c>
      <x:c r="E195" s="19" t="n">
        <x:v>697</x:v>
      </x:c>
      <x:c r="F195" s="19" t="n">
        <x:v>19</x:v>
      </x:c>
      <x:c r="G195" s="19" t="n">
        <x:v>1</x:v>
      </x:c>
      <x:c r="H195" s="19" t="str">
        <x:v>18 mm laminált korpusz; 19 mm MDF front; 8 mm hátlap</x:v>
      </x:c>
      <x:c r="I195" s="19" t="str">
        <x:v>kréta matt</x:v>
      </x:c>
      <x:c r="J195" s="19" t="str">
        <x:v>Fiókrendszer hézagai, szifon és lábazat még gyártói egyeztetés.</x:v>
      </x:c>
      <x:c r="K195" s="19" t="str">
        <x:v>AJÁNLATI KÉSZMÉRET; NEM CNC/GYÁRTÁSI KIADÁS</x:v>
      </x:c>
    </x:row>
    <x:row r="196" ht="76" customHeight="1">
      <x:c r="A196" s="19" t="str">
        <x:v>DS52</x:v>
      </x:c>
      <x:c r="B196" s="19" t="str">
        <x:v>KI-062</x:v>
      </x:c>
      <x:c r="C196" s="19" t="str">
        <x:v>Tető / munkalap</x:v>
      </x:c>
      <x:c r="D196" s="19" t="n">
        <x:v>1000</x:v>
      </x:c>
      <x:c r="E196" s="19" t="n">
        <x:v>450</x:v>
      </x:c>
      <x:c r="F196" s="19" t="n">
        <x:v>38</x:v>
      </x:c>
      <x:c r="G196" s="19" t="n">
        <x:v>1</x:v>
      </x:c>
      <x:c r="H196" s="19" t="str">
        <x:v>18 mm laminált korpusz; 19 mm MDF front; 8 mm hátlap</x:v>
      </x:c>
      <x:c r="I196" s="19" t="str">
        <x:v>grafit matt</x:v>
      </x:c>
      <x:c r="J196" s="19" t="str">
        <x:v>Egyedi tartóváz/láb külön gyártói méretezéssel; nem zárt szabáslista.</x:v>
      </x:c>
      <x:c r="K196" s="19" t="str">
        <x:v>AJÁNLATI KÉSZMÉRET; NEM CNC/GYÁRTÁSI KIADÁS</x:v>
      </x:c>
    </x:row>
    <x:row r="197" ht="76" customHeight="1">
      <x:c r="A197" s="19" t="str">
        <x:v>NT-64</x:v>
      </x:c>
      <x:c r="B197" s="19" t="str">
        <x:v>KI-064</x:v>
      </x:c>
      <x:c r="C197" s="19" t="str">
        <x:v>Oldal</x:v>
      </x:c>
      <x:c r="D197" s="19" t="n">
        <x:v>450</x:v>
      </x:c>
      <x:c r="E197" s="19" t="n">
        <x:v>350</x:v>
      </x:c>
      <x:c r="F197" s="19" t="n">
        <x:v>18</x:v>
      </x:c>
      <x:c r="G197" s="19" t="n">
        <x:v>2</x:v>
      </x:c>
      <x:c r="H197" s="19" t="str">
        <x:v>18 mm laminált korpusz; 19 mm MDF front; 8 mm hátlap</x:v>
      </x:c>
      <x:c r="I197" s="19" t="str">
        <x:v>grafit matt</x:v>
      </x:c>
      <x:c r="J197" s="19" t="str">
        <x:v>Látható él2mmABS; készméretből élvastagság gyártó szerint levonandó.</x:v>
      </x:c>
      <x:c r="K197" s="19" t="str">
        <x:v>AJÁNLATI KÉSZMÉRET; NEM CNC/GYÁRTÁSI KIADÁS</x:v>
      </x:c>
    </x:row>
    <x:row r="198" ht="76" customHeight="1">
      <x:c r="A198" s="19" t="str">
        <x:v>NT-64</x:v>
      </x:c>
      <x:c r="B198" s="19" t="str">
        <x:v>KI-064</x:v>
      </x:c>
      <x:c r="C198" s="19" t="str">
        <x:v>Alsó/felső</x:v>
      </x:c>
      <x:c r="D198" s="19" t="n">
        <x:v>314</x:v>
      </x:c>
      <x:c r="E198" s="19" t="n">
        <x:v>331</x:v>
      </x:c>
      <x:c r="F198" s="19" t="n">
        <x:v>18</x:v>
      </x:c>
      <x:c r="G198" s="19" t="n">
        <x:v>2</x:v>
      </x:c>
      <x:c r="H198" s="19" t="str">
        <x:v>18 mm laminált korpusz; 19 mm MDF front; 8 mm hátlap</x:v>
      </x:c>
      <x:c r="I198" s="19" t="str">
        <x:v>grafit matt</x:v>
      </x:c>
      <x:c r="J198" s="19" t="str">
        <x:v>Felső lap gép/szifon körül kiváltandó a részletrajz szerint.</x:v>
      </x:c>
      <x:c r="K198" s="19" t="str">
        <x:v>AJÁNLATI KÉSZMÉRET; NEM CNC/GYÁRTÁSI KIADÁS</x:v>
      </x:c>
    </x:row>
    <x:row r="199" ht="76" customHeight="1">
      <x:c r="A199" s="19" t="str">
        <x:v>NT-64</x:v>
      </x:c>
      <x:c r="B199" s="19" t="str">
        <x:v>KI-064</x:v>
      </x:c>
      <x:c r="C199" s="19" t="str">
        <x:v>Hát</x:v>
      </x:c>
      <x:c r="D199" s="19" t="n">
        <x:v>314</x:v>
      </x:c>
      <x:c r="E199" s="19" t="n">
        <x:v>414</x:v>
      </x:c>
      <x:c r="F199" s="19" t="n">
        <x:v>8</x:v>
      </x:c>
      <x:c r="G199" s="19" t="n">
        <x:v>1</x:v>
      </x:c>
      <x:c r="H199" s="19" t="str">
        <x:v>18 mm laminált korpusz; 19 mm MDF front; 8 mm hátlap</x:v>
      </x:c>
      <x:c r="I199" s="19" t="str">
        <x:v>grafit matt</x:v>
      </x:c>
      <x:c r="J199" s="19" t="str">
        <x:v>Levehető szervizhát; géptorony szellőzőnyílások külön.</x:v>
      </x:c>
      <x:c r="K199" s="19" t="str">
        <x:v>AJÁNLATI KÉSZMÉRET; NEM CNC/GYÁRTÁSI KIADÁS</x:v>
      </x:c>
    </x:row>
    <x:row r="200" ht="76" customHeight="1">
      <x:c r="A200" s="19" t="str">
        <x:v>NT-64</x:v>
      </x:c>
      <x:c r="B200" s="19" t="str">
        <x:v>KI-064</x:v>
      </x:c>
      <x:c r="C200" s="19" t="str">
        <x:v>Belső osztó</x:v>
      </x:c>
      <x:c r="D200" s="19" t="n">
        <x:v>414</x:v>
      </x:c>
      <x:c r="E200" s="19" t="n">
        <x:v>323</x:v>
      </x:c>
      <x:c r="F200" s="19" t="n">
        <x:v>18</x:v>
      </x:c>
      <x:c r="G200" s="19" t="n">
        <x:v>0</x:v>
      </x:c>
      <x:c r="H200" s="19" t="str">
        <x:v>18 mm laminált korpusz; 19 mm MDF front; 8 mm hátlap</x:v>
      </x:c>
      <x:c r="I200" s="19" t="str">
        <x:v>grafit matt</x:v>
      </x:c>
      <x:c r="J200" s="19" t="str">
        <x:v>Nem automatikus modulonkénti duplaoldal.</x:v>
      </x:c>
      <x:c r="K200" s="19" t="str">
        <x:v>AJÁNLATI KÉSZMÉRET; NEM CNC/GYÁRTÁSI KIADÁS</x:v>
      </x:c>
    </x:row>
    <x:row r="201" ht="76" customHeight="1">
      <x:c r="A201" s="19" t="str">
        <x:v>NT-64</x:v>
      </x:c>
      <x:c r="B201" s="19" t="str">
        <x:v>KI-064</x:v>
      </x:c>
      <x:c r="C201" s="19" t="str">
        <x:v>Polc</x:v>
      </x:c>
      <x:c r="D201" s="19" t="n">
        <x:v>314</x:v>
      </x:c>
      <x:c r="E201" s="19" t="n">
        <x:v>323</x:v>
      </x:c>
      <x:c r="F201" s="19" t="n">
        <x:v>18</x:v>
      </x:c>
      <x:c r="G201" s="19" t="n">
        <x:v>1</x:v>
      </x:c>
      <x:c r="H201" s="19" t="str">
        <x:v>18 mm laminált korpusz; 19 mm MDF front; 8 mm hátlap</x:v>
      </x:c>
      <x:c r="I201" s="19" t="str">
        <x:v>grafit matt</x:v>
      </x:c>
      <x:c r="J201" s="19" t="str">
        <x:v>Osztott elemnél rekeszenként újraméretezendő.</x:v>
      </x:c>
      <x:c r="K201" s="19" t="str">
        <x:v>AJÁNLATI KÉSZMÉRET; NEM CNC/GYÁRTÁSI KIADÁS</x:v>
      </x:c>
    </x:row>
    <x:row r="202" ht="76" customHeight="1">
      <x:c r="A202" s="19" t="str">
        <x:v>NT-64</x:v>
      </x:c>
      <x:c r="B202" s="19" t="str">
        <x:v>KI-064</x:v>
      </x:c>
      <x:c r="C202" s="19" t="str">
        <x:v>Front1</x:v>
      </x:c>
      <x:c r="D202" s="19" t="n">
        <x:v>347</x:v>
      </x:c>
      <x:c r="E202" s="19" t="n">
        <x:v>447</x:v>
      </x:c>
      <x:c r="F202" s="19" t="n">
        <x:v>19</x:v>
      </x:c>
      <x:c r="G202" s="19" t="n">
        <x:v>1</x:v>
      </x:c>
      <x:c r="H202" s="19" t="str">
        <x:v>18 mm laminált korpusz; 19 mm MDF front; 8 mm hátlap</x:v>
      </x:c>
      <x:c r="I202" s="19" t="str">
        <x:v>grafit matt</x:v>
      </x:c>
      <x:c r="J202" s="19" t="str">
        <x:v>Fiókrendszer hézagai, szifon és lábazat még gyártói egyeztetés.</x:v>
      </x:c>
      <x:c r="K202" s="19" t="str">
        <x:v>AJÁNLATI KÉSZMÉRET; NEM CNC/GYÁRTÁSI KIADÁS</x:v>
      </x:c>
    </x:row>
    <x:row r="203" ht="76" customHeight="1">
      <x:c r="A203" s="19" t="str">
        <x:v>NT-76</x:v>
      </x:c>
      <x:c r="B203" s="19" t="str">
        <x:v>KI-076</x:v>
      </x:c>
      <x:c r="C203" s="19" t="str">
        <x:v>Oldal</x:v>
      </x:c>
      <x:c r="D203" s="19" t="n">
        <x:v>450</x:v>
      </x:c>
      <x:c r="E203" s="19" t="n">
        <x:v>350</x:v>
      </x:c>
      <x:c r="F203" s="19" t="n">
        <x:v>18</x:v>
      </x:c>
      <x:c r="G203" s="19" t="n">
        <x:v>2</x:v>
      </x:c>
      <x:c r="H203" s="19" t="str">
        <x:v>18 mm laminált korpusz; 19 mm MDF front; 8 mm hátlap</x:v>
      </x:c>
      <x:c r="I203" s="19" t="str">
        <x:v>grafit matt</x:v>
      </x:c>
      <x:c r="J203" s="19" t="str">
        <x:v>Látható él2mmABS; készméretből élvastagság gyártó szerint levonandó.</x:v>
      </x:c>
      <x:c r="K203" s="19" t="str">
        <x:v>AJÁNLATI KÉSZMÉRET; NEM CNC/GYÁRTÁSI KIADÁS</x:v>
      </x:c>
    </x:row>
    <x:row r="204" ht="76" customHeight="1">
      <x:c r="A204" s="19" t="str">
        <x:v>NT-76</x:v>
      </x:c>
      <x:c r="B204" s="19" t="str">
        <x:v>KI-076</x:v>
      </x:c>
      <x:c r="C204" s="19" t="str">
        <x:v>Alsó/felső</x:v>
      </x:c>
      <x:c r="D204" s="19" t="n">
        <x:v>314</x:v>
      </x:c>
      <x:c r="E204" s="19" t="n">
        <x:v>331</x:v>
      </x:c>
      <x:c r="F204" s="19" t="n">
        <x:v>18</x:v>
      </x:c>
      <x:c r="G204" s="19" t="n">
        <x:v>2</x:v>
      </x:c>
      <x:c r="H204" s="19" t="str">
        <x:v>18 mm laminált korpusz; 19 mm MDF front; 8 mm hátlap</x:v>
      </x:c>
      <x:c r="I204" s="19" t="str">
        <x:v>grafit matt</x:v>
      </x:c>
      <x:c r="J204" s="19" t="str">
        <x:v>Felső lap gép/szifon körül kiváltandó a részletrajz szerint.</x:v>
      </x:c>
      <x:c r="K204" s="19" t="str">
        <x:v>AJÁNLATI KÉSZMÉRET; NEM CNC/GYÁRTÁSI KIADÁS</x:v>
      </x:c>
    </x:row>
    <x:row r="205" ht="76" customHeight="1">
      <x:c r="A205" s="19" t="str">
        <x:v>NT-76</x:v>
      </x:c>
      <x:c r="B205" s="19" t="str">
        <x:v>KI-076</x:v>
      </x:c>
      <x:c r="C205" s="19" t="str">
        <x:v>Hát</x:v>
      </x:c>
      <x:c r="D205" s="19" t="n">
        <x:v>314</x:v>
      </x:c>
      <x:c r="E205" s="19" t="n">
        <x:v>414</x:v>
      </x:c>
      <x:c r="F205" s="19" t="n">
        <x:v>8</x:v>
      </x:c>
      <x:c r="G205" s="19" t="n">
        <x:v>1</x:v>
      </x:c>
      <x:c r="H205" s="19" t="str">
        <x:v>18 mm laminált korpusz; 19 mm MDF front; 8 mm hátlap</x:v>
      </x:c>
      <x:c r="I205" s="19" t="str">
        <x:v>grafit matt</x:v>
      </x:c>
      <x:c r="J205" s="19" t="str">
        <x:v>Levehető szervizhát; géptorony szellőzőnyílások külön.</x:v>
      </x:c>
      <x:c r="K205" s="19" t="str">
        <x:v>AJÁNLATI KÉSZMÉRET; NEM CNC/GYÁRTÁSI KIADÁS</x:v>
      </x:c>
    </x:row>
    <x:row r="206" ht="76" customHeight="1">
      <x:c r="A206" s="19" t="str">
        <x:v>NT-76</x:v>
      </x:c>
      <x:c r="B206" s="19" t="str">
        <x:v>KI-076</x:v>
      </x:c>
      <x:c r="C206" s="19" t="str">
        <x:v>Belső osztó</x:v>
      </x:c>
      <x:c r="D206" s="19" t="n">
        <x:v>414</x:v>
      </x:c>
      <x:c r="E206" s="19" t="n">
        <x:v>323</x:v>
      </x:c>
      <x:c r="F206" s="19" t="n">
        <x:v>18</x:v>
      </x:c>
      <x:c r="G206" s="19" t="n">
        <x:v>0</x:v>
      </x:c>
      <x:c r="H206" s="19" t="str">
        <x:v>18 mm laminált korpusz; 19 mm MDF front; 8 mm hátlap</x:v>
      </x:c>
      <x:c r="I206" s="19" t="str">
        <x:v>grafit matt</x:v>
      </x:c>
      <x:c r="J206" s="19" t="str">
        <x:v>Nem automatikus modulonkénti duplaoldal.</x:v>
      </x:c>
      <x:c r="K206" s="19" t="str">
        <x:v>AJÁNLATI KÉSZMÉRET; NEM CNC/GYÁRTÁSI KIADÁS</x:v>
      </x:c>
    </x:row>
    <x:row r="207" ht="76" customHeight="1">
      <x:c r="A207" s="19" t="str">
        <x:v>NT-76</x:v>
      </x:c>
      <x:c r="B207" s="19" t="str">
        <x:v>KI-076</x:v>
      </x:c>
      <x:c r="C207" s="19" t="str">
        <x:v>Polc</x:v>
      </x:c>
      <x:c r="D207" s="19" t="n">
        <x:v>314</x:v>
      </x:c>
      <x:c r="E207" s="19" t="n">
        <x:v>323</x:v>
      </x:c>
      <x:c r="F207" s="19" t="n">
        <x:v>18</x:v>
      </x:c>
      <x:c r="G207" s="19" t="n">
        <x:v>1</x:v>
      </x:c>
      <x:c r="H207" s="19" t="str">
        <x:v>18 mm laminált korpusz; 19 mm MDF front; 8 mm hátlap</x:v>
      </x:c>
      <x:c r="I207" s="19" t="str">
        <x:v>grafit matt</x:v>
      </x:c>
      <x:c r="J207" s="19" t="str">
        <x:v>Osztott elemnél rekeszenként újraméretezendő.</x:v>
      </x:c>
      <x:c r="K207" s="19" t="str">
        <x:v>AJÁNLATI KÉSZMÉRET; NEM CNC/GYÁRTÁSI KIADÁS</x:v>
      </x:c>
    </x:row>
    <x:row r="208" ht="76" customHeight="1">
      <x:c r="A208" s="19" t="str">
        <x:v>NT-76</x:v>
      </x:c>
      <x:c r="B208" s="19" t="str">
        <x:v>KI-076</x:v>
      </x:c>
      <x:c r="C208" s="19" t="str">
        <x:v>Front1</x:v>
      </x:c>
      <x:c r="D208" s="19" t="n">
        <x:v>347</x:v>
      </x:c>
      <x:c r="E208" s="19" t="n">
        <x:v>447</x:v>
      </x:c>
      <x:c r="F208" s="19" t="n">
        <x:v>19</x:v>
      </x:c>
      <x:c r="G208" s="19" t="n">
        <x:v>1</x:v>
      </x:c>
      <x:c r="H208" s="19" t="str">
        <x:v>18 mm laminált korpusz; 19 mm MDF front; 8 mm hátlap</x:v>
      </x:c>
      <x:c r="I208" s="19" t="str">
        <x:v>grafit matt</x:v>
      </x:c>
      <x:c r="J208" s="19" t="str">
        <x:v>Fiókrendszer hézagai, szifon és lábazat még gyártói egyeztetés.</x:v>
      </x:c>
      <x:c r="K208" s="19" t="str">
        <x:v>AJÁNLATI KÉSZMÉRET; NEM CNC/GYÁRTÁSI KIADÁS</x:v>
      </x:c>
    </x:row>
    <x:row r="209" ht="76" customHeight="1">
      <x:c r="A209" s="19" t="str">
        <x:v>K-09</x:v>
      </x:c>
      <x:c r="B209" s="19" t="str">
        <x:v>KI-011;KI-012;KI-014</x:v>
      </x:c>
      <x:c r="C209" s="19" t="str">
        <x:v>Mező 1</x:v>
      </x:c>
      <x:c r="D209" s="19" t="n">
        <x:v>1597</x:v>
      </x:c>
      <x:c r="E209" s="19" t="n">
        <x:v>38</x:v>
      </x:c>
      <x:c r="F209" s="19" t="n">
        <x:v>18</x:v>
      </x:c>
      <x:c r="G209" s="19" t="n">
        <x:v>1</x:v>
      </x:c>
      <x:c r="H209" s="19" t="str">
        <x:v>18 mm laminált korpusz; 19 mm MDF front; 8 mm hátlap</x:v>
      </x:c>
      <x:c r="I209" s="19" t="str">
        <x:v>F274 betonhatás</x:v>
      </x:c>
      <x:c r="J209" s="19" t="str">
        <x:v>Nyomat/kárpit ráhagyás külön; hordozó vastagság egyeztetendő.</x:v>
      </x:c>
      <x:c r="K209" s="19" t="str">
        <x:v>AJÁNLATI KÉSZMÉRET; NEM CNC/GYÁRTÁSI KIADÁS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50" hidden="0" customWidth="1"/>
    <x:col min="3" max="3" width="22" hidden="0" customWidth="1"/>
    <x:col min="4" max="4" width="22" hidden="0" customWidth="1"/>
    <x:col min="5" max="5" width="25" hidden="0" customWidth="1"/>
    <x:col min="6" max="6" width="75" hidden="0" customWidth="1"/>
    <x:col min="7" max="7" width="45" hidden="0" customWidth="1"/>
  </x:cols>
  <x:sheetData>
    <x:row r="1" ht="45" customHeight="1">
      <x:c r="A1" s="42" t="str">
        <x:v>Változat</x:v>
      </x:c>
      <x:c r="B1" s="42" t="str">
        <x:v>Státusz</x:v>
      </x:c>
      <x:c r="C1" s="42" t="str">
        <x:v>Fő csomag Ft</x:v>
      </x:c>
      <x:c r="D1" s="42" t="str">
        <x:v>Alternatíva Ft</x:v>
      </x:c>
      <x:c r="E1" s="42" t="str">
        <x:v>Projektkülönbség Ft</x:v>
      </x:c>
      <x:c r="F1" s="42" t="str">
        <x:v>Kompromisszum</x:v>
      </x:c>
      <x:c r="G1" s="42" t="str">
        <x:v>Rajz</x:v>
      </x:c>
    </x:row>
    <x:row r="2" ht="76" customHeight="1">
      <x:c r="A2" s="19" t="str">
        <x:v>ALT-052</x:v>
      </x:c>
      <x:c r="B2" s="19" t="str">
        <x:v>OWNER_DECISION_REQUIRED; not adopted</x:v>
      </x:c>
      <x:c r="C2" s="19" t="n">
        <x:v>315000</x:v>
      </x:c>
      <x:c r="D2" s="19" t="n">
        <x:v>395000</x:v>
      </x:c>
      <x:c r="E2" s="19" t="n">
        <x:v>80000</x:v>
      </x:c>
      <x:c r="F2" s="19" t="str">
        <x:v>1000mm fullheight wardrobe bay replaced by desk+upper storage; fullheight wardrobe width2380→1380mm</x:v>
      </x:c>
      <x:c r="G2" s="19" t="str">
        <x:v>drawings/ALT-052.pdf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2" hidden="0" customWidth="1"/>
    <x:col min="3" max="3" width="22" hidden="0" customWidth="1"/>
    <x:col min="4" max="4" width="48" hidden="0" customWidth="1"/>
    <x:col min="5" max="5" width="16" hidden="0" customWidth="1"/>
    <x:col min="6" max="6" width="16" hidden="0" customWidth="1"/>
    <x:col min="7" max="7" width="12" hidden="0" customWidth="1"/>
    <x:col min="8" max="8" width="16" hidden="0" customWidth="1"/>
    <x:col min="9" max="9" width="12" hidden="0" customWidth="1"/>
    <x:col min="10" max="10" width="16" hidden="0" customWidth="1"/>
    <x:col min="11" max="11" width="16" hidden="0" customWidth="1"/>
    <x:col min="12" max="12" width="18" hidden="0" customWidth="1"/>
    <x:col min="13" max="13" width="18" hidden="0" customWidth="1"/>
    <x:col min="14" max="14" width="15" hidden="0" customWidth="1"/>
    <x:col min="15" max="15" width="15" hidden="0" customWidth="1"/>
    <x:col min="16" max="16" width="16" hidden="0" customWidth="1"/>
    <x:col min="17" max="17" width="16" hidden="0" customWidth="1"/>
    <x:col min="18" max="18" width="20" hidden="0" customWidth="1"/>
    <x:col min="19" max="19" width="45" hidden="0" customWidth="1"/>
  </x:cols>
  <x:sheetData>
    <x:row r="1" ht="48" customHeight="1">
      <x:c r="A1" s="57" t="str">
        <x:v>Elem</x:v>
      </x:c>
      <x:c r="B1" s="57" t="str">
        <x:v>Helyiség</x:v>
      </x:c>
      <x:c r="C1" s="57" t="str">
        <x:v>Rekesz</x:v>
      </x:c>
      <x:c r="D1" s="57" t="str">
        <x:v>Funkció</x:v>
      </x:c>
      <x:c r="E1" s="57" t="str">
        <x:v>Nettó szél. mm</x:v>
      </x:c>
      <x:c r="F1" s="57" t="str">
        <x:v>Nettó mély. mm</x:v>
      </x:c>
      <x:c r="G1" s="57" t="str">
        <x:v>Polc db</x:v>
      </x:c>
      <x:c r="H1" s="57" t="str">
        <x:v>Rúd össz. mm</x:v>
      </x:c>
      <x:c r="I1" s="57" t="str">
        <x:v>Fiók db</x:v>
      </x:c>
      <x:c r="J1" s="57" t="str">
        <x:v>Fiók szél. mm</x:v>
      </x:c>
      <x:c r="K1" s="57" t="str">
        <x:v>Fiók mély. mm</x:v>
      </x:c>
      <x:c r="L1" s="57" t="str">
        <x:v>Fiók belmag. mm</x:v>
      </x:c>
      <x:c r="M1" s="57" t="str">
        <x:v>Szifon levonás l</x:v>
      </x:c>
      <x:c r="N1" s="57" t="str">
        <x:v>Akasztás m</x:v>
      </x:c>
      <x:c r="O1" s="57" t="str">
        <x:v>Polc m²</x:v>
      </x:c>
      <x:c r="P1" s="57" t="str">
        <x:v>Fiók liter</x:v>
      </x:c>
      <x:c r="Q1" s="57" t="str">
        <x:v>Szabad tartalék</x:v>
      </x:c>
      <x:c r="R1" s="57" t="str">
        <x:v>Tervezett feltöltés l</x:v>
      </x:c>
      <x:c r="S1" s="57" t="str">
        <x:v>Státusz</x:v>
      </x:c>
    </x:row>
    <x:row r="2" ht="48" customHeight="1">
      <x:c r="A2" s="19" t="str">
        <x:v>K-01</x:v>
      </x:c>
      <x:c r="B2" s="19" t="str">
        <x:v>02</x:v>
      </x:c>
      <x:c r="C2" s="19" t="str">
        <x:v>K-01-B01</x:v>
      </x:c>
      <x:c r="D2" s="19" t="str">
        <x:v>Sütő / mikro; zárt felső éléskamra</x:v>
      </x:c>
      <x:c r="E2" s="19" t="n">
        <x:v>564</x:v>
      </x:c>
      <x:c r="F2" s="19" t="n">
        <x:v>543</x:v>
      </x:c>
      <x:c r="G2" s="19" t="n">
        <x:v>2</x:v>
      </x:c>
      <x:c r="H2" s="19" t="n">
        <x:v>0</x:v>
      </x:c>
      <x:c r="I2" s="19" t="n">
        <x:v>0</x:v>
      </x:c>
      <x:c r="J2" s="19" t="n">
        <x:v>464</x:v>
      </x:c>
      <x:c r="K2" s="19" t="n">
        <x:v>450</x:v>
      </x:c>
      <x:c r="L2" s="19" t="n">
        <x:v>150</x:v>
      </x:c>
      <x:c r="M2" s="19" t="n">
        <x:v>0</x:v>
      </x:c>
      <x:c r="N2" s="51" t="n">
        <x:f>H2/1000</x:f>
        <x:v>0</x:v>
      </x:c>
      <x:c r="O2" s="51" t="n">
        <x:f>E2*F2*G2/1000000</x:f>
        <x:v>0.612504</x:v>
      </x:c>
      <x:c r="P2" s="51" t="n">
        <x:f>I2*J2*K2*L2/1000000-M2</x:f>
        <x:v>0</x:v>
      </x:c>
      <x:c r="Q2" s="52" t="n">
        <x:v>0.25</x:v>
      </x:c>
      <x:c r="R2" s="19" t="n">
        <x:f>P2*(1-Q2)</x:f>
        <x:v>0</x:v>
      </x:c>
      <x:c r="S2" s="19" t="str">
        <x:v>Tervi belméret; vasalat és teherpróba előtt nem gyártási méret</x:v>
      </x:c>
    </x:row>
    <x:row r="3" ht="48" customHeight="1">
      <x:c r="A3" s="19" t="str">
        <x:v>K-02</x:v>
      </x:c>
      <x:c r="B3" s="19" t="str">
        <x:v>02</x:v>
      </x:c>
      <x:c r="C3" s="19" t="str">
        <x:v>K-02-B01</x:v>
      </x:c>
      <x:c r="D3" s="19" t="str">
        <x:v>Beépített hűtő + ritka felső tároló</x:v>
      </x:c>
      <x:c r="E3" s="19" t="n">
        <x:v>564</x:v>
      </x:c>
      <x:c r="F3" s="19" t="n">
        <x:v>563</x:v>
      </x:c>
      <x:c r="G3" s="19" t="n">
        <x:v>1</x:v>
      </x:c>
      <x:c r="H3" s="19" t="n">
        <x:v>0</x:v>
      </x:c>
      <x:c r="I3" s="19" t="n">
        <x:v>0</x:v>
      </x:c>
      <x:c r="J3" s="19" t="n">
        <x:v>464</x:v>
      </x:c>
      <x:c r="K3" s="19" t="n">
        <x:v>450</x:v>
      </x:c>
      <x:c r="L3" s="19" t="n">
        <x:v>150</x:v>
      </x:c>
      <x:c r="M3" s="19" t="n">
        <x:v>0</x:v>
      </x:c>
      <x:c r="N3" s="51" t="n">
        <x:f>H3/1000</x:f>
        <x:v>0</x:v>
      </x:c>
      <x:c r="O3" s="51" t="n">
        <x:f>E3*F3*G3/1000000</x:f>
        <x:v>0.317532</x:v>
      </x:c>
      <x:c r="P3" s="51" t="n">
        <x:f>I3*J3*K3*L3/1000000-M3</x:f>
        <x:v>0</x:v>
      </x:c>
      <x:c r="Q3" s="52" t="n">
        <x:v>0.25</x:v>
      </x:c>
      <x:c r="R3" s="19" t="n">
        <x:f>P3*(1-Q3)</x:f>
        <x:v>0</x:v>
      </x:c>
      <x:c r="S3" s="19" t="str">
        <x:v>Tervi belméret; vasalat és teherpróba előtt nem gyártási méret</x:v>
      </x:c>
    </x:row>
    <x:row r="4" ht="48" customHeight="1">
      <x:c r="A4" s="19" t="str">
        <x:v>K-03</x:v>
      </x:c>
      <x:c r="B4" s="19" t="str">
        <x:v>02</x:v>
      </x:c>
      <x:c r="C4" s="19" t="str">
        <x:v>K-03-B01</x:v>
      </x:c>
      <x:c r="D4" s="19" t="str">
        <x:v>Mosogató / hulladék / kihúzható csap tömlője</x:v>
      </x:c>
      <x:c r="E4" s="19" t="n">
        <x:v>764</x:v>
      </x:c>
      <x:c r="F4" s="19" t="n">
        <x:v>463</x:v>
      </x:c>
      <x:c r="G4" s="19" t="n">
        <x:v>0</x:v>
      </x:c>
      <x:c r="H4" s="19" t="n">
        <x:v>0</x:v>
      </x:c>
      <x:c r="I4" s="19" t="n">
        <x:v>0</x:v>
      </x:c>
      <x:c r="J4" s="19" t="n">
        <x:v>664</x:v>
      </x:c>
      <x:c r="K4" s="19" t="n">
        <x:v>450</x:v>
      </x:c>
      <x:c r="L4" s="19" t="n">
        <x:v>150</x:v>
      </x:c>
      <x:c r="M4" s="19" t="n">
        <x:v>0</x:v>
      </x:c>
      <x:c r="N4" s="51" t="n">
        <x:f>H4/1000</x:f>
        <x:v>0</x:v>
      </x:c>
      <x:c r="O4" s="51" t="n">
        <x:f>E4*F4*G4/1000000</x:f>
        <x:v>0</x:v>
      </x:c>
      <x:c r="P4" s="51" t="n">
        <x:f>I4*J4*K4*L4/1000000-M4</x:f>
        <x:v>0</x:v>
      </x:c>
      <x:c r="Q4" s="52" t="n">
        <x:v>0.25</x:v>
      </x:c>
      <x:c r="R4" s="19" t="n">
        <x:f>P4*(1-Q4)</x:f>
        <x:v>0</x:v>
      </x:c>
      <x:c r="S4" s="19" t="str">
        <x:v>Tervi belméret; vasalat és teherpróba előtt nem gyártási méret</x:v>
      </x:c>
    </x:row>
    <x:row r="5" ht="48" customHeight="1">
      <x:c r="A5" s="19" t="str">
        <x:v>K-05</x:v>
      </x:c>
      <x:c r="B5" s="19" t="str">
        <x:v>02</x:v>
      </x:c>
      <x:c r="C5" s="19" t="str">
        <x:v>K-05-B01</x:v>
      </x:c>
      <x:c r="D5" s="19" t="str">
        <x:v>Evőeszköz / főzőeszköz / edény</x:v>
      </x:c>
      <x:c r="E5" s="19" t="n">
        <x:v>564</x:v>
      </x:c>
      <x:c r="F5" s="19" t="n">
        <x:v>563</x:v>
      </x:c>
      <x:c r="G5" s="19" t="n">
        <x:v>0</x:v>
      </x:c>
      <x:c r="H5" s="19" t="n">
        <x:v>0</x:v>
      </x:c>
      <x:c r="I5" s="19" t="n">
        <x:v>3</x:v>
      </x:c>
      <x:c r="J5" s="19" t="n">
        <x:v>464</x:v>
      </x:c>
      <x:c r="K5" s="19" t="n">
        <x:v>450</x:v>
      </x:c>
      <x:c r="L5" s="19" t="n">
        <x:v>170</x:v>
      </x:c>
      <x:c r="M5" s="19" t="n">
        <x:v>0</x:v>
      </x:c>
      <x:c r="N5" s="51" t="n">
        <x:f>H5/1000</x:f>
        <x:v>0</x:v>
      </x:c>
      <x:c r="O5" s="51" t="n">
        <x:f>E5*F5*G5/1000000</x:f>
        <x:v>0</x:v>
      </x:c>
      <x:c r="P5" s="51" t="n">
        <x:f>I5*J5*K5*L5/1000000-M5</x:f>
        <x:v>106.488</x:v>
      </x:c>
      <x:c r="Q5" s="52" t="n">
        <x:v>0.25</x:v>
      </x:c>
      <x:c r="R5" s="19" t="n">
        <x:f>P5*(1-Q5)</x:f>
        <x:v>79.866</x:v>
      </x:c>
      <x:c r="S5" s="19" t="str">
        <x:v>Tervi belméret; vasalat és teherpróba előtt nem gyártási méret</x:v>
      </x:c>
    </x:row>
    <x:row r="6" ht="48" customHeight="1">
      <x:c r="A6" s="19" t="str">
        <x:v>K-06</x:v>
      </x:c>
      <x:c r="B6" s="19" t="str">
        <x:v>02</x:v>
      </x:c>
      <x:c r="C6" s="19" t="str">
        <x:v>K-06-B01</x:v>
      </x:c>
      <x:c r="D6" s="19" t="str">
        <x:v>Előkészítés alatti élelmiszer / eszköz</x:v>
      </x:c>
      <x:c r="E6" s="19" t="n">
        <x:v>464</x:v>
      </x:c>
      <x:c r="F6" s="19" t="n">
        <x:v>563</x:v>
      </x:c>
      <x:c r="G6" s="19" t="n">
        <x:v>0</x:v>
      </x:c>
      <x:c r="H6" s="19" t="n">
        <x:v>0</x:v>
      </x:c>
      <x:c r="I6" s="19" t="n">
        <x:v>3</x:v>
      </x:c>
      <x:c r="J6" s="19" t="n">
        <x:v>364</x:v>
      </x:c>
      <x:c r="K6" s="19" t="n">
        <x:v>450</x:v>
      </x:c>
      <x:c r="L6" s="19" t="n">
        <x:v>170</x:v>
      </x:c>
      <x:c r="M6" s="19" t="n">
        <x:v>0.0379999999999967</x:v>
      </x:c>
      <x:c r="N6" s="51" t="n">
        <x:f>H6/1000</x:f>
        <x:v>0</x:v>
      </x:c>
      <x:c r="O6" s="51" t="n">
        <x:f>E6*F6*G6/1000000</x:f>
        <x:v>0</x:v>
      </x:c>
      <x:c r="P6" s="51" t="n">
        <x:f>I6*J6*K6*L6/1000000-M6</x:f>
        <x:v>83.5</x:v>
      </x:c>
      <x:c r="Q6" s="52" t="n">
        <x:v>0.25</x:v>
      </x:c>
      <x:c r="R6" s="19" t="n">
        <x:f>P6*(1-Q6)</x:f>
        <x:v>62.625</x:v>
      </x:c>
      <x:c r="S6" s="19" t="str">
        <x:v>Tervi belméret; vasalat és teherpróba előtt nem gyártási méret</x:v>
      </x:c>
    </x:row>
    <x:row r="7" ht="48" customHeight="1">
      <x:c r="A7" s="19" t="str">
        <x:v>K-06</x:v>
      </x:c>
      <x:c r="B7" s="19" t="str">
        <x:v>02</x:v>
      </x:c>
      <x:c r="C7" s="19" t="str">
        <x:v>K-06-B02</x:v>
      </x:c>
      <x:c r="D7" s="19" t="str">
        <x:v>Edény / száraz készlet</x:v>
      </x:c>
      <x:c r="E7" s="19" t="n">
        <x:v>464</x:v>
      </x:c>
      <x:c r="F7" s="19" t="n">
        <x:v>563</x:v>
      </x:c>
      <x:c r="G7" s="19" t="n">
        <x:v>0</x:v>
      </x:c>
      <x:c r="H7" s="19" t="n">
        <x:v>0</x:v>
      </x:c>
      <x:c r="I7" s="19" t="n">
        <x:v>3</x:v>
      </x:c>
      <x:c r="J7" s="19" t="n">
        <x:v>364</x:v>
      </x:c>
      <x:c r="K7" s="19" t="n">
        <x:v>450</x:v>
      </x:c>
      <x:c r="L7" s="19" t="n">
        <x:v>170</x:v>
      </x:c>
      <x:c r="M7" s="19" t="n">
        <x:v>0.0379999999999967</x:v>
      </x:c>
      <x:c r="N7" s="51" t="n">
        <x:f>H7/1000</x:f>
        <x:v>0</x:v>
      </x:c>
      <x:c r="O7" s="51" t="n">
        <x:f>E7*F7*G7/1000000</x:f>
        <x:v>0</x:v>
      </x:c>
      <x:c r="P7" s="51" t="n">
        <x:f>I7*J7*K7*L7/1000000-M7</x:f>
        <x:v>83.5</x:v>
      </x:c>
      <x:c r="Q7" s="52" t="n">
        <x:v>0.25</x:v>
      </x:c>
      <x:c r="R7" s="19" t="n">
        <x:f>P7*(1-Q7)</x:f>
        <x:v>62.625</x:v>
      </x:c>
      <x:c r="S7" s="19" t="str">
        <x:v>Tervi belméret; vasalat és teherpróba előtt nem gyártási méret</x:v>
      </x:c>
    </x:row>
    <x:row r="8" ht="48" customHeight="1">
      <x:c r="A8" s="19" t="str">
        <x:v>K-07</x:v>
      </x:c>
      <x:c r="B8" s="19" t="str">
        <x:v>02</x:v>
      </x:c>
      <x:c r="C8" s="19" t="str">
        <x:v>K-07-B01</x:v>
      </x:c>
      <x:c r="D8" s="19" t="str">
        <x:v>Pohár / napi étkészlet</x:v>
      </x:c>
      <x:c r="E8" s="19" t="n">
        <x:v>564</x:v>
      </x:c>
      <x:c r="F8" s="19" t="n">
        <x:v>293</x:v>
      </x:c>
      <x:c r="G8" s="19" t="n">
        <x:v>2</x:v>
      </x:c>
      <x:c r="H8" s="19" t="n">
        <x:v>0</x:v>
      </x:c>
      <x:c r="I8" s="19" t="n">
        <x:v>0</x:v>
      </x:c>
      <x:c r="J8" s="19" t="n">
        <x:v>464</x:v>
      </x:c>
      <x:c r="K8" s="19" t="n">
        <x:v>200</x:v>
      </x:c>
      <x:c r="L8" s="19" t="n">
        <x:v>150</x:v>
      </x:c>
      <x:c r="M8" s="19" t="n">
        <x:v>0</x:v>
      </x:c>
      <x:c r="N8" s="51" t="n">
        <x:f>H8/1000</x:f>
        <x:v>0</x:v>
      </x:c>
      <x:c r="O8" s="51" t="n">
        <x:f>E8*F8*G8/1000000</x:f>
        <x:v>0.330504</x:v>
      </x:c>
      <x:c r="P8" s="51" t="n">
        <x:f>I8*J8*K8*L8/1000000-M8</x:f>
        <x:v>0</x:v>
      </x:c>
      <x:c r="Q8" s="52" t="n">
        <x:v>0.25</x:v>
      </x:c>
      <x:c r="R8" s="19" t="n">
        <x:f>P8*(1-Q8)</x:f>
        <x:v>0</x:v>
      </x:c>
      <x:c r="S8" s="19" t="str">
        <x:v>Tervi belméret; vasalat és teherpróba előtt nem gyártási méret</x:v>
      </x:c>
    </x:row>
    <x:row r="9" ht="48" customHeight="1">
      <x:c r="A9" s="19" t="str">
        <x:v>K-07</x:v>
      </x:c>
      <x:c r="B9" s="19" t="str">
        <x:v>02</x:v>
      </x:c>
      <x:c r="C9" s="19" t="str">
        <x:v>K-07-B02</x:v>
      </x:c>
      <x:c r="D9" s="19" t="str">
        <x:v>Tányér / száraz készlet</x:v>
      </x:c>
      <x:c r="E9" s="19" t="n">
        <x:v>764</x:v>
      </x:c>
      <x:c r="F9" s="19" t="n">
        <x:v>293</x:v>
      </x:c>
      <x:c r="G9" s="19" t="n">
        <x:v>2</x:v>
      </x:c>
      <x:c r="H9" s="19" t="n">
        <x:v>0</x:v>
      </x:c>
      <x:c r="I9" s="19" t="n">
        <x:v>0</x:v>
      </x:c>
      <x:c r="J9" s="19" t="n">
        <x:v>664</x:v>
      </x:c>
      <x:c r="K9" s="19" t="n">
        <x:v>200</x:v>
      </x:c>
      <x:c r="L9" s="19" t="n">
        <x:v>150</x:v>
      </x:c>
      <x:c r="M9" s="19" t="n">
        <x:v>0</x:v>
      </x:c>
      <x:c r="N9" s="51" t="n">
        <x:f>H9/1000</x:f>
        <x:v>0</x:v>
      </x:c>
      <x:c r="O9" s="51" t="n">
        <x:f>E9*F9*G9/1000000</x:f>
        <x:v>0.447704</x:v>
      </x:c>
      <x:c r="P9" s="51" t="n">
        <x:f>I9*J9*K9*L9/1000000-M9</x:f>
        <x:v>0</x:v>
      </x:c>
      <x:c r="Q9" s="52" t="n">
        <x:v>0.25</x:v>
      </x:c>
      <x:c r="R9" s="19" t="n">
        <x:f>P9*(1-Q9)</x:f>
        <x:v>0</x:v>
      </x:c>
      <x:c r="S9" s="19" t="str">
        <x:v>Tervi belméret; vasalat és teherpróba előtt nem gyártási méret</x:v>
      </x:c>
    </x:row>
    <x:row r="10" ht="48" customHeight="1">
      <x:c r="A10" s="19" t="str">
        <x:v>TV-01</x:v>
      </x:c>
      <x:c r="B10" s="19" t="str">
        <x:v>04</x:v>
      </x:c>
      <x:c r="C10" s="19" t="str">
        <x:v>TV-01-B01</x:v>
      </x:c>
      <x:c r="D10" s="19" t="str">
        <x:v>Könyv / dekor; terhelt polcpróba</x:v>
      </x:c>
      <x:c r="E10" s="19" t="n">
        <x:v>314</x:v>
      </x:c>
      <x:c r="F10" s="19" t="n">
        <x:v>343</x:v>
      </x:c>
      <x:c r="G10" s="19" t="n">
        <x:v>5</x:v>
      </x:c>
      <x:c r="H10" s="19" t="n">
        <x:v>0</x:v>
      </x:c>
      <x:c r="I10" s="19" t="n">
        <x:v>0</x:v>
      </x:c>
      <x:c r="J10" s="19" t="n">
        <x:v>214</x:v>
      </x:c>
      <x:c r="K10" s="19" t="n">
        <x:v>200</x:v>
      </x:c>
      <x:c r="L10" s="19" t="n">
        <x:v>150</x:v>
      </x:c>
      <x:c r="M10" s="19" t="n">
        <x:v>0</x:v>
      </x:c>
      <x:c r="N10" s="51" t="n">
        <x:f>H10/1000</x:f>
        <x:v>0</x:v>
      </x:c>
      <x:c r="O10" s="51" t="n">
        <x:f>E10*F10*G10/1000000</x:f>
        <x:v>0.53851</x:v>
      </x:c>
      <x:c r="P10" s="51" t="n">
        <x:f>I10*J10*K10*L10/1000000-M10</x:f>
        <x:v>0</x:v>
      </x:c>
      <x:c r="Q10" s="52" t="n">
        <x:v>0.25</x:v>
      </x:c>
      <x:c r="R10" s="19" t="n">
        <x:f>P10*(1-Q10)</x:f>
        <x:v>0</x:v>
      </x:c>
      <x:c r="S10" s="19" t="str">
        <x:v>Tervi belméret; vasalat és teherpróba előtt nem gyártási méret</x:v>
      </x:c>
    </x:row>
    <x:row r="11" ht="48" customHeight="1">
      <x:c r="A11" s="19" t="str">
        <x:v>TV-01</x:v>
      </x:c>
      <x:c r="B11" s="19" t="str">
        <x:v>04</x:v>
      </x:c>
      <x:c r="C11" s="19" t="str">
        <x:v>TV-01-B02</x:v>
      </x:c>
      <x:c r="D11" s="19" t="str">
        <x:v>Könyv / dekor; terhelt polcpróba</x:v>
      </x:c>
      <x:c r="E11" s="19" t="n">
        <x:v>314</x:v>
      </x:c>
      <x:c r="F11" s="19" t="n">
        <x:v>343</x:v>
      </x:c>
      <x:c r="G11" s="19" t="n">
        <x:v>5</x:v>
      </x:c>
      <x:c r="H11" s="19" t="n">
        <x:v>0</x:v>
      </x:c>
      <x:c r="I11" s="19" t="n">
        <x:v>0</x:v>
      </x:c>
      <x:c r="J11" s="19" t="n">
        <x:v>214</x:v>
      </x:c>
      <x:c r="K11" s="19" t="n">
        <x:v>200</x:v>
      </x:c>
      <x:c r="L11" s="19" t="n">
        <x:v>150</x:v>
      </x:c>
      <x:c r="M11" s="19" t="n">
        <x:v>0</x:v>
      </x:c>
      <x:c r="N11" s="51" t="n">
        <x:f>H11/1000</x:f>
        <x:v>0</x:v>
      </x:c>
      <x:c r="O11" s="51" t="n">
        <x:f>E11*F11*G11/1000000</x:f>
        <x:v>0.53851</x:v>
      </x:c>
      <x:c r="P11" s="51" t="n">
        <x:f>I11*J11*K11*L11/1000000-M11</x:f>
        <x:v>0</x:v>
      </x:c>
      <x:c r="Q11" s="52" t="n">
        <x:v>0.25</x:v>
      </x:c>
      <x:c r="R11" s="19" t="n">
        <x:f>P11*(1-Q11)</x:f>
        <x:v>0</x:v>
      </x:c>
      <x:c r="S11" s="19" t="str">
        <x:v>Tervi belméret; vasalat és teherpróba előtt nem gyártási méret</x:v>
      </x:c>
    </x:row>
    <x:row r="12" ht="48" customHeight="1">
      <x:c r="A12" s="19" t="str">
        <x:v>TV-02</x:v>
      </x:c>
      <x:c r="B12" s="19" t="str">
        <x:v>04</x:v>
      </x:c>
      <x:c r="C12" s="19" t="str">
        <x:v>TV-02-B01</x:v>
      </x:c>
      <x:c r="D12" s="19" t="str">
        <x:v>AV; szellőző hát</x:v>
      </x:c>
      <x:c r="E12" s="19" t="n">
        <x:v>564</x:v>
      </x:c>
      <x:c r="F12" s="19" t="n">
        <x:v>343</x:v>
      </x:c>
      <x:c r="G12" s="19" t="n">
        <x:v>1</x:v>
      </x:c>
      <x:c r="H12" s="19" t="n">
        <x:v>0</x:v>
      </x:c>
      <x:c r="I12" s="19" t="n">
        <x:v>0</x:v>
      </x:c>
      <x:c r="J12" s="19" t="n">
        <x:v>464</x:v>
      </x:c>
      <x:c r="K12" s="19" t="n">
        <x:v>200</x:v>
      </x:c>
      <x:c r="L12" s="19" t="n">
        <x:v>140</x:v>
      </x:c>
      <x:c r="M12" s="19" t="n">
        <x:v>0</x:v>
      </x:c>
      <x:c r="N12" s="51" t="n">
        <x:f>H12/1000</x:f>
        <x:v>0</x:v>
      </x:c>
      <x:c r="O12" s="51" t="n">
        <x:f>E12*F12*G12/1000000</x:f>
        <x:v>0.193452</x:v>
      </x:c>
      <x:c r="P12" s="51" t="n">
        <x:f>I12*J12*K12*L12/1000000-M12</x:f>
        <x:v>0</x:v>
      </x:c>
      <x:c r="Q12" s="52" t="n">
        <x:v>0.25</x:v>
      </x:c>
      <x:c r="R12" s="19" t="n">
        <x:f>P12*(1-Q12)</x:f>
        <x:v>0</x:v>
      </x:c>
      <x:c r="S12" s="19" t="str">
        <x:v>Tervi belméret; vasalat és teherpróba előtt nem gyártási méret</x:v>
      </x:c>
    </x:row>
    <x:row r="13" ht="48" customHeight="1">
      <x:c r="A13" s="19" t="str">
        <x:v>TV-02</x:v>
      </x:c>
      <x:c r="B13" s="19" t="str">
        <x:v>04</x:v>
      </x:c>
      <x:c r="C13" s="19" t="str">
        <x:v>TV-02-B02</x:v>
      </x:c>
      <x:c r="D13" s="19" t="str">
        <x:v>AV; kábelút</x:v>
      </x:c>
      <x:c r="E13" s="19" t="n">
        <x:v>564</x:v>
      </x:c>
      <x:c r="F13" s="19" t="n">
        <x:v>343</x:v>
      </x:c>
      <x:c r="G13" s="19" t="n">
        <x:v>1</x:v>
      </x:c>
      <x:c r="H13" s="19" t="n">
        <x:v>0</x:v>
      </x:c>
      <x:c r="I13" s="19" t="n">
        <x:v>0</x:v>
      </x:c>
      <x:c r="J13" s="19" t="n">
        <x:v>464</x:v>
      </x:c>
      <x:c r="K13" s="19" t="n">
        <x:v>200</x:v>
      </x:c>
      <x:c r="L13" s="19" t="n">
        <x:v>140</x:v>
      </x:c>
      <x:c r="M13" s="19" t="n">
        <x:v>0</x:v>
      </x:c>
      <x:c r="N13" s="51" t="n">
        <x:f>H13/1000</x:f>
        <x:v>0</x:v>
      </x:c>
      <x:c r="O13" s="51" t="n">
        <x:f>E13*F13*G13/1000000</x:f>
        <x:v>0.193452</x:v>
      </x:c>
      <x:c r="P13" s="51" t="n">
        <x:f>I13*J13*K13*L13/1000000-M13</x:f>
        <x:v>0</x:v>
      </x:c>
      <x:c r="Q13" s="52" t="n">
        <x:v>0.25</x:v>
      </x:c>
      <x:c r="R13" s="19" t="n">
        <x:f>P13*(1-Q13)</x:f>
        <x:v>0</x:v>
      </x:c>
      <x:c r="S13" s="19" t="str">
        <x:v>Tervi belméret; vasalat és teherpróba előtt nem gyártási méret</x:v>
      </x:c>
    </x:row>
    <x:row r="14" ht="48" customHeight="1">
      <x:c r="A14" s="19" t="str">
        <x:v>TV-02</x:v>
      </x:c>
      <x:c r="B14" s="19" t="str">
        <x:v>04</x:v>
      </x:c>
      <x:c r="C14" s="19" t="str">
        <x:v>TV-02-B03</x:v>
      </x:c>
      <x:c r="D14" s="19" t="str">
        <x:v>Társasjáték / média</x:v>
      </x:c>
      <x:c r="E14" s="19" t="n">
        <x:v>564</x:v>
      </x:c>
      <x:c r="F14" s="19" t="n">
        <x:v>343</x:v>
      </x:c>
      <x:c r="G14" s="19" t="n">
        <x:v>0</x:v>
      </x:c>
      <x:c r="H14" s="19" t="n">
        <x:v>0</x:v>
      </x:c>
      <x:c r="I14" s="19" t="n">
        <x:v>0</x:v>
      </x:c>
      <x:c r="J14" s="19" t="n">
        <x:v>464</x:v>
      </x:c>
      <x:c r="K14" s="19" t="n">
        <x:v>200</x:v>
      </x:c>
      <x:c r="L14" s="19" t="n">
        <x:v>140</x:v>
      </x:c>
      <x:c r="M14" s="19" t="n">
        <x:v>0</x:v>
      </x:c>
      <x:c r="N14" s="51" t="n">
        <x:f>H14/1000</x:f>
        <x:v>0</x:v>
      </x:c>
      <x:c r="O14" s="51" t="n">
        <x:f>E14*F14*G14/1000000</x:f>
        <x:v>0</x:v>
      </x:c>
      <x:c r="P14" s="51" t="n">
        <x:f>I14*J14*K14*L14/1000000-M14</x:f>
        <x:v>0</x:v>
      </x:c>
      <x:c r="Q14" s="52" t="n">
        <x:v>0.25</x:v>
      </x:c>
      <x:c r="R14" s="19" t="n">
        <x:f>P14*(1-Q14)</x:f>
        <x:v>0</x:v>
      </x:c>
      <x:c r="S14" s="19" t="str">
        <x:v>Tervi belméret; vasalat és teherpróba előtt nem gyártási méret</x:v>
      </x:c>
    </x:row>
    <x:row r="15" ht="48" customHeight="1">
      <x:c r="A15" s="19" t="str">
        <x:v>TV-02</x:v>
      </x:c>
      <x:c r="B15" s="19" t="str">
        <x:v>04</x:v>
      </x:c>
      <x:c r="C15" s="19" t="str">
        <x:v>TV-02-B04</x:v>
      </x:c>
      <x:c r="D15" s="19" t="str">
        <x:v>Kivehető játékdoboz</x:v>
      </x:c>
      <x:c r="E15" s="19" t="n">
        <x:v>714</x:v>
      </x:c>
      <x:c r="F15" s="19" t="n">
        <x:v>343</x:v>
      </x:c>
      <x:c r="G15" s="19" t="n">
        <x:v>0</x:v>
      </x:c>
      <x:c r="H15" s="19" t="n">
        <x:v>0</x:v>
      </x:c>
      <x:c r="I15" s="19" t="n">
        <x:v>0</x:v>
      </x:c>
      <x:c r="J15" s="19" t="n">
        <x:v>614</x:v>
      </x:c>
      <x:c r="K15" s="19" t="n">
        <x:v>200</x:v>
      </x:c>
      <x:c r="L15" s="19" t="n">
        <x:v>140</x:v>
      </x:c>
      <x:c r="M15" s="19" t="n">
        <x:v>0</x:v>
      </x:c>
      <x:c r="N15" s="51" t="n">
        <x:f>H15/1000</x:f>
        <x:v>0</x:v>
      </x:c>
      <x:c r="O15" s="51" t="n">
        <x:f>E15*F15*G15/1000000</x:f>
        <x:v>0</x:v>
      </x:c>
      <x:c r="P15" s="51" t="n">
        <x:f>I15*J15*K15*L15/1000000-M15</x:f>
        <x:v>0</x:v>
      </x:c>
      <x:c r="Q15" s="52" t="n">
        <x:v>0.25</x:v>
      </x:c>
      <x:c r="R15" s="19" t="n">
        <x:f>P15*(1-Q15)</x:f>
        <x:v>0</x:v>
      </x:c>
      <x:c r="S15" s="19" t="str">
        <x:v>Tervi belméret; vasalat és teherpróba előtt nem gyártási méret</x:v>
      </x:c>
    </x:row>
    <x:row r="16" ht="48" customHeight="1">
      <x:c r="A16" s="19" t="str">
        <x:v>TV-02</x:v>
      </x:c>
      <x:c r="B16" s="19" t="str">
        <x:v>04</x:v>
      </x:c>
      <x:c r="C16" s="19" t="str">
        <x:v>TV-02-B05</x:v>
      </x:c>
      <x:c r="D16" s="19" t="str">
        <x:v>Kivehető játékdoboz</x:v>
      </x:c>
      <x:c r="E16" s="19" t="n">
        <x:v>714</x:v>
      </x:c>
      <x:c r="F16" s="19" t="n">
        <x:v>343</x:v>
      </x:c>
      <x:c r="G16" s="19" t="n">
        <x:v>0</x:v>
      </x:c>
      <x:c r="H16" s="19" t="n">
        <x:v>0</x:v>
      </x:c>
      <x:c r="I16" s="19" t="n">
        <x:v>0</x:v>
      </x:c>
      <x:c r="J16" s="19" t="n">
        <x:v>614</x:v>
      </x:c>
      <x:c r="K16" s="19" t="n">
        <x:v>200</x:v>
      </x:c>
      <x:c r="L16" s="19" t="n">
        <x:v>140</x:v>
      </x:c>
      <x:c r="M16" s="19" t="n">
        <x:v>0</x:v>
      </x:c>
      <x:c r="N16" s="51" t="n">
        <x:f>H16/1000</x:f>
        <x:v>0</x:v>
      </x:c>
      <x:c r="O16" s="51" t="n">
        <x:f>E16*F16*G16/1000000</x:f>
        <x:v>0</x:v>
      </x:c>
      <x:c r="P16" s="51" t="n">
        <x:f>I16*J16*K16*L16/1000000-M16</x:f>
        <x:v>0</x:v>
      </x:c>
      <x:c r="Q16" s="52" t="n">
        <x:v>0.25</x:v>
      </x:c>
      <x:c r="R16" s="19" t="n">
        <x:f>P16*(1-Q16)</x:f>
        <x:v>0</x:v>
      </x:c>
      <x:c r="S16" s="19" t="str">
        <x:v>Tervi belméret; vasalat és teherpróba előtt nem gyártási méret</x:v>
      </x:c>
    </x:row>
    <x:row r="17" ht="48" customHeight="1">
      <x:c r="A17" s="19" t="str">
        <x:v>WN-01</x:v>
      </x:c>
      <x:c r="B17" s="19" t="str">
        <x:v>05.1</x:v>
      </x:c>
      <x:c r="C17" s="19" t="str">
        <x:v>WN-01-B01</x:v>
      </x:c>
      <x:c r="D17" s="19" t="str">
        <x:v>Hosszú ruhák + két lapos fiók</x:v>
      </x:c>
      <x:c r="E17" s="19" t="n">
        <x:v>694</x:v>
      </x:c>
      <x:c r="F17" s="19" t="n">
        <x:v>543</x:v>
      </x:c>
      <x:c r="G17" s="19" t="n">
        <x:v>1</x:v>
      </x:c>
      <x:c r="H17" s="19" t="n">
        <x:v>654</x:v>
      </x:c>
      <x:c r="I17" s="19" t="n">
        <x:v>2</x:v>
      </x:c>
      <x:c r="J17" s="19" t="n">
        <x:v>594</x:v>
      </x:c>
      <x:c r="K17" s="19" t="n">
        <x:v>450</x:v>
      </x:c>
      <x:c r="L17" s="19" t="n">
        <x:v>130</x:v>
      </x:c>
      <x:c r="M17" s="19" t="n">
        <x:v>0</x:v>
      </x:c>
      <x:c r="N17" s="51" t="n">
        <x:f>H17/1000</x:f>
        <x:v>0.654</x:v>
      </x:c>
      <x:c r="O17" s="51" t="n">
        <x:f>E17*F17*G17/1000000</x:f>
        <x:v>0.376842</x:v>
      </x:c>
      <x:c r="P17" s="51" t="n">
        <x:f>I17*J17*K17*L17/1000000-M17</x:f>
        <x:v>69.498</x:v>
      </x:c>
      <x:c r="Q17" s="52" t="n">
        <x:v>0.25</x:v>
      </x:c>
      <x:c r="R17" s="19" t="n">
        <x:f>P17*(1-Q17)</x:f>
        <x:v>52.12350000000001</x:v>
      </x:c>
      <x:c r="S17" s="19" t="str">
        <x:v>Tervi belméret; vasalat és teherpróba előtt nem gyártási méret</x:v>
      </x:c>
    </x:row>
    <x:row r="18" ht="48" customHeight="1">
      <x:c r="A18" s="19" t="str">
        <x:v>WN-01</x:v>
      </x:c>
      <x:c r="B18" s="19" t="str">
        <x:v>05.1</x:v>
      </x:c>
      <x:c r="C18" s="19" t="str">
        <x:v>WN-01-B02</x:v>
      </x:c>
      <x:c r="D18" s="19" t="str">
        <x:v>Dupla akasztás; felső CONERO lift</x:v>
      </x:c>
      <x:c r="E18" s="19" t="n">
        <x:v>694</x:v>
      </x:c>
      <x:c r="F18" s="19" t="n">
        <x:v>543</x:v>
      </x:c>
      <x:c r="G18" s="19" t="n">
        <x:v>2</x:v>
      </x:c>
      <x:c r="H18" s="19" t="n">
        <x:v>1188</x:v>
      </x:c>
      <x:c r="I18" s="19" t="n">
        <x:v>0</x:v>
      </x:c>
      <x:c r="J18" s="19" t="n">
        <x:v>594</x:v>
      </x:c>
      <x:c r="K18" s="19" t="n">
        <x:v>450</x:v>
      </x:c>
      <x:c r="L18" s="19" t="n">
        <x:v>150</x:v>
      </x:c>
      <x:c r="M18" s="19" t="n">
        <x:v>0</x:v>
      </x:c>
      <x:c r="N18" s="51" t="n">
        <x:f>H18/1000</x:f>
        <x:v>1.188</x:v>
      </x:c>
      <x:c r="O18" s="51" t="n">
        <x:f>E18*F18*G18/1000000</x:f>
        <x:v>0.753684</x:v>
      </x:c>
      <x:c r="P18" s="51" t="n">
        <x:f>I18*J18*K18*L18/1000000-M18</x:f>
        <x:v>0</x:v>
      </x:c>
      <x:c r="Q18" s="52" t="n">
        <x:v>0.25</x:v>
      </x:c>
      <x:c r="R18" s="19" t="n">
        <x:f>P18*(1-Q18)</x:f>
        <x:v>0</x:v>
      </x:c>
      <x:c r="S18" s="19" t="str">
        <x:v>Tervi belméret; vasalat és teherpróba előtt nem gyártási méret</x:v>
      </x:c>
    </x:row>
    <x:row r="19" ht="48" customHeight="1">
      <x:c r="A19" s="19" t="str">
        <x:v>WN-01</x:v>
      </x:c>
      <x:c r="B19" s="19" t="str">
        <x:v>05.1</x:v>
      </x:c>
      <x:c r="C19" s="19" t="str">
        <x:v>WN-01-B03</x:v>
      </x:c>
      <x:c r="D19" s="19" t="str">
        <x:v>Dupla akasztás; felső CONERO lift</x:v>
      </x:c>
      <x:c r="E19" s="19" t="n">
        <x:v>694</x:v>
      </x:c>
      <x:c r="F19" s="19" t="n">
        <x:v>543</x:v>
      </x:c>
      <x:c r="G19" s="19" t="n">
        <x:v>2</x:v>
      </x:c>
      <x:c r="H19" s="19" t="n">
        <x:v>1188</x:v>
      </x:c>
      <x:c r="I19" s="19" t="n">
        <x:v>0</x:v>
      </x:c>
      <x:c r="J19" s="19" t="n">
        <x:v>594</x:v>
      </x:c>
      <x:c r="K19" s="19" t="n">
        <x:v>450</x:v>
      </x:c>
      <x:c r="L19" s="19" t="n">
        <x:v>150</x:v>
      </x:c>
      <x:c r="M19" s="19" t="n">
        <x:v>0</x:v>
      </x:c>
      <x:c r="N19" s="51" t="n">
        <x:f>H19/1000</x:f>
        <x:v>1.188</x:v>
      </x:c>
      <x:c r="O19" s="51" t="n">
        <x:f>E19*F19*G19/1000000</x:f>
        <x:v>0.753684</x:v>
      </x:c>
      <x:c r="P19" s="51" t="n">
        <x:f>I19*J19*K19*L19/1000000-M19</x:f>
        <x:v>0</x:v>
      </x:c>
      <x:c r="Q19" s="52" t="n">
        <x:v>0.25</x:v>
      </x:c>
      <x:c r="R19" s="19" t="n">
        <x:f>P19*(1-Q19)</x:f>
        <x:v>0</x:v>
      </x:c>
      <x:c r="S19" s="19" t="str">
        <x:v>Tervi belméret; vasalat és teherpróba előtt nem gyártási méret</x:v>
      </x:c>
    </x:row>
    <x:row r="20" ht="48" customHeight="1">
      <x:c r="A20" s="19" t="str">
        <x:v>WN-01</x:v>
      </x:c>
      <x:c r="B20" s="19" t="str">
        <x:v>05.1</x:v>
      </x:c>
      <x:c r="C20" s="19" t="str">
        <x:v>WN-01-B04</x:v>
      </x:c>
      <x:c r="D20" s="19" t="str">
        <x:v>Hat fiók, táskák, hajtogatott ruhák</x:v>
      </x:c>
      <x:c r="E20" s="19" t="n">
        <x:v>694</x:v>
      </x:c>
      <x:c r="F20" s="19" t="n">
        <x:v>543</x:v>
      </x:c>
      <x:c r="G20" s="19" t="n">
        <x:v>4</x:v>
      </x:c>
      <x:c r="H20" s="19" t="n">
        <x:v>0</x:v>
      </x:c>
      <x:c r="I20" s="19" t="n">
        <x:v>6</x:v>
      </x:c>
      <x:c r="J20" s="19" t="n">
        <x:v>594</x:v>
      </x:c>
      <x:c r="K20" s="19" t="n">
        <x:v>450</x:v>
      </x:c>
      <x:c r="L20" s="19" t="n">
        <x:v>150</x:v>
      </x:c>
      <x:c r="M20" s="19" t="n">
        <x:v>0</x:v>
      </x:c>
      <x:c r="N20" s="51" t="n">
        <x:f>H20/1000</x:f>
        <x:v>0</x:v>
      </x:c>
      <x:c r="O20" s="51" t="n">
        <x:f>E20*F20*G20/1000000</x:f>
        <x:v>1.507368</x:v>
      </x:c>
      <x:c r="P20" s="51" t="n">
        <x:f>I20*J20*K20*L20/1000000-M20</x:f>
        <x:v>240.57</x:v>
      </x:c>
      <x:c r="Q20" s="52" t="n">
        <x:v>0.25</x:v>
      </x:c>
      <x:c r="R20" s="19" t="n">
        <x:f>P20*(1-Q20)</x:f>
        <x:v>180.4275</x:v>
      </x:c>
      <x:c r="S20" s="19" t="str">
        <x:v>Tervi belméret; vasalat és teherpróba előtt nem gyártási méret</x:v>
      </x:c>
    </x:row>
    <x:row r="21" ht="48" customHeight="1">
      <x:c r="A21" s="19" t="str">
        <x:v>WS-01</x:v>
      </x:c>
      <x:c r="B21" s="19" t="str">
        <x:v>05.1</x:v>
      </x:c>
      <x:c r="C21" s="19" t="str">
        <x:v>WS-01-B01</x:v>
      </x:c>
      <x:c r="D21" s="19" t="str">
        <x:v>Cipők; sík, állítható polcok</x:v>
      </x:c>
      <x:c r="E21" s="19" t="n">
        <x:v>559</x:v>
      </x:c>
      <x:c r="F21" s="19" t="n">
        <x:v>423</x:v>
      </x:c>
      <x:c r="G21" s="19" t="n">
        <x:v>8</x:v>
      </x:c>
      <x:c r="H21" s="19" t="n">
        <x:v>0</x:v>
      </x:c>
      <x:c r="I21" s="19" t="n">
        <x:v>0</x:v>
      </x:c>
      <x:c r="J21" s="19" t="n">
        <x:v>459</x:v>
      </x:c>
      <x:c r="K21" s="19" t="n">
        <x:v>350</x:v>
      </x:c>
      <x:c r="L21" s="19" t="n">
        <x:v>150</x:v>
      </x:c>
      <x:c r="M21" s="19" t="n">
        <x:v>0</x:v>
      </x:c>
      <x:c r="N21" s="51" t="n">
        <x:f>H21/1000</x:f>
        <x:v>0</x:v>
      </x:c>
      <x:c r="O21" s="51" t="n">
        <x:f>E21*F21*G21/1000000</x:f>
        <x:v>1.891656</x:v>
      </x:c>
      <x:c r="P21" s="51" t="n">
        <x:f>I21*J21*K21*L21/1000000-M21</x:f>
        <x:v>0</x:v>
      </x:c>
      <x:c r="Q21" s="52" t="n">
        <x:v>0.25</x:v>
      </x:c>
      <x:c r="R21" s="19" t="n">
        <x:f>P21*(1-Q21)</x:f>
        <x:v>0</x:v>
      </x:c>
      <x:c r="S21" s="19" t="str">
        <x:v>Tervi belméret; vasalat és teherpróba előtt nem gyártási méret</x:v>
      </x:c>
    </x:row>
    <x:row r="22" ht="48" customHeight="1">
      <x:c r="A22" s="19" t="str">
        <x:v>WS-01</x:v>
      </x:c>
      <x:c r="B22" s="19" t="str">
        <x:v>05.1</x:v>
      </x:c>
      <x:c r="C22" s="19" t="str">
        <x:v>WS-01-B02</x:v>
      </x:c>
      <x:c r="D22" s="19" t="str">
        <x:v>Cipők; magas csizmák alsó 540 mm</x:v>
      </x:c>
      <x:c r="E22" s="19" t="n">
        <x:v>559</x:v>
      </x:c>
      <x:c r="F22" s="19" t="n">
        <x:v>423</x:v>
      </x:c>
      <x:c r="G22" s="19" t="n">
        <x:v>7</x:v>
      </x:c>
      <x:c r="H22" s="19" t="n">
        <x:v>0</x:v>
      </x:c>
      <x:c r="I22" s="19" t="n">
        <x:v>0</x:v>
      </x:c>
      <x:c r="J22" s="19" t="n">
        <x:v>459</x:v>
      </x:c>
      <x:c r="K22" s="19" t="n">
        <x:v>350</x:v>
      </x:c>
      <x:c r="L22" s="19" t="n">
        <x:v>150</x:v>
      </x:c>
      <x:c r="M22" s="19" t="n">
        <x:v>0</x:v>
      </x:c>
      <x:c r="N22" s="51" t="n">
        <x:f>H22/1000</x:f>
        <x:v>0</x:v>
      </x:c>
      <x:c r="O22" s="51" t="n">
        <x:f>E22*F22*G22/1000000</x:f>
        <x:v>1.655199</x:v>
      </x:c>
      <x:c r="P22" s="51" t="n">
        <x:f>I22*J22*K22*L22/1000000-M22</x:f>
        <x:v>0</x:v>
      </x:c>
      <x:c r="Q22" s="52" t="n">
        <x:v>0.25</x:v>
      </x:c>
      <x:c r="R22" s="19" t="n">
        <x:f>P22*(1-Q22)</x:f>
        <x:v>0</x:v>
      </x:c>
      <x:c r="S22" s="19" t="str">
        <x:v>Tervi belméret; vasalat és teherpróba előtt nem gyártási méret</x:v>
      </x:c>
    </x:row>
    <x:row r="23" ht="48" customHeight="1">
      <x:c r="A23" s="19" t="str">
        <x:v>WS-01</x:v>
      </x:c>
      <x:c r="B23" s="19" t="str">
        <x:v>05.1</x:v>
      </x:c>
      <x:c r="C23" s="19" t="str">
        <x:v>WS-01-B03</x:v>
      </x:c>
      <x:c r="D23" s="19" t="str">
        <x:v>Táskák + négy fiók</x:v>
      </x:c>
      <x:c r="E23" s="19" t="n">
        <x:v>559</x:v>
      </x:c>
      <x:c r="F23" s="19" t="n">
        <x:v>423</x:v>
      </x:c>
      <x:c r="G23" s="19" t="n">
        <x:v>5</x:v>
      </x:c>
      <x:c r="H23" s="19" t="n">
        <x:v>0</x:v>
      </x:c>
      <x:c r="I23" s="19" t="n">
        <x:v>4</x:v>
      </x:c>
      <x:c r="J23" s="19" t="n">
        <x:v>459</x:v>
      </x:c>
      <x:c r="K23" s="19" t="n">
        <x:v>350</x:v>
      </x:c>
      <x:c r="L23" s="19" t="n">
        <x:v>150</x:v>
      </x:c>
      <x:c r="M23" s="19" t="n">
        <x:v>0</x:v>
      </x:c>
      <x:c r="N23" s="51" t="n">
        <x:f>H23/1000</x:f>
        <x:v>0</x:v>
      </x:c>
      <x:c r="O23" s="51" t="n">
        <x:f>E23*F23*G23/1000000</x:f>
        <x:v>1.182285</x:v>
      </x:c>
      <x:c r="P23" s="51" t="n">
        <x:f>I23*J23*K23*L23/1000000-M23</x:f>
        <x:v>96.39</x:v>
      </x:c>
      <x:c r="Q23" s="52" t="n">
        <x:v>0.25</x:v>
      </x:c>
      <x:c r="R23" s="19" t="n">
        <x:f>P23*(1-Q23)</x:f>
        <x:v>72.2925</x:v>
      </x:c>
      <x:c r="S23" s="19" t="str">
        <x:v>Tervi belméret; vasalat és teherpróba előtt nem gyártási méret</x:v>
      </x:c>
    </x:row>
    <x:row r="24" ht="48" customHeight="1">
      <x:c r="A24" s="19" t="str">
        <x:v>WS-01</x:v>
      </x:c>
      <x:c r="B24" s="19" t="str">
        <x:v>05.1</x:v>
      </x:c>
      <x:c r="C24" s="19" t="str">
        <x:v>WS-01-B04</x:v>
      </x:c>
      <x:c r="D24" s="19" t="str">
        <x:v>Napi háztartási eszközök; felső zárható vegyszer</x:v>
      </x:c>
      <x:c r="E24" s="19" t="n">
        <x:v>559</x:v>
      </x:c>
      <x:c r="F24" s="19" t="n">
        <x:v>423</x:v>
      </x:c>
      <x:c r="G24" s="19" t="n">
        <x:v>2</x:v>
      </x:c>
      <x:c r="H24" s="19" t="n">
        <x:v>0</x:v>
      </x:c>
      <x:c r="I24" s="19" t="n">
        <x:v>0</x:v>
      </x:c>
      <x:c r="J24" s="19" t="n">
        <x:v>459</x:v>
      </x:c>
      <x:c r="K24" s="19" t="n">
        <x:v>350</x:v>
      </x:c>
      <x:c r="L24" s="19" t="n">
        <x:v>150</x:v>
      </x:c>
      <x:c r="M24" s="19" t="n">
        <x:v>0</x:v>
      </x:c>
      <x:c r="N24" s="51" t="n">
        <x:f>H24/1000</x:f>
        <x:v>0</x:v>
      </x:c>
      <x:c r="O24" s="51" t="n">
        <x:f>E24*F24*G24/1000000</x:f>
        <x:v>0.472914</x:v>
      </x:c>
      <x:c r="P24" s="51" t="n">
        <x:f>I24*J24*K24*L24/1000000-M24</x:f>
        <x:v>0</x:v>
      </x:c>
      <x:c r="Q24" s="52" t="n">
        <x:v>0.25</x:v>
      </x:c>
      <x:c r="R24" s="19" t="n">
        <x:f>P24*(1-Q24)</x:f>
        <x:v>0</x:v>
      </x:c>
      <x:c r="S24" s="19" t="str">
        <x:v>Tervi belméret; vasalat és teherpróba előtt nem gyártási méret</x:v>
      </x:c>
    </x:row>
    <x:row r="25" ht="48" customHeight="1">
      <x:c r="A25" s="19" t="str">
        <x:v>NT-L</x:v>
      </x:c>
      <x:c r="B25" s="19" t="str">
        <x:v>05.1</x:v>
      </x:c>
      <x:c r="C25" s="19" t="str">
        <x:v>NT-L-B01</x:v>
      </x:c>
      <x:c r="D25" s="19" t="str">
        <x:v>Két éjjeli fiók</x:v>
      </x:c>
      <x:c r="E25" s="19" t="n">
        <x:v>264</x:v>
      </x:c>
      <x:c r="F25" s="19" t="n">
        <x:v>363</x:v>
      </x:c>
      <x:c r="G25" s="19" t="n">
        <x:v>0</x:v>
      </x:c>
      <x:c r="H25" s="19" t="n">
        <x:v>0</x:v>
      </x:c>
      <x:c r="I25" s="19" t="n">
        <x:v>2</x:v>
      </x:c>
      <x:c r="J25" s="19" t="n">
        <x:v>164</x:v>
      </x:c>
      <x:c r="K25" s="19" t="n">
        <x:v>300</x:v>
      </x:c>
      <x:c r="L25" s="19" t="n">
        <x:v>140</x:v>
      </x:c>
      <x:c r="M25" s="19" t="n">
        <x:v>0</x:v>
      </x:c>
      <x:c r="N25" s="51" t="n">
        <x:f>H25/1000</x:f>
        <x:v>0</x:v>
      </x:c>
      <x:c r="O25" s="51" t="n">
        <x:f>E25*F25*G25/1000000</x:f>
        <x:v>0</x:v>
      </x:c>
      <x:c r="P25" s="51" t="n">
        <x:f>I25*J25*K25*L25/1000000-M25</x:f>
        <x:v>13.776</x:v>
      </x:c>
      <x:c r="Q25" s="52" t="n">
        <x:v>0.25</x:v>
      </x:c>
      <x:c r="R25" s="19" t="n">
        <x:f>P25*(1-Q25)</x:f>
        <x:v>10.332</x:v>
      </x:c>
      <x:c r="S25" s="19" t="str">
        <x:v>Tervi belméret; vasalat és teherpróba előtt nem gyártási méret</x:v>
      </x:c>
    </x:row>
    <x:row r="26" ht="48" customHeight="1">
      <x:c r="A26" s="19" t="str">
        <x:v>NT-R</x:v>
      </x:c>
      <x:c r="B26" s="19" t="str">
        <x:v>05.1</x:v>
      </x:c>
      <x:c r="C26" s="19" t="str">
        <x:v>NT-R-B01</x:v>
      </x:c>
      <x:c r="D26" s="19" t="str">
        <x:v>Két éjjeli fiók</x:v>
      </x:c>
      <x:c r="E26" s="19" t="n">
        <x:v>264</x:v>
      </x:c>
      <x:c r="F26" s="19" t="n">
        <x:v>363</x:v>
      </x:c>
      <x:c r="G26" s="19" t="n">
        <x:v>0</x:v>
      </x:c>
      <x:c r="H26" s="19" t="n">
        <x:v>0</x:v>
      </x:c>
      <x:c r="I26" s="19" t="n">
        <x:v>2</x:v>
      </x:c>
      <x:c r="J26" s="19" t="n">
        <x:v>164</x:v>
      </x:c>
      <x:c r="K26" s="19" t="n">
        <x:v>300</x:v>
      </x:c>
      <x:c r="L26" s="19" t="n">
        <x:v>140</x:v>
      </x:c>
      <x:c r="M26" s="19" t="n">
        <x:v>0</x:v>
      </x:c>
      <x:c r="N26" s="51" t="n">
        <x:f>H26/1000</x:f>
        <x:v>0</x:v>
      </x:c>
      <x:c r="O26" s="51" t="n">
        <x:f>E26*F26*G26/1000000</x:f>
        <x:v>0</x:v>
      </x:c>
      <x:c r="P26" s="51" t="n">
        <x:f>I26*J26*K26*L26/1000000-M26</x:f>
        <x:v>13.776</x:v>
      </x:c>
      <x:c r="Q26" s="52" t="n">
        <x:v>0.25</x:v>
      </x:c>
      <x:c r="R26" s="19" t="n">
        <x:f>P26*(1-Q26)</x:f>
        <x:v>10.332</x:v>
      </x:c>
      <x:c r="S26" s="19" t="str">
        <x:v>Tervi belméret; vasalat és teherpróba előtt nem gyártási méret</x:v>
      </x:c>
    </x:row>
    <x:row r="27" ht="48" customHeight="1">
      <x:c r="A27" s="19" t="str">
        <x:v>W52-01</x:v>
      </x:c>
      <x:c r="B27" s="19" t="str">
        <x:v>05.2</x:v>
      </x:c>
      <x:c r="C27" s="19" t="str">
        <x:v>W52-01-B01</x:v>
      </x:c>
      <x:c r="D27" s="19" t="str">
        <x:v>Felnőtt ruhatöbblet; dupla rúd, felső lift</x:v>
      </x:c>
      <x:c r="E27" s="19" t="n">
        <x:v>559</x:v>
      </x:c>
      <x:c r="F27" s="19" t="n">
        <x:v>543</x:v>
      </x:c>
      <x:c r="G27" s="19" t="n">
        <x:v>2</x:v>
      </x:c>
      <x:c r="H27" s="19" t="n">
        <x:v>918</x:v>
      </x:c>
      <x:c r="I27" s="19" t="n">
        <x:v>0</x:v>
      </x:c>
      <x:c r="J27" s="19" t="n">
        <x:v>459</x:v>
      </x:c>
      <x:c r="K27" s="19" t="n">
        <x:v>450</x:v>
      </x:c>
      <x:c r="L27" s="19" t="n">
        <x:v>150</x:v>
      </x:c>
      <x:c r="M27" s="19" t="n">
        <x:v>0</x:v>
      </x:c>
      <x:c r="N27" s="51" t="n">
        <x:f>H27/1000</x:f>
        <x:v>0.918</x:v>
      </x:c>
      <x:c r="O27" s="51" t="n">
        <x:f>E27*F27*G27/1000000</x:f>
        <x:v>0.607074</x:v>
      </x:c>
      <x:c r="P27" s="51" t="n">
        <x:f>I27*J27*K27*L27/1000000-M27</x:f>
        <x:v>0</x:v>
      </x:c>
      <x:c r="Q27" s="52" t="n">
        <x:v>0.25</x:v>
      </x:c>
      <x:c r="R27" s="19" t="n">
        <x:f>P27*(1-Q27)</x:f>
        <x:v>0</x:v>
      </x:c>
      <x:c r="S27" s="19" t="str">
        <x:v>Tervi belméret; vasalat és teherpróba előtt nem gyártási méret</x:v>
      </x:c>
    </x:row>
    <x:row r="28" ht="48" customHeight="1">
      <x:c r="A28" s="19" t="str">
        <x:v>W52-01</x:v>
      </x:c>
      <x:c r="B28" s="19" t="str">
        <x:v>05.2</x:v>
      </x:c>
      <x:c r="C28" s="19" t="str">
        <x:v>W52-01-B02</x:v>
      </x:c>
      <x:c r="D28" s="19" t="str">
        <x:v>Hosszú ruhák; később alacsony gyerekrúd</x:v>
      </x:c>
      <x:c r="E28" s="19" t="n">
        <x:v>559</x:v>
      </x:c>
      <x:c r="F28" s="19" t="n">
        <x:v>543</x:v>
      </x:c>
      <x:c r="G28" s="19" t="n">
        <x:v>1</x:v>
      </x:c>
      <x:c r="H28" s="19" t="n">
        <x:v>519</x:v>
      </x:c>
      <x:c r="I28" s="19" t="n">
        <x:v>0</x:v>
      </x:c>
      <x:c r="J28" s="19" t="n">
        <x:v>459</x:v>
      </x:c>
      <x:c r="K28" s="19" t="n">
        <x:v>450</x:v>
      </x:c>
      <x:c r="L28" s="19" t="n">
        <x:v>150</x:v>
      </x:c>
      <x:c r="M28" s="19" t="n">
        <x:v>0</x:v>
      </x:c>
      <x:c r="N28" s="51" t="n">
        <x:f>H28/1000</x:f>
        <x:v>0.519</x:v>
      </x:c>
      <x:c r="O28" s="51" t="n">
        <x:f>E28*F28*G28/1000000</x:f>
        <x:v>0.303537</x:v>
      </x:c>
      <x:c r="P28" s="51" t="n">
        <x:f>I28*J28*K28*L28/1000000-M28</x:f>
        <x:v>0</x:v>
      </x:c>
      <x:c r="Q28" s="52" t="n">
        <x:v>0.25</x:v>
      </x:c>
      <x:c r="R28" s="19" t="n">
        <x:f>P28*(1-Q28)</x:f>
        <x:v>0</x:v>
      </x:c>
      <x:c r="S28" s="19" t="str">
        <x:v>Tervi belméret; vasalat és teherpróba előtt nem gyártási méret</x:v>
      </x:c>
    </x:row>
    <x:row r="29" ht="48" customHeight="1">
      <x:c r="A29" s="19" t="str">
        <x:v>W52-01</x:v>
      </x:c>
      <x:c r="B29" s="19" t="str">
        <x:v>05.2</x:v>
      </x:c>
      <x:c r="C29" s="19" t="str">
        <x:v>W52-01-B03</x:v>
      </x:c>
      <x:c r="D29" s="19" t="str">
        <x:v>Négy fiók; hajtogatott ruhák</x:v>
      </x:c>
      <x:c r="E29" s="19" t="n">
        <x:v>559</x:v>
      </x:c>
      <x:c r="F29" s="19" t="n">
        <x:v>543</x:v>
      </x:c>
      <x:c r="G29" s="19" t="n">
        <x:v>5</x:v>
      </x:c>
      <x:c r="H29" s="19" t="n">
        <x:v>0</x:v>
      </x:c>
      <x:c r="I29" s="19" t="n">
        <x:v>4</x:v>
      </x:c>
      <x:c r="J29" s="19" t="n">
        <x:v>459</x:v>
      </x:c>
      <x:c r="K29" s="19" t="n">
        <x:v>450</x:v>
      </x:c>
      <x:c r="L29" s="19" t="n">
        <x:v>150</x:v>
      </x:c>
      <x:c r="M29" s="19" t="n">
        <x:v>0.030000000000001137</x:v>
      </x:c>
      <x:c r="N29" s="51" t="n">
        <x:f>H29/1000</x:f>
        <x:v>0</x:v>
      </x:c>
      <x:c r="O29" s="51" t="n">
        <x:f>E29*F29*G29/1000000</x:f>
        <x:v>1.517685</x:v>
      </x:c>
      <x:c r="P29" s="51" t="n">
        <x:f>I29*J29*K29*L29/1000000-M29</x:f>
        <x:v>123.9</x:v>
      </x:c>
      <x:c r="Q29" s="52" t="n">
        <x:v>0.25</x:v>
      </x:c>
      <x:c r="R29" s="19" t="n">
        <x:f>P29*(1-Q29)</x:f>
        <x:v>92.92500000000001</x:v>
      </x:c>
      <x:c r="S29" s="19" t="str">
        <x:v>Tervi belméret; vasalat és teherpróba előtt nem gyártási méret</x:v>
      </x:c>
    </x:row>
    <x:row r="30" ht="48" customHeight="1">
      <x:c r="A30" s="19" t="str">
        <x:v>W52-01</x:v>
      </x:c>
      <x:c r="B30" s="19" t="str">
        <x:v>05.2</x:v>
      </x:c>
      <x:c r="C30" s="19" t="str">
        <x:v>W52-01-B04</x:v>
      </x:c>
      <x:c r="D30" s="19" t="str">
        <x:v>Játék alul; ruhák felül; állítható polc</x:v>
      </x:c>
      <x:c r="E30" s="19" t="n">
        <x:v>559</x:v>
      </x:c>
      <x:c r="F30" s="19" t="n">
        <x:v>543</x:v>
      </x:c>
      <x:c r="G30" s="19" t="n">
        <x:v>6</x:v>
      </x:c>
      <x:c r="H30" s="19" t="n">
        <x:v>0</x:v>
      </x:c>
      <x:c r="I30" s="19" t="n">
        <x:v>0</x:v>
      </x:c>
      <x:c r="J30" s="19" t="n">
        <x:v>459</x:v>
      </x:c>
      <x:c r="K30" s="19" t="n">
        <x:v>450</x:v>
      </x:c>
      <x:c r="L30" s="19" t="n">
        <x:v>150</x:v>
      </x:c>
      <x:c r="M30" s="19" t="n">
        <x:v>0</x:v>
      </x:c>
      <x:c r="N30" s="51" t="n">
        <x:f>H30/1000</x:f>
        <x:v>0</x:v>
      </x:c>
      <x:c r="O30" s="51" t="n">
        <x:f>E30*F30*G30/1000000</x:f>
        <x:v>1.821222</x:v>
      </x:c>
      <x:c r="P30" s="51" t="n">
        <x:f>I30*J30*K30*L30/1000000-M30</x:f>
        <x:v>0</x:v>
      </x:c>
      <x:c r="Q30" s="52" t="n">
        <x:v>0.25</x:v>
      </x:c>
      <x:c r="R30" s="19" t="n">
        <x:f>P30*(1-Q30)</x:f>
        <x:v>0</x:v>
      </x:c>
      <x:c r="S30" s="19" t="str">
        <x:v>Tervi belméret; vasalat és teherpróba előtt nem gyártási méret</x:v>
      </x:c>
    </x:row>
    <x:row r="31" ht="48" customHeight="1">
      <x:c r="A31" s="19" t="str">
        <x:v>W53-01</x:v>
      </x:c>
      <x:c r="B31" s="19" t="str">
        <x:v>05.3</x:v>
      </x:c>
      <x:c r="C31" s="19" t="str">
        <x:v>W53-01-B01</x:v>
      </x:c>
      <x:c r="D31" s="19" t="str">
        <x:v>Vendégruha; előre kihúzható 350 mm rúd</x:v>
      </x:c>
      <x:c r="E31" s="19" t="n">
        <x:v>564</x:v>
      </x:c>
      <x:c r="F31" s="19" t="n">
        <x:v>393</x:v>
      </x:c>
      <x:c r="G31" s="19" t="n">
        <x:v>3</x:v>
      </x:c>
      <x:c r="H31" s="19" t="n">
        <x:v>350</x:v>
      </x:c>
      <x:c r="I31" s="19" t="n">
        <x:v>0</x:v>
      </x:c>
      <x:c r="J31" s="19" t="n">
        <x:v>464</x:v>
      </x:c>
      <x:c r="K31" s="19" t="n">
        <x:v>300</x:v>
      </x:c>
      <x:c r="L31" s="19" t="n">
        <x:v>150</x:v>
      </x:c>
      <x:c r="M31" s="19" t="n">
        <x:v>0</x:v>
      </x:c>
      <x:c r="N31" s="51" t="n">
        <x:f>H31/1000</x:f>
        <x:v>0.35</x:v>
      </x:c>
      <x:c r="O31" s="51" t="n">
        <x:f>E31*F31*G31/1000000</x:f>
        <x:v>0.664956</x:v>
      </x:c>
      <x:c r="P31" s="51" t="n">
        <x:f>I31*J31*K31*L31/1000000-M31</x:f>
        <x:v>0</x:v>
      </x:c>
      <x:c r="Q31" s="52" t="n">
        <x:v>0.25</x:v>
      </x:c>
      <x:c r="R31" s="19" t="n">
        <x:f>P31*(1-Q31)</x:f>
        <x:v>0</x:v>
      </x:c>
      <x:c r="S31" s="19" t="str">
        <x:v>Tervi belméret; vasalat és teherpróba előtt nem gyártási méret</x:v>
      </x:c>
    </x:row>
    <x:row r="32" ht="48" customHeight="1">
      <x:c r="A32" s="19" t="str">
        <x:v>W53-01</x:v>
      </x:c>
      <x:c r="B32" s="19" t="str">
        <x:v>05.3</x:v>
      </x:c>
      <x:c r="C32" s="19" t="str">
        <x:v>W53-01-B02</x:v>
      </x:c>
      <x:c r="D32" s="19" t="str">
        <x:v>Iratok / mappák; 5 állítható polc</x:v>
      </x:c>
      <x:c r="E32" s="19" t="n">
        <x:v>564</x:v>
      </x:c>
      <x:c r="F32" s="19" t="n">
        <x:v>393</x:v>
      </x:c>
      <x:c r="G32" s="19" t="n">
        <x:v>6</x:v>
      </x:c>
      <x:c r="H32" s="19" t="n">
        <x:v>0</x:v>
      </x:c>
      <x:c r="I32" s="19" t="n">
        <x:v>0</x:v>
      </x:c>
      <x:c r="J32" s="19" t="n">
        <x:v>464</x:v>
      </x:c>
      <x:c r="K32" s="19" t="n">
        <x:v>300</x:v>
      </x:c>
      <x:c r="L32" s="19" t="n">
        <x:v>150</x:v>
      </x:c>
      <x:c r="M32" s="19" t="n">
        <x:v>0</x:v>
      </x:c>
      <x:c r="N32" s="51" t="n">
        <x:f>H32/1000</x:f>
        <x:v>0</x:v>
      </x:c>
      <x:c r="O32" s="51" t="n">
        <x:f>E32*F32*G32/1000000</x:f>
        <x:v>1.329912</x:v>
      </x:c>
      <x:c r="P32" s="51" t="n">
        <x:f>I32*J32*K32*L32/1000000-M32</x:f>
        <x:v>0</x:v>
      </x:c>
      <x:c r="Q32" s="52" t="n">
        <x:v>0.25</x:v>
      </x:c>
      <x:c r="R32" s="19" t="n">
        <x:f>P32*(1-Q32)</x:f>
        <x:v>0</x:v>
      </x:c>
      <x:c r="S32" s="19" t="str">
        <x:v>Tervi belméret; vasalat és teherpróba előtt nem gyártási méret</x:v>
      </x:c>
    </x:row>
    <x:row r="33" ht="48" customHeight="1">
      <x:c r="A33" s="19" t="str">
        <x:v>W53-01</x:v>
      </x:c>
      <x:c r="B33" s="19" t="str">
        <x:v>05.3</x:v>
      </x:c>
      <x:c r="C33" s="19" t="str">
        <x:v>W53-01-B03</x:v>
      </x:c>
      <x:c r="D33" s="19" t="str">
        <x:v>Négy fiók; irodaszer / vendégtextil</x:v>
      </x:c>
      <x:c r="E33" s="19" t="n">
        <x:v>564</x:v>
      </x:c>
      <x:c r="F33" s="19" t="n">
        <x:v>393</x:v>
      </x:c>
      <x:c r="G33" s="19" t="n">
        <x:v>5</x:v>
      </x:c>
      <x:c r="H33" s="19" t="n">
        <x:v>0</x:v>
      </x:c>
      <x:c r="I33" s="19" t="n">
        <x:v>4</x:v>
      </x:c>
      <x:c r="J33" s="19" t="n">
        <x:v>464</x:v>
      </x:c>
      <x:c r="K33" s="19" t="n">
        <x:v>300</x:v>
      </x:c>
      <x:c r="L33" s="19" t="n">
        <x:v>150</x:v>
      </x:c>
      <x:c r="M33" s="19" t="n">
        <x:v>0.01999999999999602</x:v>
      </x:c>
      <x:c r="N33" s="51" t="n">
        <x:f>H33/1000</x:f>
        <x:v>0</x:v>
      </x:c>
      <x:c r="O33" s="51" t="n">
        <x:f>E33*F33*G33/1000000</x:f>
        <x:v>1.10826</x:v>
      </x:c>
      <x:c r="P33" s="51" t="n">
        <x:f>I33*J33*K33*L33/1000000-M33</x:f>
        <x:v>83.5</x:v>
      </x:c>
      <x:c r="Q33" s="52" t="n">
        <x:v>0.25</x:v>
      </x:c>
      <x:c r="R33" s="19" t="n">
        <x:f>P33*(1-Q33)</x:f>
        <x:v>62.625</x:v>
      </x:c>
      <x:c r="S33" s="19" t="str">
        <x:v>Tervi belméret; vasalat és teherpróba előtt nem gyártási méret</x:v>
      </x:c>
    </x:row>
    <x:row r="34" ht="48" customHeight="1">
      <x:c r="A34" s="19" t="str">
        <x:v>ENT-01</x:v>
      </x:c>
      <x:c r="B34" s="19" t="str">
        <x:v>01</x:v>
      </x:c>
      <x:c r="C34" s="19" t="str">
        <x:v>ENT-01-B01</x:v>
      </x:c>
      <x:c r="D34" s="19" t="str">
        <x:v>Napi kabát előre kihúzható rúdon</x:v>
      </x:c>
      <x:c r="E34" s="19" t="n">
        <x:v>394</x:v>
      </x:c>
      <x:c r="F34" s="19" t="n">
        <x:v>483</x:v>
      </x:c>
      <x:c r="G34" s="19" t="n">
        <x:v>3</x:v>
      </x:c>
      <x:c r="H34" s="19" t="n">
        <x:v>350</x:v>
      </x:c>
      <x:c r="I34" s="19" t="n">
        <x:v>0</x:v>
      </x:c>
      <x:c r="J34" s="19" t="n">
        <x:v>294</x:v>
      </x:c>
      <x:c r="K34" s="19" t="n">
        <x:v>350</x:v>
      </x:c>
      <x:c r="L34" s="19" t="n">
        <x:v>150</x:v>
      </x:c>
      <x:c r="M34" s="19" t="n">
        <x:v>0</x:v>
      </x:c>
      <x:c r="N34" s="51" t="n">
        <x:f>H34/1000</x:f>
        <x:v>0.35</x:v>
      </x:c>
      <x:c r="O34" s="51" t="n">
        <x:f>E34*F34*G34/1000000</x:f>
        <x:v>0.570906</x:v>
      </x:c>
      <x:c r="P34" s="51" t="n">
        <x:f>I34*J34*K34*L34/1000000-M34</x:f>
        <x:v>0</x:v>
      </x:c>
      <x:c r="Q34" s="52" t="n">
        <x:v>0.25</x:v>
      </x:c>
      <x:c r="R34" s="19" t="n">
        <x:f>P34*(1-Q34)</x:f>
        <x:v>0</x:v>
      </x:c>
      <x:c r="S34" s="19" t="str">
        <x:v>Tervi belméret; vasalat és teherpróba előtt nem gyártási méret</x:v>
      </x:c>
    </x:row>
    <x:row r="35" ht="48" customHeight="1">
      <x:c r="A35" s="19" t="str">
        <x:v>ENT-01</x:v>
      </x:c>
      <x:c r="B35" s="19" t="str">
        <x:v>01</x:v>
      </x:c>
      <x:c r="C35" s="19" t="str">
        <x:v>ENT-01-B02</x:v>
      </x:c>
      <x:c r="D35" s="19" t="str">
        <x:v>Cipő, kutyapóráz, tiszta törlő; zárható felső</x:v>
      </x:c>
      <x:c r="E35" s="19" t="n">
        <x:v>394</x:v>
      </x:c>
      <x:c r="F35" s="19" t="n">
        <x:v>483</x:v>
      </x:c>
      <x:c r="G35" s="19" t="n">
        <x:v>7</x:v>
      </x:c>
      <x:c r="H35" s="19" t="n">
        <x:v>0</x:v>
      </x:c>
      <x:c r="I35" s="19" t="n">
        <x:v>0</x:v>
      </x:c>
      <x:c r="J35" s="19" t="n">
        <x:v>294</x:v>
      </x:c>
      <x:c r="K35" s="19" t="n">
        <x:v>350</x:v>
      </x:c>
      <x:c r="L35" s="19" t="n">
        <x:v>150</x:v>
      </x:c>
      <x:c r="M35" s="19" t="n">
        <x:v>0</x:v>
      </x:c>
      <x:c r="N35" s="51" t="n">
        <x:f>H35/1000</x:f>
        <x:v>0</x:v>
      </x:c>
      <x:c r="O35" s="51" t="n">
        <x:f>E35*F35*G35/1000000</x:f>
        <x:v>1.332114</x:v>
      </x:c>
      <x:c r="P35" s="51" t="n">
        <x:f>I35*J35*K35*L35/1000000-M35</x:f>
        <x:v>0</x:v>
      </x:c>
      <x:c r="Q35" s="52" t="n">
        <x:v>0.25</x:v>
      </x:c>
      <x:c r="R35" s="19" t="n">
        <x:f>P35*(1-Q35)</x:f>
        <x:v>0</x:v>
      </x:c>
      <x:c r="S35" s="19" t="str">
        <x:v>Tervi belméret; vasalat és teherpróba előtt nem gyártási méret</x:v>
      </x:c>
    </x:row>
    <x:row r="36" ht="48" customHeight="1">
      <x:c r="A36" s="19" t="str">
        <x:v>B62-01</x:v>
      </x:c>
      <x:c r="B36" s="19" t="str">
        <x:v>06.2</x:v>
      </x:c>
      <x:c r="C36" s="19" t="str">
        <x:v>B62-01-B01</x:v>
      </x:c>
      <x:c r="D36" s="19" t="str">
        <x:v>Felső szifonos, alsó hajápolás</x:v>
      </x:c>
      <x:c r="E36" s="19" t="n">
        <x:v>864</x:v>
      </x:c>
      <x:c r="F36" s="19" t="n">
        <x:v>473</x:v>
      </x:c>
      <x:c r="G36" s="19" t="n">
        <x:v>0</x:v>
      </x:c>
      <x:c r="H36" s="19" t="n">
        <x:v>0</x:v>
      </x:c>
      <x:c r="I36" s="19" t="n">
        <x:v>2</x:v>
      </x:c>
      <x:c r="J36" s="19" t="n">
        <x:v>764</x:v>
      </x:c>
      <x:c r="K36" s="19" t="n">
        <x:v>400</x:v>
      </x:c>
      <x:c r="L36" s="19" t="n">
        <x:v>120</x:v>
      </x:c>
      <x:c r="M36" s="19" t="n">
        <x:v>6.043999999999997</x:v>
      </x:c>
      <x:c r="N36" s="51" t="n">
        <x:f>H36/1000</x:f>
        <x:v>0</x:v>
      </x:c>
      <x:c r="O36" s="51" t="n">
        <x:f>E36*F36*G36/1000000</x:f>
        <x:v>0</x:v>
      </x:c>
      <x:c r="P36" s="51" t="n">
        <x:f>I36*J36*K36*L36/1000000-M36</x:f>
        <x:v>67.3</x:v>
      </x:c>
      <x:c r="Q36" s="52" t="n">
        <x:v>0.25</x:v>
      </x:c>
      <x:c r="R36" s="19" t="n">
        <x:f>P36*(1-Q36)</x:f>
        <x:v>50.474999999999994</x:v>
      </x:c>
      <x:c r="S36" s="19" t="str">
        <x:v>Tervi belméret; vasalat és teherpróba előtt nem gyártási méret</x:v>
      </x:c>
    </x:row>
    <x:row r="37" ht="48" customHeight="1">
      <x:c r="A37" s="19" t="str">
        <x:v>B62-02</x:v>
      </x:c>
      <x:c r="B37" s="19" t="str">
        <x:v>06.2</x:v>
      </x:c>
      <x:c r="C37" s="19" t="str">
        <x:v>B62-02-B01</x:v>
      </x:c>
      <x:c r="D37" s="19" t="str">
        <x:v>Kis pipere; nem mély flakon</x:v>
      </x:c>
      <x:c r="E37" s="19" t="n">
        <x:v>264</x:v>
      </x:c>
      <x:c r="F37" s="19" t="n">
        <x:v>143</x:v>
      </x:c>
      <x:c r="G37" s="19" t="n">
        <x:v>2</x:v>
      </x:c>
      <x:c r="H37" s="19" t="n">
        <x:v>0</x:v>
      </x:c>
      <x:c r="I37" s="19" t="n">
        <x:v>0</x:v>
      </x:c>
      <x:c r="J37" s="19" t="n">
        <x:v>164</x:v>
      </x:c>
      <x:c r="K37" s="19" t="n">
        <x:v>300</x:v>
      </x:c>
      <x:c r="L37" s="19" t="n">
        <x:v>150</x:v>
      </x:c>
      <x:c r="M37" s="19" t="n">
        <x:v>0</x:v>
      </x:c>
      <x:c r="N37" s="51" t="n">
        <x:f>H37/1000</x:f>
        <x:v>0</x:v>
      </x:c>
      <x:c r="O37" s="51" t="n">
        <x:f>E37*F37*G37/1000000</x:f>
        <x:v>0.075504</x:v>
      </x:c>
      <x:c r="P37" s="51" t="n">
        <x:f>I37*J37*K37*L37/1000000-M37</x:f>
        <x:v>0</x:v>
      </x:c>
      <x:c r="Q37" s="52" t="n">
        <x:v>0.25</x:v>
      </x:c>
      <x:c r="R37" s="19" t="n">
        <x:f>P37*(1-Q37)</x:f>
        <x:v>0</x:v>
      </x:c>
      <x:c r="S37" s="19" t="str">
        <x:v>Tervi belméret; vasalat és teherpróba előtt nem gyártási méret</x:v>
      </x:c>
    </x:row>
    <x:row r="38" ht="48" customHeight="1">
      <x:c r="A38" s="19" t="str">
        <x:v>B61-01</x:v>
      </x:c>
      <x:c r="B38" s="19" t="str">
        <x:v>06.1</x:v>
      </x:c>
      <x:c r="C38" s="19" t="str">
        <x:v>B61-01-B01</x:v>
      </x:c>
      <x:c r="D38" s="19" t="str">
        <x:v>Szifonos felső + alsó törölköző</x:v>
      </x:c>
      <x:c r="E38" s="19" t="n">
        <x:v>564</x:v>
      </x:c>
      <x:c r="F38" s="19" t="n">
        <x:v>393</x:v>
      </x:c>
      <x:c r="G38" s="19" t="n">
        <x:v>0</x:v>
      </x:c>
      <x:c r="H38" s="19" t="n">
        <x:v>0</x:v>
      </x:c>
      <x:c r="I38" s="19" t="n">
        <x:v>2</x:v>
      </x:c>
      <x:c r="J38" s="19" t="n">
        <x:v>464</x:v>
      </x:c>
      <x:c r="K38" s="19" t="n">
        <x:v>300</x:v>
      </x:c>
      <x:c r="L38" s="19" t="n">
        <x:v>120</x:v>
      </x:c>
      <x:c r="M38" s="19" t="n">
        <x:v>6.008000000000003</x:v>
      </x:c>
      <x:c r="N38" s="51" t="n">
        <x:f>H38/1000</x:f>
        <x:v>0</x:v>
      </x:c>
      <x:c r="O38" s="51" t="n">
        <x:f>E38*F38*G38/1000000</x:f>
        <x:v>0</x:v>
      </x:c>
      <x:c r="P38" s="51" t="n">
        <x:f>I38*J38*K38*L38/1000000-M38</x:f>
        <x:v>27.4</x:v>
      </x:c>
      <x:c r="Q38" s="52" t="n">
        <x:v>0.25</x:v>
      </x:c>
      <x:c r="R38" s="19" t="n">
        <x:f>P38*(1-Q38)</x:f>
        <x:v>20.549999999999997</x:v>
      </x:c>
      <x:c r="S38" s="19" t="str">
        <x:v>Tervi belméret; vasalat és teherpróba előtt nem gyártási méret</x:v>
      </x:c>
    </x:row>
    <x:row r="39" ht="48" customHeight="1">
      <x:c r="A39" s="19" t="str">
        <x:v>WC-01</x:v>
      </x:c>
      <x:c r="B39" s="19" t="str">
        <x:v>08</x:v>
      </x:c>
      <x:c r="C39" s="19" t="str">
        <x:v>WC-01-B01</x:v>
      </x:c>
      <x:c r="D39" s="19" t="str">
        <x:v>Papír / tiszta tartalék</x:v>
      </x:c>
      <x:c r="E39" s="19" t="n">
        <x:v>414</x:v>
      </x:c>
      <x:c r="F39" s="19" t="n">
        <x:v>123</x:v>
      </x:c>
      <x:c r="G39" s="19" t="n">
        <x:v>2</x:v>
      </x:c>
      <x:c r="H39" s="19" t="n">
        <x:v>0</x:v>
      </x:c>
      <x:c r="I39" s="19" t="n">
        <x:v>0</x:v>
      </x:c>
      <x:c r="J39" s="19" t="n">
        <x:v>314</x:v>
      </x:c>
      <x:c r="K39" s="19" t="n">
        <x:v>200</x:v>
      </x:c>
      <x:c r="L39" s="19" t="n">
        <x:v>150</x:v>
      </x:c>
      <x:c r="M39" s="19" t="n">
        <x:v>0</x:v>
      </x:c>
      <x:c r="N39" s="51" t="n">
        <x:f>H39/1000</x:f>
        <x:v>0</x:v>
      </x:c>
      <x:c r="O39" s="51" t="n">
        <x:f>E39*F39*G39/1000000</x:f>
        <x:v>0.101844</x:v>
      </x:c>
      <x:c r="P39" s="51" t="n">
        <x:f>I39*J39*K39*L39/1000000-M39</x:f>
        <x:v>0</x:v>
      </x:c>
      <x:c r="Q39" s="52" t="n">
        <x:v>0.25</x:v>
      </x:c>
      <x:c r="R39" s="19" t="n">
        <x:f>P39*(1-Q39)</x:f>
        <x:v>0</x:v>
      </x:c>
      <x:c r="S39" s="19" t="str">
        <x:v>Tervi belméret; vasalat és teherpróba előtt nem gyártási méret</x:v>
      </x:c>
    </x:row>
    <x:row r="40" ht="48" customHeight="1">
      <x:c r="A40" s="19" t="str">
        <x:v>NT-64</x:v>
      </x:c>
      <x:c r="B40" s="19" t="str">
        <x:v>05.2</x:v>
      </x:c>
      <x:c r="C40" s="19" t="str">
        <x:v>NT-64-B01</x:v>
      </x:c>
      <x:c r="D40" s="19" t="str">
        <x:v>Fiók + nyitott rekesz</x:v>
      </x:c>
      <x:c r="E40" s="19" t="n">
        <x:v>314</x:v>
      </x:c>
      <x:c r="F40" s="19" t="n">
        <x:v>293</x:v>
      </x:c>
      <x:c r="G40" s="19" t="n">
        <x:v>1</x:v>
      </x:c>
      <x:c r="H40" s="19" t="n">
        <x:v>0</x:v>
      </x:c>
      <x:c r="I40" s="19" t="n">
        <x:v>1</x:v>
      </x:c>
      <x:c r="J40" s="19" t="n">
        <x:v>214</x:v>
      </x:c>
      <x:c r="K40" s="19" t="n">
        <x:v>200</x:v>
      </x:c>
      <x:c r="L40" s="19" t="n">
        <x:v>140</x:v>
      </x:c>
      <x:c r="M40" s="19" t="n">
        <x:v>0</x:v>
      </x:c>
      <x:c r="N40" s="51" t="n">
        <x:f>H40/1000</x:f>
        <x:v>0</x:v>
      </x:c>
      <x:c r="O40" s="51" t="n">
        <x:f>E40*F40*G40/1000000</x:f>
        <x:v>0.092002</x:v>
      </x:c>
      <x:c r="P40" s="51" t="n">
        <x:f>I40*J40*K40*L40/1000000-M40</x:f>
        <x:v>5.992</x:v>
      </x:c>
      <x:c r="Q40" s="52" t="n">
        <x:v>0.25</x:v>
      </x:c>
      <x:c r="R40" s="19" t="n">
        <x:f>P40*(1-Q40)</x:f>
        <x:v>4.494</x:v>
      </x:c>
      <x:c r="S40" s="19" t="str">
        <x:v>Tervi belméret; vasalat és teherpróba előtt nem gyártási méret</x:v>
      </x:c>
    </x:row>
    <x:row r="41" ht="48" customHeight="1">
      <x:c r="A41" s="19" t="str">
        <x:v>NT-76</x:v>
      </x:c>
      <x:c r="B41" s="19" t="str">
        <x:v>05.3</x:v>
      </x:c>
      <x:c r="C41" s="19" t="str">
        <x:v>NT-76-B01</x:v>
      </x:c>
      <x:c r="D41" s="19" t="str">
        <x:v>Fiók + nyitott rekesz</x:v>
      </x:c>
      <x:c r="E41" s="19" t="n">
        <x:v>314</x:v>
      </x:c>
      <x:c r="F41" s="19" t="n">
        <x:v>293</x:v>
      </x:c>
      <x:c r="G41" s="19" t="n">
        <x:v>1</x:v>
      </x:c>
      <x:c r="H41" s="19" t="n">
        <x:v>0</x:v>
      </x:c>
      <x:c r="I41" s="19" t="n">
        <x:v>1</x:v>
      </x:c>
      <x:c r="J41" s="19" t="n">
        <x:v>214</x:v>
      </x:c>
      <x:c r="K41" s="19" t="n">
        <x:v>200</x:v>
      </x:c>
      <x:c r="L41" s="19" t="n">
        <x:v>140</x:v>
      </x:c>
      <x:c r="M41" s="19" t="n">
        <x:v>0</x:v>
      </x:c>
      <x:c r="N41" s="51" t="n">
        <x:f>H41/1000</x:f>
        <x:v>0</x:v>
      </x:c>
      <x:c r="O41" s="51" t="n">
        <x:f>E41*F41*G41/1000000</x:f>
        <x:v>0.092002</x:v>
      </x:c>
      <x:c r="P41" s="51" t="n">
        <x:f>I41*J41*K41*L41/1000000-M41</x:f>
        <x:v>5.992</x:v>
      </x:c>
      <x:c r="Q41" s="52" t="n">
        <x:v>0.25</x:v>
      </x:c>
      <x:c r="R41" s="19" t="n">
        <x:f>P41*(1-Q41)</x:f>
        <x:v>4.494</x:v>
      </x:c>
      <x:c r="S41" s="19" t="str">
        <x:v>Tervi belméret; vasalat és teherpróba előtt nem gyártási méret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1" hidden="0" customWidth="1"/>
    <x:col min="2" max="2" width="15" hidden="0" customWidth="1"/>
    <x:col min="3" max="3" width="23" hidden="0" customWidth="1"/>
    <x:col min="4" max="4" width="16" hidden="0" customWidth="1"/>
    <x:col min="5" max="5" width="14" hidden="0" customWidth="1"/>
    <x:col min="6" max="6" width="12" hidden="0" customWidth="1"/>
    <x:col min="7" max="7" width="45" hidden="0" customWidth="1"/>
    <x:col min="8" max="8" width="50" hidden="0" customWidth="1"/>
    <x:col min="9" max="9" width="65" hidden="0" customWidth="1"/>
    <x:col min="10" max="10" width="55" hidden="0" customWidth="1"/>
    <x:col min="11" max="11" width="65" hidden="0" customWidth="1"/>
  </x:cols>
  <x:sheetData>
    <x:row r="1" ht="48" customHeight="1">
      <x:c r="A1" s="57" t="str">
        <x:v>Fénykód</x:v>
      </x:c>
      <x:c r="B1" s="57" t="str">
        <x:v>Elem</x:v>
      </x:c>
      <x:c r="C1" s="57" t="str">
        <x:v>Rekesz</x:v>
      </x:c>
      <x:c r="D1" s="57" t="str">
        <x:v>Magasság mm</x:v>
      </x:c>
      <x:c r="E1" s="57" t="str">
        <x:v>Hossz mm</x:v>
      </x:c>
      <x:c r="F1" s="57" t="str">
        <x:v>W</x:v>
      </x:c>
      <x:c r="G1" s="57" t="str">
        <x:v>SKU</x:v>
      </x:c>
      <x:c r="H1" s="57" t="str">
        <x:v>Kelvin / CRI</x:v>
      </x:c>
      <x:c r="I1" s="57" t="str">
        <x:v>Kábelút</x:v>
      </x:c>
      <x:c r="J1" s="57" t="str">
        <x:v>Vezérlés</x:v>
      </x:c>
      <x:c r="K1" s="57" t="str">
        <x:v>Szerviz</x:v>
      </x:c>
    </x:row>
    <x:row r="2" ht="48" customHeight="1">
      <x:c r="A2" s="19" t="str">
        <x:v>L-K-01-B01-2070</x:v>
      </x:c>
      <x:c r="B2" s="19" t="str">
        <x:v>K-01</x:v>
      </x:c>
      <x:c r="C2" s="19" t="str">
        <x:v>K-01-B01</x:v>
      </x:c>
      <x:c r="D2" s="19" t="n">
        <x:v>2070</x:v>
      </x:c>
      <x:c r="E2" s="19" t="n">
        <x:v>460</x:v>
      </x:c>
      <x:c r="F2" s="19" t="n">
        <x:v>2.3</x:v>
      </x:c>
      <x:c r="G2" s="19" t="str">
        <x:v>305.890.98</x:v>
      </x:c>
      <x:c r="H2" s="19" t="str">
        <x:v>EPREL ellenőrzésre vár; próbaminta kötelező / nem igazolt ebben a forrásban</x:v>
      </x:c>
      <x:c r="I2" s="19" t="str">
        <x:v>meglévő helyiség dugaljának bemérése → hozzáférhető felső tápegység → oldalsó 24 V csatorna → polc alatti frontközeli lámpa</x:v>
      </x:c>
      <x:c r="J2" s="19" t="str">
        <x:v>ajtónyitás: funkcionális fény; bezárás: ki; külön a Hue hangulatfénytől</x:v>
      </x:c>
      <x:c r="K2" s="19" t="str">
        <x:v>felső rekeszben levehető 300×100 mm fedél, hozzáférés létráról; nem ruhával takart tápegység</x:v>
      </x:c>
    </x:row>
    <x:row r="3" ht="48" customHeight="1">
      <x:c r="A3" s="19" t="str">
        <x:v>L-K-01-B01-2350</x:v>
      </x:c>
      <x:c r="B3" s="19" t="str">
        <x:v>K-01</x:v>
      </x:c>
      <x:c r="C3" s="19" t="str">
        <x:v>K-01-B01</x:v>
      </x:c>
      <x:c r="D3" s="19" t="n">
        <x:v>2350</x:v>
      </x:c>
      <x:c r="E3" s="19" t="n">
        <x:v>460</x:v>
      </x:c>
      <x:c r="F3" s="19" t="n">
        <x:v>2.3</x:v>
      </x:c>
      <x:c r="G3" s="19" t="str">
        <x:v>305.890.98</x:v>
      </x:c>
      <x:c r="H3" s="19" t="str">
        <x:v>EPREL ellenőrzésre vár; próbaminta kötelező / nem igazolt ebben a forrásban</x:v>
      </x:c>
      <x:c r="I3" s="19" t="str">
        <x:v>meglévő helyiség dugaljának bemérése → hozzáférhető felső tápegység → oldalsó 24 V csatorna → polc alatti frontközeli lámpa</x:v>
      </x:c>
      <x:c r="J3" s="19" t="str">
        <x:v>ajtónyitás: funkcionális fény; bezárás: ki; külön a Hue hangulatfénytől</x:v>
      </x:c>
      <x:c r="K3" s="19" t="str">
        <x:v>felső rekeszben levehető 300×100 mm fedél, hozzáférés létráról; nem ruhával takart tápegység</x:v>
      </x:c>
    </x:row>
    <x:row r="4" ht="48" customHeight="1">
      <x:c r="A4" s="19" t="str">
        <x:v>L-K-02-B01-2350</x:v>
      </x:c>
      <x:c r="B4" s="19" t="str">
        <x:v>K-02</x:v>
      </x:c>
      <x:c r="C4" s="19" t="str">
        <x:v>K-02-B01</x:v>
      </x:c>
      <x:c r="D4" s="19" t="n">
        <x:v>2350</x:v>
      </x:c>
      <x:c r="E4" s="19" t="n">
        <x:v>460</x:v>
      </x:c>
      <x:c r="F4" s="19" t="n">
        <x:v>2.3</x:v>
      </x:c>
      <x:c r="G4" s="19" t="str">
        <x:v>305.890.98</x:v>
      </x:c>
      <x:c r="H4" s="19" t="str">
        <x:v>EPREL ellenőrzésre vár; próbaminta kötelező / nem igazolt ebben a forrásban</x:v>
      </x:c>
      <x:c r="I4" s="19" t="str">
        <x:v>meglévő helyiség dugaljának bemérése → hozzáférhető felső tápegység → oldalsó 24 V csatorna → polc alatti frontközeli lámpa</x:v>
      </x:c>
      <x:c r="J4" s="19" t="str">
        <x:v>ajtónyitás: funkcionális fény; bezárás: ki; külön a Hue hangulatfénytől</x:v>
      </x:c>
      <x:c r="K4" s="19" t="str">
        <x:v>felső rekeszben levehető 300×100 mm fedél, hozzáférés létráról; nem ruhával takart tápegység</x:v>
      </x:c>
    </x:row>
    <x:row r="5" ht="48" customHeight="1">
      <x:c r="A5" s="19" t="str">
        <x:v>L-K-07-B01-570</x:v>
      </x:c>
      <x:c r="B5" s="19" t="str">
        <x:v>K-07</x:v>
      </x:c>
      <x:c r="C5" s="19" t="str">
        <x:v>K-07-B01</x:v>
      </x:c>
      <x:c r="D5" s="19" t="n">
        <x:v>570</x:v>
      </x:c>
      <x:c r="E5" s="19" t="n">
        <x:v>460</x:v>
      </x:c>
      <x:c r="F5" s="19" t="n">
        <x:v>2.3</x:v>
      </x:c>
      <x:c r="G5" s="19" t="str">
        <x:v>305.890.98</x:v>
      </x:c>
      <x:c r="H5" s="19" t="str">
        <x:v>EPREL ellenőrzésre vár; próbaminta kötelező / nem igazolt ebben a forrásban</x:v>
      </x:c>
      <x:c r="I5" s="19" t="str">
        <x:v>meglévő helyiség dugaljának bemérése → hozzáférhető felső tápegység → oldalsó 24 V csatorna → polc alatti frontközeli lámpa</x:v>
      </x:c>
      <x:c r="J5" s="19" t="str">
        <x:v>ajtónyitás: funkcionális fény; bezárás: ki; külön a Hue hangulatfénytől</x:v>
      </x:c>
      <x:c r="K5" s="19" t="str">
        <x:v>felső rekeszben levehető 300×100 mm fedél, hozzáférés létráról; nem ruhával takart tápegység</x:v>
      </x:c>
    </x:row>
    <x:row r="6" ht="48" customHeight="1">
      <x:c r="A6" s="19" t="str">
        <x:v>L-K-07-B01-850</x:v>
      </x:c>
      <x:c r="B6" s="19" t="str">
        <x:v>K-07</x:v>
      </x:c>
      <x:c r="C6" s="19" t="str">
        <x:v>K-07-B01</x:v>
      </x:c>
      <x:c r="D6" s="19" t="n">
        <x:v>850</x:v>
      </x:c>
      <x:c r="E6" s="19" t="n">
        <x:v>460</x:v>
      </x:c>
      <x:c r="F6" s="19" t="n">
        <x:v>2.3</x:v>
      </x:c>
      <x:c r="G6" s="19" t="str">
        <x:v>305.890.98</x:v>
      </x:c>
      <x:c r="H6" s="19" t="str">
        <x:v>EPREL ellenőrzésre vár; próbaminta kötelező / nem igazolt ebben a forrásban</x:v>
      </x:c>
      <x:c r="I6" s="19" t="str">
        <x:v>meglévő helyiség dugaljának bemérése → hozzáférhető felső tápegység → oldalsó 24 V csatorna → polc alatti frontközeli lámpa</x:v>
      </x:c>
      <x:c r="J6" s="19" t="str">
        <x:v>ajtónyitás: funkcionális fény; bezárás: ki; külön a Hue hangulatfénytől</x:v>
      </x:c>
      <x:c r="K6" s="19" t="str">
        <x:v>felső rekeszben levehető 300×100 mm fedél, hozzáférés létráról; nem ruhával takart tápegység</x:v>
      </x:c>
    </x:row>
    <x:row r="7" ht="48" customHeight="1">
      <x:c r="A7" s="19" t="str">
        <x:v>L-K-07-B02-570</x:v>
      </x:c>
      <x:c r="B7" s="19" t="str">
        <x:v>K-07</x:v>
      </x:c>
      <x:c r="C7" s="19" t="str">
        <x:v>K-07-B02</x:v>
      </x:c>
      <x:c r="D7" s="19" t="n">
        <x:v>570</x:v>
      </x:c>
      <x:c r="E7" s="19" t="n">
        <x:v>460</x:v>
      </x:c>
      <x:c r="F7" s="19" t="n">
        <x:v>2.3</x:v>
      </x:c>
      <x:c r="G7" s="19" t="str">
        <x:v>305.890.98</x:v>
      </x:c>
      <x:c r="H7" s="19" t="str">
        <x:v>EPREL ellenőrzésre vár; próbaminta kötelező / nem igazolt ebben a forrásban</x:v>
      </x:c>
      <x:c r="I7" s="19" t="str">
        <x:v>meglévő helyiség dugaljának bemérése → hozzáférhető felső tápegység → oldalsó 24 V csatorna → polc alatti frontközeli lámpa</x:v>
      </x:c>
      <x:c r="J7" s="19" t="str">
        <x:v>ajtónyitás: funkcionális fény; bezárás: ki; külön a Hue hangulatfénytől</x:v>
      </x:c>
      <x:c r="K7" s="19" t="str">
        <x:v>felső rekeszben levehető 300×100 mm fedél, hozzáférés létráról; nem ruhával takart tápegység</x:v>
      </x:c>
    </x:row>
    <x:row r="8" ht="48" customHeight="1">
      <x:c r="A8" s="19" t="str">
        <x:v>L-K-07-B02-850</x:v>
      </x:c>
      <x:c r="B8" s="19" t="str">
        <x:v>K-07</x:v>
      </x:c>
      <x:c r="C8" s="19" t="str">
        <x:v>K-07-B02</x:v>
      </x:c>
      <x:c r="D8" s="19" t="n">
        <x:v>850</x:v>
      </x:c>
      <x:c r="E8" s="19" t="n">
        <x:v>460</x:v>
      </x:c>
      <x:c r="F8" s="19" t="n">
        <x:v>2.3</x:v>
      </x:c>
      <x:c r="G8" s="19" t="str">
        <x:v>305.890.98</x:v>
      </x:c>
      <x:c r="H8" s="19" t="str">
        <x:v>EPREL ellenőrzésre vár; próbaminta kötelező / nem igazolt ebben a forrásban</x:v>
      </x:c>
      <x:c r="I8" s="19" t="str">
        <x:v>meglévő helyiség dugaljának bemérése → hozzáférhető felső tápegység → oldalsó 24 V csatorna → polc alatti frontközeli lámpa</x:v>
      </x:c>
      <x:c r="J8" s="19" t="str">
        <x:v>ajtónyitás: funkcionális fény; bezárás: ki; külön a Hue hangulatfénytől</x:v>
      </x:c>
      <x:c r="K8" s="19" t="str">
        <x:v>felső rekeszben levehető 300×100 mm fedél, hozzáférés létráról; nem ruhával takart tápegység</x:v>
      </x:c>
    </x:row>
    <x:row r="9" ht="48" customHeight="1">
      <x:c r="A9" s="19" t="str">
        <x:v>L-TV-01-B01-770</x:v>
      </x:c>
      <x:c r="B9" s="19" t="str">
        <x:v>TV-01</x:v>
      </x:c>
      <x:c r="C9" s="19" t="str">
        <x:v>TV-01-B01</x:v>
      </x:c>
      <x:c r="D9" s="19" t="n">
        <x:v>770</x:v>
      </x:c>
      <x:c r="E9" s="19" t="n">
        <x:v>250</x:v>
      </x:c>
      <x:c r="F9" s="19" t="n">
        <x:v>1.2</x:v>
      </x:c>
      <x:c r="G9" s="19" t="str">
        <x:v>Loox 3042 833.76.317, 250 mm vágat - HU beszerzés egyeztetendő</x:v>
      </x:c>
      <x:c r="H9" s="19" t="str">
        <x:v>3000 K gyártói katalógus szerint / &gt;90 katalógus szerint</x:v>
      </x:c>
      <x:c r="I9" s="19" t="str">
        <x:v>meglévő helyiség dugaljának bemérése → hozzáférhető felső tápegység → oldalsó 24 V csatorna → polc alatti frontközeli lámpa</x:v>
      </x:c>
      <x:c r="J9" s="19" t="str">
        <x:v>ajtónyitás: funkcionális fény; bezárás: ki; külön a Hue hangulatfénytől</x:v>
      </x:c>
      <x:c r="K9" s="19" t="str">
        <x:v>felső rekeszben levehető 300×100 mm fedél, hozzáférés létráról; nem ruhával takart tápegység</x:v>
      </x:c>
    </x:row>
    <x:row r="10" ht="48" customHeight="1">
      <x:c r="A10" s="19" t="str">
        <x:v>L-TV-01-B01-1570</x:v>
      </x:c>
      <x:c r="B10" s="19" t="str">
        <x:v>TV-01</x:v>
      </x:c>
      <x:c r="C10" s="19" t="str">
        <x:v>TV-01-B01</x:v>
      </x:c>
      <x:c r="D10" s="19" t="n">
        <x:v>1570</x:v>
      </x:c>
      <x:c r="E10" s="19" t="n">
        <x:v>250</x:v>
      </x:c>
      <x:c r="F10" s="19" t="n">
        <x:v>1.2</x:v>
      </x:c>
      <x:c r="G10" s="19" t="str">
        <x:v>Loox 3042 833.76.317, 250 mm vágat - HU beszerzés egyeztetendő</x:v>
      </x:c>
      <x:c r="H10" s="19" t="str">
        <x:v>3000 K gyártói katalógus szerint / &gt;90 katalógus szerint</x:v>
      </x:c>
      <x:c r="I10" s="19" t="str">
        <x:v>meglévő helyiség dugaljának bemérése → hozzáférhető felső tápegység → oldalsó 24 V csatorna → polc alatti frontközeli lámpa</x:v>
      </x:c>
      <x:c r="J10" s="19" t="str">
        <x:v>ajtónyitás: funkcionális fény; bezárás: ki; külön a Hue hangulatfénytől</x:v>
      </x:c>
      <x:c r="K10" s="19" t="str">
        <x:v>felső rekeszben levehető 300×100 mm fedél, hozzáférés létráról; nem ruhával takart tápegység</x:v>
      </x:c>
    </x:row>
    <x:row r="11" ht="48" customHeight="1">
      <x:c r="A11" s="19" t="str">
        <x:v>L-TV-01-B01-2280</x:v>
      </x:c>
      <x:c r="B11" s="19" t="str">
        <x:v>TV-01</x:v>
      </x:c>
      <x:c r="C11" s="19" t="str">
        <x:v>TV-01-B01</x:v>
      </x:c>
      <x:c r="D11" s="19" t="n">
        <x:v>2280</x:v>
      </x:c>
      <x:c r="E11" s="19" t="n">
        <x:v>250</x:v>
      </x:c>
      <x:c r="F11" s="19" t="n">
        <x:v>1.2</x:v>
      </x:c>
      <x:c r="G11" s="19" t="str">
        <x:v>Loox 3042 833.76.317, 250 mm vágat - HU beszerzés egyeztetendő</x:v>
      </x:c>
      <x:c r="H11" s="19" t="str">
        <x:v>3000 K gyártói katalógus szerint / &gt;90 katalógus szerint</x:v>
      </x:c>
      <x:c r="I11" s="19" t="str">
        <x:v>meglévő helyiség dugaljának bemérése → hozzáférhető felső tápegység → oldalsó 24 V csatorna → polc alatti frontközeli lámpa</x:v>
      </x:c>
      <x:c r="J11" s="19" t="str">
        <x:v>ajtónyitás: funkcionális fény; bezárás: ki; külön a Hue hangulatfénytől</x:v>
      </x:c>
      <x:c r="K11" s="19" t="str">
        <x:v>felső rekeszben levehető 300×100 mm fedél, hozzáférés létráról; nem ruhával takart tápegység</x:v>
      </x:c>
    </x:row>
    <x:row r="12" ht="48" customHeight="1">
      <x:c r="A12" s="19" t="str">
        <x:v>L-TV-01-B02-770</x:v>
      </x:c>
      <x:c r="B12" s="19" t="str">
        <x:v>TV-01</x:v>
      </x:c>
      <x:c r="C12" s="19" t="str">
        <x:v>TV-01-B02</x:v>
      </x:c>
      <x:c r="D12" s="19" t="n">
        <x:v>770</x:v>
      </x:c>
      <x:c r="E12" s="19" t="n">
        <x:v>250</x:v>
      </x:c>
      <x:c r="F12" s="19" t="n">
        <x:v>1.2</x:v>
      </x:c>
      <x:c r="G12" s="19" t="str">
        <x:v>Loox 3042 833.76.317, 250 mm vágat - HU beszerzés egyeztetendő</x:v>
      </x:c>
      <x:c r="H12" s="19" t="str">
        <x:v>3000 K gyártói katalógus szerint / &gt;90 katalógus szerint</x:v>
      </x:c>
      <x:c r="I12" s="19" t="str">
        <x:v>meglévő helyiség dugaljának bemérése → hozzáférhető felső tápegység → oldalsó 24 V csatorna → polc alatti frontközeli lámpa</x:v>
      </x:c>
      <x:c r="J12" s="19" t="str">
        <x:v>ajtónyitás: funkcionális fény; bezárás: ki; külön a Hue hangulatfénytől</x:v>
      </x:c>
      <x:c r="K12" s="19" t="str">
        <x:v>felső rekeszben levehető 300×100 mm fedél, hozzáférés létráról; nem ruhával takart tápegység</x:v>
      </x:c>
    </x:row>
    <x:row r="13" ht="48" customHeight="1">
      <x:c r="A13" s="19" t="str">
        <x:v>L-TV-01-B02-1570</x:v>
      </x:c>
      <x:c r="B13" s="19" t="str">
        <x:v>TV-01</x:v>
      </x:c>
      <x:c r="C13" s="19" t="str">
        <x:v>TV-01-B02</x:v>
      </x:c>
      <x:c r="D13" s="19" t="n">
        <x:v>1570</x:v>
      </x:c>
      <x:c r="E13" s="19" t="n">
        <x:v>250</x:v>
      </x:c>
      <x:c r="F13" s="19" t="n">
        <x:v>1.2</x:v>
      </x:c>
      <x:c r="G13" s="19" t="str">
        <x:v>Loox 3042 833.76.317, 250 mm vágat - HU beszerzés egyeztetendő</x:v>
      </x:c>
      <x:c r="H13" s="19" t="str">
        <x:v>3000 K gyártói katalógus szerint / &gt;90 katalógus szerint</x:v>
      </x:c>
      <x:c r="I13" s="19" t="str">
        <x:v>meglévő helyiség dugaljának bemérése → hozzáférhető felső tápegység → oldalsó 24 V csatorna → polc alatti frontközeli lámpa</x:v>
      </x:c>
      <x:c r="J13" s="19" t="str">
        <x:v>ajtónyitás: funkcionális fény; bezárás: ki; külön a Hue hangulatfénytől</x:v>
      </x:c>
      <x:c r="K13" s="19" t="str">
        <x:v>felső rekeszben levehető 300×100 mm fedél, hozzáférés létráról; nem ruhával takart tápegység</x:v>
      </x:c>
    </x:row>
    <x:row r="14" ht="48" customHeight="1">
      <x:c r="A14" s="19" t="str">
        <x:v>L-TV-01-B02-2280</x:v>
      </x:c>
      <x:c r="B14" s="19" t="str">
        <x:v>TV-01</x:v>
      </x:c>
      <x:c r="C14" s="19" t="str">
        <x:v>TV-01-B02</x:v>
      </x:c>
      <x:c r="D14" s="19" t="n">
        <x:v>2280</x:v>
      </x:c>
      <x:c r="E14" s="19" t="n">
        <x:v>250</x:v>
      </x:c>
      <x:c r="F14" s="19" t="n">
        <x:v>1.2</x:v>
      </x:c>
      <x:c r="G14" s="19" t="str">
        <x:v>Loox 3042 833.76.317, 250 mm vágat - HU beszerzés egyeztetendő</x:v>
      </x:c>
      <x:c r="H14" s="19" t="str">
        <x:v>3000 K gyártói katalógus szerint / &gt;90 katalógus szerint</x:v>
      </x:c>
      <x:c r="I14" s="19" t="str">
        <x:v>meglévő helyiség dugaljának bemérése → hozzáférhető felső tápegység → oldalsó 24 V csatorna → polc alatti frontközeli lámpa</x:v>
      </x:c>
      <x:c r="J14" s="19" t="str">
        <x:v>ajtónyitás: funkcionális fény; bezárás: ki; külön a Hue hangulatfénytől</x:v>
      </x:c>
      <x:c r="K14" s="19" t="str">
        <x:v>felső rekeszben levehető 300×100 mm fedél, hozzáférés létráról; nem ruhával takart tápegység</x:v>
      </x:c>
    </x:row>
    <x:row r="15" ht="48" customHeight="1">
      <x:c r="A15" s="19" t="str">
        <x:v>L-WN-01-B01-2320</x:v>
      </x:c>
      <x:c r="B15" s="19" t="str">
        <x:v>WN-01</x:v>
      </x:c>
      <x:c r="C15" s="19" t="str">
        <x:v>WN-01-B01</x:v>
      </x:c>
      <x:c r="D15" s="19" t="n">
        <x:v>2320</x:v>
      </x:c>
      <x:c r="E15" s="19" t="n">
        <x:v>460</x:v>
      </x:c>
      <x:c r="F15" s="19" t="n">
        <x:v>2.3</x:v>
      </x:c>
      <x:c r="G15" s="19" t="str">
        <x:v>305.890.98</x:v>
      </x:c>
      <x:c r="H15" s="19" t="str">
        <x:v>EPREL ellenőrzésre vár; próbaminta kötelező / nem igazolt ebben a forrásban</x:v>
      </x:c>
      <x:c r="I15" s="19" t="str">
        <x:v>meglévő helyiség dugaljának bemérése → hozzáférhető felső tápegység → oldalsó 24 V csatorna → polc alatti frontközeli lámpa</x:v>
      </x:c>
      <x:c r="J15" s="19" t="str">
        <x:v>ajtónyitás: funkcionális fény; bezárás: ki; külön a Hue hangulatfénytől</x:v>
      </x:c>
      <x:c r="K15" s="19" t="str">
        <x:v>felső rekeszben levehető 300×100 mm fedél, hozzáférés létráról; nem ruhával takart tápegység</x:v>
      </x:c>
    </x:row>
    <x:row r="16" ht="48" customHeight="1">
      <x:c r="A16" s="19" t="str">
        <x:v>L-WN-01-B01-2790</x:v>
      </x:c>
      <x:c r="B16" s="19" t="str">
        <x:v>WN-01</x:v>
      </x:c>
      <x:c r="C16" s="19" t="str">
        <x:v>WN-01-B01</x:v>
      </x:c>
      <x:c r="D16" s="19" t="n">
        <x:v>2790</x:v>
      </x:c>
      <x:c r="E16" s="19" t="n">
        <x:v>460</x:v>
      </x:c>
      <x:c r="F16" s="19" t="n">
        <x:v>2.3</x:v>
      </x:c>
      <x:c r="G16" s="19" t="str">
        <x:v>305.890.98</x:v>
      </x:c>
      <x:c r="H16" s="19" t="str">
        <x:v>EPREL ellenőrzésre vár; próbaminta kötelező / nem igazolt ebben a forrásban</x:v>
      </x:c>
      <x:c r="I16" s="19" t="str">
        <x:v>meglévő helyiség dugaljának bemérése → hozzáférhető felső tápegység → oldalsó 24 V csatorna → polc alatti frontközeli lámpa</x:v>
      </x:c>
      <x:c r="J16" s="19" t="str">
        <x:v>ajtónyitás: funkcionális fény; bezárás: ki; külön a Hue hangulatfénytől</x:v>
      </x:c>
      <x:c r="K16" s="19" t="str">
        <x:v>felső rekeszben levehető 300×100 mm fedél, hozzáférés létráról; nem ruhával takart tápegység</x:v>
      </x:c>
    </x:row>
    <x:row r="17" ht="48" customHeight="1">
      <x:c r="A17" s="19" t="str">
        <x:v>L-WN-01-B02-1090</x:v>
      </x:c>
      <x:c r="B17" s="19" t="str">
        <x:v>WN-01</x:v>
      </x:c>
      <x:c r="C17" s="19" t="str">
        <x:v>WN-01-B02</x:v>
      </x:c>
      <x:c r="D17" s="19" t="n">
        <x:v>1090</x:v>
      </x:c>
      <x:c r="E17" s="19" t="n">
        <x:v>460</x:v>
      </x:c>
      <x:c r="F17" s="19" t="n">
        <x:v>2.3</x:v>
      </x:c>
      <x:c r="G17" s="19" t="str">
        <x:v>305.890.98</x:v>
      </x:c>
      <x:c r="H17" s="19" t="str">
        <x:v>EPREL ellenőrzésre vár; próbaminta kötelező / nem igazolt ebben a forrásban</x:v>
      </x:c>
      <x:c r="I17" s="19" t="str">
        <x:v>meglévő helyiség dugaljának bemérése → hozzáférhető felső tápegység → oldalsó 24 V csatorna → polc alatti frontközeli lámpa</x:v>
      </x:c>
      <x:c r="J17" s="19" t="str">
        <x:v>ajtónyitás: funkcionális fény; bezárás: ki; külön a Hue hangulatfénytől</x:v>
      </x:c>
      <x:c r="K17" s="19" t="str">
        <x:v>felső rekeszben levehető 300×100 mm fedél, hozzáférés létráról; nem ruhával takart tápegység</x:v>
      </x:c>
    </x:row>
    <x:row r="18" ht="48" customHeight="1">
      <x:c r="A18" s="19" t="str">
        <x:v>L-WN-01-B02-2320</x:v>
      </x:c>
      <x:c r="B18" s="19" t="str">
        <x:v>WN-01</x:v>
      </x:c>
      <x:c r="C18" s="19" t="str">
        <x:v>WN-01-B02</x:v>
      </x:c>
      <x:c r="D18" s="19" t="n">
        <x:v>2320</x:v>
      </x:c>
      <x:c r="E18" s="19" t="n">
        <x:v>460</x:v>
      </x:c>
      <x:c r="F18" s="19" t="n">
        <x:v>2.3</x:v>
      </x:c>
      <x:c r="G18" s="19" t="str">
        <x:v>305.890.98</x:v>
      </x:c>
      <x:c r="H18" s="19" t="str">
        <x:v>EPREL ellenőrzésre vár; próbaminta kötelező / nem igazolt ebben a forrásban</x:v>
      </x:c>
      <x:c r="I18" s="19" t="str">
        <x:v>meglévő helyiség dugaljának bemérése → hozzáférhető felső tápegység → oldalsó 24 V csatorna → polc alatti frontközeli lámpa</x:v>
      </x:c>
      <x:c r="J18" s="19" t="str">
        <x:v>ajtónyitás: funkcionális fény; bezárás: ki; külön a Hue hangulatfénytől</x:v>
      </x:c>
      <x:c r="K18" s="19" t="str">
        <x:v>felső rekeszben levehető 300×100 mm fedél, hozzáférés létráról; nem ruhával takart tápegység</x:v>
      </x:c>
    </x:row>
    <x:row r="19" ht="48" customHeight="1">
      <x:c r="A19" s="19" t="str">
        <x:v>L-WN-01-B02-2790</x:v>
      </x:c>
      <x:c r="B19" s="19" t="str">
        <x:v>WN-01</x:v>
      </x:c>
      <x:c r="C19" s="19" t="str">
        <x:v>WN-01-B02</x:v>
      </x:c>
      <x:c r="D19" s="19" t="n">
        <x:v>2790</x:v>
      </x:c>
      <x:c r="E19" s="19" t="n">
        <x:v>460</x:v>
      </x:c>
      <x:c r="F19" s="19" t="n">
        <x:v>2.3</x:v>
      </x:c>
      <x:c r="G19" s="19" t="str">
        <x:v>305.890.98</x:v>
      </x:c>
      <x:c r="H19" s="19" t="str">
        <x:v>EPREL ellenőrzésre vár; próbaminta kötelező / nem igazolt ebben a forrásban</x:v>
      </x:c>
      <x:c r="I19" s="19" t="str">
        <x:v>meglévő helyiség dugaljának bemérése → hozzáférhető felső tápegység → oldalsó 24 V csatorna → polc alatti frontközeli lámpa</x:v>
      </x:c>
      <x:c r="J19" s="19" t="str">
        <x:v>ajtónyitás: funkcionális fény; bezárás: ki; külön a Hue hangulatfénytől</x:v>
      </x:c>
      <x:c r="K19" s="19" t="str">
        <x:v>felső rekeszben levehető 300×100 mm fedél, hozzáférés létráról; nem ruhával takart tápegység</x:v>
      </x:c>
    </x:row>
    <x:row r="20" ht="48" customHeight="1">
      <x:c r="A20" s="19" t="str">
        <x:v>L-WN-01-B03-1090</x:v>
      </x:c>
      <x:c r="B20" s="19" t="str">
        <x:v>WN-01</x:v>
      </x:c>
      <x:c r="C20" s="19" t="str">
        <x:v>WN-01-B03</x:v>
      </x:c>
      <x:c r="D20" s="19" t="n">
        <x:v>1090</x:v>
      </x:c>
      <x:c r="E20" s="19" t="n">
        <x:v>460</x:v>
      </x:c>
      <x:c r="F20" s="19" t="n">
        <x:v>2.3</x:v>
      </x:c>
      <x:c r="G20" s="19" t="str">
        <x:v>305.890.98</x:v>
      </x:c>
      <x:c r="H20" s="19" t="str">
        <x:v>EPREL ellenőrzésre vár; próbaminta kötelező / nem igazolt ebben a forrásban</x:v>
      </x:c>
      <x:c r="I20" s="19" t="str">
        <x:v>meglévő helyiség dugaljának bemérése → hozzáférhető felső tápegység → oldalsó 24 V csatorna → polc alatti frontközeli lámpa</x:v>
      </x:c>
      <x:c r="J20" s="19" t="str">
        <x:v>ajtónyitás: funkcionális fény; bezárás: ki; külön a Hue hangulatfénytől</x:v>
      </x:c>
      <x:c r="K20" s="19" t="str">
        <x:v>felső rekeszben levehető 300×100 mm fedél, hozzáférés létráról; nem ruhával takart tápegység</x:v>
      </x:c>
    </x:row>
    <x:row r="21" ht="48" customHeight="1">
      <x:c r="A21" s="19" t="str">
        <x:v>L-WN-01-B03-2320</x:v>
      </x:c>
      <x:c r="B21" s="19" t="str">
        <x:v>WN-01</x:v>
      </x:c>
      <x:c r="C21" s="19" t="str">
        <x:v>WN-01-B03</x:v>
      </x:c>
      <x:c r="D21" s="19" t="n">
        <x:v>2320</x:v>
      </x:c>
      <x:c r="E21" s="19" t="n">
        <x:v>460</x:v>
      </x:c>
      <x:c r="F21" s="19" t="n">
        <x:v>2.3</x:v>
      </x:c>
      <x:c r="G21" s="19" t="str">
        <x:v>305.890.98</x:v>
      </x:c>
      <x:c r="H21" s="19" t="str">
        <x:v>EPREL ellenőrzésre vár; próbaminta kötelező / nem igazolt ebben a forrásban</x:v>
      </x:c>
      <x:c r="I21" s="19" t="str">
        <x:v>meglévő helyiség dugaljának bemérése → hozzáférhető felső tápegység → oldalsó 24 V csatorna → polc alatti frontközeli lámpa</x:v>
      </x:c>
      <x:c r="J21" s="19" t="str">
        <x:v>ajtónyitás: funkcionális fény; bezárás: ki; külön a Hue hangulatfénytől</x:v>
      </x:c>
      <x:c r="K21" s="19" t="str">
        <x:v>felső rekeszben levehető 300×100 mm fedél, hozzáférés létráról; nem ruhával takart tápegység</x:v>
      </x:c>
    </x:row>
    <x:row r="22" ht="48" customHeight="1">
      <x:c r="A22" s="19" t="str">
        <x:v>L-WN-01-B03-2790</x:v>
      </x:c>
      <x:c r="B22" s="19" t="str">
        <x:v>WN-01</x:v>
      </x:c>
      <x:c r="C22" s="19" t="str">
        <x:v>WN-01-B03</x:v>
      </x:c>
      <x:c r="D22" s="19" t="n">
        <x:v>2790</x:v>
      </x:c>
      <x:c r="E22" s="19" t="n">
        <x:v>460</x:v>
      </x:c>
      <x:c r="F22" s="19" t="n">
        <x:v>2.3</x:v>
      </x:c>
      <x:c r="G22" s="19" t="str">
        <x:v>305.890.98</x:v>
      </x:c>
      <x:c r="H22" s="19" t="str">
        <x:v>EPREL ellenőrzésre vár; próbaminta kötelező / nem igazolt ebben a forrásban</x:v>
      </x:c>
      <x:c r="I22" s="19" t="str">
        <x:v>meglévő helyiség dugaljának bemérése → hozzáférhető felső tápegység → oldalsó 24 V csatorna → polc alatti frontközeli lámpa</x:v>
      </x:c>
      <x:c r="J22" s="19" t="str">
        <x:v>ajtónyitás: funkcionális fény; bezárás: ki; külön a Hue hangulatfénytől</x:v>
      </x:c>
      <x:c r="K22" s="19" t="str">
        <x:v>felső rekeszben levehető 300×100 mm fedél, hozzáférés létráról; nem ruhával takart tápegység</x:v>
      </x:c>
    </x:row>
    <x:row r="23" ht="48" customHeight="1">
      <x:c r="A23" s="19" t="str">
        <x:v>L-WN-01-B04-1470</x:v>
      </x:c>
      <x:c r="B23" s="19" t="str">
        <x:v>WN-01</x:v>
      </x:c>
      <x:c r="C23" s="19" t="str">
        <x:v>WN-01-B04</x:v>
      </x:c>
      <x:c r="D23" s="19" t="n">
        <x:v>1470</x:v>
      </x:c>
      <x:c r="E23" s="19" t="n">
        <x:v>460</x:v>
      </x:c>
      <x:c r="F23" s="19" t="n">
        <x:v>2.3</x:v>
      </x:c>
      <x:c r="G23" s="19" t="str">
        <x:v>305.890.98</x:v>
      </x:c>
      <x:c r="H23" s="19" t="str">
        <x:v>EPREL ellenőrzésre vár; próbaminta kötelező / nem igazolt ebben a forrásban</x:v>
      </x:c>
      <x:c r="I23" s="19" t="str">
        <x:v>meglévő helyiség dugaljának bemérése → hozzáférhető felső tápegység → oldalsó 24 V csatorna → polc alatti frontközeli lámpa</x:v>
      </x:c>
      <x:c r="J23" s="19" t="str">
        <x:v>ajtónyitás: funkcionális fény; bezárás: ki; külön a Hue hangulatfénytől</x:v>
      </x:c>
      <x:c r="K23" s="19" t="str">
        <x:v>felső rekeszben levehető 300×100 mm fedél, hozzáférés létráról; nem ruhával takart tápegység</x:v>
      </x:c>
    </x:row>
    <x:row r="24" ht="48" customHeight="1">
      <x:c r="A24" s="19" t="str">
        <x:v>L-WN-01-B04-1800</x:v>
      </x:c>
      <x:c r="B24" s="19" t="str">
        <x:v>WN-01</x:v>
      </x:c>
      <x:c r="C24" s="19" t="str">
        <x:v>WN-01-B04</x:v>
      </x:c>
      <x:c r="D24" s="19" t="n">
        <x:v>1800</x:v>
      </x:c>
      <x:c r="E24" s="19" t="n">
        <x:v>460</x:v>
      </x:c>
      <x:c r="F24" s="19" t="n">
        <x:v>2.3</x:v>
      </x:c>
      <x:c r="G24" s="19" t="str">
        <x:v>305.890.98</x:v>
      </x:c>
      <x:c r="H24" s="19" t="str">
        <x:v>EPREL ellenőrzésre vár; próbaminta kötelező / nem igazolt ebben a forrásban</x:v>
      </x:c>
      <x:c r="I24" s="19" t="str">
        <x:v>meglévő helyiség dugaljának bemérése → hozzáférhető felső tápegység → oldalsó 24 V csatorna → polc alatti frontközeli lámpa</x:v>
      </x:c>
      <x:c r="J24" s="19" t="str">
        <x:v>ajtónyitás: funkcionális fény; bezárás: ki; külön a Hue hangulatfénytől</x:v>
      </x:c>
      <x:c r="K24" s="19" t="str">
        <x:v>felső rekeszben levehető 300×100 mm fedél, hozzáférés létráról; nem ruhával takart tápegység</x:v>
      </x:c>
    </x:row>
    <x:row r="25" ht="48" customHeight="1">
      <x:c r="A25" s="19" t="str">
        <x:v>L-WN-01-B04-2130</x:v>
      </x:c>
      <x:c r="B25" s="19" t="str">
        <x:v>WN-01</x:v>
      </x:c>
      <x:c r="C25" s="19" t="str">
        <x:v>WN-01-B04</x:v>
      </x:c>
      <x:c r="D25" s="19" t="n">
        <x:v>2130</x:v>
      </x:c>
      <x:c r="E25" s="19" t="n">
        <x:v>460</x:v>
      </x:c>
      <x:c r="F25" s="19" t="n">
        <x:v>2.3</x:v>
      </x:c>
      <x:c r="G25" s="19" t="str">
        <x:v>305.890.98</x:v>
      </x:c>
      <x:c r="H25" s="19" t="str">
        <x:v>EPREL ellenőrzésre vár; próbaminta kötelező / nem igazolt ebben a forrásban</x:v>
      </x:c>
      <x:c r="I25" s="19" t="str">
        <x:v>meglévő helyiség dugaljának bemérése → hozzáférhető felső tápegység → oldalsó 24 V csatorna → polc alatti frontközeli lámpa</x:v>
      </x:c>
      <x:c r="J25" s="19" t="str">
        <x:v>ajtónyitás: funkcionális fény; bezárás: ki; külön a Hue hangulatfénytől</x:v>
      </x:c>
      <x:c r="K25" s="19" t="str">
        <x:v>felső rekeszben levehető 300×100 mm fedél, hozzáférés létráról; nem ruhával takart tápegység</x:v>
      </x:c>
    </x:row>
    <x:row r="26" ht="48" customHeight="1">
      <x:c r="A26" s="19" t="str">
        <x:v>L-WN-01-B04-2790</x:v>
      </x:c>
      <x:c r="B26" s="19" t="str">
        <x:v>WN-01</x:v>
      </x:c>
      <x:c r="C26" s="19" t="str">
        <x:v>WN-01-B04</x:v>
      </x:c>
      <x:c r="D26" s="19" t="n">
        <x:v>2790</x:v>
      </x:c>
      <x:c r="E26" s="19" t="n">
        <x:v>460</x:v>
      </x:c>
      <x:c r="F26" s="19" t="n">
        <x:v>2.3</x:v>
      </x:c>
      <x:c r="G26" s="19" t="str">
        <x:v>305.890.98</x:v>
      </x:c>
      <x:c r="H26" s="19" t="str">
        <x:v>EPREL ellenőrzésre vár; próbaminta kötelező / nem igazolt ebben a forrásban</x:v>
      </x:c>
      <x:c r="I26" s="19" t="str">
        <x:v>meglévő helyiség dugaljának bemérése → hozzáférhető felső tápegység → oldalsó 24 V csatorna → polc alatti frontközeli lámpa</x:v>
      </x:c>
      <x:c r="J26" s="19" t="str">
        <x:v>ajtónyitás: funkcionális fény; bezárás: ki; külön a Hue hangulatfénytől</x:v>
      </x:c>
      <x:c r="K26" s="19" t="str">
        <x:v>felső rekeszben levehető 300×100 mm fedél, hozzáférés létráról; nem ruhával takart tápegység</x:v>
      </x:c>
    </x:row>
    <x:row r="27" ht="48" customHeight="1">
      <x:c r="A27" s="19" t="str">
        <x:v>L-WS-01-B01-250</x:v>
      </x:c>
      <x:c r="B27" s="19" t="str">
        <x:v>WS-01</x:v>
      </x:c>
      <x:c r="C27" s="19" t="str">
        <x:v>WS-01-B01</x:v>
      </x:c>
      <x:c r="D27" s="19" t="n">
        <x:v>250</x:v>
      </x:c>
      <x:c r="E27" s="19" t="n">
        <x:v>460</x:v>
      </x:c>
      <x:c r="F27" s="19" t="n">
        <x:v>2.3</x:v>
      </x:c>
      <x:c r="G27" s="19" t="str">
        <x:v>305.890.98</x:v>
      </x:c>
      <x:c r="H27" s="19" t="str">
        <x:v>EPREL ellenőrzésre vár; próbaminta kötelező / nem igazolt ebben a forrásban</x:v>
      </x:c>
      <x:c r="I27" s="19" t="str">
        <x:v>meglévő helyiség dugaljának bemérése → hozzáférhető felső tápegység → oldalsó 24 V csatorna → polc alatti frontközeli lámpa</x:v>
      </x:c>
      <x:c r="J27" s="19" t="str">
        <x:v>ajtónyitás: funkcionális fény; bezárás: ki; külön a Hue hangulatfénytől</x:v>
      </x:c>
      <x:c r="K27" s="19" t="str">
        <x:v>felső rekeszben levehető 300×100 mm fedél, hozzáférés létráról; nem ruhával takart tápegység</x:v>
      </x:c>
    </x:row>
    <x:row r="28" ht="48" customHeight="1">
      <x:c r="A28" s="19" t="str">
        <x:v>L-WS-01-B01-810</x:v>
      </x:c>
      <x:c r="B28" s="19" t="str">
        <x:v>WS-01</x:v>
      </x:c>
      <x:c r="C28" s="19" t="str">
        <x:v>WS-01-B01</x:v>
      </x:c>
      <x:c r="D28" s="19" t="n">
        <x:v>810</x:v>
      </x:c>
      <x:c r="E28" s="19" t="n">
        <x:v>460</x:v>
      </x:c>
      <x:c r="F28" s="19" t="n">
        <x:v>2.3</x:v>
      </x:c>
      <x:c r="G28" s="19" t="str">
        <x:v>305.890.98</x:v>
      </x:c>
      <x:c r="H28" s="19" t="str">
        <x:v>EPREL ellenőrzésre vár; próbaminta kötelező / nem igazolt ebben a forrásban</x:v>
      </x:c>
      <x:c r="I28" s="19" t="str">
        <x:v>meglévő helyiség dugaljának bemérése → hozzáférhető felső tápegység → oldalsó 24 V csatorna → polc alatti frontközeli lámpa</x:v>
      </x:c>
      <x:c r="J28" s="19" t="str">
        <x:v>ajtónyitás: funkcionális fény; bezárás: ki; külön a Hue hangulatfénytől</x:v>
      </x:c>
      <x:c r="K28" s="19" t="str">
        <x:v>felső rekeszben levehető 300×100 mm fedél, hozzáférés létráról; nem ruhával takart tápegység</x:v>
      </x:c>
    </x:row>
    <x:row r="29" ht="48" customHeight="1">
      <x:c r="A29" s="19" t="str">
        <x:v>L-WS-01-B01-1370</x:v>
      </x:c>
      <x:c r="B29" s="19" t="str">
        <x:v>WS-01</x:v>
      </x:c>
      <x:c r="C29" s="19" t="str">
        <x:v>WS-01-B01</x:v>
      </x:c>
      <x:c r="D29" s="19" t="n">
        <x:v>1370</x:v>
      </x:c>
      <x:c r="E29" s="19" t="n">
        <x:v>460</x:v>
      </x:c>
      <x:c r="F29" s="19" t="n">
        <x:v>2.3</x:v>
      </x:c>
      <x:c r="G29" s="19" t="str">
        <x:v>305.890.98</x:v>
      </x:c>
      <x:c r="H29" s="19" t="str">
        <x:v>EPREL ellenőrzésre vár; próbaminta kötelező / nem igazolt ebben a forrásban</x:v>
      </x:c>
      <x:c r="I29" s="19" t="str">
        <x:v>meglévő helyiség dugaljának bemérése → hozzáférhető felső tápegység → oldalsó 24 V csatorna → polc alatti frontközeli lámpa</x:v>
      </x:c>
      <x:c r="J29" s="19" t="str">
        <x:v>ajtónyitás: funkcionális fény; bezárás: ki; külön a Hue hangulatfénytől</x:v>
      </x:c>
      <x:c r="K29" s="19" t="str">
        <x:v>felső rekeszben levehető 300×100 mm fedél, hozzáférés létráról; nem ruhával takart tápegység</x:v>
      </x:c>
    </x:row>
    <x:row r="30" ht="48" customHeight="1">
      <x:c r="A30" s="19" t="str">
        <x:v>L-WS-01-B01-1930</x:v>
      </x:c>
      <x:c r="B30" s="19" t="str">
        <x:v>WS-01</x:v>
      </x:c>
      <x:c r="C30" s="19" t="str">
        <x:v>WS-01-B01</x:v>
      </x:c>
      <x:c r="D30" s="19" t="n">
        <x:v>1930</x:v>
      </x:c>
      <x:c r="E30" s="19" t="n">
        <x:v>460</x:v>
      </x:c>
      <x:c r="F30" s="19" t="n">
        <x:v>2.3</x:v>
      </x:c>
      <x:c r="G30" s="19" t="str">
        <x:v>305.890.98</x:v>
      </x:c>
      <x:c r="H30" s="19" t="str">
        <x:v>EPREL ellenőrzésre vár; próbaminta kötelező / nem igazolt ebben a forrásban</x:v>
      </x:c>
      <x:c r="I30" s="19" t="str">
        <x:v>meglévő helyiség dugaljának bemérése → hozzáférhető felső tápegység → oldalsó 24 V csatorna → polc alatti frontközeli lámpa</x:v>
      </x:c>
      <x:c r="J30" s="19" t="str">
        <x:v>ajtónyitás: funkcionális fény; bezárás: ki; külön a Hue hangulatfénytől</x:v>
      </x:c>
      <x:c r="K30" s="19" t="str">
        <x:v>felső rekeszben levehető 300×100 mm fedél, hozzáférés létráról; nem ruhával takart tápegység</x:v>
      </x:c>
    </x:row>
    <x:row r="31" ht="48" customHeight="1">
      <x:c r="A31" s="19" t="str">
        <x:v>L-WS-01-B01-2790</x:v>
      </x:c>
      <x:c r="B31" s="19" t="str">
        <x:v>WS-01</x:v>
      </x:c>
      <x:c r="C31" s="19" t="str">
        <x:v>WS-01-B01</x:v>
      </x:c>
      <x:c r="D31" s="19" t="n">
        <x:v>2790</x:v>
      </x:c>
      <x:c r="E31" s="19" t="n">
        <x:v>460</x:v>
      </x:c>
      <x:c r="F31" s="19" t="n">
        <x:v>2.3</x:v>
      </x:c>
      <x:c r="G31" s="19" t="str">
        <x:v>305.890.98</x:v>
      </x:c>
      <x:c r="H31" s="19" t="str">
        <x:v>EPREL ellenőrzésre vár; próbaminta kötelező / nem igazolt ebben a forrásban</x:v>
      </x:c>
      <x:c r="I31" s="19" t="str">
        <x:v>meglévő helyiség dugaljának bemérése → hozzáférhető felső tápegység → oldalsó 24 V csatorna → polc alatti frontközeli lámpa</x:v>
      </x:c>
      <x:c r="J31" s="19" t="str">
        <x:v>ajtónyitás: funkcionális fény; bezárás: ki; külön a Hue hangulatfénytől</x:v>
      </x:c>
      <x:c r="K31" s="19" t="str">
        <x:v>felső rekeszben levehető 300×100 mm fedél, hozzáférés létráról; nem ruhával takart tápegység</x:v>
      </x:c>
    </x:row>
    <x:row r="32" ht="48" customHeight="1">
      <x:c r="A32" s="19" t="str">
        <x:v>L-WS-01-B02-530</x:v>
      </x:c>
      <x:c r="B32" s="19" t="str">
        <x:v>WS-01</x:v>
      </x:c>
      <x:c r="C32" s="19" t="str">
        <x:v>WS-01-B02</x:v>
      </x:c>
      <x:c r="D32" s="19" t="n">
        <x:v>530</x:v>
      </x:c>
      <x:c r="E32" s="19" t="n">
        <x:v>460</x:v>
      </x:c>
      <x:c r="F32" s="19" t="n">
        <x:v>2.3</x:v>
      </x:c>
      <x:c r="G32" s="19" t="str">
        <x:v>305.890.98</x:v>
      </x:c>
      <x:c r="H32" s="19" t="str">
        <x:v>EPREL ellenőrzésre vár; próbaminta kötelező / nem igazolt ebben a forrásban</x:v>
      </x:c>
      <x:c r="I32" s="19" t="str">
        <x:v>meglévő helyiség dugaljának bemérése → hozzáférhető felső tápegység → oldalsó 24 V csatorna → polc alatti frontközeli lámpa</x:v>
      </x:c>
      <x:c r="J32" s="19" t="str">
        <x:v>ajtónyitás: funkcionális fény; bezárás: ki; külön a Hue hangulatfénytől</x:v>
      </x:c>
      <x:c r="K32" s="19" t="str">
        <x:v>felső rekeszben levehető 300×100 mm fedél, hozzáférés létráról; nem ruhával takart tápegység</x:v>
      </x:c>
    </x:row>
    <x:row r="33" ht="48" customHeight="1">
      <x:c r="A33" s="19" t="str">
        <x:v>L-WS-01-B02-1090</x:v>
      </x:c>
      <x:c r="B33" s="19" t="str">
        <x:v>WS-01</x:v>
      </x:c>
      <x:c r="C33" s="19" t="str">
        <x:v>WS-01-B02</x:v>
      </x:c>
      <x:c r="D33" s="19" t="n">
        <x:v>1090</x:v>
      </x:c>
      <x:c r="E33" s="19" t="n">
        <x:v>460</x:v>
      </x:c>
      <x:c r="F33" s="19" t="n">
        <x:v>2.3</x:v>
      </x:c>
      <x:c r="G33" s="19" t="str">
        <x:v>305.890.98</x:v>
      </x:c>
      <x:c r="H33" s="19" t="str">
        <x:v>EPREL ellenőrzésre vár; próbaminta kötelező / nem igazolt ebben a forrásban</x:v>
      </x:c>
      <x:c r="I33" s="19" t="str">
        <x:v>meglévő helyiség dugaljának bemérése → hozzáférhető felső tápegység → oldalsó 24 V csatorna → polc alatti frontközeli lámpa</x:v>
      </x:c>
      <x:c r="J33" s="19" t="str">
        <x:v>ajtónyitás: funkcionális fény; bezárás: ki; külön a Hue hangulatfénytől</x:v>
      </x:c>
      <x:c r="K33" s="19" t="str">
        <x:v>felső rekeszben levehető 300×100 mm fedél, hozzáférés létráról; nem ruhával takart tápegység</x:v>
      </x:c>
    </x:row>
    <x:row r="34" ht="48" customHeight="1">
      <x:c r="A34" s="19" t="str">
        <x:v>L-WS-01-B02-1650</x:v>
      </x:c>
      <x:c r="B34" s="19" t="str">
        <x:v>WS-01</x:v>
      </x:c>
      <x:c r="C34" s="19" t="str">
        <x:v>WS-01-B02</x:v>
      </x:c>
      <x:c r="D34" s="19" t="n">
        <x:v>1650</x:v>
      </x:c>
      <x:c r="E34" s="19" t="n">
        <x:v>460</x:v>
      </x:c>
      <x:c r="F34" s="19" t="n">
        <x:v>2.3</x:v>
      </x:c>
      <x:c r="G34" s="19" t="str">
        <x:v>305.890.98</x:v>
      </x:c>
      <x:c r="H34" s="19" t="str">
        <x:v>EPREL ellenőrzésre vár; próbaminta kötelező / nem igazolt ebben a forrásban</x:v>
      </x:c>
      <x:c r="I34" s="19" t="str">
        <x:v>meglévő helyiség dugaljának bemérése → hozzáférhető felső tápegység → oldalsó 24 V csatorna → polc alatti frontközeli lámpa</x:v>
      </x:c>
      <x:c r="J34" s="19" t="str">
        <x:v>ajtónyitás: funkcionális fény; bezárás: ki; külön a Hue hangulatfénytől</x:v>
      </x:c>
      <x:c r="K34" s="19" t="str">
        <x:v>felső rekeszben levehető 300×100 mm fedél, hozzáférés létráról; nem ruhával takart tápegység</x:v>
      </x:c>
    </x:row>
    <x:row r="35" ht="48" customHeight="1">
      <x:c r="A35" s="19" t="str">
        <x:v>L-WS-01-B02-2310</x:v>
      </x:c>
      <x:c r="B35" s="19" t="str">
        <x:v>WS-01</x:v>
      </x:c>
      <x:c r="C35" s="19" t="str">
        <x:v>WS-01-B02</x:v>
      </x:c>
      <x:c r="D35" s="19" t="n">
        <x:v>2310</x:v>
      </x:c>
      <x:c r="E35" s="19" t="n">
        <x:v>460</x:v>
      </x:c>
      <x:c r="F35" s="19" t="n">
        <x:v>2.3</x:v>
      </x:c>
      <x:c r="G35" s="19" t="str">
        <x:v>305.890.98</x:v>
      </x:c>
      <x:c r="H35" s="19" t="str">
        <x:v>EPREL ellenőrzésre vár; próbaminta kötelező / nem igazolt ebben a forrásban</x:v>
      </x:c>
      <x:c r="I35" s="19" t="str">
        <x:v>meglévő helyiség dugaljának bemérése → hozzáférhető felső tápegység → oldalsó 24 V csatorna → polc alatti frontközeli lámpa</x:v>
      </x:c>
      <x:c r="J35" s="19" t="str">
        <x:v>ajtónyitás: funkcionális fény; bezárás: ki; külön a Hue hangulatfénytől</x:v>
      </x:c>
      <x:c r="K35" s="19" t="str">
        <x:v>felső rekeszben levehető 300×100 mm fedél, hozzáférés létráról; nem ruhával takart tápegység</x:v>
      </x:c>
    </x:row>
    <x:row r="36" ht="48" customHeight="1">
      <x:c r="A36" s="19" t="str">
        <x:v>L-WS-01-B02-2790</x:v>
      </x:c>
      <x:c r="B36" s="19" t="str">
        <x:v>WS-01</x:v>
      </x:c>
      <x:c r="C36" s="19" t="str">
        <x:v>WS-01-B02</x:v>
      </x:c>
      <x:c r="D36" s="19" t="n">
        <x:v>2790</x:v>
      </x:c>
      <x:c r="E36" s="19" t="n">
        <x:v>460</x:v>
      </x:c>
      <x:c r="F36" s="19" t="n">
        <x:v>2.3</x:v>
      </x:c>
      <x:c r="G36" s="19" t="str">
        <x:v>305.890.98</x:v>
      </x:c>
      <x:c r="H36" s="19" t="str">
        <x:v>EPREL ellenőrzésre vár; próbaminta kötelező / nem igazolt ebben a forrásban</x:v>
      </x:c>
      <x:c r="I36" s="19" t="str">
        <x:v>meglévő helyiség dugaljának bemérése → hozzáférhető felső tápegység → oldalsó 24 V csatorna → polc alatti frontközeli lámpa</x:v>
      </x:c>
      <x:c r="J36" s="19" t="str">
        <x:v>ajtónyitás: funkcionális fény; bezárás: ki; külön a Hue hangulatfénytől</x:v>
      </x:c>
      <x:c r="K36" s="19" t="str">
        <x:v>felső rekeszben levehető 300×100 mm fedél, hozzáférés létráról; nem ruhával takart tápegység</x:v>
      </x:c>
    </x:row>
    <x:row r="37" ht="48" customHeight="1">
      <x:c r="A37" s="19" t="str">
        <x:v>L-WS-01-B03-1050</x:v>
      </x:c>
      <x:c r="B37" s="19" t="str">
        <x:v>WS-01</x:v>
      </x:c>
      <x:c r="C37" s="19" t="str">
        <x:v>WS-01-B03</x:v>
      </x:c>
      <x:c r="D37" s="19" t="n">
        <x:v>1050</x:v>
      </x:c>
      <x:c r="E37" s="19" t="n">
        <x:v>460</x:v>
      </x:c>
      <x:c r="F37" s="19" t="n">
        <x:v>2.3</x:v>
      </x:c>
      <x:c r="G37" s="19" t="str">
        <x:v>305.890.98</x:v>
      </x:c>
      <x:c r="H37" s="19" t="str">
        <x:v>EPREL ellenőrzésre vár; próbaminta kötelező / nem igazolt ebben a forrásban</x:v>
      </x:c>
      <x:c r="I37" s="19" t="str">
        <x:v>meglévő helyiség dugaljának bemérése → hozzáférhető felső tápegység → oldalsó 24 V csatorna → polc alatti frontközeli lámpa</x:v>
      </x:c>
      <x:c r="J37" s="19" t="str">
        <x:v>ajtónyitás: funkcionális fény; bezárás: ki; külön a Hue hangulatfénytől</x:v>
      </x:c>
      <x:c r="K37" s="19" t="str">
        <x:v>felső rekeszben levehető 300×100 mm fedél, hozzáférés létráról; nem ruhával takart tápegység</x:v>
      </x:c>
    </x:row>
    <x:row r="38" ht="48" customHeight="1">
      <x:c r="A38" s="19" t="str">
        <x:v>L-WS-01-B03-1420</x:v>
      </x:c>
      <x:c r="B38" s="19" t="str">
        <x:v>WS-01</x:v>
      </x:c>
      <x:c r="C38" s="19" t="str">
        <x:v>WS-01-B03</x:v>
      </x:c>
      <x:c r="D38" s="19" t="n">
        <x:v>1420</x:v>
      </x:c>
      <x:c r="E38" s="19" t="n">
        <x:v>460</x:v>
      </x:c>
      <x:c r="F38" s="19" t="n">
        <x:v>2.3</x:v>
      </x:c>
      <x:c r="G38" s="19" t="str">
        <x:v>305.890.98</x:v>
      </x:c>
      <x:c r="H38" s="19" t="str">
        <x:v>EPREL ellenőrzésre vár; próbaminta kötelező / nem igazolt ebben a forrásban</x:v>
      </x:c>
      <x:c r="I38" s="19" t="str">
        <x:v>meglévő helyiség dugaljának bemérése → hozzáférhető felső tápegység → oldalsó 24 V csatorna → polc alatti frontközeli lámpa</x:v>
      </x:c>
      <x:c r="J38" s="19" t="str">
        <x:v>ajtónyitás: funkcionális fény; bezárás: ki; külön a Hue hangulatfénytől</x:v>
      </x:c>
      <x:c r="K38" s="19" t="str">
        <x:v>felső rekeszben levehető 300×100 mm fedél, hozzáférés létráról; nem ruhával takart tápegység</x:v>
      </x:c>
    </x:row>
    <x:row r="39" ht="48" customHeight="1">
      <x:c r="A39" s="19" t="str">
        <x:v>L-WS-01-B03-1790</x:v>
      </x:c>
      <x:c r="B39" s="19" t="str">
        <x:v>WS-01</x:v>
      </x:c>
      <x:c r="C39" s="19" t="str">
        <x:v>WS-01-B03</x:v>
      </x:c>
      <x:c r="D39" s="19" t="n">
        <x:v>1790</x:v>
      </x:c>
      <x:c r="E39" s="19" t="n">
        <x:v>460</x:v>
      </x:c>
      <x:c r="F39" s="19" t="n">
        <x:v>2.3</x:v>
      </x:c>
      <x:c r="G39" s="19" t="str">
        <x:v>305.890.98</x:v>
      </x:c>
      <x:c r="H39" s="19" t="str">
        <x:v>EPREL ellenőrzésre vár; próbaminta kötelező / nem igazolt ebben a forrásban</x:v>
      </x:c>
      <x:c r="I39" s="19" t="str">
        <x:v>meglévő helyiség dugaljának bemérése → hozzáférhető felső tápegység → oldalsó 24 V csatorna → polc alatti frontközeli lámpa</x:v>
      </x:c>
      <x:c r="J39" s="19" t="str">
        <x:v>ajtónyitás: funkcionális fény; bezárás: ki; külön a Hue hangulatfénytől</x:v>
      </x:c>
      <x:c r="K39" s="19" t="str">
        <x:v>felső rekeszben levehető 300×100 mm fedél, hozzáférés létráról; nem ruhával takart tápegység</x:v>
      </x:c>
    </x:row>
    <x:row r="40" ht="48" customHeight="1">
      <x:c r="A40" s="19" t="str">
        <x:v>L-WS-01-B03-2130</x:v>
      </x:c>
      <x:c r="B40" s="19" t="str">
        <x:v>WS-01</x:v>
      </x:c>
      <x:c r="C40" s="19" t="str">
        <x:v>WS-01-B03</x:v>
      </x:c>
      <x:c r="D40" s="19" t="n">
        <x:v>2130</x:v>
      </x:c>
      <x:c r="E40" s="19" t="n">
        <x:v>460</x:v>
      </x:c>
      <x:c r="F40" s="19" t="n">
        <x:v>2.3</x:v>
      </x:c>
      <x:c r="G40" s="19" t="str">
        <x:v>305.890.98</x:v>
      </x:c>
      <x:c r="H40" s="19" t="str">
        <x:v>EPREL ellenőrzésre vár; próbaminta kötelező / nem igazolt ebben a forrásban</x:v>
      </x:c>
      <x:c r="I40" s="19" t="str">
        <x:v>meglévő helyiség dugaljának bemérése → hozzáférhető felső tápegység → oldalsó 24 V csatorna → polc alatti frontközeli lámpa</x:v>
      </x:c>
      <x:c r="J40" s="19" t="str">
        <x:v>ajtónyitás: funkcionális fény; bezárás: ki; külön a Hue hangulatfénytől</x:v>
      </x:c>
      <x:c r="K40" s="19" t="str">
        <x:v>felső rekeszben levehető 300×100 mm fedél, hozzáférés létráról; nem ruhával takart tápegység</x:v>
      </x:c>
    </x:row>
    <x:row r="41" ht="48" customHeight="1">
      <x:c r="A41" s="19" t="str">
        <x:v>L-WS-01-B03-2790</x:v>
      </x:c>
      <x:c r="B41" s="19" t="str">
        <x:v>WS-01</x:v>
      </x:c>
      <x:c r="C41" s="19" t="str">
        <x:v>WS-01-B03</x:v>
      </x:c>
      <x:c r="D41" s="19" t="n">
        <x:v>2790</x:v>
      </x:c>
      <x:c r="E41" s="19" t="n">
        <x:v>460</x:v>
      </x:c>
      <x:c r="F41" s="19" t="n">
        <x:v>2.3</x:v>
      </x:c>
      <x:c r="G41" s="19" t="str">
        <x:v>305.890.98</x:v>
      </x:c>
      <x:c r="H41" s="19" t="str">
        <x:v>EPREL ellenőrzésre vár; próbaminta kötelező / nem igazolt ebben a forrásban</x:v>
      </x:c>
      <x:c r="I41" s="19" t="str">
        <x:v>meglévő helyiség dugaljának bemérése → hozzáférhető felső tápegység → oldalsó 24 V csatorna → polc alatti frontközeli lámpa</x:v>
      </x:c>
      <x:c r="J41" s="19" t="str">
        <x:v>ajtónyitás: funkcionális fény; bezárás: ki; külön a Hue hangulatfénytől</x:v>
      </x:c>
      <x:c r="K41" s="19" t="str">
        <x:v>felső rekeszben levehető 300×100 mm fedél, hozzáférés létráról; nem ruhával takart tápegység</x:v>
      </x:c>
    </x:row>
    <x:row r="42" ht="48" customHeight="1">
      <x:c r="A42" s="19" t="str">
        <x:v>L-WS-01-B04-1870</x:v>
      </x:c>
      <x:c r="B42" s="19" t="str">
        <x:v>WS-01</x:v>
      </x:c>
      <x:c r="C42" s="19" t="str">
        <x:v>WS-01-B04</x:v>
      </x:c>
      <x:c r="D42" s="19" t="n">
        <x:v>1870</x:v>
      </x:c>
      <x:c r="E42" s="19" t="n">
        <x:v>460</x:v>
      </x:c>
      <x:c r="F42" s="19" t="n">
        <x:v>2.3</x:v>
      </x:c>
      <x:c r="G42" s="19" t="str">
        <x:v>305.890.98</x:v>
      </x:c>
      <x:c r="H42" s="19" t="str">
        <x:v>EPREL ellenőrzésre vár; próbaminta kötelező / nem igazolt ebben a forrásban</x:v>
      </x:c>
      <x:c r="I42" s="19" t="str">
        <x:v>meglévő helyiség dugaljának bemérése → hozzáférhető felső tápegység → oldalsó 24 V csatorna → polc alatti frontközeli lámpa</x:v>
      </x:c>
      <x:c r="J42" s="19" t="str">
        <x:v>ajtónyitás: funkcionális fény; bezárás: ki; külön a Hue hangulatfénytől</x:v>
      </x:c>
      <x:c r="K42" s="19" t="str">
        <x:v>felső rekeszben levehető 300×100 mm fedél, hozzáférés létráról; nem ruhával takart tápegység</x:v>
      </x:c>
    </x:row>
    <x:row r="43" ht="48" customHeight="1">
      <x:c r="A43" s="19" t="str">
        <x:v>L-WS-01-B04-2790</x:v>
      </x:c>
      <x:c r="B43" s="19" t="str">
        <x:v>WS-01</x:v>
      </x:c>
      <x:c r="C43" s="19" t="str">
        <x:v>WS-01-B04</x:v>
      </x:c>
      <x:c r="D43" s="19" t="n">
        <x:v>2790</x:v>
      </x:c>
      <x:c r="E43" s="19" t="n">
        <x:v>460</x:v>
      </x:c>
      <x:c r="F43" s="19" t="n">
        <x:v>2.3</x:v>
      </x:c>
      <x:c r="G43" s="19" t="str">
        <x:v>305.890.98</x:v>
      </x:c>
      <x:c r="H43" s="19" t="str">
        <x:v>EPREL ellenőrzésre vár; próbaminta kötelező / nem igazolt ebben a forrásban</x:v>
      </x:c>
      <x:c r="I43" s="19" t="str">
        <x:v>meglévő helyiség dugaljának bemérése → hozzáférhető felső tápegység → oldalsó 24 V csatorna → polc alatti frontközeli lámpa</x:v>
      </x:c>
      <x:c r="J43" s="19" t="str">
        <x:v>ajtónyitás: funkcionális fény; bezárás: ki; külön a Hue hangulatfénytől</x:v>
      </x:c>
      <x:c r="K43" s="19" t="str">
        <x:v>felső rekeszben levehető 300×100 mm fedél, hozzáférés létráról; nem ruhával takart tápegység</x:v>
      </x:c>
    </x:row>
    <x:row r="44" ht="48" customHeight="1">
      <x:c r="A44" s="19" t="str">
        <x:v>L-W52-01-B01-1090</x:v>
      </x:c>
      <x:c r="B44" s="19" t="str">
        <x:v>W52-01</x:v>
      </x:c>
      <x:c r="C44" s="19" t="str">
        <x:v>W52-01-B01</x:v>
      </x:c>
      <x:c r="D44" s="19" t="n">
        <x:v>1090</x:v>
      </x:c>
      <x:c r="E44" s="19" t="n">
        <x:v>460</x:v>
      </x:c>
      <x:c r="F44" s="19" t="n">
        <x:v>2.3</x:v>
      </x:c>
      <x:c r="G44" s="19" t="str">
        <x:v>305.890.98</x:v>
      </x:c>
      <x:c r="H44" s="19" t="str">
        <x:v>EPREL ellenőrzésre vár; próbaminta kötelező / nem igazolt ebben a forrásban</x:v>
      </x:c>
      <x:c r="I44" s="19" t="str">
        <x:v>meglévő helyiség dugaljának bemérése → hozzáférhető felső tápegység → oldalsó 24 V csatorna → polc alatti frontközeli lámpa</x:v>
      </x:c>
      <x:c r="J44" s="19" t="str">
        <x:v>ajtónyitás: funkcionális fény; bezárás: ki; külön a Hue hangulatfénytől</x:v>
      </x:c>
      <x:c r="K44" s="19" t="str">
        <x:v>felső rekeszben levehető 300×100 mm fedél, hozzáférés létráról; nem ruhával takart tápegység</x:v>
      </x:c>
    </x:row>
    <x:row r="45" ht="48" customHeight="1">
      <x:c r="A45" s="19" t="str">
        <x:v>L-W52-01-B01-2320</x:v>
      </x:c>
      <x:c r="B45" s="19" t="str">
        <x:v>W52-01</x:v>
      </x:c>
      <x:c r="C45" s="19" t="str">
        <x:v>W52-01-B01</x:v>
      </x:c>
      <x:c r="D45" s="19" t="n">
        <x:v>2320</x:v>
      </x:c>
      <x:c r="E45" s="19" t="n">
        <x:v>460</x:v>
      </x:c>
      <x:c r="F45" s="19" t="n">
        <x:v>2.3</x:v>
      </x:c>
      <x:c r="G45" s="19" t="str">
        <x:v>305.890.98</x:v>
      </x:c>
      <x:c r="H45" s="19" t="str">
        <x:v>EPREL ellenőrzésre vár; próbaminta kötelező / nem igazolt ebben a forrásban</x:v>
      </x:c>
      <x:c r="I45" s="19" t="str">
        <x:v>meglévő helyiség dugaljának bemérése → hozzáférhető felső tápegység → oldalsó 24 V csatorna → polc alatti frontközeli lámpa</x:v>
      </x:c>
      <x:c r="J45" s="19" t="str">
        <x:v>ajtónyitás: funkcionális fény; bezárás: ki; külön a Hue hangulatfénytől</x:v>
      </x:c>
      <x:c r="K45" s="19" t="str">
        <x:v>felső rekeszben levehető 300×100 mm fedél, hozzáférés létráról; nem ruhával takart tápegység</x:v>
      </x:c>
    </x:row>
    <x:row r="46" ht="48" customHeight="1">
      <x:c r="A46" s="19" t="str">
        <x:v>L-W52-01-B01-2790</x:v>
      </x:c>
      <x:c r="B46" s="19" t="str">
        <x:v>W52-01</x:v>
      </x:c>
      <x:c r="C46" s="19" t="str">
        <x:v>W52-01-B01</x:v>
      </x:c>
      <x:c r="D46" s="19" t="n">
        <x:v>2790</x:v>
      </x:c>
      <x:c r="E46" s="19" t="n">
        <x:v>460</x:v>
      </x:c>
      <x:c r="F46" s="19" t="n">
        <x:v>2.3</x:v>
      </x:c>
      <x:c r="G46" s="19" t="str">
        <x:v>305.890.98</x:v>
      </x:c>
      <x:c r="H46" s="19" t="str">
        <x:v>EPREL ellenőrzésre vár; próbaminta kötelező / nem igazolt ebben a forrásban</x:v>
      </x:c>
      <x:c r="I46" s="19" t="str">
        <x:v>meglévő helyiség dugaljának bemérése → hozzáférhető felső tápegység → oldalsó 24 V csatorna → polc alatti frontközeli lámpa</x:v>
      </x:c>
      <x:c r="J46" s="19" t="str">
        <x:v>ajtónyitás: funkcionális fény; bezárás: ki; külön a Hue hangulatfénytől</x:v>
      </x:c>
      <x:c r="K46" s="19" t="str">
        <x:v>felső rekeszben levehető 300×100 mm fedél, hozzáférés létráról; nem ruhával takart tápegység</x:v>
      </x:c>
    </x:row>
    <x:row r="47" ht="48" customHeight="1">
      <x:c r="A47" s="19" t="str">
        <x:v>L-W52-01-B02-2320</x:v>
      </x:c>
      <x:c r="B47" s="19" t="str">
        <x:v>W52-01</x:v>
      </x:c>
      <x:c r="C47" s="19" t="str">
        <x:v>W52-01-B02</x:v>
      </x:c>
      <x:c r="D47" s="19" t="n">
        <x:v>2320</x:v>
      </x:c>
      <x:c r="E47" s="19" t="n">
        <x:v>460</x:v>
      </x:c>
      <x:c r="F47" s="19" t="n">
        <x:v>2.3</x:v>
      </x:c>
      <x:c r="G47" s="19" t="str">
        <x:v>305.890.98</x:v>
      </x:c>
      <x:c r="H47" s="19" t="str">
        <x:v>EPREL ellenőrzésre vár; próbaminta kötelező / nem igazolt ebben a forrásban</x:v>
      </x:c>
      <x:c r="I47" s="19" t="str">
        <x:v>meglévő helyiség dugaljának bemérése → hozzáférhető felső tápegység → oldalsó 24 V csatorna → polc alatti frontközeli lámpa</x:v>
      </x:c>
      <x:c r="J47" s="19" t="str">
        <x:v>ajtónyitás: funkcionális fény; bezárás: ki; külön a Hue hangulatfénytől</x:v>
      </x:c>
      <x:c r="K47" s="19" t="str">
        <x:v>felső rekeszben levehető 300×100 mm fedél, hozzáférés létráról; nem ruhával takart tápegység</x:v>
      </x:c>
    </x:row>
    <x:row r="48" ht="48" customHeight="1">
      <x:c r="A48" s="19" t="str">
        <x:v>L-W52-01-B02-2790</x:v>
      </x:c>
      <x:c r="B48" s="19" t="str">
        <x:v>W52-01</x:v>
      </x:c>
      <x:c r="C48" s="19" t="str">
        <x:v>W52-01-B02</x:v>
      </x:c>
      <x:c r="D48" s="19" t="n">
        <x:v>2790</x:v>
      </x:c>
      <x:c r="E48" s="19" t="n">
        <x:v>460</x:v>
      </x:c>
      <x:c r="F48" s="19" t="n">
        <x:v>2.3</x:v>
      </x:c>
      <x:c r="G48" s="19" t="str">
        <x:v>305.890.98</x:v>
      </x:c>
      <x:c r="H48" s="19" t="str">
        <x:v>EPREL ellenőrzésre vár; próbaminta kötelező / nem igazolt ebben a forrásban</x:v>
      </x:c>
      <x:c r="I48" s="19" t="str">
        <x:v>meglévő helyiség dugaljának bemérése → hozzáférhető felső tápegység → oldalsó 24 V csatorna → polc alatti frontközeli lámpa</x:v>
      </x:c>
      <x:c r="J48" s="19" t="str">
        <x:v>ajtónyitás: funkcionális fény; bezárás: ki; külön a Hue hangulatfénytől</x:v>
      </x:c>
      <x:c r="K48" s="19" t="str">
        <x:v>felső rekeszben levehető 300×100 mm fedél, hozzáférés létráról; nem ruhával takart tápegység</x:v>
      </x:c>
    </x:row>
    <x:row r="49" ht="48" customHeight="1">
      <x:c r="A49" s="19" t="str">
        <x:v>L-W52-01-B03-1050</x:v>
      </x:c>
      <x:c r="B49" s="19" t="str">
        <x:v>W52-01</x:v>
      </x:c>
      <x:c r="C49" s="19" t="str">
        <x:v>W52-01-B03</x:v>
      </x:c>
      <x:c r="D49" s="19" t="n">
        <x:v>1050</x:v>
      </x:c>
      <x:c r="E49" s="19" t="n">
        <x:v>460</x:v>
      </x:c>
      <x:c r="F49" s="19" t="n">
        <x:v>2.3</x:v>
      </x:c>
      <x:c r="G49" s="19" t="str">
        <x:v>305.890.98</x:v>
      </x:c>
      <x:c r="H49" s="19" t="str">
        <x:v>EPREL ellenőrzésre vár; próbaminta kötelező / nem igazolt ebben a forrásban</x:v>
      </x:c>
      <x:c r="I49" s="19" t="str">
        <x:v>meglévő helyiség dugaljának bemérése → hozzáférhető felső tápegység → oldalsó 24 V csatorna → polc alatti frontközeli lámpa</x:v>
      </x:c>
      <x:c r="J49" s="19" t="str">
        <x:v>ajtónyitás: funkcionális fény; bezárás: ki; külön a Hue hangulatfénytől</x:v>
      </x:c>
      <x:c r="K49" s="19" t="str">
        <x:v>felső rekeszben levehető 300×100 mm fedél, hozzáférés létráról; nem ruhával takart tápegység</x:v>
      </x:c>
    </x:row>
    <x:row r="50" ht="48" customHeight="1">
      <x:c r="A50" s="19" t="str">
        <x:v>L-W52-01-B03-1420</x:v>
      </x:c>
      <x:c r="B50" s="19" t="str">
        <x:v>W52-01</x:v>
      </x:c>
      <x:c r="C50" s="19" t="str">
        <x:v>W52-01-B03</x:v>
      </x:c>
      <x:c r="D50" s="19" t="n">
        <x:v>1420</x:v>
      </x:c>
      <x:c r="E50" s="19" t="n">
        <x:v>460</x:v>
      </x:c>
      <x:c r="F50" s="19" t="n">
        <x:v>2.3</x:v>
      </x:c>
      <x:c r="G50" s="19" t="str">
        <x:v>305.890.98</x:v>
      </x:c>
      <x:c r="H50" s="19" t="str">
        <x:v>EPREL ellenőrzésre vár; próbaminta kötelező / nem igazolt ebben a forrásban</x:v>
      </x:c>
      <x:c r="I50" s="19" t="str">
        <x:v>meglévő helyiség dugaljának bemérése → hozzáférhető felső tápegység → oldalsó 24 V csatorna → polc alatti frontközeli lámpa</x:v>
      </x:c>
      <x:c r="J50" s="19" t="str">
        <x:v>ajtónyitás: funkcionális fény; bezárás: ki; külön a Hue hangulatfénytől</x:v>
      </x:c>
      <x:c r="K50" s="19" t="str">
        <x:v>felső rekeszben levehető 300×100 mm fedél, hozzáférés létráról; nem ruhával takart tápegység</x:v>
      </x:c>
    </x:row>
    <x:row r="51" ht="48" customHeight="1">
      <x:c r="A51" s="19" t="str">
        <x:v>L-W52-01-B03-1790</x:v>
      </x:c>
      <x:c r="B51" s="19" t="str">
        <x:v>W52-01</x:v>
      </x:c>
      <x:c r="C51" s="19" t="str">
        <x:v>W52-01-B03</x:v>
      </x:c>
      <x:c r="D51" s="19" t="n">
        <x:v>1790</x:v>
      </x:c>
      <x:c r="E51" s="19" t="n">
        <x:v>460</x:v>
      </x:c>
      <x:c r="F51" s="19" t="n">
        <x:v>2.3</x:v>
      </x:c>
      <x:c r="G51" s="19" t="str">
        <x:v>305.890.98</x:v>
      </x:c>
      <x:c r="H51" s="19" t="str">
        <x:v>EPREL ellenőrzésre vár; próbaminta kötelező / nem igazolt ebben a forrásban</x:v>
      </x:c>
      <x:c r="I51" s="19" t="str">
        <x:v>meglévő helyiség dugaljának bemérése → hozzáférhető felső tápegység → oldalsó 24 V csatorna → polc alatti frontközeli lámpa</x:v>
      </x:c>
      <x:c r="J51" s="19" t="str">
        <x:v>ajtónyitás: funkcionális fény; bezárás: ki; külön a Hue hangulatfénytől</x:v>
      </x:c>
      <x:c r="K51" s="19" t="str">
        <x:v>felső rekeszben levehető 300×100 mm fedél, hozzáférés létráról; nem ruhával takart tápegység</x:v>
      </x:c>
    </x:row>
    <x:row r="52" ht="48" customHeight="1">
      <x:c r="A52" s="19" t="str">
        <x:v>L-W52-01-B03-2130</x:v>
      </x:c>
      <x:c r="B52" s="19" t="str">
        <x:v>W52-01</x:v>
      </x:c>
      <x:c r="C52" s="19" t="str">
        <x:v>W52-01-B03</x:v>
      </x:c>
      <x:c r="D52" s="19" t="n">
        <x:v>2130</x:v>
      </x:c>
      <x:c r="E52" s="19" t="n">
        <x:v>460</x:v>
      </x:c>
      <x:c r="F52" s="19" t="n">
        <x:v>2.3</x:v>
      </x:c>
      <x:c r="G52" s="19" t="str">
        <x:v>305.890.98</x:v>
      </x:c>
      <x:c r="H52" s="19" t="str">
        <x:v>EPREL ellenőrzésre vár; próbaminta kötelező / nem igazolt ebben a forrásban</x:v>
      </x:c>
      <x:c r="I52" s="19" t="str">
        <x:v>meglévő helyiség dugaljának bemérése → hozzáférhető felső tápegység → oldalsó 24 V csatorna → polc alatti frontközeli lámpa</x:v>
      </x:c>
      <x:c r="J52" s="19" t="str">
        <x:v>ajtónyitás: funkcionális fény; bezárás: ki; külön a Hue hangulatfénytől</x:v>
      </x:c>
      <x:c r="K52" s="19" t="str">
        <x:v>felső rekeszben levehető 300×100 mm fedél, hozzáférés létráról; nem ruhával takart tápegység</x:v>
      </x:c>
    </x:row>
    <x:row r="53" ht="48" customHeight="1">
      <x:c r="A53" s="19" t="str">
        <x:v>L-W52-01-B03-2790</x:v>
      </x:c>
      <x:c r="B53" s="19" t="str">
        <x:v>W52-01</x:v>
      </x:c>
      <x:c r="C53" s="19" t="str">
        <x:v>W52-01-B03</x:v>
      </x:c>
      <x:c r="D53" s="19" t="n">
        <x:v>2790</x:v>
      </x:c>
      <x:c r="E53" s="19" t="n">
        <x:v>460</x:v>
      </x:c>
      <x:c r="F53" s="19" t="n">
        <x:v>2.3</x:v>
      </x:c>
      <x:c r="G53" s="19" t="str">
        <x:v>305.890.98</x:v>
      </x:c>
      <x:c r="H53" s="19" t="str">
        <x:v>EPREL ellenőrzésre vár; próbaminta kötelező / nem igazolt ebben a forrásban</x:v>
      </x:c>
      <x:c r="I53" s="19" t="str">
        <x:v>meglévő helyiség dugaljának bemérése → hozzáférhető felső tápegység → oldalsó 24 V csatorna → polc alatti frontközeli lámpa</x:v>
      </x:c>
      <x:c r="J53" s="19" t="str">
        <x:v>ajtónyitás: funkcionális fény; bezárás: ki; külön a Hue hangulatfénytől</x:v>
      </x:c>
      <x:c r="K53" s="19" t="str">
        <x:v>felső rekeszben levehető 300×100 mm fedél, hozzáférés létráról; nem ruhával takart tápegység</x:v>
      </x:c>
    </x:row>
    <x:row r="54" ht="48" customHeight="1">
      <x:c r="A54" s="19" t="str">
        <x:v>L-W52-01-B04-420</x:v>
      </x:c>
      <x:c r="B54" s="19" t="str">
        <x:v>W52-01</x:v>
      </x:c>
      <x:c r="C54" s="19" t="str">
        <x:v>W52-01-B04</x:v>
      </x:c>
      <x:c r="D54" s="19" t="n">
        <x:v>420</x:v>
      </x:c>
      <x:c r="E54" s="19" t="n">
        <x:v>460</x:v>
      </x:c>
      <x:c r="F54" s="19" t="n">
        <x:v>2.3</x:v>
      </x:c>
      <x:c r="G54" s="19" t="str">
        <x:v>305.890.98</x:v>
      </x:c>
      <x:c r="H54" s="19" t="str">
        <x:v>EPREL ellenőrzésre vár; próbaminta kötelező / nem igazolt ebben a forrásban</x:v>
      </x:c>
      <x:c r="I54" s="19" t="str">
        <x:v>meglévő helyiség dugaljának bemérése → hozzáférhető felső tápegység → oldalsó 24 V csatorna → polc alatti frontközeli lámpa</x:v>
      </x:c>
      <x:c r="J54" s="19" t="str">
        <x:v>ajtónyitás: funkcionális fény; bezárás: ki; külön a Hue hangulatfénytől</x:v>
      </x:c>
      <x:c r="K54" s="19" t="str">
        <x:v>felső rekeszben levehető 300×100 mm fedél, hozzáférés létráról; nem ruhával takart tápegység</x:v>
      </x:c>
    </x:row>
    <x:row r="55" ht="48" customHeight="1">
      <x:c r="A55" s="19" t="str">
        <x:v>L-W52-01-B04-1320</x:v>
      </x:c>
      <x:c r="B55" s="19" t="str">
        <x:v>W52-01</x:v>
      </x:c>
      <x:c r="C55" s="19" t="str">
        <x:v>W52-01-B04</x:v>
      </x:c>
      <x:c r="D55" s="19" t="n">
        <x:v>1320</x:v>
      </x:c>
      <x:c r="E55" s="19" t="n">
        <x:v>460</x:v>
      </x:c>
      <x:c r="F55" s="19" t="n">
        <x:v>2.3</x:v>
      </x:c>
      <x:c r="G55" s="19" t="str">
        <x:v>305.890.98</x:v>
      </x:c>
      <x:c r="H55" s="19" t="str">
        <x:v>EPREL ellenőrzésre vár; próbaminta kötelező / nem igazolt ebben a forrásban</x:v>
      </x:c>
      <x:c r="I55" s="19" t="str">
        <x:v>meglévő helyiség dugaljának bemérése → hozzáférhető felső tápegység → oldalsó 24 V csatorna → polc alatti frontközeli lámpa</x:v>
      </x:c>
      <x:c r="J55" s="19" t="str">
        <x:v>ajtónyitás: funkcionális fény; bezárás: ki; külön a Hue hangulatfénytől</x:v>
      </x:c>
      <x:c r="K55" s="19" t="str">
        <x:v>felső rekeszben levehető 300×100 mm fedél, hozzáférés létráról; nem ruhával takart tápegység</x:v>
      </x:c>
    </x:row>
    <x:row r="56" ht="48" customHeight="1">
      <x:c r="A56" s="19" t="str">
        <x:v>L-W52-01-B04-2130</x:v>
      </x:c>
      <x:c r="B56" s="19" t="str">
        <x:v>W52-01</x:v>
      </x:c>
      <x:c r="C56" s="19" t="str">
        <x:v>W52-01-B04</x:v>
      </x:c>
      <x:c r="D56" s="19" t="n">
        <x:v>2130</x:v>
      </x:c>
      <x:c r="E56" s="19" t="n">
        <x:v>460</x:v>
      </x:c>
      <x:c r="F56" s="19" t="n">
        <x:v>2.3</x:v>
      </x:c>
      <x:c r="G56" s="19" t="str">
        <x:v>305.890.98</x:v>
      </x:c>
      <x:c r="H56" s="19" t="str">
        <x:v>EPREL ellenőrzésre vár; próbaminta kötelező / nem igazolt ebben a forrásban</x:v>
      </x:c>
      <x:c r="I56" s="19" t="str">
        <x:v>meglévő helyiség dugaljának bemérése → hozzáférhető felső tápegység → oldalsó 24 V csatorna → polc alatti frontközeli lámpa</x:v>
      </x:c>
      <x:c r="J56" s="19" t="str">
        <x:v>ajtónyitás: funkcionális fény; bezárás: ki; külön a Hue hangulatfénytől</x:v>
      </x:c>
      <x:c r="K56" s="19" t="str">
        <x:v>felső rekeszben levehető 300×100 mm fedél, hozzáférés létráról; nem ruhával takart tápegység</x:v>
      </x:c>
    </x:row>
    <x:row r="57" ht="48" customHeight="1">
      <x:c r="A57" s="19" t="str">
        <x:v>L-W52-01-B04-2790</x:v>
      </x:c>
      <x:c r="B57" s="19" t="str">
        <x:v>W52-01</x:v>
      </x:c>
      <x:c r="C57" s="19" t="str">
        <x:v>W52-01-B04</x:v>
      </x:c>
      <x:c r="D57" s="19" t="n">
        <x:v>2790</x:v>
      </x:c>
      <x:c r="E57" s="19" t="n">
        <x:v>460</x:v>
      </x:c>
      <x:c r="F57" s="19" t="n">
        <x:v>2.3</x:v>
      </x:c>
      <x:c r="G57" s="19" t="str">
        <x:v>305.890.98</x:v>
      </x:c>
      <x:c r="H57" s="19" t="str">
        <x:v>EPREL ellenőrzésre vár; próbaminta kötelező / nem igazolt ebben a forrásban</x:v>
      </x:c>
      <x:c r="I57" s="19" t="str">
        <x:v>meglévő helyiség dugaljának bemérése → hozzáférhető felső tápegység → oldalsó 24 V csatorna → polc alatti frontközeli lámpa</x:v>
      </x:c>
      <x:c r="J57" s="19" t="str">
        <x:v>ajtónyitás: funkcionális fény; bezárás: ki; külön a Hue hangulatfénytől</x:v>
      </x:c>
      <x:c r="K57" s="19" t="str">
        <x:v>felső rekeszben levehető 300×100 mm fedél, hozzáférés létráról; nem ruhával takart tápegység</x:v>
      </x:c>
    </x:row>
    <x:row r="58" ht="48" customHeight="1">
      <x:c r="A58" s="19" t="str">
        <x:v>L-W53-01-B01-1770</x:v>
      </x:c>
      <x:c r="B58" s="19" t="str">
        <x:v>W53-01</x:v>
      </x:c>
      <x:c r="C58" s="19" t="str">
        <x:v>W53-01-B01</x:v>
      </x:c>
      <x:c r="D58" s="19" t="n">
        <x:v>1770</x:v>
      </x:c>
      <x:c r="E58" s="19" t="n">
        <x:v>460</x:v>
      </x:c>
      <x:c r="F58" s="19" t="n">
        <x:v>2.3</x:v>
      </x:c>
      <x:c r="G58" s="19" t="str">
        <x:v>305.890.98</x:v>
      </x:c>
      <x:c r="H58" s="19" t="str">
        <x:v>EPREL ellenőrzésre vár; próbaminta kötelező / nem igazolt ebben a forrásban</x:v>
      </x:c>
      <x:c r="I58" s="19" t="str">
        <x:v>meglévő helyiség dugaljának bemérése → hozzáférhető felső tápegység → oldalsó 24 V csatorna → polc alatti frontközeli lámpa</x:v>
      </x:c>
      <x:c r="J58" s="19" t="str">
        <x:v>ajtónyitás: funkcionális fény; bezárás: ki; külön a Hue hangulatfénytől</x:v>
      </x:c>
      <x:c r="K58" s="19" t="str">
        <x:v>felső rekeszben levehető 300×100 mm fedél, hozzáférés létráról; nem ruhával takart tápegység</x:v>
      </x:c>
    </x:row>
    <x:row r="59" ht="48" customHeight="1">
      <x:c r="A59" s="19" t="str">
        <x:v>L-W53-01-B01-2310</x:v>
      </x:c>
      <x:c r="B59" s="19" t="str">
        <x:v>W53-01</x:v>
      </x:c>
      <x:c r="C59" s="19" t="str">
        <x:v>W53-01-B01</x:v>
      </x:c>
      <x:c r="D59" s="19" t="n">
        <x:v>2310</x:v>
      </x:c>
      <x:c r="E59" s="19" t="n">
        <x:v>460</x:v>
      </x:c>
      <x:c r="F59" s="19" t="n">
        <x:v>2.3</x:v>
      </x:c>
      <x:c r="G59" s="19" t="str">
        <x:v>305.890.98</x:v>
      </x:c>
      <x:c r="H59" s="19" t="str">
        <x:v>EPREL ellenőrzésre vár; próbaminta kötelező / nem igazolt ebben a forrásban</x:v>
      </x:c>
      <x:c r="I59" s="19" t="str">
        <x:v>meglévő helyiség dugaljának bemérése → hozzáférhető felső tápegység → oldalsó 24 V csatorna → polc alatti frontközeli lámpa</x:v>
      </x:c>
      <x:c r="J59" s="19" t="str">
        <x:v>ajtónyitás: funkcionális fény; bezárás: ki; külön a Hue hangulatfénytől</x:v>
      </x:c>
      <x:c r="K59" s="19" t="str">
        <x:v>felső rekeszben levehető 300×100 mm fedél, hozzáférés létráról; nem ruhával takart tápegység</x:v>
      </x:c>
    </x:row>
    <x:row r="60" ht="48" customHeight="1">
      <x:c r="A60" s="19" t="str">
        <x:v>L-W53-01-B01-2790</x:v>
      </x:c>
      <x:c r="B60" s="19" t="str">
        <x:v>W53-01</x:v>
      </x:c>
      <x:c r="C60" s="19" t="str">
        <x:v>W53-01-B01</x:v>
      </x:c>
      <x:c r="D60" s="19" t="n">
        <x:v>2790</x:v>
      </x:c>
      <x:c r="E60" s="19" t="n">
        <x:v>460</x:v>
      </x:c>
      <x:c r="F60" s="19" t="n">
        <x:v>2.3</x:v>
      </x:c>
      <x:c r="G60" s="19" t="str">
        <x:v>305.890.98</x:v>
      </x:c>
      <x:c r="H60" s="19" t="str">
        <x:v>EPREL ellenőrzésre vár; próbaminta kötelező / nem igazolt ebben a forrásban</x:v>
      </x:c>
      <x:c r="I60" s="19" t="str">
        <x:v>meglévő helyiség dugaljának bemérése → hozzáférhető felső tápegység → oldalsó 24 V csatorna → polc alatti frontközeli lámpa</x:v>
      </x:c>
      <x:c r="J60" s="19" t="str">
        <x:v>ajtónyitás: funkcionális fény; bezárás: ki; külön a Hue hangulatfénytől</x:v>
      </x:c>
      <x:c r="K60" s="19" t="str">
        <x:v>felső rekeszben levehető 300×100 mm fedél, hozzáférés létráról; nem ruhával takart tápegység</x:v>
      </x:c>
    </x:row>
    <x:row r="61" ht="48" customHeight="1">
      <x:c r="A61" s="19" t="str">
        <x:v>L-W53-01-B02-850</x:v>
      </x:c>
      <x:c r="B61" s="19" t="str">
        <x:v>W53-01</x:v>
      </x:c>
      <x:c r="C61" s="19" t="str">
        <x:v>W53-01-B02</x:v>
      </x:c>
      <x:c r="D61" s="19" t="n">
        <x:v>850</x:v>
      </x:c>
      <x:c r="E61" s="19" t="n">
        <x:v>460</x:v>
      </x:c>
      <x:c r="F61" s="19" t="n">
        <x:v>2.3</x:v>
      </x:c>
      <x:c r="G61" s="19" t="str">
        <x:v>305.890.98</x:v>
      </x:c>
      <x:c r="H61" s="19" t="str">
        <x:v>EPREL ellenőrzésre vár; próbaminta kötelező / nem igazolt ebben a forrásban</x:v>
      </x:c>
      <x:c r="I61" s="19" t="str">
        <x:v>meglévő helyiség dugaljának bemérése → hozzáférhető felső tápegység → oldalsó 24 V csatorna → polc alatti frontközeli lámpa</x:v>
      </x:c>
      <x:c r="J61" s="19" t="str">
        <x:v>ajtónyitás: funkcionális fény; bezárás: ki; külön a Hue hangulatfénytől</x:v>
      </x:c>
      <x:c r="K61" s="19" t="str">
        <x:v>felső rekeszben levehető 300×100 mm fedél, hozzáférés létráról; nem ruhával takart tápegység</x:v>
      </x:c>
    </x:row>
    <x:row r="62" ht="48" customHeight="1">
      <x:c r="A62" s="19" t="str">
        <x:v>L-W53-01-B02-1730</x:v>
      </x:c>
      <x:c r="B62" s="19" t="str">
        <x:v>W53-01</x:v>
      </x:c>
      <x:c r="C62" s="19" t="str">
        <x:v>W53-01-B02</x:v>
      </x:c>
      <x:c r="D62" s="19" t="n">
        <x:v>1730</x:v>
      </x:c>
      <x:c r="E62" s="19" t="n">
        <x:v>460</x:v>
      </x:c>
      <x:c r="F62" s="19" t="n">
        <x:v>2.3</x:v>
      </x:c>
      <x:c r="G62" s="19" t="str">
        <x:v>305.890.98</x:v>
      </x:c>
      <x:c r="H62" s="19" t="str">
        <x:v>EPREL ellenőrzésre vár; próbaminta kötelező / nem igazolt ebben a forrásban</x:v>
      </x:c>
      <x:c r="I62" s="19" t="str">
        <x:v>meglévő helyiség dugaljának bemérése → hozzáférhető felső tápegység → oldalsó 24 V csatorna → polc alatti frontközeli lámpa</x:v>
      </x:c>
      <x:c r="J62" s="19" t="str">
        <x:v>ajtónyitás: funkcionális fény; bezárás: ki; külön a Hue hangulatfénytől</x:v>
      </x:c>
      <x:c r="K62" s="19" t="str">
        <x:v>felső rekeszben levehető 300×100 mm fedél, hozzáférés létráról; nem ruhával takart tápegység</x:v>
      </x:c>
    </x:row>
    <x:row r="63" ht="48" customHeight="1">
      <x:c r="A63" s="19" t="str">
        <x:v>L-W53-01-B02-2310</x:v>
      </x:c>
      <x:c r="B63" s="19" t="str">
        <x:v>W53-01</x:v>
      </x:c>
      <x:c r="C63" s="19" t="str">
        <x:v>W53-01-B02</x:v>
      </x:c>
      <x:c r="D63" s="19" t="n">
        <x:v>2310</x:v>
      </x:c>
      <x:c r="E63" s="19" t="n">
        <x:v>460</x:v>
      </x:c>
      <x:c r="F63" s="19" t="n">
        <x:v>2.3</x:v>
      </x:c>
      <x:c r="G63" s="19" t="str">
        <x:v>305.890.98</x:v>
      </x:c>
      <x:c r="H63" s="19" t="str">
        <x:v>EPREL ellenőrzésre vár; próbaminta kötelező / nem igazolt ebben a forrásban</x:v>
      </x:c>
      <x:c r="I63" s="19" t="str">
        <x:v>meglévő helyiség dugaljának bemérése → hozzáférhető felső tápegység → oldalsó 24 V csatorna → polc alatti frontközeli lámpa</x:v>
      </x:c>
      <x:c r="J63" s="19" t="str">
        <x:v>ajtónyitás: funkcionális fény; bezárás: ki; külön a Hue hangulatfénytől</x:v>
      </x:c>
      <x:c r="K63" s="19" t="str">
        <x:v>felső rekeszben levehető 300×100 mm fedél, hozzáférés létráról; nem ruhával takart tápegység</x:v>
      </x:c>
    </x:row>
    <x:row r="64" ht="48" customHeight="1">
      <x:c r="A64" s="19" t="str">
        <x:v>L-W53-01-B02-2790</x:v>
      </x:c>
      <x:c r="B64" s="19" t="str">
        <x:v>W53-01</x:v>
      </x:c>
      <x:c r="C64" s="19" t="str">
        <x:v>W53-01-B02</x:v>
      </x:c>
      <x:c r="D64" s="19" t="n">
        <x:v>2790</x:v>
      </x:c>
      <x:c r="E64" s="19" t="n">
        <x:v>460</x:v>
      </x:c>
      <x:c r="F64" s="19" t="n">
        <x:v>2.3</x:v>
      </x:c>
      <x:c r="G64" s="19" t="str">
        <x:v>305.890.98</x:v>
      </x:c>
      <x:c r="H64" s="19" t="str">
        <x:v>EPREL ellenőrzésre vár; próbaminta kötelező / nem igazolt ebben a forrásban</x:v>
      </x:c>
      <x:c r="I64" s="19" t="str">
        <x:v>meglévő helyiség dugaljának bemérése → hozzáférhető felső tápegység → oldalsó 24 V csatorna → polc alatti frontközeli lámpa</x:v>
      </x:c>
      <x:c r="J64" s="19" t="str">
        <x:v>ajtónyitás: funkcionális fény; bezárás: ki; külön a Hue hangulatfénytől</x:v>
      </x:c>
      <x:c r="K64" s="19" t="str">
        <x:v>felső rekeszben levehető 300×100 mm fedél, hozzáférés létráról; nem ruhával takart tápegység</x:v>
      </x:c>
    </x:row>
    <x:row r="65" ht="48" customHeight="1">
      <x:c r="A65" s="19" t="str">
        <x:v>L-W53-01-B03-1050</x:v>
      </x:c>
      <x:c r="B65" s="19" t="str">
        <x:v>W53-01</x:v>
      </x:c>
      <x:c r="C65" s="19" t="str">
        <x:v>W53-01-B03</x:v>
      </x:c>
      <x:c r="D65" s="19" t="n">
        <x:v>1050</x:v>
      </x:c>
      <x:c r="E65" s="19" t="n">
        <x:v>460</x:v>
      </x:c>
      <x:c r="F65" s="19" t="n">
        <x:v>2.3</x:v>
      </x:c>
      <x:c r="G65" s="19" t="str">
        <x:v>305.890.98</x:v>
      </x:c>
      <x:c r="H65" s="19" t="str">
        <x:v>EPREL ellenőrzésre vár; próbaminta kötelező / nem igazolt ebben a forrásban</x:v>
      </x:c>
      <x:c r="I65" s="19" t="str">
        <x:v>meglévő helyiség dugaljának bemérése → hozzáférhető felső tápegység → oldalsó 24 V csatorna → polc alatti frontközeli lámpa</x:v>
      </x:c>
      <x:c r="J65" s="19" t="str">
        <x:v>ajtónyitás: funkcionális fény; bezárás: ki; külön a Hue hangulatfénytől</x:v>
      </x:c>
      <x:c r="K65" s="19" t="str">
        <x:v>felső rekeszben levehető 300×100 mm fedél, hozzáférés létráról; nem ruhával takart tápegység</x:v>
      </x:c>
    </x:row>
    <x:row r="66" ht="48" customHeight="1">
      <x:c r="A66" s="19" t="str">
        <x:v>L-W53-01-B03-1790</x:v>
      </x:c>
      <x:c r="B66" s="19" t="str">
        <x:v>W53-01</x:v>
      </x:c>
      <x:c r="C66" s="19" t="str">
        <x:v>W53-01-B03</x:v>
      </x:c>
      <x:c r="D66" s="19" t="n">
        <x:v>1790</x:v>
      </x:c>
      <x:c r="E66" s="19" t="n">
        <x:v>460</x:v>
      </x:c>
      <x:c r="F66" s="19" t="n">
        <x:v>2.3</x:v>
      </x:c>
      <x:c r="G66" s="19" t="str">
        <x:v>305.890.98</x:v>
      </x:c>
      <x:c r="H66" s="19" t="str">
        <x:v>EPREL ellenőrzésre vár; próbaminta kötelező / nem igazolt ebben a forrásban</x:v>
      </x:c>
      <x:c r="I66" s="19" t="str">
        <x:v>meglévő helyiség dugaljának bemérése → hozzáférhető felső tápegység → oldalsó 24 V csatorna → polc alatti frontközeli lámpa</x:v>
      </x:c>
      <x:c r="J66" s="19" t="str">
        <x:v>ajtónyitás: funkcionális fény; bezárás: ki; külön a Hue hangulatfénytől</x:v>
      </x:c>
      <x:c r="K66" s="19" t="str">
        <x:v>felső rekeszben levehető 300×100 mm fedél, hozzáférés létráról; nem ruhával takart tápegység</x:v>
      </x:c>
    </x:row>
    <x:row r="67" ht="48" customHeight="1">
      <x:c r="A67" s="19" t="str">
        <x:v>L-W53-01-B03-2310</x:v>
      </x:c>
      <x:c r="B67" s="19" t="str">
        <x:v>W53-01</x:v>
      </x:c>
      <x:c r="C67" s="19" t="str">
        <x:v>W53-01-B03</x:v>
      </x:c>
      <x:c r="D67" s="19" t="n">
        <x:v>2310</x:v>
      </x:c>
      <x:c r="E67" s="19" t="n">
        <x:v>460</x:v>
      </x:c>
      <x:c r="F67" s="19" t="n">
        <x:v>2.3</x:v>
      </x:c>
      <x:c r="G67" s="19" t="str">
        <x:v>305.890.98</x:v>
      </x:c>
      <x:c r="H67" s="19" t="str">
        <x:v>EPREL ellenőrzésre vár; próbaminta kötelező / nem igazolt ebben a forrásban</x:v>
      </x:c>
      <x:c r="I67" s="19" t="str">
        <x:v>meglévő helyiség dugaljának bemérése → hozzáférhető felső tápegység → oldalsó 24 V csatorna → polc alatti frontközeli lámpa</x:v>
      </x:c>
      <x:c r="J67" s="19" t="str">
        <x:v>ajtónyitás: funkcionális fény; bezárás: ki; külön a Hue hangulatfénytől</x:v>
      </x:c>
      <x:c r="K67" s="19" t="str">
        <x:v>felső rekeszben levehető 300×100 mm fedél, hozzáférés létráról; nem ruhával takart tápegység</x:v>
      </x:c>
    </x:row>
    <x:row r="68" ht="48" customHeight="1">
      <x:c r="A68" s="19" t="str">
        <x:v>L-W53-01-B03-2790</x:v>
      </x:c>
      <x:c r="B68" s="19" t="str">
        <x:v>W53-01</x:v>
      </x:c>
      <x:c r="C68" s="19" t="str">
        <x:v>W53-01-B03</x:v>
      </x:c>
      <x:c r="D68" s="19" t="n">
        <x:v>2790</x:v>
      </x:c>
      <x:c r="E68" s="19" t="n">
        <x:v>460</x:v>
      </x:c>
      <x:c r="F68" s="19" t="n">
        <x:v>2.3</x:v>
      </x:c>
      <x:c r="G68" s="19" t="str">
        <x:v>305.890.98</x:v>
      </x:c>
      <x:c r="H68" s="19" t="str">
        <x:v>EPREL ellenőrzésre vár; próbaminta kötelező / nem igazolt ebben a forrásban</x:v>
      </x:c>
      <x:c r="I68" s="19" t="str">
        <x:v>meglévő helyiség dugaljának bemérése → hozzáférhető felső tápegység → oldalsó 24 V csatorna → polc alatti frontközeli lámpa</x:v>
      </x:c>
      <x:c r="J68" s="19" t="str">
        <x:v>ajtónyitás: funkcionális fény; bezárás: ki; külön a Hue hangulatfénytől</x:v>
      </x:c>
      <x:c r="K68" s="19" t="str">
        <x:v>felső rekeszben levehető 300×100 mm fedél, hozzáférés létráról; nem ruhával takart tápegység</x:v>
      </x:c>
    </x:row>
    <x:row r="69" ht="48" customHeight="1">
      <x:c r="A69" s="19" t="str">
        <x:v>L-ENT-01-B01-2170</x:v>
      </x:c>
      <x:c r="B69" s="19" t="str">
        <x:v>ENT-01</x:v>
      </x:c>
      <x:c r="C69" s="19" t="str">
        <x:v>ENT-01-B01</x:v>
      </x:c>
      <x:c r="D69" s="19" t="n">
        <x:v>2170</x:v>
      </x:c>
      <x:c r="E69" s="19" t="n">
        <x:v>250</x:v>
      </x:c>
      <x:c r="F69" s="19" t="n">
        <x:v>1.2</x:v>
      </x:c>
      <x:c r="G69" s="19" t="str">
        <x:v>Loox 3042 833.76.317, 250 mm vágat - HU beszerzés egyeztetendő</x:v>
      </x:c>
      <x:c r="H69" s="19" t="str">
        <x:v>3000 K gyártói katalógus szerint / &gt;90 katalógus szerint</x:v>
      </x:c>
      <x:c r="I69" s="19" t="str">
        <x:v>meglévő helyiség dugaljának bemérése → hozzáférhető felső tápegység → oldalsó 24 V csatorna → polc alatti frontközeli lámpa</x:v>
      </x:c>
      <x:c r="J69" s="19" t="str">
        <x:v>ajtónyitás: funkcionális fény; bezárás: ki; külön a Hue hangulatfénytől</x:v>
      </x:c>
      <x:c r="K69" s="19" t="str">
        <x:v>felső rekeszben levehető 300×100 mm fedél, hozzáférés létráról; nem ruhával takart tápegység</x:v>
      </x:c>
    </x:row>
    <x:row r="70" ht="48" customHeight="1">
      <x:c r="A70" s="19" t="str">
        <x:v>L-ENT-01-B01-2570</x:v>
      </x:c>
      <x:c r="B70" s="19" t="str">
        <x:v>ENT-01</x:v>
      </x:c>
      <x:c r="C70" s="19" t="str">
        <x:v>ENT-01-B01</x:v>
      </x:c>
      <x:c r="D70" s="19" t="n">
        <x:v>2570</x:v>
      </x:c>
      <x:c r="E70" s="19" t="n">
        <x:v>250</x:v>
      </x:c>
      <x:c r="F70" s="19" t="n">
        <x:v>1.2</x:v>
      </x:c>
      <x:c r="G70" s="19" t="str">
        <x:v>Loox 3042 833.76.317, 250 mm vágat - HU beszerzés egyeztetendő</x:v>
      </x:c>
      <x:c r="H70" s="19" t="str">
        <x:v>3000 K gyártói katalógus szerint / &gt;90 katalógus szerint</x:v>
      </x:c>
      <x:c r="I70" s="19" t="str">
        <x:v>meglévő helyiség dugaljának bemérése → hozzáférhető felső tápegység → oldalsó 24 V csatorna → polc alatti frontközeli lámpa</x:v>
      </x:c>
      <x:c r="J70" s="19" t="str">
        <x:v>ajtónyitás: funkcionális fény; bezárás: ki; külön a Hue hangulatfénytől</x:v>
      </x:c>
      <x:c r="K70" s="19" t="str">
        <x:v>felső rekeszben levehető 300×100 mm fedél, hozzáférés létráról; nem ruhával takart tápegység</x:v>
      </x:c>
    </x:row>
    <x:row r="71" ht="48" customHeight="1">
      <x:c r="A71" s="19" t="str">
        <x:v>L-ENT-01-B02-610</x:v>
      </x:c>
      <x:c r="B71" s="19" t="str">
        <x:v>ENT-01</x:v>
      </x:c>
      <x:c r="C71" s="19" t="str">
        <x:v>ENT-01-B02</x:v>
      </x:c>
      <x:c r="D71" s="19" t="n">
        <x:v>610</x:v>
      </x:c>
      <x:c r="E71" s="19" t="n">
        <x:v>250</x:v>
      </x:c>
      <x:c r="F71" s="19" t="n">
        <x:v>1.2</x:v>
      </x:c>
      <x:c r="G71" s="19" t="str">
        <x:v>Loox 3042 833.76.317, 250 mm vágat - HU beszerzés egyeztetendő</x:v>
      </x:c>
      <x:c r="H71" s="19" t="str">
        <x:v>3000 K gyártói katalógus szerint / &gt;90 katalógus szerint</x:v>
      </x:c>
      <x:c r="I71" s="19" t="str">
        <x:v>meglévő helyiség dugaljának bemérése → hozzáférhető felső tápegység → oldalsó 24 V csatorna → polc alatti frontközeli lámpa</x:v>
      </x:c>
      <x:c r="J71" s="19" t="str">
        <x:v>ajtónyitás: funkcionális fény; bezárás: ki; külön a Hue hangulatfénytől</x:v>
      </x:c>
      <x:c r="K71" s="19" t="str">
        <x:v>felső rekeszben levehető 300×100 mm fedél, hozzáférés létráról; nem ruhával takart tápegység</x:v>
      </x:c>
    </x:row>
    <x:row r="72" ht="48" customHeight="1">
      <x:c r="A72" s="19" t="str">
        <x:v>L-ENT-01-B02-1250</x:v>
      </x:c>
      <x:c r="B72" s="19" t="str">
        <x:v>ENT-01</x:v>
      </x:c>
      <x:c r="C72" s="19" t="str">
        <x:v>ENT-01-B02</x:v>
      </x:c>
      <x:c r="D72" s="19" t="n">
        <x:v>1250</x:v>
      </x:c>
      <x:c r="E72" s="19" t="n">
        <x:v>250</x:v>
      </x:c>
      <x:c r="F72" s="19" t="n">
        <x:v>1.2</x:v>
      </x:c>
      <x:c r="G72" s="19" t="str">
        <x:v>Loox 3042 833.76.317, 250 mm vágat - HU beszerzés egyeztetendő</x:v>
      </x:c>
      <x:c r="H72" s="19" t="str">
        <x:v>3000 K gyártói katalógus szerint / &gt;90 katalógus szerint</x:v>
      </x:c>
      <x:c r="I72" s="19" t="str">
        <x:v>meglévő helyiség dugaljának bemérése → hozzáférhető felső tápegység → oldalsó 24 V csatorna → polc alatti frontközeli lámpa</x:v>
      </x:c>
      <x:c r="J72" s="19" t="str">
        <x:v>ajtónyitás: funkcionális fény; bezárás: ki; külön a Hue hangulatfénytől</x:v>
      </x:c>
      <x:c r="K72" s="19" t="str">
        <x:v>felső rekeszben levehető 300×100 mm fedél, hozzáférés létráról; nem ruhával takart tápegység</x:v>
      </x:c>
    </x:row>
    <x:row r="73" ht="48" customHeight="1">
      <x:c r="A73" s="19" t="str">
        <x:v>L-ENT-01-B02-1970</x:v>
      </x:c>
      <x:c r="B73" s="19" t="str">
        <x:v>ENT-01</x:v>
      </x:c>
      <x:c r="C73" s="19" t="str">
        <x:v>ENT-01-B02</x:v>
      </x:c>
      <x:c r="D73" s="19" t="n">
        <x:v>1970</x:v>
      </x:c>
      <x:c r="E73" s="19" t="n">
        <x:v>250</x:v>
      </x:c>
      <x:c r="F73" s="19" t="n">
        <x:v>1.2</x:v>
      </x:c>
      <x:c r="G73" s="19" t="str">
        <x:v>Loox 3042 833.76.317, 250 mm vágat - HU beszerzés egyeztetendő</x:v>
      </x:c>
      <x:c r="H73" s="19" t="str">
        <x:v>3000 K gyártói katalógus szerint / &gt;90 katalógus szerint</x:v>
      </x:c>
      <x:c r="I73" s="19" t="str">
        <x:v>meglévő helyiség dugaljának bemérése → hozzáférhető felső tápegység → oldalsó 24 V csatorna → polc alatti frontközeli lámpa</x:v>
      </x:c>
      <x:c r="J73" s="19" t="str">
        <x:v>ajtónyitás: funkcionális fény; bezárás: ki; külön a Hue hangulatfénytől</x:v>
      </x:c>
      <x:c r="K73" s="19" t="str">
        <x:v>felső rekeszben levehető 300×100 mm fedél, hozzáférés létráról; nem ruhával takart tápegység</x:v>
      </x:c>
    </x:row>
    <x:row r="74" ht="48" customHeight="1">
      <x:c r="A74" s="19" t="str">
        <x:v>L-ENT-01-B02-2370</x:v>
      </x:c>
      <x:c r="B74" s="19" t="str">
        <x:v>ENT-01</x:v>
      </x:c>
      <x:c r="C74" s="19" t="str">
        <x:v>ENT-01-B02</x:v>
      </x:c>
      <x:c r="D74" s="19" t="n">
        <x:v>2370</x:v>
      </x:c>
      <x:c r="E74" s="19" t="n">
        <x:v>250</x:v>
      </x:c>
      <x:c r="F74" s="19" t="n">
        <x:v>1.2</x:v>
      </x:c>
      <x:c r="G74" s="19" t="str">
        <x:v>Loox 3042 833.76.317, 250 mm vágat - HU beszerzés egyeztetendő</x:v>
      </x:c>
      <x:c r="H74" s="19" t="str">
        <x:v>3000 K gyártói katalógus szerint / &gt;90 katalógus szerint</x:v>
      </x:c>
      <x:c r="I74" s="19" t="str">
        <x:v>meglévő helyiség dugaljának bemérése → hozzáférhető felső tápegység → oldalsó 24 V csatorna → polc alatti frontközeli lámpa</x:v>
      </x:c>
      <x:c r="J74" s="19" t="str">
        <x:v>ajtónyitás: funkcionális fény; bezárás: ki; külön a Hue hangulatfénytől</x:v>
      </x:c>
      <x:c r="K74" s="19" t="str">
        <x:v>felső rekeszben levehető 300×100 mm fedél, hozzáférés létráról; nem ruhával takart tápegység</x:v>
      </x:c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2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70" hidden="0" customWidth="1"/>
    <x:col min="8" max="8" width="70" hidden="0" customWidth="1"/>
  </x:cols>
  <x:sheetData>
    <x:row r="1" ht="48" customHeight="1">
      <x:c r="A1" s="57" t="str">
        <x:v>Tápegység</x:v>
      </x:c>
      <x:c r="B1" s="57" t="str">
        <x:v>Elem</x:v>
      </x:c>
      <x:c r="C1" s="57" t="str">
        <x:v>Lámpa db</x:v>
      </x:c>
      <x:c r="D1" s="57" t="str">
        <x:v>Terhelés W</x:v>
      </x:c>
      <x:c r="E1" s="57" t="str">
        <x:v>Névleges W</x:v>
      </x:c>
      <x:c r="F1" s="57" t="str">
        <x:v>Terhelés %</x:v>
      </x:c>
      <x:c r="G1" s="57" t="str">
        <x:v>Készlet</x:v>
      </x:c>
      <x:c r="H1" s="57" t="str">
        <x:v>Szerviz</x:v>
      </x:c>
    </x:row>
    <x:row r="2" ht="48" customHeight="1">
      <x:c r="A2" s="19" t="str">
        <x:v>PSU-K-01-ÖVERSIDAN-1</x:v>
      </x:c>
      <x:c r="B2" s="19" t="str">
        <x:v>K-01</x:v>
      </x:c>
      <x:c r="C2" s="19" t="n">
        <x:v>2</x:v>
      </x:c>
      <x:c r="D2" s="19" t="n">
        <x:v>4.6</x:v>
      </x:c>
      <x:c r="E2" s="19" t="n">
        <x:v>30</x:v>
      </x:c>
      <x:c r="F2" s="54" t="n">
        <x:f>D2/E2</x:f>
        <x:v>0.15333333333333332</x:v>
      </x:c>
      <x:c r="G2" s="19" t="str">
        <x:v>603.426.56 + 504.468.81</x:v>
      </x:c>
      <x:c r="H2" s="19" t="str">
        <x:v>Felső, hozzáférhető rekesz; a betáp helyszíni ellenőrzése szükséges.</x:v>
      </x:c>
    </x:row>
    <x:row r="3" ht="48" customHeight="1">
      <x:c r="A3" s="19" t="str">
        <x:v>PSU-K-02-ÖVERSIDAN-1</x:v>
      </x:c>
      <x:c r="B3" s="19" t="str">
        <x:v>K-02</x:v>
      </x:c>
      <x:c r="C3" s="19" t="n">
        <x:v>1</x:v>
      </x:c>
      <x:c r="D3" s="19" t="n">
        <x:v>2.3</x:v>
      </x:c>
      <x:c r="E3" s="19" t="n">
        <x:v>30</x:v>
      </x:c>
      <x:c r="F3" s="54" t="n">
        <x:f>D3/E3</x:f>
        <x:v>0.07666666666666666</x:v>
      </x:c>
      <x:c r="G3" s="19" t="str">
        <x:v>603.426.56 + 504.468.81</x:v>
      </x:c>
      <x:c r="H3" s="19" t="str">
        <x:v>Felső, hozzáférhető rekesz; a betáp helyszíni ellenőrzése szükséges.</x:v>
      </x:c>
    </x:row>
    <x:row r="4" ht="48" customHeight="1">
      <x:c r="A4" s="19" t="str">
        <x:v>PSU-K-07-ÖVERSIDAN-1</x:v>
      </x:c>
      <x:c r="B4" s="19" t="str">
        <x:v>K-07</x:v>
      </x:c>
      <x:c r="C4" s="19" t="n">
        <x:v>4</x:v>
      </x:c>
      <x:c r="D4" s="19" t="n">
        <x:v>9.2</x:v>
      </x:c>
      <x:c r="E4" s="19" t="n">
        <x:v>30</x:v>
      </x:c>
      <x:c r="F4" s="54" t="n">
        <x:f>D4/E4</x:f>
        <x:v>0.30666666666666664</x:v>
      </x:c>
      <x:c r="G4" s="19" t="str">
        <x:v>603.426.56 + 504.468.81</x:v>
      </x:c>
      <x:c r="H4" s="19" t="str">
        <x:v>Felső, hozzáférhető rekesz; a betáp helyszíni ellenőrzése szükséges.</x:v>
      </x:c>
    </x:row>
    <x:row r="5" ht="48" customHeight="1">
      <x:c r="A5" s="19" t="str">
        <x:v>PSU-TV-01-Loox-1</x:v>
      </x:c>
      <x:c r="B5" s="19" t="str">
        <x:v>TV-01</x:v>
      </x:c>
      <x:c r="C5" s="19" t="n">
        <x:v>6</x:v>
      </x:c>
      <x:c r="D5" s="19" t="n">
        <x:v>7.2</x:v>
      </x:c>
      <x:c r="E5" s="19" t="n">
        <x:v>20</x:v>
      </x:c>
      <x:c r="F5" s="54" t="n">
        <x:f>D5/E5</x:f>
        <x:v>0.36</x:v>
      </x:c>
      <x:c r="G5" s="19" t="str">
        <x:v>Loox 24 V / 20 W illesztett driver és érzékelő; végleges SKU ajánlati kapu</x:v>
      </x:c>
      <x:c r="H5" s="19" t="str">
        <x:v>Felső, hozzáférhető rekesz; a betáp helyszíni ellenőrzése szükséges.</x:v>
      </x:c>
    </x:row>
    <x:row r="6" ht="48" customHeight="1">
      <x:c r="A6" s="19" t="str">
        <x:v>PSU-WN-01-ÖVERSIDAN-1</x:v>
      </x:c>
      <x:c r="B6" s="19" t="str">
        <x:v>WN-01</x:v>
      </x:c>
      <x:c r="C6" s="19" t="n">
        <x:v>9</x:v>
      </x:c>
      <x:c r="D6" s="19" t="n">
        <x:v>20.7</x:v>
      </x:c>
      <x:c r="E6" s="19" t="n">
        <x:v>30</x:v>
      </x:c>
      <x:c r="F6" s="54" t="n">
        <x:f>D6/E6</x:f>
        <x:v>0.69</x:v>
      </x:c>
      <x:c r="G6" s="19" t="str">
        <x:v>603.426.56 + 504.468.81</x:v>
      </x:c>
      <x:c r="H6" s="19" t="str">
        <x:v>Felső, hozzáférhető rekesz; a betáp helyszíni ellenőrzése szükséges.</x:v>
      </x:c>
    </x:row>
    <x:row r="7" ht="48" customHeight="1">
      <x:c r="A7" s="19" t="str">
        <x:v>PSU-WN-01-ÖVERSIDAN-2</x:v>
      </x:c>
      <x:c r="B7" s="19" t="str">
        <x:v>WN-01</x:v>
      </x:c>
      <x:c r="C7" s="19" t="n">
        <x:v>3</x:v>
      </x:c>
      <x:c r="D7" s="19" t="n">
        <x:v>6.9</x:v>
      </x:c>
      <x:c r="E7" s="19" t="n">
        <x:v>30</x:v>
      </x:c>
      <x:c r="F7" s="54" t="n">
        <x:f>D7/E7</x:f>
        <x:v>0.23</x:v>
      </x:c>
      <x:c r="G7" s="19" t="str">
        <x:v>603.426.56 + 504.468.81</x:v>
      </x:c>
      <x:c r="H7" s="19" t="str">
        <x:v>Felső, hozzáférhető rekesz; a betáp helyszíni ellenőrzése szükséges.</x:v>
      </x:c>
    </x:row>
    <x:row r="8" ht="48" customHeight="1">
      <x:c r="A8" s="19" t="str">
        <x:v>PSU-WS-01-ÖVERSIDAN-1</x:v>
      </x:c>
      <x:c r="B8" s="19" t="str">
        <x:v>WS-01</x:v>
      </x:c>
      <x:c r="C8" s="19" t="n">
        <x:v>9</x:v>
      </x:c>
      <x:c r="D8" s="19" t="n">
        <x:v>20.7</x:v>
      </x:c>
      <x:c r="E8" s="19" t="n">
        <x:v>30</x:v>
      </x:c>
      <x:c r="F8" s="54" t="n">
        <x:f>D8/E8</x:f>
        <x:v>0.69</x:v>
      </x:c>
      <x:c r="G8" s="19" t="str">
        <x:v>603.426.56 + 504.468.81</x:v>
      </x:c>
      <x:c r="H8" s="19" t="str">
        <x:v>Felső, hozzáférhető rekesz; a betáp helyszíni ellenőrzése szükséges.</x:v>
      </x:c>
    </x:row>
    <x:row r="9" ht="48" customHeight="1">
      <x:c r="A9" s="19" t="str">
        <x:v>PSU-WS-01-ÖVERSIDAN-2</x:v>
      </x:c>
      <x:c r="B9" s="19" t="str">
        <x:v>WS-01</x:v>
      </x:c>
      <x:c r="C9" s="19" t="n">
        <x:v>8</x:v>
      </x:c>
      <x:c r="D9" s="19" t="n">
        <x:v>18.4</x:v>
      </x:c>
      <x:c r="E9" s="19" t="n">
        <x:v>30</x:v>
      </x:c>
      <x:c r="F9" s="54" t="n">
        <x:f>D9/E9</x:f>
        <x:v>0.6133333333333333</x:v>
      </x:c>
      <x:c r="G9" s="19" t="str">
        <x:v>603.426.56 + 504.468.81</x:v>
      </x:c>
      <x:c r="H9" s="19" t="str">
        <x:v>Felső, hozzáférhető rekesz; a betáp helyszíni ellenőrzése szükséges.</x:v>
      </x:c>
    </x:row>
    <x:row r="10" ht="48" customHeight="1">
      <x:c r="A10" s="19" t="str">
        <x:v>PSU-W52-01-ÖVERSIDAN-1</x:v>
      </x:c>
      <x:c r="B10" s="19" t="str">
        <x:v>W52-01</x:v>
      </x:c>
      <x:c r="C10" s="19" t="n">
        <x:v>9</x:v>
      </x:c>
      <x:c r="D10" s="19" t="n">
        <x:v>20.7</x:v>
      </x:c>
      <x:c r="E10" s="19" t="n">
        <x:v>30</x:v>
      </x:c>
      <x:c r="F10" s="54" t="n">
        <x:f>D10/E10</x:f>
        <x:v>0.69</x:v>
      </x:c>
      <x:c r="G10" s="19" t="str">
        <x:v>603.426.56 + 504.468.81</x:v>
      </x:c>
      <x:c r="H10" s="19" t="str">
        <x:v>Felső, hozzáférhető rekesz; a betáp helyszíni ellenőrzése szükséges.</x:v>
      </x:c>
    </x:row>
    <x:row r="11" ht="48" customHeight="1">
      <x:c r="A11" s="19" t="str">
        <x:v>PSU-W52-01-ÖVERSIDAN-2</x:v>
      </x:c>
      <x:c r="B11" s="19" t="str">
        <x:v>W52-01</x:v>
      </x:c>
      <x:c r="C11" s="19" t="n">
        <x:v>5</x:v>
      </x:c>
      <x:c r="D11" s="19" t="n">
        <x:v>11.5</x:v>
      </x:c>
      <x:c r="E11" s="19" t="n">
        <x:v>30</x:v>
      </x:c>
      <x:c r="F11" s="54" t="n">
        <x:f>D11/E11</x:f>
        <x:v>0.38333333333333336</x:v>
      </x:c>
      <x:c r="G11" s="19" t="str">
        <x:v>603.426.56 + 504.468.81</x:v>
      </x:c>
      <x:c r="H11" s="19" t="str">
        <x:v>Felső, hozzáférhető rekesz; a betáp helyszíni ellenőrzése szükséges.</x:v>
      </x:c>
    </x:row>
    <x:row r="12" ht="48" customHeight="1">
      <x:c r="A12" s="19" t="str">
        <x:v>PSU-W53-01-ÖVERSIDAN-1</x:v>
      </x:c>
      <x:c r="B12" s="19" t="str">
        <x:v>W53-01</x:v>
      </x:c>
      <x:c r="C12" s="19" t="n">
        <x:v>9</x:v>
      </x:c>
      <x:c r="D12" s="19" t="n">
        <x:v>20.7</x:v>
      </x:c>
      <x:c r="E12" s="19" t="n">
        <x:v>30</x:v>
      </x:c>
      <x:c r="F12" s="54" t="n">
        <x:f>D12/E12</x:f>
        <x:v>0.69</x:v>
      </x:c>
      <x:c r="G12" s="19" t="str">
        <x:v>603.426.56 + 504.468.81</x:v>
      </x:c>
      <x:c r="H12" s="19" t="str">
        <x:v>Felső, hozzáférhető rekesz; a betáp helyszíni ellenőrzése szükséges.</x:v>
      </x:c>
    </x:row>
    <x:row r="13" ht="48" customHeight="1">
      <x:c r="A13" s="19" t="str">
        <x:v>PSU-W53-01-ÖVERSIDAN-2</x:v>
      </x:c>
      <x:c r="B13" s="19" t="str">
        <x:v>W53-01</x:v>
      </x:c>
      <x:c r="C13" s="19" t="n">
        <x:v>2</x:v>
      </x:c>
      <x:c r="D13" s="19" t="n">
        <x:v>4.6</x:v>
      </x:c>
      <x:c r="E13" s="19" t="n">
        <x:v>30</x:v>
      </x:c>
      <x:c r="F13" s="54" t="n">
        <x:f>D13/E13</x:f>
        <x:v>0.15333333333333332</x:v>
      </x:c>
      <x:c r="G13" s="19" t="str">
        <x:v>603.426.56 + 504.468.81</x:v>
      </x:c>
      <x:c r="H13" s="19" t="str">
        <x:v>Felső, hozzáférhető rekesz; a betáp helyszíni ellenőrzése szükséges.</x:v>
      </x:c>
    </x:row>
    <x:row r="14" ht="48" customHeight="1">
      <x:c r="A14" s="19" t="str">
        <x:v>PSU-ENT-01-Loox-1</x:v>
      </x:c>
      <x:c r="B14" s="19" t="str">
        <x:v>ENT-01</x:v>
      </x:c>
      <x:c r="C14" s="19" t="n">
        <x:v>6</x:v>
      </x:c>
      <x:c r="D14" s="19" t="n">
        <x:v>7.2</x:v>
      </x:c>
      <x:c r="E14" s="19" t="n">
        <x:v>20</x:v>
      </x:c>
      <x:c r="F14" s="54" t="n">
        <x:f>D14/E14</x:f>
        <x:v>0.36</x:v>
      </x:c>
      <x:c r="G14" s="19" t="str">
        <x:v>Loox 24 V / 20 W illesztett driver és érzékelő; végleges SKU ajánlati kapu</x:v>
      </x:c>
      <x:c r="H14" s="19" t="str">
        <x:v>Felső, hozzáférhető rekesz; a betáp helyszíni ellenőrzése szükséges.</x:v>
      </x:c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2" hidden="0" customWidth="1"/>
    <x:col min="3" max="3" width="45" hidden="0" customWidth="1"/>
    <x:col min="4" max="4" width="70" hidden="0" customWidth="1"/>
    <x:col min="5" max="5" width="12" hidden="0" customWidth="1"/>
    <x:col min="6" max="6" width="18" hidden="0" customWidth="1"/>
    <x:col min="7" max="7" width="75" hidden="0" customWidth="1"/>
  </x:cols>
  <x:sheetData>
    <x:row r="1" ht="48" customHeight="1">
      <x:c r="A1" s="57" t="str">
        <x:v>Elem</x:v>
      </x:c>
      <x:c r="B1" s="57" t="str">
        <x:v>Rekesz</x:v>
      </x:c>
      <x:c r="C1" s="57" t="str">
        <x:v>Típus</x:v>
      </x:c>
      <x:c r="D1" s="57" t="str">
        <x:v>Jelölt</x:v>
      </x:c>
      <x:c r="E1" s="57" t="str">
        <x:v>Db</x:v>
      </x:c>
      <x:c r="F1" s="57" t="str">
        <x:v>Névleges mm</x:v>
      </x:c>
      <x:c r="G1" s="57" t="str">
        <x:v>Bizonyíték</x:v>
      </x:c>
    </x:row>
    <x:row r="2" ht="48" customHeight="1">
      <x:c r="A2" s="19" t="str">
        <x:v>K-05</x:v>
      </x:c>
      <x:c r="B2" s="19" t="str">
        <x:v>K-05-B01</x:v>
      </x:c>
      <x:c r="C2" s="19" t="str">
        <x:v>Teljes kihúzású, csillapított fiókvezető</x:v>
      </x:c>
      <x:c r="D2" s="19" t="str">
        <x:v>Blum MOVENTO 40 kg; pontos rendelési készlet gyártói kiosztással</x:v>
      </x:c>
      <x:c r="E2" s="19" t="n">
        <x:v>3</x:v>
      </x:c>
      <x:c r="F2" s="19" t="n">
        <x:v>500</x:v>
      </x:c>
      <x:c r="G2" s="19" t="str">
        <x:v>rendszer ismert; szerelési és fiókoldal méret még jóváhagyandó</x:v>
      </x:c>
    </x:row>
    <x:row r="3" ht="48" customHeight="1">
      <x:c r="A3" s="19" t="str">
        <x:v>K-06</x:v>
      </x:c>
      <x:c r="B3" s="19" t="str">
        <x:v>K-06-B01</x:v>
      </x:c>
      <x:c r="C3" s="19" t="str">
        <x:v>Teljes kihúzású, csillapított fiókvezető</x:v>
      </x:c>
      <x:c r="D3" s="19" t="str">
        <x:v>Blum MOVENTO 40 kg; pontos rendelési készlet gyártói kiosztással</x:v>
      </x:c>
      <x:c r="E3" s="19" t="n">
        <x:v>3</x:v>
      </x:c>
      <x:c r="F3" s="19" t="n">
        <x:v>500</x:v>
      </x:c>
      <x:c r="G3" s="19" t="str">
        <x:v>rendszer ismert; szerelési és fiókoldal méret még jóváhagyandó</x:v>
      </x:c>
    </x:row>
    <x:row r="4" ht="48" customHeight="1">
      <x:c r="A4" s="19" t="str">
        <x:v>K-06</x:v>
      </x:c>
      <x:c r="B4" s="19" t="str">
        <x:v>K-06-B02</x:v>
      </x:c>
      <x:c r="C4" s="19" t="str">
        <x:v>Teljes kihúzású, csillapított fiókvezető</x:v>
      </x:c>
      <x:c r="D4" s="19" t="str">
        <x:v>Blum MOVENTO 40 kg; pontos rendelési készlet gyártói kiosztással</x:v>
      </x:c>
      <x:c r="E4" s="19" t="n">
        <x:v>3</x:v>
      </x:c>
      <x:c r="F4" s="19" t="n">
        <x:v>500</x:v>
      </x:c>
      <x:c r="G4" s="19" t="str">
        <x:v>rendszer ismert; szerelési és fiókoldal méret még jóváhagyandó</x:v>
      </x:c>
    </x:row>
    <x:row r="5" ht="48" customHeight="1">
      <x:c r="A5" s="19" t="str">
        <x:v>WN-01</x:v>
      </x:c>
      <x:c r="B5" s="19" t="str">
        <x:v>WN-01-B01</x:v>
      </x:c>
      <x:c r="C5" s="19" t="str">
        <x:v>Teljes kihúzású, csillapított fiókvezető</x:v>
      </x:c>
      <x:c r="D5" s="19" t="str">
        <x:v>Blum MOVENTO 40 kg; pontos rendelési készlet gyártói kiosztással</x:v>
      </x:c>
      <x:c r="E5" s="19" t="n">
        <x:v>2</x:v>
      </x:c>
      <x:c r="F5" s="19" t="n">
        <x:v>500</x:v>
      </x:c>
      <x:c r="G5" s="19" t="str">
        <x:v>rendszer ismert; szerelési és fiókoldal méret még jóváhagyandó</x:v>
      </x:c>
    </x:row>
    <x:row r="6" ht="48" customHeight="1">
      <x:c r="A6" s="19" t="str">
        <x:v>WN-01</x:v>
      </x:c>
      <x:c r="B6" s="19" t="str">
        <x:v>WN-01-B02</x:v>
      </x:c>
      <x:c r="C6" s="19" t="str">
        <x:v>Gardróblift</x:v>
      </x:c>
      <x:c r="D6" s="19" t="str">
        <x:v>Kesseböhmer CONERO normál 0–12 kg, 625–808 mm szélesség</x:v>
      </x:c>
      <x:c r="E6" s="19" t="n">
        <x:v>1</x:v>
      </x:c>
      <x:c r="F6" s="19" t="n">
        <x:v>694</x:v>
      </x:c>
      <x:c r="G6" s="19" t="str">
        <x:v>gyártói szélességtartományba esik; pontos furat / mozgáspálya és cikkszám ajánlatban</x:v>
      </x:c>
    </x:row>
    <x:row r="7" ht="48" customHeight="1">
      <x:c r="A7" s="19" t="str">
        <x:v>WN-01</x:v>
      </x:c>
      <x:c r="B7" s="19" t="str">
        <x:v>WN-01-B03</x:v>
      </x:c>
      <x:c r="C7" s="19" t="str">
        <x:v>Gardróblift</x:v>
      </x:c>
      <x:c r="D7" s="19" t="str">
        <x:v>Kesseböhmer CONERO normál 0–12 kg, 625–808 mm szélesség</x:v>
      </x:c>
      <x:c r="E7" s="19" t="n">
        <x:v>1</x:v>
      </x:c>
      <x:c r="F7" s="19" t="n">
        <x:v>694</x:v>
      </x:c>
      <x:c r="G7" s="19" t="str">
        <x:v>gyártói szélességtartományba esik; pontos furat / mozgáspálya és cikkszám ajánlatban</x:v>
      </x:c>
    </x:row>
    <x:row r="8" ht="48" customHeight="1">
      <x:c r="A8" s="19" t="str">
        <x:v>WN-01</x:v>
      </x:c>
      <x:c r="B8" s="19" t="str">
        <x:v>WN-01-B04</x:v>
      </x:c>
      <x:c r="C8" s="19" t="str">
        <x:v>Teljes kihúzású, csillapított fiókvezető</x:v>
      </x:c>
      <x:c r="D8" s="19" t="str">
        <x:v>Blum MOVENTO 40 kg; pontos rendelési készlet gyártói kiosztással</x:v>
      </x:c>
      <x:c r="E8" s="19" t="n">
        <x:v>6</x:v>
      </x:c>
      <x:c r="F8" s="19" t="n">
        <x:v>500</x:v>
      </x:c>
      <x:c r="G8" s="19" t="str">
        <x:v>rendszer ismert; szerelési és fiókoldal méret még jóváhagyandó</x:v>
      </x:c>
    </x:row>
    <x:row r="9" ht="48" customHeight="1">
      <x:c r="A9" s="19" t="str">
        <x:v>WS-01</x:v>
      </x:c>
      <x:c r="B9" s="19" t="str">
        <x:v>WS-01-B03</x:v>
      </x:c>
      <x:c r="C9" s="19" t="str">
        <x:v>Teljes kihúzású, csillapított fiókvezető</x:v>
      </x:c>
      <x:c r="D9" s="19" t="str">
        <x:v>Blum MOVENTO 40 kg; pontos rendelési készlet gyártói kiosztással</x:v>
      </x:c>
      <x:c r="E9" s="19" t="n">
        <x:v>4</x:v>
      </x:c>
      <x:c r="F9" s="19" t="n">
        <x:v>400</x:v>
      </x:c>
      <x:c r="G9" s="19" t="str">
        <x:v>rendszer ismert; szerelési és fiókoldal méret még jóváhagyandó</x:v>
      </x:c>
    </x:row>
    <x:row r="10" ht="48" customHeight="1">
      <x:c r="A10" s="19" t="str">
        <x:v>NT-L</x:v>
      </x:c>
      <x:c r="B10" s="19" t="str">
        <x:v>NT-L-B01</x:v>
      </x:c>
      <x:c r="C10" s="19" t="str">
        <x:v>Teljes kihúzású, csillapított fiókvezető</x:v>
      </x:c>
      <x:c r="D10" s="19" t="str">
        <x:v>Blum MOVENTO 40 kg; pontos rendelési készlet gyártói kiosztással</x:v>
      </x:c>
      <x:c r="E10" s="19" t="n">
        <x:v>2</x:v>
      </x:c>
      <x:c r="F10" s="19" t="n">
        <x:v>350</x:v>
      </x:c>
      <x:c r="G10" s="19" t="str">
        <x:v>rendszer ismert; szerelési és fiókoldal méret még jóváhagyandó</x:v>
      </x:c>
    </x:row>
    <x:row r="11" ht="48" customHeight="1">
      <x:c r="A11" s="19" t="str">
        <x:v>NT-R</x:v>
      </x:c>
      <x:c r="B11" s="19" t="str">
        <x:v>NT-R-B01</x:v>
      </x:c>
      <x:c r="C11" s="19" t="str">
        <x:v>Teljes kihúzású, csillapított fiókvezető</x:v>
      </x:c>
      <x:c r="D11" s="19" t="str">
        <x:v>Blum MOVENTO 40 kg; pontos rendelési készlet gyártói kiosztással</x:v>
      </x:c>
      <x:c r="E11" s="19" t="n">
        <x:v>2</x:v>
      </x:c>
      <x:c r="F11" s="19" t="n">
        <x:v>350</x:v>
      </x:c>
      <x:c r="G11" s="19" t="str">
        <x:v>rendszer ismert; szerelési és fiókoldal méret még jóváhagyandó</x:v>
      </x:c>
    </x:row>
    <x:row r="12" ht="48" customHeight="1">
      <x:c r="A12" s="19" t="str">
        <x:v>W52-01</x:v>
      </x:c>
      <x:c r="B12" s="19" t="str">
        <x:v>W52-01-B01</x:v>
      </x:c>
      <x:c r="C12" s="19" t="str">
        <x:v>Gardróblift</x:v>
      </x:c>
      <x:c r="D12" s="19" t="str">
        <x:v>Kesseböhmer CONERO normál 0–12 kg, 445–628 mm szélesség</x:v>
      </x:c>
      <x:c r="E12" s="19" t="n">
        <x:v>1</x:v>
      </x:c>
      <x:c r="F12" s="19" t="n">
        <x:v>559</x:v>
      </x:c>
      <x:c r="G12" s="19" t="str">
        <x:v>gyártói szélességtartományba esik; pontos furat / mozgáspálya és cikkszám ajánlatban</x:v>
      </x:c>
    </x:row>
    <x:row r="13" ht="48" customHeight="1">
      <x:c r="A13" s="19" t="str">
        <x:v>W52-01</x:v>
      </x:c>
      <x:c r="B13" s="19" t="str">
        <x:v>W52-01-B03</x:v>
      </x:c>
      <x:c r="C13" s="19" t="str">
        <x:v>Teljes kihúzású, csillapított fiókvezető</x:v>
      </x:c>
      <x:c r="D13" s="19" t="str">
        <x:v>Blum MOVENTO 40 kg; pontos rendelési készlet gyártói kiosztással</x:v>
      </x:c>
      <x:c r="E13" s="19" t="n">
        <x:v>4</x:v>
      </x:c>
      <x:c r="F13" s="19" t="n">
        <x:v>500</x:v>
      </x:c>
      <x:c r="G13" s="19" t="str">
        <x:v>rendszer ismert; szerelési és fiókoldal méret még jóváhagyandó</x:v>
      </x:c>
    </x:row>
    <x:row r="14" ht="48" customHeight="1">
      <x:c r="A14" s="19" t="str">
        <x:v>W53-01</x:v>
      </x:c>
      <x:c r="B14" s="19" t="str">
        <x:v>W53-01-B03</x:v>
      </x:c>
      <x:c r="C14" s="19" t="str">
        <x:v>Teljes kihúzású, csillapított fiókvezető</x:v>
      </x:c>
      <x:c r="D14" s="19" t="str">
        <x:v>Blum MOVENTO 40 kg; pontos rendelési készlet gyártói kiosztással</x:v>
      </x:c>
      <x:c r="E14" s="19" t="n">
        <x:v>4</x:v>
      </x:c>
      <x:c r="F14" s="19" t="n">
        <x:v>350</x:v>
      </x:c>
      <x:c r="G14" s="19" t="str">
        <x:v>rendszer ismert; szerelési és fiókoldal méret még jóváhagyandó</x:v>
      </x:c>
    </x:row>
    <x:row r="15" ht="48" customHeight="1">
      <x:c r="A15" s="19" t="str">
        <x:v>B62-01</x:v>
      </x:c>
      <x:c r="B15" s="19" t="str">
        <x:v>B62-01-B01</x:v>
      </x:c>
      <x:c r="C15" s="19" t="str">
        <x:v>Teljes kihúzású, csillapított fiókvezető</x:v>
      </x:c>
      <x:c r="D15" s="19" t="str">
        <x:v>Blum MOVENTO 40 kg; pontos rendelési készlet gyártói kiosztással</x:v>
      </x:c>
      <x:c r="E15" s="19" t="n">
        <x:v>2</x:v>
      </x:c>
      <x:c r="F15" s="19" t="n">
        <x:v>450</x:v>
      </x:c>
      <x:c r="G15" s="19" t="str">
        <x:v>rendszer ismert; szerelési és fiókoldal méret még jóváhagyandó</x:v>
      </x:c>
    </x:row>
    <x:row r="16" ht="48" customHeight="1">
      <x:c r="A16" s="19" t="str">
        <x:v>B61-01</x:v>
      </x:c>
      <x:c r="B16" s="19" t="str">
        <x:v>B61-01-B01</x:v>
      </x:c>
      <x:c r="C16" s="19" t="str">
        <x:v>Teljes kihúzású, csillapított fiókvezető</x:v>
      </x:c>
      <x:c r="D16" s="19" t="str">
        <x:v>Blum MOVENTO 40 kg; pontos rendelési készlet gyártói kiosztással</x:v>
      </x:c>
      <x:c r="E16" s="19" t="n">
        <x:v>2</x:v>
      </x:c>
      <x:c r="F16" s="19" t="n">
        <x:v>350</x:v>
      </x:c>
      <x:c r="G16" s="19" t="str">
        <x:v>rendszer ismert; szerelési és fiókoldal méret még jóváhagyandó</x:v>
      </x:c>
    </x:row>
    <x:row r="17" ht="48" customHeight="1">
      <x:c r="A17" s="19" t="str">
        <x:v>NT-64</x:v>
      </x:c>
      <x:c r="B17" s="19" t="str">
        <x:v>NT-64-B01</x:v>
      </x:c>
      <x:c r="C17" s="19" t="str">
        <x:v>Teljes kihúzású, csillapított fiókvezető</x:v>
      </x:c>
      <x:c r="D17" s="19" t="str">
        <x:v>Blum MOVENTO 40 kg; pontos rendelési készlet gyártói kiosztással</x:v>
      </x:c>
      <x:c r="E17" s="19" t="n">
        <x:v>1</x:v>
      </x:c>
      <x:c r="F17" s="19" t="n">
        <x:v>250</x:v>
      </x:c>
      <x:c r="G17" s="19" t="str">
        <x:v>rendszer ismert; szerelési és fiókoldal méret még jóváhagyandó</x:v>
      </x:c>
    </x:row>
    <x:row r="18" ht="48" customHeight="1">
      <x:c r="A18" s="19" t="str">
        <x:v>NT-76</x:v>
      </x:c>
      <x:c r="B18" s="19" t="str">
        <x:v>NT-76-B01</x:v>
      </x:c>
      <x:c r="C18" s="19" t="str">
        <x:v>Teljes kihúzású, csillapított fiókvezető</x:v>
      </x:c>
      <x:c r="D18" s="19" t="str">
        <x:v>Blum MOVENTO 40 kg; pontos rendelési készlet gyártói kiosztással</x:v>
      </x:c>
      <x:c r="E18" s="19" t="n">
        <x:v>1</x:v>
      </x:c>
      <x:c r="F18" s="19" t="n">
        <x:v>250</x:v>
      </x:c>
      <x:c r="G18" s="19" t="str">
        <x:v>rendszer ismert; szerelési és fiókoldal méret még jóváhagyandó</x:v>
      </x:c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1" hidden="0" customWidth="1"/>
    <x:col min="3" max="3" width="21" hidden="0" customWidth="1"/>
    <x:col min="4" max="4" width="21" hidden="0" customWidth="1"/>
    <x:col min="5" max="5" width="105" hidden="0" customWidth="1"/>
  </x:cols>
  <x:sheetData>
    <x:row r="1" ht="48" customHeight="1">
      <x:c r="A1" s="57" t="str">
        <x:v>Elemkód</x:v>
      </x:c>
      <x:c r="B1" s="57" t="str">
        <x:v>R02 bruttó Ft</x:v>
      </x:c>
      <x:c r="C1" s="57" t="str">
        <x:v>CP3 mentett bruttó Ft</x:v>
      </x:c>
      <x:c r="D1" s="57" t="str">
        <x:v>Változás Ft</x:v>
      </x:c>
      <x:c r="E1" s="57" t="str">
        <x:v>Ok / tartalom</x:v>
      </x:c>
    </x:row>
    <x:row r="2" ht="48" customHeight="1">
      <x:c r="A2" s="19" t="str">
        <x:v>KI-001</x:v>
      </x:c>
      <x:c r="B2" s="55" t="n">
        <x:v>100000</x:v>
      </x:c>
      <x:c r="C2" s="55" t="n">
        <x:v>100000</x:v>
      </x:c>
      <x:c r="D2" s="55" t="n">
        <x:f>C2-B2</x:f>
        <x:v>0</x:v>
      </x:c>
      <x:c r="E2" s="19" t="str">
        <x:v>R02 tartalom megtartva</x:v>
      </x:c>
    </x:row>
    <x:row r="3" ht="48" customHeight="1">
      <x:c r="A3" s="19" t="str">
        <x:v>KI-002</x:v>
      </x:c>
      <x:c r="B3" s="55" t="n">
        <x:v>100000</x:v>
      </x:c>
      <x:c r="C3" s="55" t="n">
        <x:v>100000</x:v>
      </x:c>
      <x:c r="D3" s="55" t="n">
        <x:f>C3-B3</x:f>
        <x:v>0</x:v>
      </x:c>
      <x:c r="E3" s="19" t="str">
        <x:v>R02 tartalom megtartva</x:v>
      </x:c>
    </x:row>
    <x:row r="4" ht="48" customHeight="1">
      <x:c r="A4" s="19" t="str">
        <x:v>KI-003</x:v>
      </x:c>
      <x:c r="B4" s="55" t="n">
        <x:v>80000</x:v>
      </x:c>
      <x:c r="C4" s="55" t="n">
        <x:v>80000</x:v>
      </x:c>
      <x:c r="D4" s="55" t="n">
        <x:f>C4-B4</x:f>
        <x:v>0</x:v>
      </x:c>
      <x:c r="E4" s="19" t="str">
        <x:v>R02 tartalom megtartva</x:v>
      </x:c>
    </x:row>
    <x:row r="5" ht="48" customHeight="1">
      <x:c r="A5" s="19" t="str">
        <x:v>KI-004</x:v>
      </x:c>
      <x:c r="B5" s="55" t="n">
        <x:v>80000</x:v>
      </x:c>
      <x:c r="C5" s="55" t="n">
        <x:v>80000</x:v>
      </x:c>
      <x:c r="D5" s="55" t="n">
        <x:f>C5-B5</x:f>
        <x:v>0</x:v>
      </x:c>
      <x:c r="E5" s="19" t="str">
        <x:v>R02 tartalom megtartva</x:v>
      </x:c>
    </x:row>
    <x:row r="6" ht="48" customHeight="1">
      <x:c r="A6" s="19" t="str">
        <x:v>KI-005</x:v>
      </x:c>
      <x:c r="B6" s="55" t="n">
        <x:v>60000</x:v>
      </x:c>
      <x:c r="C6" s="55" t="n">
        <x:v>60000</x:v>
      </x:c>
      <x:c r="D6" s="55" t="n">
        <x:f>C6-B6</x:f>
        <x:v>0</x:v>
      </x:c>
      <x:c r="E6" s="19" t="str">
        <x:v>R02 tartalom megtartva</x:v>
      </x:c>
    </x:row>
    <x:row r="7" ht="48" customHeight="1">
      <x:c r="A7" s="19" t="str">
        <x:v>KI-006</x:v>
      </x:c>
      <x:c r="B7" s="55" t="n">
        <x:v>180000</x:v>
      </x:c>
      <x:c r="C7" s="55" t="n">
        <x:v>180000</x:v>
      </x:c>
      <x:c r="D7" s="55" t="n">
        <x:f>C7-B7</x:f>
        <x:v>0</x:v>
      </x:c>
      <x:c r="E7" s="19" t="str">
        <x:v>R02 tartalom megtartva</x:v>
      </x:c>
    </x:row>
    <x:row r="8" ht="48" customHeight="1">
      <x:c r="A8" s="19" t="str">
        <x:v>KI-007</x:v>
      </x:c>
      <x:c r="B8" s="55" t="n">
        <x:v>120000</x:v>
      </x:c>
      <x:c r="C8" s="55" t="n">
        <x:v>120000</x:v>
      </x:c>
      <x:c r="D8" s="55" t="n">
        <x:f>C8-B8</x:f>
        <x:v>0</x:v>
      </x:c>
      <x:c r="E8" s="19" t="str">
        <x:v>R02 tartalom megtartva</x:v>
      </x:c>
    </x:row>
    <x:row r="9" ht="48" customHeight="1">
      <x:c r="A9" s="19" t="str">
        <x:v>KI-008</x:v>
      </x:c>
      <x:c r="B9" s="55" t="n">
        <x:v>170000</x:v>
      </x:c>
      <x:c r="C9" s="55" t="n">
        <x:v>170000</x:v>
      </x:c>
      <x:c r="D9" s="55" t="n">
        <x:f>C9-B9</x:f>
        <x:v>0</x:v>
      </x:c>
      <x:c r="E9" s="19" t="str">
        <x:v>R02 tartalom megtartva</x:v>
      </x:c>
    </x:row>
    <x:row r="10" ht="48" customHeight="1">
      <x:c r="A10" s="19" t="str">
        <x:v>KI-009</x:v>
      </x:c>
      <x:c r="B10" s="55" t="n">
        <x:v>230000</x:v>
      </x:c>
      <x:c r="C10" s="55" t="n">
        <x:v>230000</x:v>
      </x:c>
      <x:c r="D10" s="55" t="n">
        <x:f>C10-B10</x:f>
        <x:v>0</x:v>
      </x:c>
      <x:c r="E10" s="19" t="str">
        <x:v>R02 tartalom megtartva</x:v>
      </x:c>
    </x:row>
    <x:row r="11" ht="48" customHeight="1">
      <x:c r="A11" s="19" t="str">
        <x:v>KI-010</x:v>
      </x:c>
      <x:c r="B11" s="55" t="n">
        <x:v>180000</x:v>
      </x:c>
      <x:c r="C11" s="55" t="n">
        <x:v>180000</x:v>
      </x:c>
      <x:c r="D11" s="55" t="n">
        <x:f>C11-B11</x:f>
        <x:v>0</x:v>
      </x:c>
      <x:c r="E11" s="19" t="str">
        <x:v>R02 tartalom megtartva</x:v>
      </x:c>
    </x:row>
    <x:row r="12" ht="48" customHeight="1">
      <x:c r="A12" s="19" t="str">
        <x:v>KI-011</x:v>
      </x:c>
      <x:c r="B12" s="55" t="n">
        <x:v>150000</x:v>
      </x:c>
      <x:c r="C12" s="55" t="n">
        <x:v>150000</x:v>
      </x:c>
      <x:c r="D12" s="55" t="n">
        <x:f>C12-B12</x:f>
        <x:v>0</x:v>
      </x:c>
      <x:c r="E12" s="19" t="str">
        <x:v>R02 tartalom megtartva</x:v>
      </x:c>
    </x:row>
    <x:row r="13" ht="48" customHeight="1">
      <x:c r="A13" s="19" t="str">
        <x:v>KI-012</x:v>
      </x:c>
      <x:c r="B13" s="55" t="n">
        <x:v>100000</x:v>
      </x:c>
      <x:c r="C13" s="55" t="n">
        <x:v>100000</x:v>
      </x:c>
      <x:c r="D13" s="55" t="n">
        <x:f>C13-B13</x:f>
        <x:v>0</x:v>
      </x:c>
      <x:c r="E13" s="19" t="str">
        <x:v>R02 tartalom megtartva</x:v>
      </x:c>
    </x:row>
    <x:row r="14" ht="48" customHeight="1">
      <x:c r="A14" s="19" t="str">
        <x:v>KI-013</x:v>
      </x:c>
      <x:c r="B14" s="55" t="n">
        <x:v>80000</x:v>
      </x:c>
      <x:c r="C14" s="55" t="n">
        <x:v>80000</x:v>
      </x:c>
      <x:c r="D14" s="55" t="n">
        <x:f>C14-B14</x:f>
        <x:v>0</x:v>
      </x:c>
      <x:c r="E14" s="19" t="str">
        <x:v>R02 tartalom megtartva</x:v>
      </x:c>
    </x:row>
    <x:row r="15" ht="48" customHeight="1">
      <x:c r="A15" s="19" t="str">
        <x:v>KI-014</x:v>
      </x:c>
      <x:c r="B15" s="55" t="n">
        <x:v>60000</x:v>
      </x:c>
      <x:c r="C15" s="55" t="n">
        <x:v>60000</x:v>
      </x:c>
      <x:c r="D15" s="55" t="n">
        <x:f>C15-B15</x:f>
        <x:v>0</x:v>
      </x:c>
      <x:c r="E15" s="19" t="str">
        <x:v>R02 tartalom megtartva</x:v>
      </x:c>
    </x:row>
    <x:row r="16" ht="48" customHeight="1">
      <x:c r="A16" s="19" t="str">
        <x:v>KI-015</x:v>
      </x:c>
      <x:c r="B16" s="55" t="n">
        <x:v>180000</x:v>
      </x:c>
      <x:c r="C16" s="55" t="n">
        <x:v>180000</x:v>
      </x:c>
      <x:c r="D16" s="55" t="n">
        <x:f>C16-B16</x:f>
        <x:v>0</x:v>
      </x:c>
      <x:c r="E16" s="19" t="str">
        <x:v>R02 tartalom megtartva</x:v>
      </x:c>
    </x:row>
    <x:row r="17" ht="48" customHeight="1">
      <x:c r="A17" s="19" t="str">
        <x:v>KI-016</x:v>
      </x:c>
      <x:c r="B17" s="55" t="n">
        <x:v>180000</x:v>
      </x:c>
      <x:c r="C17" s="55" t="n">
        <x:v>180000</x:v>
      </x:c>
      <x:c r="D17" s="55" t="n">
        <x:f>C17-B17</x:f>
        <x:v>0</x:v>
      </x:c>
      <x:c r="E17" s="19" t="str">
        <x:v>R02 tartalom megtartva</x:v>
      </x:c>
    </x:row>
    <x:row r="18" ht="48" customHeight="1">
      <x:c r="A18" s="19" t="str">
        <x:v>KI-017</x:v>
      </x:c>
      <x:c r="B18" s="55" t="n">
        <x:v>120000</x:v>
      </x:c>
      <x:c r="C18" s="55" t="n">
        <x:v>120000</x:v>
      </x:c>
      <x:c r="D18" s="55" t="n">
        <x:f>C18-B18</x:f>
        <x:v>0</x:v>
      </x:c>
      <x:c r="E18" s="19" t="str">
        <x:v>R02 tartalom megtartva</x:v>
      </x:c>
    </x:row>
    <x:row r="19" ht="48" customHeight="1">
      <x:c r="A19" s="19" t="str">
        <x:v>KI-018</x:v>
      </x:c>
      <x:c r="B19" s="55" t="n">
        <x:v>140000</x:v>
      </x:c>
      <x:c r="C19" s="55" t="n">
        <x:v>140000</x:v>
      </x:c>
      <x:c r="D19" s="55" t="n">
        <x:f>C19-B19</x:f>
        <x:v>0</x:v>
      </x:c>
      <x:c r="E19" s="19" t="str">
        <x:v>R02 tartalom megtartva</x:v>
      </x:c>
    </x:row>
    <x:row r="20" ht="48" customHeight="1">
      <x:c r="A20" s="19" t="str">
        <x:v>KI-019</x:v>
      </x:c>
      <x:c r="B20" s="55" t="n">
        <x:v>380000</x:v>
      </x:c>
      <x:c r="C20" s="55" t="n">
        <x:v>380000</x:v>
      </x:c>
      <x:c r="D20" s="55" t="n">
        <x:f>C20-B20</x:f>
        <x:v>0</x:v>
      </x:c>
      <x:c r="E20" s="19" t="str">
        <x:v>R02 tartalom megtartva</x:v>
      </x:c>
    </x:row>
    <x:row r="21" ht="48" customHeight="1">
      <x:c r="A21" s="19" t="str">
        <x:v>KI-020</x:v>
      </x:c>
      <x:c r="B21" s="55" t="n">
        <x:v>220000</x:v>
      </x:c>
      <x:c r="C21" s="55" t="n">
        <x:v>220000</x:v>
      </x:c>
      <x:c r="D21" s="55" t="n">
        <x:f>C21-B21</x:f>
        <x:v>0</x:v>
      </x:c>
      <x:c r="E21" s="19" t="str">
        <x:v>R02 tartalom megtartva</x:v>
      </x:c>
    </x:row>
    <x:row r="22" ht="48" customHeight="1">
      <x:c r="A22" s="19" t="str">
        <x:v>KI-021</x:v>
      </x:c>
      <x:c r="B22" s="55" t="n">
        <x:v>145000</x:v>
      </x:c>
      <x:c r="C22" s="55" t="n">
        <x:v>145000</x:v>
      </x:c>
      <x:c r="D22" s="55" t="n">
        <x:f>C22-B22</x:f>
        <x:v>0</x:v>
      </x:c>
      <x:c r="E22" s="19" t="str">
        <x:v>R02 tartalom megtartva</x:v>
      </x:c>
    </x:row>
    <x:row r="23" ht="48" customHeight="1">
      <x:c r="A23" s="19" t="str">
        <x:v>KI-022</x:v>
      </x:c>
      <x:c r="B23" s="55" t="n">
        <x:v>50000</x:v>
      </x:c>
      <x:c r="C23" s="55" t="n">
        <x:v>50000</x:v>
      </x:c>
      <x:c r="D23" s="55" t="n">
        <x:f>C23-B23</x:f>
        <x:v>0</x:v>
      </x:c>
      <x:c r="E23" s="19" t="str">
        <x:v>R02 tartalom megtartva</x:v>
      </x:c>
    </x:row>
    <x:row r="24" ht="48" customHeight="1">
      <x:c r="A24" s="19" t="str">
        <x:v>KI-023</x:v>
      </x:c>
      <x:c r="B24" s="55" t="n">
        <x:v>50000</x:v>
      </x:c>
      <x:c r="C24" s="55" t="n">
        <x:v>50000</x:v>
      </x:c>
      <x:c r="D24" s="55" t="n">
        <x:f>C24-B24</x:f>
        <x:v>0</x:v>
      </x:c>
      <x:c r="E24" s="19" t="str">
        <x:v>R02 tartalom megtartva</x:v>
      </x:c>
    </x:row>
    <x:row r="25" ht="48" customHeight="1">
      <x:c r="A25" s="19" t="str">
        <x:v>KI-024</x:v>
      </x:c>
      <x:c r="B25" s="55" t="n">
        <x:v>110000</x:v>
      </x:c>
      <x:c r="C25" s="55" t="n">
        <x:v>110000</x:v>
      </x:c>
      <x:c r="D25" s="55" t="n">
        <x:f>C25-B25</x:f>
        <x:v>0</x:v>
      </x:c>
      <x:c r="E25" s="19" t="str">
        <x:v>R02 tartalom megtartva</x:v>
      </x:c>
    </x:row>
    <x:row r="26" ht="48" customHeight="1">
      <x:c r="A26" s="19" t="str">
        <x:v>KI-025</x:v>
      </x:c>
      <x:c r="B26" s="55" t="n">
        <x:v>70000</x:v>
      </x:c>
      <x:c r="C26" s="55" t="n">
        <x:v>42990</x:v>
      </x:c>
      <x:c r="D26" s="55" t="n">
        <x:f>C26-B26</x:f>
        <x:v>-27010</x:v>
      </x:c>
      <x:c r="E26" s="19" t="str">
        <x:v>IKEA ÄLMAREN fekete kihúzható csap. Íves forma eltér a render szögletes csapjától. Tömlő és hulladéktároló együtt próbálandó. Szerelés KI-027.</x:v>
      </x:c>
    </x:row>
    <x:row r="27" ht="48" customHeight="1">
      <x:c r="A27" s="19" t="str">
        <x:v>KI-026</x:v>
      </x:c>
      <x:c r="B27" s="55" t="n">
        <x:v>40000</x:v>
      </x:c>
      <x:c r="C27" s="55" t="n">
        <x:v>40000</x:v>
      </x:c>
      <x:c r="D27" s="55" t="n">
        <x:f>C27-B27</x:f>
        <x:v>0</x:v>
      </x:c>
      <x:c r="E27" s="19" t="str">
        <x:v>R02 tartalom megtartva</x:v>
      </x:c>
    </x:row>
    <x:row r="28" ht="48" customHeight="1">
      <x:c r="A28" s="19" t="str">
        <x:v>KI-027</x:v>
      </x:c>
      <x:c r="B28" s="55" t="n">
        <x:v>60000</x:v>
      </x:c>
      <x:c r="C28" s="55" t="n">
        <x:v>60000</x:v>
      </x:c>
      <x:c r="D28" s="55" t="n">
        <x:f>C28-B28</x:f>
        <x:v>0</x:v>
      </x:c>
      <x:c r="E28" s="19" t="str">
        <x:v>R02 tartalom megtartva</x:v>
      </x:c>
    </x:row>
    <x:row r="29" ht="48" customHeight="1">
      <x:c r="A29" s="19" t="str">
        <x:v>KI-028</x:v>
      </x:c>
      <x:c r="B29" s="55" t="n">
        <x:v>259990</x:v>
      </x:c>
      <x:c r="C29" s="55" t="n">
        <x:v>259990</x:v>
      </x:c>
      <x:c r="D29" s="55" t="n">
        <x:f>C29-B29</x:f>
        <x:v>0</x:v>
      </x:c>
      <x:c r="E29" s="19" t="str">
        <x:v>R02 tartalom megtartva</x:v>
      </x:c>
    </x:row>
    <x:row r="30" ht="48" customHeight="1">
      <x:c r="A30" s="19" t="str">
        <x:v>KI-029</x:v>
      </x:c>
      <x:c r="B30" s="55" t="n">
        <x:v>451080</x:v>
      </x:c>
      <x:c r="C30" s="55" t="n">
        <x:v>451080</x:v>
      </x:c>
      <x:c r="D30" s="55" t="n">
        <x:f>C30-B30</x:f>
        <x:v>0</x:v>
      </x:c>
      <x:c r="E30" s="19" t="str">
        <x:v>R02 tartalom megtartva</x:v>
      </x:c>
    </x:row>
    <x:row r="31" ht="48" customHeight="1">
      <x:c r="A31" s="19" t="str">
        <x:v>KI-030</x:v>
      </x:c>
      <x:c r="B31" s="55" t="n">
        <x:v>450000</x:v>
      </x:c>
      <x:c r="C31" s="55" t="n">
        <x:v>450000</x:v>
      </x:c>
      <x:c r="D31" s="55" t="n">
        <x:f>C31-B31</x:f>
        <x:v>0</x:v>
      </x:c>
      <x:c r="E31" s="19" t="str">
        <x:v>R02 tartalom megtartva</x:v>
      </x:c>
    </x:row>
    <x:row r="32" ht="48" customHeight="1">
      <x:c r="A32" s="19" t="str">
        <x:v>KI-031</x:v>
      </x:c>
      <x:c r="B32" s="55" t="n">
        <x:v>260000</x:v>
      </x:c>
      <x:c r="C32" s="55" t="n">
        <x:v>260000</x:v>
      </x:c>
      <x:c r="D32" s="55" t="n">
        <x:f>C32-B32</x:f>
        <x:v>0</x:v>
      </x:c>
      <x:c r="E32" s="19" t="str">
        <x:v>R02 tartalom megtartva</x:v>
      </x:c>
    </x:row>
    <x:row r="33" ht="48" customHeight="1">
      <x:c r="A33" s="19" t="str">
        <x:v>KI-032</x:v>
      </x:c>
      <x:c r="B33" s="55" t="n">
        <x:v>120000</x:v>
      </x:c>
      <x:c r="C33" s="55" t="n">
        <x:v>120000</x:v>
      </x:c>
      <x:c r="D33" s="55" t="n">
        <x:f>C33-B33</x:f>
        <x:v>0</x:v>
      </x:c>
      <x:c r="E33" s="19" t="str">
        <x:v>R02 tartalom megtartva</x:v>
      </x:c>
    </x:row>
    <x:row r="34" ht="48" customHeight="1">
      <x:c r="A34" s="19" t="str">
        <x:v>KI-033</x:v>
      </x:c>
      <x:c r="B34" s="55" t="n">
        <x:v>250000</x:v>
      </x:c>
      <x:c r="C34" s="55" t="n">
        <x:v>250000</x:v>
      </x:c>
      <x:c r="D34" s="55" t="n">
        <x:f>C34-B34</x:f>
        <x:v>0</x:v>
      </x:c>
      <x:c r="E34" s="19" t="str">
        <x:v>R02 tartalom megtartva</x:v>
      </x:c>
    </x:row>
    <x:row r="35" ht="48" customHeight="1">
      <x:c r="A35" s="19" t="str">
        <x:v>KI-034</x:v>
      </x:c>
      <x:c r="B35" s="55" t="n">
        <x:v>30000</x:v>
      </x:c>
      <x:c r="C35" s="55" t="n">
        <x:v>30000</x:v>
      </x:c>
      <x:c r="D35" s="55" t="n">
        <x:f>C35-B35</x:f>
        <x:v>0</x:v>
      </x:c>
      <x:c r="E35" s="19" t="str">
        <x:v>R02 tartalom megtartva</x:v>
      </x:c>
    </x:row>
    <x:row r="36" ht="48" customHeight="1">
      <x:c r="A36" s="19" t="str">
        <x:v>KI-035</x:v>
      </x:c>
      <x:c r="B36" s="55" t="n">
        <x:v>40000</x:v>
      </x:c>
      <x:c r="C36" s="55" t="n">
        <x:v>40000</x:v>
      </x:c>
      <x:c r="D36" s="55" t="n">
        <x:f>C36-B36</x:f>
        <x:v>0</x:v>
      </x:c>
      <x:c r="E36" s="19" t="str">
        <x:v>R02 tartalom megtartva</x:v>
      </x:c>
    </x:row>
    <x:row r="37" ht="48" customHeight="1">
      <x:c r="A37" s="19" t="str">
        <x:v>KI-036</x:v>
      </x:c>
      <x:c r="B37" s="55" t="n">
        <x:v>800000</x:v>
      </x:c>
      <x:c r="C37" s="55" t="n">
        <x:v>800000</x:v>
      </x:c>
      <x:c r="D37" s="55" t="n">
        <x:f>C37-B37</x:f>
        <x:v>0</x:v>
      </x:c>
      <x:c r="E37" s="19" t="str">
        <x:v>R02 tartalom megtartva</x:v>
      </x:c>
    </x:row>
    <x:row r="38" ht="48" customHeight="1">
      <x:c r="A38" s="19" t="str">
        <x:v>KI-037</x:v>
      </x:c>
      <x:c r="B38" s="55" t="n">
        <x:v>105000</x:v>
      </x:c>
      <x:c r="C38" s="55" t="n">
        <x:v>105000</x:v>
      </x:c>
      <x:c r="D38" s="55" t="n">
        <x:f>C38-B38</x:f>
        <x:v>0</x:v>
      </x:c>
      <x:c r="E38" s="19" t="str">
        <x:v>R02 tartalom megtartva</x:v>
      </x:c>
    </x:row>
    <x:row r="39" ht="48" customHeight="1">
      <x:c r="A39" s="19" t="str">
        <x:v>KI-038</x:v>
      </x:c>
      <x:c r="B39" s="55" t="n">
        <x:v>55000</x:v>
      </x:c>
      <x:c r="C39" s="55" t="n">
        <x:v>55000</x:v>
      </x:c>
      <x:c r="D39" s="55" t="n">
        <x:f>C39-B39</x:f>
        <x:v>0</x:v>
      </x:c>
      <x:c r="E39" s="19" t="str">
        <x:v>R02 tartalom megtartva</x:v>
      </x:c>
    </x:row>
    <x:row r="40" ht="48" customHeight="1">
      <x:c r="A40" s="19" t="str">
        <x:v>KI-039</x:v>
      </x:c>
      <x:c r="B40" s="55" t="n">
        <x:v>200000</x:v>
      </x:c>
      <x:c r="C40" s="55" t="n">
        <x:v>200000</x:v>
      </x:c>
      <x:c r="D40" s="55" t="n">
        <x:f>C40-B40</x:f>
        <x:v>0</x:v>
      </x:c>
      <x:c r="E40" s="19" t="str">
        <x:v>R02 tartalom megtartva</x:v>
      </x:c>
    </x:row>
    <x:row r="41" ht="48" customHeight="1">
      <x:c r="A41" s="19" t="str">
        <x:v>KI-040</x:v>
      </x:c>
      <x:c r="B41" s="55" t="n">
        <x:v>160000</x:v>
      </x:c>
      <x:c r="C41" s="55" t="n">
        <x:v>160000</x:v>
      </x:c>
      <x:c r="D41" s="55" t="n">
        <x:f>C41-B41</x:f>
        <x:v>0</x:v>
      </x:c>
      <x:c r="E41" s="19" t="str">
        <x:v>R02 tartalom megtartva</x:v>
      </x:c>
    </x:row>
    <x:row r="42" ht="48" customHeight="1">
      <x:c r="A42" s="19" t="str">
        <x:v>KI-041</x:v>
      </x:c>
      <x:c r="B42" s="55" t="n">
        <x:v>65000</x:v>
      </x:c>
      <x:c r="C42" s="55" t="n">
        <x:v>65000</x:v>
      </x:c>
      <x:c r="D42" s="55" t="n">
        <x:f>C42-B42</x:f>
        <x:v>0</x:v>
      </x:c>
      <x:c r="E42" s="19" t="str">
        <x:v>R02 tartalom megtartva</x:v>
      </x:c>
    </x:row>
    <x:row r="43" ht="48" customHeight="1">
      <x:c r="A43" s="19" t="str">
        <x:v>KI-042</x:v>
      </x:c>
      <x:c r="B43" s="55" t="n">
        <x:v>55000</x:v>
      </x:c>
      <x:c r="C43" s="55" t="n">
        <x:v>55000</x:v>
      </x:c>
      <x:c r="D43" s="55" t="n">
        <x:f>C43-B43</x:f>
        <x:v>0</x:v>
      </x:c>
      <x:c r="E43" s="19" t="str">
        <x:v>R02 tartalom megtartva</x:v>
      </x:c>
    </x:row>
    <x:row r="44" ht="48" customHeight="1">
      <x:c r="A44" s="19" t="str">
        <x:v>KI-043</x:v>
      </x:c>
      <x:c r="B44" s="55" t="n">
        <x:v>189900</x:v>
      </x:c>
      <x:c r="C44" s="55" t="n">
        <x:v>189900</x:v>
      </x:c>
      <x:c r="D44" s="55" t="n">
        <x:f>C44-B44</x:f>
        <x:v>0</x:v>
      </x:c>
      <x:c r="E44" s="19" t="str">
        <x:v>R02 tartalom megtartva</x:v>
      </x:c>
    </x:row>
    <x:row r="45" ht="48" customHeight="1">
      <x:c r="A45" s="19" t="str">
        <x:v>KI-044</x:v>
      </x:c>
      <x:c r="B45" s="55" t="n">
        <x:v>260000</x:v>
      </x:c>
      <x:c r="C45" s="55" t="n">
        <x:v>260000</x:v>
      </x:c>
      <x:c r="D45" s="55" t="n">
        <x:f>C45-B45</x:f>
        <x:v>0</x:v>
      </x:c>
      <x:c r="E45" s="19" t="str">
        <x:v>R02 tartalom megtartva</x:v>
      </x:c>
    </x:row>
    <x:row r="46" ht="48" customHeight="1">
      <x:c r="A46" s="19" t="str">
        <x:v>KI-045</x:v>
      </x:c>
      <x:c r="B46" s="55" t="n">
        <x:v>20000</x:v>
      </x:c>
      <x:c r="C46" s="55" t="n">
        <x:v>20000</x:v>
      </x:c>
      <x:c r="D46" s="55" t="n">
        <x:f>C46-B46</x:f>
        <x:v>0</x:v>
      </x:c>
      <x:c r="E46" s="19" t="str">
        <x:v>R02 tartalom megtartva</x:v>
      </x:c>
    </x:row>
    <x:row r="47" ht="48" customHeight="1">
      <x:c r="A47" s="19" t="str">
        <x:v>KI-046</x:v>
      </x:c>
      <x:c r="B47" s="55" t="n">
        <x:v>300000</x:v>
      </x:c>
      <x:c r="C47" s="55" t="n">
        <x:v>300000</x:v>
      </x:c>
      <x:c r="D47" s="55" t="n">
        <x:f>C47-B47</x:f>
        <x:v>0</x:v>
      </x:c>
      <x:c r="E47" s="19" t="str">
        <x:v>R02 tartalom megtartva</x:v>
      </x:c>
    </x:row>
    <x:row r="48" ht="48" customHeight="1">
      <x:c r="A48" s="19" t="str">
        <x:v>KI-047</x:v>
      </x:c>
      <x:c r="B48" s="55" t="n">
        <x:v>55000</x:v>
      </x:c>
      <x:c r="C48" s="55" t="n">
        <x:v>55000</x:v>
      </x:c>
      <x:c r="D48" s="55" t="n">
        <x:f>C48-B48</x:f>
        <x:v>0</x:v>
      </x:c>
      <x:c r="E48" s="19" t="str">
        <x:v>R02 tartalom megtartva</x:v>
      </x:c>
    </x:row>
    <x:row r="49" ht="48" customHeight="1">
      <x:c r="A49" s="19" t="str">
        <x:v>KI-048</x:v>
      </x:c>
      <x:c r="B49" s="55" t="n">
        <x:v>350000</x:v>
      </x:c>
      <x:c r="C49" s="55" t="n">
        <x:v>350000</x:v>
      </x:c>
      <x:c r="D49" s="55" t="n">
        <x:f>C49-B49</x:f>
        <x:v>0</x:v>
      </x:c>
      <x:c r="E49" s="19" t="str">
        <x:v>CP3 egyedi korpuszra pontosítva. A korábbi korpusz-előirányzat változatlan becslés; ajánlat szükséges.</x:v>
      </x:c>
    </x:row>
    <x:row r="50" ht="48" customHeight="1">
      <x:c r="A50" s="19" t="str">
        <x:v>KI-049</x:v>
      </x:c>
      <x:c r="B50" s="55" t="n">
        <x:v>230000</x:v>
      </x:c>
      <x:c r="C50" s="55" t="n">
        <x:v>230000</x:v>
      </x:c>
      <x:c r="D50" s="55" t="n">
        <x:f>C50-B50</x:f>
        <x:v>0</x:v>
      </x:c>
      <x:c r="E50" s="19" t="str">
        <x:v>CP3 egyedi korpuszra pontosítva. A korábbi korpusz-előirányzat változatlan becslés; ajánlat szükséges.</x:v>
      </x:c>
    </x:row>
    <x:row r="51" ht="48" customHeight="1">
      <x:c r="A51" s="19" t="str">
        <x:v>KI-050</x:v>
      </x:c>
      <x:c r="B51" s="55" t="n">
        <x:v>190000</x:v>
      </x:c>
      <x:c r="C51" s="55" t="n">
        <x:v>786000</x:v>
      </x:c>
      <x:c r="D51" s="55" t="n">
        <x:f>C51-B51</x:f>
        <x:v>596000</x:v>
      </x:c>
      <x:c r="E51" s="19" t="str">
        <x:v>A 190 000 Ft régi teljes belső csomag helyett a CP3 tételes fiók/polc/rúd/lift összege. Gazdaságos: 4 fiók helyett 4 polc; 86 000 Ft megtakarítás, napi áttekinthetőség romlik.</x:v>
      </x:c>
    </x:row>
    <x:row r="52" ht="48" customHeight="1">
      <x:c r="A52" s="19" t="str">
        <x:v>KI-051</x:v>
      </x:c>
      <x:c r="B52" s="55" t="n">
        <x:v>250000</x:v>
      </x:c>
      <x:c r="C52" s="55" t="n">
        <x:v>250000</x:v>
      </x:c>
      <x:c r="D52" s="55" t="n">
        <x:f>C52-B52</x:f>
        <x:v>0</x:v>
      </x:c>
      <x:c r="E52" s="19" t="str">
        <x:v>R02 tartalom megtartva</x:v>
      </x:c>
    </x:row>
    <x:row r="53" ht="48" customHeight="1">
      <x:c r="A53" s="19" t="str">
        <x:v>KI-052</x:v>
      </x:c>
      <x:c r="B53" s="55" t="n">
        <x:v>160000</x:v>
      </x:c>
      <x:c r="C53" s="55" t="n">
        <x:v>160000</x:v>
      </x:c>
      <x:c r="D53" s="55" t="n">
        <x:f>C53-B53</x:f>
        <x:v>0</x:v>
      </x:c>
      <x:c r="E53" s="19" t="str">
        <x:v>R02 tartalom megtartva</x:v>
      </x:c>
    </x:row>
    <x:row r="54" ht="48" customHeight="1">
      <x:c r="A54" s="19" t="str">
        <x:v>KI-053</x:v>
      </x:c>
      <x:c r="B54" s="55" t="n">
        <x:v>120000</x:v>
      </x:c>
      <x:c r="C54" s="55" t="n">
        <x:v>120000</x:v>
      </x:c>
      <x:c r="D54" s="55" t="n">
        <x:f>C54-B54</x:f>
        <x:v>0</x:v>
      </x:c>
      <x:c r="E54" s="19" t="str">
        <x:v>R02 tartalom megtartva</x:v>
      </x:c>
    </x:row>
    <x:row r="55" ht="48" customHeight="1">
      <x:c r="A55" s="19" t="str">
        <x:v>KI-054</x:v>
      </x:c>
      <x:c r="B55" s="55" t="n">
        <x:v>130000</x:v>
      </x:c>
      <x:c r="C55" s="55" t="n">
        <x:v>130000</x:v>
      </x:c>
      <x:c r="D55" s="55" t="n">
        <x:f>C55-B55</x:f>
        <x:v>0</x:v>
      </x:c>
      <x:c r="E55" s="19" t="str">
        <x:v>R02 tartalom megtartva</x:v>
      </x:c>
    </x:row>
    <x:row r="56" ht="48" customHeight="1">
      <x:c r="A56" s="19" t="str">
        <x:v>KI-055</x:v>
      </x:c>
      <x:c r="B56" s="55" t="n">
        <x:v>50000</x:v>
      </x:c>
      <x:c r="C56" s="55" t="n">
        <x:v>50000</x:v>
      </x:c>
      <x:c r="D56" s="55" t="n">
        <x:f>C56-B56</x:f>
        <x:v>0</x:v>
      </x:c>
      <x:c r="E56" s="19" t="str">
        <x:v>R02 tartalom megtartva</x:v>
      </x:c>
    </x:row>
    <x:row r="57" ht="48" customHeight="1">
      <x:c r="A57" s="19" t="str">
        <x:v>KI-056</x:v>
      </x:c>
      <x:c r="B57" s="55" t="n">
        <x:v>80000</x:v>
      </x:c>
      <x:c r="C57" s="55" t="n">
        <x:v>80000</x:v>
      </x:c>
      <x:c r="D57" s="55" t="n">
        <x:f>C57-B57</x:f>
        <x:v>0</x:v>
      </x:c>
      <x:c r="E57" s="19" t="str">
        <x:v>R02 tartalom megtartva</x:v>
      </x:c>
    </x:row>
    <x:row r="58" ht="48" customHeight="1">
      <x:c r="A58" s="19" t="str">
        <x:v>KI-057</x:v>
      </x:c>
      <x:c r="B58" s="55" t="n">
        <x:v>100000</x:v>
      </x:c>
      <x:c r="C58" s="55" t="n">
        <x:v>100000</x:v>
      </x:c>
      <x:c r="D58" s="55" t="n">
        <x:f>C58-B58</x:f>
        <x:v>0</x:v>
      </x:c>
      <x:c r="E58" s="19" t="str">
        <x:v>R02 tartalom megtartva</x:v>
      </x:c>
    </x:row>
    <x:row r="59" ht="48" customHeight="1">
      <x:c r="A59" s="19" t="str">
        <x:v>KI-058</x:v>
      </x:c>
      <x:c r="B59" s="55" t="n">
        <x:v>54990</x:v>
      </x:c>
      <x:c r="C59" s="55" t="n">
        <x:v>54990</x:v>
      </x:c>
      <x:c r="D59" s="55" t="n">
        <x:f>C59-B59</x:f>
        <x:v>0</x:v>
      </x:c>
      <x:c r="E59" s="19" t="str">
        <x:v>R02 tartalom megtartva</x:v>
      </x:c>
    </x:row>
    <x:row r="60" ht="48" customHeight="1">
      <x:c r="A60" s="19" t="str">
        <x:v>KI-059</x:v>
      </x:c>
      <x:c r="B60" s="55" t="n">
        <x:v>100000</x:v>
      </x:c>
      <x:c r="C60" s="55" t="n">
        <x:v>100000</x:v>
      </x:c>
      <x:c r="D60" s="55" t="n">
        <x:f>C60-B60</x:f>
        <x:v>0</x:v>
      </x:c>
      <x:c r="E60" s="19" t="str">
        <x:v>R02 tartalom megtartva</x:v>
      </x:c>
    </x:row>
    <x:row r="61" ht="48" customHeight="1">
      <x:c r="A61" s="19" t="str">
        <x:v>KI-060</x:v>
      </x:c>
      <x:c r="B61" s="55" t="n">
        <x:v>150000</x:v>
      </x:c>
      <x:c r="C61" s="55" t="n">
        <x:v>515000</x:v>
      </x:c>
      <x:c r="D61" s="55" t="n">
        <x:f>C61-B61</x:f>
        <x:v>365000</x:v>
      </x:c>
      <x:c r="E61" s="19" t="str">
        <x:v>Teljes korpusz + CP3 belső új előirányzata: 190 000 Ft korpusz és tételes belső; régi 150 000 Ft kiváltva, nem hozzáadva. Front és szerelés továbbra KI-061.</x:v>
      </x:c>
    </x:row>
    <x:row r="62" ht="48" customHeight="1">
      <x:c r="A62" s="19" t="str">
        <x:v>KI-061</x:v>
      </x:c>
      <x:c r="B62" s="55" t="n">
        <x:v>100000</x:v>
      </x:c>
      <x:c r="C62" s="55" t="n">
        <x:v>100000</x:v>
      </x:c>
      <x:c r="D62" s="55" t="n">
        <x:f>C62-B62</x:f>
        <x:v>0</x:v>
      </x:c>
      <x:c r="E62" s="19" t="str">
        <x:v>R02 tartalom megtartva</x:v>
      </x:c>
    </x:row>
    <x:row r="63" ht="48" customHeight="1">
      <x:c r="A63" s="19" t="str">
        <x:v>KI-062</x:v>
      </x:c>
      <x:c r="B63" s="55" t="n">
        <x:v>65000</x:v>
      </x:c>
      <x:c r="C63" s="55" t="n">
        <x:v>65000</x:v>
      </x:c>
      <x:c r="D63" s="55" t="n">
        <x:f>C63-B63</x:f>
        <x:v>0</x:v>
      </x:c>
      <x:c r="E63" s="19" t="str">
        <x:v>R02 tartalom megtartva</x:v>
      </x:c>
    </x:row>
    <x:row r="64" ht="48" customHeight="1">
      <x:c r="A64" s="19" t="str">
        <x:v>KI-063</x:v>
      </x:c>
      <x:c r="B64" s="55" t="n">
        <x:v>24990</x:v>
      </x:c>
      <x:c r="C64" s="55" t="n">
        <x:v>24990</x:v>
      </x:c>
      <x:c r="D64" s="55" t="n">
        <x:f>C64-B64</x:f>
        <x:v>0</x:v>
      </x:c>
      <x:c r="E64" s="19" t="str">
        <x:v>R02 tartalom megtartva</x:v>
      </x:c>
    </x:row>
    <x:row r="65" ht="48" customHeight="1">
      <x:c r="A65" s="19" t="str">
        <x:v>KI-064</x:v>
      </x:c>
      <x:c r="B65" s="55" t="n">
        <x:v>35000</x:v>
      </x:c>
      <x:c r="C65" s="55" t="n">
        <x:v>35000</x:v>
      </x:c>
      <x:c r="D65" s="55" t="n">
        <x:f>C65-B65</x:f>
        <x:v>0</x:v>
      </x:c>
      <x:c r="E65" s="19" t="str">
        <x:v>R02 tartalom megtartva</x:v>
      </x:c>
    </x:row>
    <x:row r="66" ht="48" customHeight="1">
      <x:c r="A66" s="19" t="str">
        <x:v>KI-065</x:v>
      </x:c>
      <x:c r="B66" s="55" t="n">
        <x:v>100000</x:v>
      </x:c>
      <x:c r="C66" s="55" t="n">
        <x:v>100000</x:v>
      </x:c>
      <x:c r="D66" s="55" t="n">
        <x:f>C66-B66</x:f>
        <x:v>0</x:v>
      </x:c>
      <x:c r="E66" s="19" t="str">
        <x:v>R02 tartalom megtartva</x:v>
      </x:c>
    </x:row>
    <x:row r="67" ht="48" customHeight="1">
      <x:c r="A67" s="19" t="str">
        <x:v>KI-066</x:v>
      </x:c>
      <x:c r="B67" s="55" t="n">
        <x:v>50000</x:v>
      </x:c>
      <x:c r="C67" s="55" t="n">
        <x:v>50000</x:v>
      </x:c>
      <x:c r="D67" s="55" t="n">
        <x:f>C67-B67</x:f>
        <x:v>0</x:v>
      </x:c>
      <x:c r="E67" s="19" t="str">
        <x:v>R02 tartalom megtartva</x:v>
      </x:c>
    </x:row>
    <x:row r="68" ht="48" customHeight="1">
      <x:c r="A68" s="19" t="str">
        <x:v>KI-067</x:v>
      </x:c>
      <x:c r="B68" s="55" t="n">
        <x:v>35000</x:v>
      </x:c>
      <x:c r="C68" s="55" t="n">
        <x:v>35000</x:v>
      </x:c>
      <x:c r="D68" s="55" t="n">
        <x:f>C68-B68</x:f>
        <x:v>0</x:v>
      </x:c>
      <x:c r="E68" s="19" t="str">
        <x:v>R02 tartalom megtartva</x:v>
      </x:c>
    </x:row>
    <x:row r="69" ht="48" customHeight="1">
      <x:c r="A69" s="19" t="str">
        <x:v>KI-068</x:v>
      </x:c>
      <x:c r="B69" s="55" t="n">
        <x:v>30000</x:v>
      </x:c>
      <x:c r="C69" s="55" t="n">
        <x:v>30000</x:v>
      </x:c>
      <x:c r="D69" s="55" t="n">
        <x:f>C69-B69</x:f>
        <x:v>0</x:v>
      </x:c>
      <x:c r="E69" s="19" t="str">
        <x:v>R02 tartalom megtartva</x:v>
      </x:c>
    </x:row>
    <x:row r="70" ht="48" customHeight="1">
      <x:c r="A70" s="19" t="str">
        <x:v>KI-069</x:v>
      </x:c>
      <x:c r="B70" s="55" t="n">
        <x:v>70000</x:v>
      </x:c>
      <x:c r="C70" s="55" t="n">
        <x:v>70000</x:v>
      </x:c>
      <x:c r="D70" s="55" t="n">
        <x:f>C70-B70</x:f>
        <x:v>0</x:v>
      </x:c>
      <x:c r="E70" s="19" t="str">
        <x:v>R02 tartalom megtartva</x:v>
      </x:c>
    </x:row>
    <x:row r="71" ht="48" customHeight="1">
      <x:c r="A71" s="19" t="str">
        <x:v>KI-070</x:v>
      </x:c>
      <x:c r="B71" s="55" t="n">
        <x:v>189900</x:v>
      </x:c>
      <x:c r="C71" s="55" t="n">
        <x:v>189900</x:v>
      </x:c>
      <x:c r="D71" s="55" t="n">
        <x:f>C71-B71</x:f>
        <x:v>0</x:v>
      </x:c>
      <x:c r="E71" s="19" t="str">
        <x:v>R02 tartalom megtartva</x:v>
      </x:c>
    </x:row>
    <x:row r="72" ht="48" customHeight="1">
      <x:c r="A72" s="19" t="str">
        <x:v>KI-071</x:v>
      </x:c>
      <x:c r="B72" s="55" t="n">
        <x:v>100000</x:v>
      </x:c>
      <x:c r="C72" s="55" t="n">
        <x:v>100000</x:v>
      </x:c>
      <x:c r="D72" s="55" t="n">
        <x:f>C72-B72</x:f>
        <x:v>0</x:v>
      </x:c>
      <x:c r="E72" s="19" t="str">
        <x:v>R02 tartalom megtartva</x:v>
      </x:c>
    </x:row>
    <x:row r="73" ht="48" customHeight="1">
      <x:c r="A73" s="19" t="str">
        <x:v>KI-072</x:v>
      </x:c>
      <x:c r="B73" s="55" t="n">
        <x:v>150000</x:v>
      </x:c>
      <x:c r="C73" s="55" t="n">
        <x:v>382500</x:v>
      </x:c>
      <x:c r="D73" s="55" t="n">
        <x:f>C73-B73</x:f>
        <x:v>232500</x:v>
      </x:c>
      <x:c r="E73" s="19" t="str">
        <x:v>Teljes sekély korpusz 160 000 Ft + CP3 belső; régi 150 000 Ft kiváltva. Front és szerelés KI-073.</x:v>
      </x:c>
    </x:row>
    <x:row r="74" ht="48" customHeight="1">
      <x:c r="A74" s="19" t="str">
        <x:v>KI-073</x:v>
      </x:c>
      <x:c r="B74" s="55" t="n">
        <x:v>100000</x:v>
      </x:c>
      <x:c r="C74" s="55" t="n">
        <x:v>100000</x:v>
      </x:c>
      <x:c r="D74" s="55" t="n">
        <x:f>C74-B74</x:f>
        <x:v>0</x:v>
      </x:c>
      <x:c r="E74" s="19" t="str">
        <x:v>R02 tartalom megtartva</x:v>
      </x:c>
    </x:row>
    <x:row r="75" ht="48" customHeight="1">
      <x:c r="A75" s="19" t="str">
        <x:v>KI-074</x:v>
      </x:c>
      <x:c r="B75" s="55" t="n">
        <x:v>39990</x:v>
      </x:c>
      <x:c r="C75" s="55" t="n">
        <x:v>39990</x:v>
      </x:c>
      <x:c r="D75" s="55" t="n">
        <x:f>C75-B75</x:f>
        <x:v>0</x:v>
      </x:c>
      <x:c r="E75" s="19" t="str">
        <x:v>R02 tartalom megtartva</x:v>
      </x:c>
    </x:row>
    <x:row r="76" ht="48" customHeight="1">
      <x:c r="A76" s="19" t="str">
        <x:v>KI-075</x:v>
      </x:c>
      <x:c r="B76" s="55" t="n">
        <x:v>24990</x:v>
      </x:c>
      <x:c r="C76" s="55" t="n">
        <x:v>24990</x:v>
      </x:c>
      <x:c r="D76" s="55" t="n">
        <x:f>C76-B76</x:f>
        <x:v>0</x:v>
      </x:c>
      <x:c r="E76" s="19" t="str">
        <x:v>R02 tartalom megtartva</x:v>
      </x:c>
    </x:row>
    <x:row r="77" ht="48" customHeight="1">
      <x:c r="A77" s="19" t="str">
        <x:v>KI-076</x:v>
      </x:c>
      <x:c r="B77" s="55" t="n">
        <x:v>35000</x:v>
      </x:c>
      <x:c r="C77" s="55" t="n">
        <x:v>35000</x:v>
      </x:c>
      <x:c r="D77" s="55" t="n">
        <x:f>C77-B77</x:f>
        <x:v>0</x:v>
      </x:c>
      <x:c r="E77" s="19" t="str">
        <x:v>R02 tartalom megtartva</x:v>
      </x:c>
    </x:row>
    <x:row r="78" ht="48" customHeight="1">
      <x:c r="A78" s="19" t="str">
        <x:v>KI-077</x:v>
      </x:c>
      <x:c r="B78" s="55" t="n">
        <x:v>100000</x:v>
      </x:c>
      <x:c r="C78" s="55" t="n">
        <x:v>100000</x:v>
      </x:c>
      <x:c r="D78" s="55" t="n">
        <x:f>C78-B78</x:f>
        <x:v>0</x:v>
      </x:c>
      <x:c r="E78" s="19" t="str">
        <x:v>R02 tartalom megtartva</x:v>
      </x:c>
    </x:row>
    <x:row r="79" ht="48" customHeight="1">
      <x:c r="A79" s="19" t="str">
        <x:v>KI-078</x:v>
      </x:c>
      <x:c r="B79" s="55" t="n">
        <x:v>50000</x:v>
      </x:c>
      <x:c r="C79" s="55" t="n">
        <x:v>50000</x:v>
      </x:c>
      <x:c r="D79" s="55" t="n">
        <x:f>C79-B79</x:f>
        <x:v>0</x:v>
      </x:c>
      <x:c r="E79" s="19" t="str">
        <x:v>R02 tartalom megtartva</x:v>
      </x:c>
    </x:row>
    <x:row r="80" ht="48" customHeight="1">
      <x:c r="A80" s="19" t="str">
        <x:v>KI-079</x:v>
      </x:c>
      <x:c r="B80" s="55" t="n">
        <x:v>35000</x:v>
      </x:c>
      <x:c r="C80" s="55" t="n">
        <x:v>35000</x:v>
      </x:c>
      <x:c r="D80" s="55" t="n">
        <x:f>C80-B80</x:f>
        <x:v>0</x:v>
      </x:c>
      <x:c r="E80" s="19" t="str">
        <x:v>R02 tartalom megtartva</x:v>
      </x:c>
    </x:row>
    <x:row r="81" ht="48" customHeight="1">
      <x:c r="A81" s="19" t="str">
        <x:v>KI-080</x:v>
      </x:c>
      <x:c r="B81" s="55" t="n">
        <x:v>30000</x:v>
      </x:c>
      <x:c r="C81" s="55" t="n">
        <x:v>30000</x:v>
      </x:c>
      <x:c r="D81" s="55" t="n">
        <x:f>C81-B81</x:f>
        <x:v>0</x:v>
      </x:c>
      <x:c r="E81" s="19" t="str">
        <x:v>R02 tartalom megtartva</x:v>
      </x:c>
    </x:row>
    <x:row r="82" ht="48" customHeight="1">
      <x:c r="A82" s="19" t="str">
        <x:v>KI-081</x:v>
      </x:c>
      <x:c r="B82" s="55" t="n">
        <x:v>70000</x:v>
      </x:c>
      <x:c r="C82" s="55" t="n">
        <x:v>70000</x:v>
      </x:c>
      <x:c r="D82" s="55" t="n">
        <x:f>C82-B82</x:f>
        <x:v>0</x:v>
      </x:c>
      <x:c r="E82" s="19" t="str">
        <x:v>R02 tartalom megtartva</x:v>
      </x:c>
    </x:row>
    <x:row r="83" ht="48" customHeight="1">
      <x:c r="A83" s="19" t="str">
        <x:v>KI-082</x:v>
      </x:c>
      <x:c r="B83" s="55" t="n">
        <x:v>240000</x:v>
      </x:c>
      <x:c r="C83" s="55" t="n">
        <x:v>240000</x:v>
      </x:c>
      <x:c r="D83" s="55" t="n">
        <x:f>C83-B83</x:f>
        <x:v>0</x:v>
      </x:c>
      <x:c r="E83" s="19" t="str">
        <x:v>R02 tartalom megtartva</x:v>
      </x:c>
    </x:row>
    <x:row r="84" ht="48" customHeight="1">
      <x:c r="A84" s="19" t="str">
        <x:v>KI-083</x:v>
      </x:c>
      <x:c r="B84" s="55" t="n">
        <x:v>70000</x:v>
      </x:c>
      <x:c r="C84" s="55" t="n">
        <x:v>70000</x:v>
      </x:c>
      <x:c r="D84" s="55" t="n">
        <x:f>C84-B84</x:f>
        <x:v>0</x:v>
      </x:c>
      <x:c r="E84" s="19" t="str">
        <x:v>R02 tartalom megtartva</x:v>
      </x:c>
    </x:row>
    <x:row r="85" ht="48" customHeight="1">
      <x:c r="A85" s="19" t="str">
        <x:v>KI-084</x:v>
      </x:c>
      <x:c r="B85" s="55" t="n">
        <x:v>70000</x:v>
      </x:c>
      <x:c r="C85" s="55" t="n">
        <x:v>70000</x:v>
      </x:c>
      <x:c r="D85" s="55" t="n">
        <x:f>C85-B85</x:f>
        <x:v>0</x:v>
      </x:c>
      <x:c r="E85" s="19" t="str">
        <x:v>R02 tartalom megtartva</x:v>
      </x:c>
    </x:row>
    <x:row r="86" ht="48" customHeight="1">
      <x:c r="A86" s="19" t="str">
        <x:v>KI-085</x:v>
      </x:c>
      <x:c r="B86" s="55" t="n">
        <x:v>60000</x:v>
      </x:c>
      <x:c r="C86" s="55" t="n">
        <x:v>60000</x:v>
      </x:c>
      <x:c r="D86" s="55" t="n">
        <x:f>C86-B86</x:f>
        <x:v>0</x:v>
      </x:c>
      <x:c r="E86" s="19" t="str">
        <x:v>R02 tartalom megtartva</x:v>
      </x:c>
    </x:row>
    <x:row r="87" ht="48" customHeight="1">
      <x:c r="A87" s="19" t="str">
        <x:v>KI-086</x:v>
      </x:c>
      <x:c r="B87" s="55" t="n">
        <x:v>40000</x:v>
      </x:c>
      <x:c r="C87" s="55" t="n">
        <x:v>40000</x:v>
      </x:c>
      <x:c r="D87" s="55" t="n">
        <x:f>C87-B87</x:f>
        <x:v>0</x:v>
      </x:c>
      <x:c r="E87" s="19" t="str">
        <x:v>R02 tartalom megtartva</x:v>
      </x:c>
    </x:row>
    <x:row r="88" ht="48" customHeight="1">
      <x:c r="A88" s="19" t="str">
        <x:v>KI-087</x:v>
      </x:c>
      <x:c r="B88" s="55" t="n">
        <x:v>180000</x:v>
      </x:c>
      <x:c r="C88" s="55" t="n">
        <x:v>180000</x:v>
      </x:c>
      <x:c r="D88" s="55" t="n">
        <x:f>C88-B88</x:f>
        <x:v>0</x:v>
      </x:c>
      <x:c r="E88" s="19" t="str">
        <x:v>R02 tartalom megtartva</x:v>
      </x:c>
    </x:row>
    <x:row r="89" ht="48" customHeight="1">
      <x:c r="A89" s="19" t="str">
        <x:v>KI-088</x:v>
      </x:c>
      <x:c r="B89" s="55" t="n">
        <x:v>230000</x:v>
      </x:c>
      <x:c r="C89" s="55" t="n">
        <x:v>230000</x:v>
      </x:c>
      <x:c r="D89" s="55" t="n">
        <x:f>C89-B89</x:f>
        <x:v>0</x:v>
      </x:c>
      <x:c r="E89" s="19" t="str">
        <x:v>R02 tartalom megtartva</x:v>
      </x:c>
    </x:row>
    <x:row r="90" ht="48" customHeight="1">
      <x:c r="A90" s="19" t="str">
        <x:v>KI-089</x:v>
      </x:c>
      <x:c r="B90" s="55" t="n">
        <x:v>40000</x:v>
      </x:c>
      <x:c r="C90" s="55" t="n">
        <x:v>40000</x:v>
      </x:c>
      <x:c r="D90" s="55" t="n">
        <x:f>C90-B90</x:f>
        <x:v>0</x:v>
      </x:c>
      <x:c r="E90" s="19" t="str">
        <x:v>R02 tartalom megtartva</x:v>
      </x:c>
    </x:row>
    <x:row r="91" ht="48" customHeight="1">
      <x:c r="A91" s="19" t="str">
        <x:v>KI-090</x:v>
      </x:c>
      <x:c r="B91" s="55" t="n">
        <x:v>35000</x:v>
      </x:c>
      <x:c r="C91" s="55" t="n">
        <x:v>35000</x:v>
      </x:c>
      <x:c r="D91" s="55" t="n">
        <x:f>C91-B91</x:f>
        <x:v>0</x:v>
      </x:c>
      <x:c r="E91" s="19" t="str">
        <x:v>R02 tartalom megtartva</x:v>
      </x:c>
    </x:row>
    <x:row r="92" ht="48" customHeight="1">
      <x:c r="A92" s="19" t="str">
        <x:v>KI-091</x:v>
      </x:c>
      <x:c r="B92" s="55" t="n">
        <x:v>180000</x:v>
      </x:c>
      <x:c r="C92" s="55" t="n">
        <x:v>180000</x:v>
      </x:c>
      <x:c r="D92" s="55" t="n">
        <x:f>C92-B92</x:f>
        <x:v>0</x:v>
      </x:c>
      <x:c r="E92" s="19" t="str">
        <x:v>R02 tartalom megtartva</x:v>
      </x:c>
    </x:row>
    <x:row r="93" ht="48" customHeight="1">
      <x:c r="A93" s="19" t="str">
        <x:v>KI-092</x:v>
      </x:c>
      <x:c r="B93" s="55" t="n">
        <x:v>250000</x:v>
      </x:c>
      <x:c r="C93" s="55" t="n">
        <x:v>250000</x:v>
      </x:c>
      <x:c r="D93" s="55" t="n">
        <x:f>C93-B93</x:f>
        <x:v>0</x:v>
      </x:c>
      <x:c r="E93" s="19" t="str">
        <x:v>R02 tartalom megtartva</x:v>
      </x:c>
    </x:row>
    <x:row r="94" ht="48" customHeight="1">
      <x:c r="A94" s="19" t="str">
        <x:v>KI-093</x:v>
      </x:c>
      <x:c r="B94" s="55" t="n">
        <x:v>90000</x:v>
      </x:c>
      <x:c r="C94" s="55" t="n">
        <x:v>90000</x:v>
      </x:c>
      <x:c r="D94" s="55" t="n">
        <x:f>C94-B94</x:f>
        <x:v>0</x:v>
      </x:c>
      <x:c r="E94" s="19" t="str">
        <x:v>R02 tartalom megtartva</x:v>
      </x:c>
    </x:row>
    <x:row r="95" ht="48" customHeight="1">
      <x:c r="A95" s="19" t="str">
        <x:v>KI-094</x:v>
      </x:c>
      <x:c r="B95" s="55" t="n">
        <x:v>90000</x:v>
      </x:c>
      <x:c r="C95" s="55" t="n">
        <x:v>90000</x:v>
      </x:c>
      <x:c r="D95" s="55" t="n">
        <x:f>C95-B95</x:f>
        <x:v>0</x:v>
      </x:c>
      <x:c r="E95" s="19" t="str">
        <x:v>R02 tartalom megtartva</x:v>
      </x:c>
    </x:row>
    <x:row r="96" ht="48" customHeight="1">
      <x:c r="A96" s="19" t="str">
        <x:v>KI-095</x:v>
      </x:c>
      <x:c r="B96" s="55" t="n">
        <x:v>100000</x:v>
      </x:c>
      <x:c r="C96" s="55" t="n">
        <x:v>100000</x:v>
      </x:c>
      <x:c r="D96" s="55" t="n">
        <x:f>C96-B96</x:f>
        <x:v>0</x:v>
      </x:c>
      <x:c r="E96" s="19" t="str">
        <x:v>R02 tartalom megtartva</x:v>
      </x:c>
    </x:row>
    <x:row r="97" ht="48" customHeight="1">
      <x:c r="A97" s="19" t="str">
        <x:v>KI-096</x:v>
      </x:c>
      <x:c r="B97" s="55" t="n">
        <x:v>25000</x:v>
      </x:c>
      <x:c r="C97" s="55" t="n">
        <x:v>25000</x:v>
      </x:c>
      <x:c r="D97" s="55" t="n">
        <x:f>C97-B97</x:f>
        <x:v>0</x:v>
      </x:c>
      <x:c r="E97" s="19" t="str">
        <x:v>R02 tartalom megtartva</x:v>
      </x:c>
    </x:row>
    <x:row r="98" ht="48" customHeight="1">
      <x:c r="A98" s="19" t="str">
        <x:v>KI-097</x:v>
      </x:c>
      <x:c r="B98" s="55" t="n">
        <x:v>35000</x:v>
      </x:c>
      <x:c r="C98" s="55" t="n">
        <x:v>35000</x:v>
      </x:c>
      <x:c r="D98" s="55" t="n">
        <x:f>C98-B98</x:f>
        <x:v>0</x:v>
      </x:c>
      <x:c r="E98" s="19" t="str">
        <x:v>R02 tartalom megtartva</x:v>
      </x:c>
    </x:row>
    <x:row r="99" ht="48" customHeight="1">
      <x:c r="A99" s="19" t="str">
        <x:v>KI-098</x:v>
      </x:c>
      <x:c r="B99" s="55" t="n">
        <x:v>100000</x:v>
      </x:c>
      <x:c r="C99" s="55" t="n">
        <x:v>100000</x:v>
      </x:c>
      <x:c r="D99" s="55" t="n">
        <x:f>C99-B99</x:f>
        <x:v>0</x:v>
      </x:c>
      <x:c r="E99" s="19" t="str">
        <x:v>R02 tartalom megtartva</x:v>
      </x:c>
    </x:row>
    <x:row r="100" ht="48" customHeight="1">
      <x:c r="A100" s="19" t="str">
        <x:v>KI-099</x:v>
      </x:c>
      <x:c r="B100" s="55" t="n">
        <x:v>45000</x:v>
      </x:c>
      <x:c r="C100" s="55" t="n">
        <x:v>45000</x:v>
      </x:c>
      <x:c r="D100" s="55" t="n">
        <x:f>C100-B100</x:f>
        <x:v>0</x:v>
      </x:c>
      <x:c r="E100" s="19" t="str">
        <x:v>R02 tartalom megtartva</x:v>
      </x:c>
    </x:row>
    <x:row r="101" ht="48" customHeight="1">
      <x:c r="A101" s="19" t="str">
        <x:v>KI-100</x:v>
      </x:c>
      <x:c r="B101" s="55" t="n">
        <x:v>40000</x:v>
      </x:c>
      <x:c r="C101" s="55" t="n">
        <x:v>40000</x:v>
      </x:c>
      <x:c r="D101" s="55" t="n">
        <x:f>C101-B101</x:f>
        <x:v>0</x:v>
      </x:c>
      <x:c r="E101" s="19" t="str">
        <x:v>R02 tartalom megtartva</x:v>
      </x:c>
    </x:row>
    <x:row r="102" ht="48" customHeight="1">
      <x:c r="A102" s="19" t="str">
        <x:v>KI-101</x:v>
      </x:c>
      <x:c r="B102" s="55" t="n">
        <x:v>50000</x:v>
      </x:c>
      <x:c r="C102" s="55" t="n">
        <x:v>50000</x:v>
      </x:c>
      <x:c r="D102" s="55" t="n">
        <x:f>C102-B102</x:f>
        <x:v>0</x:v>
      </x:c>
      <x:c r="E102" s="19" t="str">
        <x:v>R02 tartalom megtartva</x:v>
      </x:c>
    </x:row>
    <x:row r="103" ht="48" customHeight="1">
      <x:c r="A103" s="19" t="str">
        <x:v>KI-102</x:v>
      </x:c>
      <x:c r="B103" s="55" t="n">
        <x:v>25000</x:v>
      </x:c>
      <x:c r="C103" s="55" t="n">
        <x:v>25000</x:v>
      </x:c>
      <x:c r="D103" s="55" t="n">
        <x:f>C103-B103</x:f>
        <x:v>0</x:v>
      </x:c>
      <x:c r="E103" s="19" t="str">
        <x:v>R02 tartalom megtartva</x:v>
      </x:c>
    </x:row>
    <x:row r="104" ht="48" customHeight="1">
      <x:c r="A104" s="19" t="str">
        <x:v>KI-103</x:v>
      </x:c>
      <x:c r="B104" s="55" t="n">
        <x:v>35000</x:v>
      </x:c>
      <x:c r="C104" s="55" t="n">
        <x:v>35000</x:v>
      </x:c>
      <x:c r="D104" s="55" t="n">
        <x:f>C104-B104</x:f>
        <x:v>0</x:v>
      </x:c>
      <x:c r="E104" s="19" t="str">
        <x:v>R02 tartalom megtartva</x:v>
      </x:c>
    </x:row>
    <x:row r="105" ht="48" customHeight="1">
      <x:c r="A105" s="19" t="str">
        <x:v>KI-104</x:v>
      </x:c>
      <x:c r="B105" s="55" t="n">
        <x:v>40000</x:v>
      </x:c>
      <x:c r="C105" s="55" t="n">
        <x:v>40000</x:v>
      </x:c>
      <x:c r="D105" s="55" t="n">
        <x:f>C105-B105</x:f>
        <x:v>0</x:v>
      </x:c>
      <x:c r="E105" s="19" t="str">
        <x:v>R02 tartalom megtartva</x:v>
      </x:c>
    </x:row>
    <x:row r="106" ht="48" customHeight="1">
      <x:c r="A106" s="19" t="str">
        <x:v>KI-105</x:v>
      </x:c>
      <x:c r="B106" s="55" t="n">
        <x:v>100000</x:v>
      </x:c>
      <x:c r="C106" s="55" t="n">
        <x:v>100000</x:v>
      </x:c>
      <x:c r="D106" s="55" t="n">
        <x:f>C106-B106</x:f>
        <x:v>0</x:v>
      </x:c>
      <x:c r="E106" s="19" t="str">
        <x:v>R02 tartalom megtartva</x:v>
      </x:c>
    </x:row>
    <x:row r="107" ht="48" customHeight="1">
      <x:c r="A107" s="19" t="str">
        <x:v>KI-106</x:v>
      </x:c>
      <x:c r="B107" s="55" t="n">
        <x:v>100000</x:v>
      </x:c>
      <x:c r="C107" s="55" t="n">
        <x:v>100000</x:v>
      </x:c>
      <x:c r="D107" s="55" t="n">
        <x:f>C107-B107</x:f>
        <x:v>0</x:v>
      </x:c>
      <x:c r="E107" s="19" t="str">
        <x:v>R02 tartalom megtartva</x:v>
      </x:c>
    </x:row>
    <x:row r="108" ht="48" customHeight="1">
      <x:c r="A108" s="19" t="str">
        <x:v>KI-107</x:v>
      </x:c>
      <x:c r="B108" s="55" t="n">
        <x:v>220000</x:v>
      </x:c>
      <x:c r="C108" s="55" t="n">
        <x:v>220000</x:v>
      </x:c>
      <x:c r="D108" s="55" t="n">
        <x:f>C108-B108</x:f>
        <x:v>0</x:v>
      </x:c>
      <x:c r="E108" s="19" t="str">
        <x:v>R02 tartalom megtartva</x:v>
      </x:c>
    </x:row>
    <x:row r="109" ht="48" customHeight="1">
      <x:c r="A109" s="19" t="str">
        <x:v>KI-108</x:v>
      </x:c>
      <x:c r="B109" s="55" t="n">
        <x:v>80000</x:v>
      </x:c>
      <x:c r="C109" s="55" t="n">
        <x:v>80000</x:v>
      </x:c>
      <x:c r="D109" s="55" t="n">
        <x:f>C109-B109</x:f>
        <x:v>0</x:v>
      </x:c>
      <x:c r="E109" s="19" t="str">
        <x:v>R02 tartalom megtartva</x:v>
      </x:c>
    </x:row>
    <x:row r="110" ht="48" customHeight="1">
      <x:c r="A110" s="19" t="str">
        <x:v>KI-109</x:v>
      </x:c>
      <x:c r="B110" s="55" t="n">
        <x:v>260000</x:v>
      </x:c>
      <x:c r="C110" s="55" t="n">
        <x:v>260000</x:v>
      </x:c>
      <x:c r="D110" s="55" t="n">
        <x:f>C110-B110</x:f>
        <x:v>0</x:v>
      </x:c>
      <x:c r="E110" s="19" t="str">
        <x:v>R02 tartalom megtartva</x:v>
      </x:c>
    </x:row>
    <x:row r="111" ht="48" customHeight="1">
      <x:c r="A111" s="19" t="str">
        <x:v>KI-110</x:v>
      </x:c>
      <x:c r="B111" s="55" t="n">
        <x:v>130000</x:v>
      </x:c>
      <x:c r="C111" s="55" t="n">
        <x:v>130000</x:v>
      </x:c>
      <x:c r="D111" s="55" t="n">
        <x:f>C111-B111</x:f>
        <x:v>0</x:v>
      </x:c>
      <x:c r="E111" s="19" t="str">
        <x:v>R02 tartalom megtartva</x:v>
      </x:c>
    </x:row>
    <x:row r="112" ht="48" customHeight="1">
      <x:c r="A112" s="19" t="str">
        <x:v>KI-111</x:v>
      </x:c>
      <x:c r="B112" s="55" t="n">
        <x:v>85000</x:v>
      </x:c>
      <x:c r="C112" s="55" t="n">
        <x:v>85000</x:v>
      </x:c>
      <x:c r="D112" s="55" t="n">
        <x:f>C112-B112</x:f>
        <x:v>0</x:v>
      </x:c>
      <x:c r="E112" s="19" t="str">
        <x:v>R02 tartalom megtartva</x:v>
      </x:c>
    </x:row>
    <x:row r="113" ht="48" customHeight="1">
      <x:c r="A113" s="19" t="str">
        <x:v>KI-112</x:v>
      </x:c>
      <x:c r="B113" s="55" t="n">
        <x:v>65000</x:v>
      </x:c>
      <x:c r="C113" s="55" t="n">
        <x:v>65000</x:v>
      </x:c>
      <x:c r="D113" s="55" t="n">
        <x:f>C113-B113</x:f>
        <x:v>0</x:v>
      </x:c>
      <x:c r="E113" s="19" t="str">
        <x:v>R02 tartalom megtartva</x:v>
      </x:c>
    </x:row>
    <x:row r="114" ht="48" customHeight="1">
      <x:c r="A114" s="19" t="str">
        <x:v>KI-113</x:v>
      </x:c>
      <x:c r="B114" s="55" t="n">
        <x:v>86190</x:v>
      </x:c>
      <x:c r="C114" s="55" t="n">
        <x:v>86190</x:v>
      </x:c>
      <x:c r="D114" s="55" t="n">
        <x:f>C114-B114</x:f>
        <x:v>0</x:v>
      </x:c>
      <x:c r="E114" s="19" t="str">
        <x:v>R02 tartalom megtartva</x:v>
      </x:c>
    </x:row>
    <x:row r="115" ht="48" customHeight="1">
      <x:c r="A115" s="19" t="str">
        <x:v>KI-114</x:v>
      </x:c>
      <x:c r="B115" s="55" t="n">
        <x:v>150000</x:v>
      </x:c>
      <x:c r="C115" s="55" t="n">
        <x:v>150000</x:v>
      </x:c>
      <x:c r="D115" s="55" t="n">
        <x:f>C115-B115</x:f>
        <x:v>0</x:v>
      </x:c>
      <x:c r="E115" s="19" t="str">
        <x:v>R02 tartalom megtartva</x:v>
      </x:c>
    </x:row>
    <x:row r="116" ht="48" customHeight="1">
      <x:c r="A116" s="19" t="str">
        <x:v>KI-115</x:v>
      </x:c>
      <x:c r="B116" s="55" t="n">
        <x:v>65000</x:v>
      </x:c>
      <x:c r="C116" s="55" t="n">
        <x:v>65000</x:v>
      </x:c>
      <x:c r="D116" s="55" t="n">
        <x:f>C116-B116</x:f>
        <x:v>0</x:v>
      </x:c>
      <x:c r="E116" s="19" t="str">
        <x:v>R02 tartalom megtartva</x:v>
      </x:c>
    </x:row>
    <x:row r="117" ht="48" customHeight="1">
      <x:c r="A117" s="19" t="str">
        <x:v>KI-116</x:v>
      </x:c>
      <x:c r="B117" s="55" t="n">
        <x:v>86190</x:v>
      </x:c>
      <x:c r="C117" s="55" t="n">
        <x:v>86190</x:v>
      </x:c>
      <x:c r="D117" s="55" t="n">
        <x:f>C117-B117</x:f>
        <x:v>0</x:v>
      </x:c>
      <x:c r="E117" s="19" t="str">
        <x:v>R02 tartalom megtartva</x:v>
      </x:c>
    </x:row>
    <x:row r="118" ht="48" customHeight="1">
      <x:c r="A118" s="19" t="str">
        <x:v>KI-117</x:v>
      </x:c>
      <x:c r="B118" s="55" t="n">
        <x:v>35980</x:v>
      </x:c>
      <x:c r="C118" s="55" t="n">
        <x:v>35980</x:v>
      </x:c>
      <x:c r="D118" s="55" t="n">
        <x:f>C118-B118</x:f>
        <x:v>0</x:v>
      </x:c>
      <x:c r="E118" s="19" t="str">
        <x:v>R02 tartalom megtartva</x:v>
      </x:c>
    </x:row>
    <x:row r="119" ht="48" customHeight="1">
      <x:c r="A119" s="19" t="str">
        <x:v>KI-118</x:v>
      </x:c>
      <x:c r="B119" s="55" t="n">
        <x:v>70000</x:v>
      </x:c>
      <x:c r="C119" s="55" t="n">
        <x:v>70000</x:v>
      </x:c>
      <x:c r="D119" s="55" t="n">
        <x:f>C119-B119</x:f>
        <x:v>0</x:v>
      </x:c>
      <x:c r="E119" s="19" t="str">
        <x:v>R02 tartalom megtartva</x:v>
      </x:c>
    </x:row>
    <x:row r="120" ht="48" customHeight="1">
      <x:c r="A120" s="19" t="str">
        <x:v>KI-119</x:v>
      </x:c>
      <x:c r="B120" s="55" t="n">
        <x:v>55000</x:v>
      </x:c>
      <x:c r="C120" s="55" t="n">
        <x:v>144500</x:v>
      </x:c>
      <x:c r="D120" s="55" t="n">
        <x:f>C120-B120</x:f>
        <x:v>89500</x:v>
      </x:c>
      <x:c r="E120" s="19" t="str">
        <x:v>Régi 55 000 Ft világítási csomag teljesen kiváltva. Ez csak 73 lámpa és 13 driver vezetése, rögzítése és ajtóérzékelő próbája; termékek KI-CP3-L01...L04. Általános villamos munkát KI-107 nem számlázzuk újra.</x:v>
      </x:c>
    </x:row>
    <x:row r="121" ht="48" customHeight="1">
      <x:c r="A121" s="19" t="str">
        <x:v>KI-120</x:v>
      </x:c>
      <x:c r="B121" s="55" t="n">
        <x:v>180000</x:v>
      </x:c>
      <x:c r="C121" s="55" t="n">
        <x:v>180000</x:v>
      </x:c>
      <x:c r="D121" s="55" t="n">
        <x:f>C121-B121</x:f>
        <x:v>0</x:v>
      </x:c>
      <x:c r="E121" s="19" t="str">
        <x:v>R02 tartalom megtartva</x:v>
      </x:c>
    </x:row>
    <x:row r="122" ht="48" customHeight="1">
      <x:c r="A122" s="19" t="str">
        <x:v>KI-121</x:v>
      </x:c>
      <x:c r="B122" s="55" t="n">
        <x:v>120000</x:v>
      </x:c>
      <x:c r="C122" s="55" t="n">
        <x:v>120000</x:v>
      </x:c>
      <x:c r="D122" s="55" t="n">
        <x:f>C122-B122</x:f>
        <x:v>0</x:v>
      </x:c>
      <x:c r="E122" s="19" t="str">
        <x:v>R02 tartalom megtartva</x:v>
      </x:c>
    </x:row>
    <x:row r="123" ht="48" customHeight="1">
      <x:c r="A123" s="19" t="str">
        <x:v>KI-122</x:v>
      </x:c>
      <x:c r="B123" s="55" t="n">
        <x:v>40000</x:v>
      </x:c>
      <x:c r="C123" s="55" t="n">
        <x:v>40000</x:v>
      </x:c>
      <x:c r="D123" s="55" t="n">
        <x:f>C123-B123</x:f>
        <x:v>0</x:v>
      </x:c>
      <x:c r="E123" s="19" t="str">
        <x:v>R02 tartalom megtartva</x:v>
      </x:c>
    </x:row>
    <x:row r="124" ht="48" customHeight="1">
      <x:c r="A124" s="19" t="str">
        <x:v>KI-123</x:v>
      </x:c>
      <x:c r="B124" s="55" t="n">
        <x:v>0</x:v>
      </x:c>
      <x:c r="C124" s="55" t="n">
        <x:v>0</x:v>
      </x:c>
      <x:c r="D124" s="55" t="n">
        <x:f>C124-B124</x:f>
        <x:v>0</x:v>
      </x:c>
      <x:c r="E124" s="19" t="str">
        <x:v>R02 tartalom megtartva</x:v>
      </x:c>
    </x:row>
    <x:row r="125" ht="48" customHeight="1">
      <x:c r="A125" s="19" t="str">
        <x:v>KI-124</x:v>
      </x:c>
      <x:c r="B125" s="55" t="n">
        <x:v>45000</x:v>
      </x:c>
      <x:c r="C125" s="55" t="n">
        <x:v>45000</x:v>
      </x:c>
      <x:c r="D125" s="55" t="n">
        <x:f>C125-B125</x:f>
        <x:v>0</x:v>
      </x:c>
      <x:c r="E125" s="19" t="str">
        <x:v>R02 tartalom megtartva</x:v>
      </x:c>
    </x:row>
    <x:row r="126" ht="48" customHeight="1">
      <x:c r="A126" s="19" t="str">
        <x:v>KI-125</x:v>
      </x:c>
      <x:c r="B126" s="55" t="n">
        <x:v>40000</x:v>
      </x:c>
      <x:c r="C126" s="55" t="n">
        <x:v>40000</x:v>
      </x:c>
      <x:c r="D126" s="55" t="n">
        <x:f>C126-B126</x:f>
        <x:v>0</x:v>
      </x:c>
      <x:c r="E126" s="19" t="str">
        <x:v>R02 tartalom megtartva</x:v>
      </x:c>
    </x:row>
    <x:row r="127" ht="48" customHeight="1">
      <x:c r="A127" s="19" t="str">
        <x:v>KI-126</x:v>
      </x:c>
      <x:c r="B127" s="55" t="n">
        <x:v>30000</x:v>
      </x:c>
      <x:c r="C127" s="55" t="n">
        <x:v>30000</x:v>
      </x:c>
      <x:c r="D127" s="55" t="n">
        <x:f>C127-B127</x:f>
        <x:v>0</x:v>
      </x:c>
      <x:c r="E127" s="19" t="str">
        <x:v>R02 tartalom megtartva</x:v>
      </x:c>
    </x:row>
    <x:row r="128" ht="48" customHeight="1">
      <x:c r="A128" s="19" t="str">
        <x:v>KI-127</x:v>
      </x:c>
      <x:c r="B128" s="55" t="n">
        <x:v>65000</x:v>
      </x:c>
      <x:c r="C128" s="55" t="n">
        <x:v>65000</x:v>
      </x:c>
      <x:c r="D128" s="55" t="n">
        <x:f>C128-B128</x:f>
        <x:v>0</x:v>
      </x:c>
      <x:c r="E128" s="19" t="str">
        <x:v>R02 tartalom megtartva</x:v>
      </x:c>
    </x:row>
    <x:row r="129" ht="48" customHeight="1">
      <x:c r="A129" s="19" t="str">
        <x:v>KI-128</x:v>
      </x:c>
      <x:c r="B129" s="55" t="n">
        <x:v>100000</x:v>
      </x:c>
      <x:c r="C129" s="55" t="n">
        <x:v>100000</x:v>
      </x:c>
      <x:c r="D129" s="55" t="n">
        <x:f>C129-B129</x:f>
        <x:v>0</x:v>
      </x:c>
      <x:c r="E129" s="19" t="str">
        <x:v>R02 tartalom megtartva</x:v>
      </x:c>
    </x:row>
    <x:row r="130" ht="48" customHeight="1">
      <x:c r="A130" s="19" t="str">
        <x:v>KI-129</x:v>
      </x:c>
      <x:c r="B130" s="55" t="n">
        <x:v>35000</x:v>
      </x:c>
      <x:c r="C130" s="55" t="n">
        <x:v>35000</x:v>
      </x:c>
      <x:c r="D130" s="55" t="n">
        <x:f>C130-B130</x:f>
        <x:v>0</x:v>
      </x:c>
      <x:c r="E130" s="19" t="str">
        <x:v>R02 tartalom megtartva</x:v>
      </x:c>
    </x:row>
    <x:row r="131" ht="48" customHeight="1">
      <x:c r="A131" s="19" t="str">
        <x:v>KI-130</x:v>
      </x:c>
      <x:c r="B131" s="55" t="n">
        <x:v>90000</x:v>
      </x:c>
      <x:c r="C131" s="55" t="n">
        <x:v>90000</x:v>
      </x:c>
      <x:c r="D131" s="55" t="n">
        <x:f>C131-B131</x:f>
        <x:v>0</x:v>
      </x:c>
      <x:c r="E131" s="19" t="str">
        <x:v>R02 tartalom megtartva</x:v>
      </x:c>
    </x:row>
    <x:row r="132" ht="48" customHeight="1">
      <x:c r="A132" s="19" t="str">
        <x:v>KI-131</x:v>
      </x:c>
      <x:c r="B132" s="55" t="n">
        <x:v>60000</x:v>
      </x:c>
      <x:c r="C132" s="55" t="n">
        <x:v>60000</x:v>
      </x:c>
      <x:c r="D132" s="55" t="n">
        <x:f>C132-B132</x:f>
        <x:v>0</x:v>
      </x:c>
      <x:c r="E132" s="19" t="str">
        <x:v>R02 tartalom megtartva</x:v>
      </x:c>
    </x:row>
    <x:row r="133" ht="48" customHeight="1">
      <x:c r="A133" s="19" t="str">
        <x:v>KI-132</x:v>
      </x:c>
      <x:c r="B133" s="55" t="n">
        <x:v>185000</x:v>
      </x:c>
      <x:c r="C133" s="55" t="n">
        <x:v>185000</x:v>
      </x:c>
      <x:c r="D133" s="55" t="n">
        <x:f>C133-B133</x:f>
        <x:v>0</x:v>
      </x:c>
      <x:c r="E133" s="19" t="str">
        <x:v>R02 tartalom megtartva</x:v>
      </x:c>
    </x:row>
    <x:row r="134" ht="48" customHeight="1">
      <x:c r="A134" s="19" t="str">
        <x:v>KI-133</x:v>
      </x:c>
      <x:c r="B134" s="55" t="n">
        <x:v>95000</x:v>
      </x:c>
      <x:c r="C134" s="55" t="n">
        <x:v>95000</x:v>
      </x:c>
      <x:c r="D134" s="55" t="n">
        <x:f>C134-B134</x:f>
        <x:v>0</x:v>
      </x:c>
      <x:c r="E134" s="19" t="str">
        <x:v>R02 tartalom megtartva</x:v>
      </x:c>
    </x:row>
    <x:row r="135" ht="48" customHeight="1">
      <x:c r="A135" s="19" t="str">
        <x:v>KI-134</x:v>
      </x:c>
      <x:c r="B135" s="55" t="n">
        <x:v>40000</x:v>
      </x:c>
      <x:c r="C135" s="55" t="n">
        <x:v>40000</x:v>
      </x:c>
      <x:c r="D135" s="55" t="n">
        <x:f>C135-B135</x:f>
        <x:v>0</x:v>
      </x:c>
      <x:c r="E135" s="19" t="str">
        <x:v>R02 tartalom megtartva</x:v>
      </x:c>
    </x:row>
    <x:row r="136" ht="48" customHeight="1">
      <x:c r="A136" s="19" t="str">
        <x:v>KI-135</x:v>
      </x:c>
      <x:c r="B136" s="55" t="n">
        <x:v>50000</x:v>
      </x:c>
      <x:c r="C136" s="55" t="n">
        <x:v>50000</x:v>
      </x:c>
      <x:c r="D136" s="55" t="n">
        <x:f>C136-B136</x:f>
        <x:v>0</x:v>
      </x:c>
      <x:c r="E136" s="19" t="str">
        <x:v>R02 tartalom megtartva</x:v>
      </x:c>
    </x:row>
    <x:row r="137" ht="48" customHeight="1">
      <x:c r="A137" s="19" t="str">
        <x:v>KI-136</x:v>
      </x:c>
      <x:c r="B137" s="55" t="n">
        <x:v>1700000</x:v>
      </x:c>
      <x:c r="C137" s="55" t="n">
        <x:v>1700000</x:v>
      </x:c>
      <x:c r="D137" s="55" t="n">
        <x:f>C137-B137</x:f>
        <x:v>0</x:v>
      </x:c>
      <x:c r="E137" s="19" t="str">
        <x:v>R02 tartalom megtartva</x:v>
      </x:c>
    </x:row>
    <x:row r="138" ht="48" customHeight="1">
      <x:c r="A138" s="19" t="str">
        <x:v>KI-137</x:v>
      </x:c>
      <x:c r="B138" s="55" t="n">
        <x:v>300000</x:v>
      </x:c>
      <x:c r="C138" s="55" t="n">
        <x:v>300000</x:v>
      </x:c>
      <x:c r="D138" s="55" t="n">
        <x:f>C138-B138</x:f>
        <x:v>0</x:v>
      </x:c>
      <x:c r="E138" s="19" t="str">
        <x:v>R02 tartalom megtartva</x:v>
      </x:c>
    </x:row>
    <x:row r="139" ht="48" customHeight="1">
      <x:c r="A139" s="19" t="str">
        <x:v>KI-138</x:v>
      </x:c>
      <x:c r="B139" s="55" t="n">
        <x:v>350000</x:v>
      </x:c>
      <x:c r="C139" s="55" t="n">
        <x:v>350000</x:v>
      </x:c>
      <x:c r="D139" s="55" t="n">
        <x:f>C139-B139</x:f>
        <x:v>0</x:v>
      </x:c>
      <x:c r="E139" s="19" t="str">
        <x:v>R02 tartalom megtartva</x:v>
      </x:c>
    </x:row>
    <x:row r="140" ht="48" customHeight="1">
      <x:c r="A140" s="19" t="str">
        <x:v>KI-139</x:v>
      </x:c>
      <x:c r="B140" s="55" t="n">
        <x:v>180000</x:v>
      </x:c>
      <x:c r="C140" s="55" t="n">
        <x:v>180000</x:v>
      </x:c>
      <x:c r="D140" s="55" t="n">
        <x:f>C140-B140</x:f>
        <x:v>0</x:v>
      </x:c>
      <x:c r="E140" s="19" t="str">
        <x:v>R02 tartalom megtartva</x:v>
      </x:c>
    </x:row>
    <x:row r="141" ht="48" customHeight="1">
      <x:c r="A141" s="19" t="str">
        <x:v>KI-140</x:v>
      </x:c>
      <x:c r="B141" s="55" t="n">
        <x:v>70000</x:v>
      </x:c>
      <x:c r="C141" s="55" t="n">
        <x:v>70000</x:v>
      </x:c>
      <x:c r="D141" s="55" t="n">
        <x:f>C141-B141</x:f>
        <x:v>0</x:v>
      </x:c>
      <x:c r="E141" s="19" t="str">
        <x:v>R02 tartalom megtartva</x:v>
      </x:c>
    </x:row>
    <x:row r="142" ht="48" customHeight="1">
      <x:c r="A142" s="19" t="str">
        <x:v>KI-141</x:v>
      </x:c>
      <x:c r="B142" s="55" t="n">
        <x:v>180000</x:v>
      </x:c>
      <x:c r="C142" s="55" t="n">
        <x:v>180000</x:v>
      </x:c>
      <x:c r="D142" s="55" t="n">
        <x:f>C142-B142</x:f>
        <x:v>0</x:v>
      </x:c>
      <x:c r="E142" s="19" t="str">
        <x:v>R02 tartalom megtartva</x:v>
      </x:c>
    </x:row>
    <x:row r="143" ht="48" customHeight="1">
      <x:c r="A143" s="19" t="str">
        <x:v>KI-142</x:v>
      </x:c>
      <x:c r="B143" s="55" t="n">
        <x:v>240000</x:v>
      </x:c>
      <x:c r="C143" s="55" t="n">
        <x:v>240000</x:v>
      </x:c>
      <x:c r="D143" s="55" t="n">
        <x:f>C143-B143</x:f>
        <x:v>0</x:v>
      </x:c>
      <x:c r="E143" s="19" t="str">
        <x:v>R02 tartalom megtartva</x:v>
      </x:c>
    </x:row>
    <x:row r="144" ht="48" customHeight="1">
      <x:c r="A144" s="19" t="str">
        <x:v>KI-143</x:v>
      </x:c>
      <x:c r="B144" s="55" t="n">
        <x:v>130000</x:v>
      </x:c>
      <x:c r="C144" s="55" t="n">
        <x:v>130000</x:v>
      </x:c>
      <x:c r="D144" s="55" t="n">
        <x:f>C144-B144</x:f>
        <x:v>0</x:v>
      </x:c>
      <x:c r="E144" s="19" t="str">
        <x:v>R02 tartalom megtartva</x:v>
      </x:c>
    </x:row>
    <x:row r="145" ht="48" customHeight="1">
      <x:c r="A145" s="19" t="str">
        <x:v>KI-144</x:v>
      </x:c>
      <x:c r="B145" s="55" t="n">
        <x:v>110000</x:v>
      </x:c>
      <x:c r="C145" s="55" t="n">
        <x:v>110000</x:v>
      </x:c>
      <x:c r="D145" s="55" t="n">
        <x:f>C145-B145</x:f>
        <x:v>0</x:v>
      </x:c>
      <x:c r="E145" s="19" t="str">
        <x:v>R02 tartalom megtartva</x:v>
      </x:c>
    </x:row>
    <x:row r="146" ht="48" customHeight="1">
      <x:c r="A146" s="19" t="str">
        <x:v>KI-145</x:v>
      </x:c>
      <x:c r="B146" s="55" t="n">
        <x:v>100000</x:v>
      </x:c>
      <x:c r="C146" s="55" t="n">
        <x:v>100000</x:v>
      </x:c>
      <x:c r="D146" s="55" t="n">
        <x:f>C146-B146</x:f>
        <x:v>0</x:v>
      </x:c>
      <x:c r="E146" s="19" t="str">
        <x:v>R02 tartalom megtartva</x:v>
      </x:c>
    </x:row>
    <x:row r="147" ht="48" customHeight="1">
      <x:c r="A147" s="19" t="str">
        <x:v>KI-146</x:v>
      </x:c>
      <x:c r="B147" s="55" t="n">
        <x:v>150000</x:v>
      </x:c>
      <x:c r="C147" s="55" t="n">
        <x:v>150000</x:v>
      </x:c>
      <x:c r="D147" s="55" t="n">
        <x:f>C147-B147</x:f>
        <x:v>0</x:v>
      </x:c>
      <x:c r="E147" s="19" t="str">
        <x:v>R02 tartalom megtartva</x:v>
      </x:c>
    </x:row>
    <x:row r="148" ht="48" customHeight="1">
      <x:c r="A148" s="19" t="str">
        <x:v>KI-147</x:v>
      </x:c>
      <x:c r="B148" s="55" t="n">
        <x:v>60000</x:v>
      </x:c>
      <x:c r="C148" s="55" t="n">
        <x:v>60000</x:v>
      </x:c>
      <x:c r="D148" s="55" t="n">
        <x:f>C148-B148</x:f>
        <x:v>0</x:v>
      </x:c>
      <x:c r="E148" s="19" t="str">
        <x:v>R02 tartalom megtartva</x:v>
      </x:c>
    </x:row>
    <x:row r="149" ht="48" customHeight="1">
      <x:c r="A149" s="19" t="str">
        <x:v>KI-148</x:v>
      </x:c>
      <x:c r="B149" s="55" t="n">
        <x:v>50000</x:v>
      </x:c>
      <x:c r="C149" s="55" t="n">
        <x:v>50000</x:v>
      </x:c>
      <x:c r="D149" s="55" t="n">
        <x:f>C149-B149</x:f>
        <x:v>0</x:v>
      </x:c>
      <x:c r="E149" s="19" t="str">
        <x:v>R02 tartalom megtartva</x:v>
      </x:c>
    </x:row>
    <x:row r="150" ht="48" customHeight="1">
      <x:c r="A150" s="19" t="str">
        <x:v>KI-149</x:v>
      </x:c>
      <x:c r="B150" s="55" t="n">
        <x:v>70000</x:v>
      </x:c>
      <x:c r="C150" s="55" t="n">
        <x:v>70000</x:v>
      </x:c>
      <x:c r="D150" s="55" t="n">
        <x:f>C150-B150</x:f>
        <x:v>0</x:v>
      </x:c>
      <x:c r="E150" s="19" t="str">
        <x:v>R02 tartalom megtartva</x:v>
      </x:c>
    </x:row>
    <x:row r="151" ht="48" customHeight="1">
      <x:c r="A151" s="19" t="str">
        <x:v>KI-150</x:v>
      </x:c>
      <x:c r="B151" s="55" t="n">
        <x:v>50000</x:v>
      </x:c>
      <x:c r="C151" s="55" t="n">
        <x:v>50000</x:v>
      </x:c>
      <x:c r="D151" s="55" t="n">
        <x:f>C151-B151</x:f>
        <x:v>0</x:v>
      </x:c>
      <x:c r="E151" s="19" t="str">
        <x:v>R02 tartalom megtartva</x:v>
      </x:c>
    </x:row>
    <x:row r="152" ht="48" customHeight="1">
      <x:c r="A152" s="19" t="str">
        <x:v>KI-151</x:v>
      </x:c>
      <x:c r="B152" s="55" t="n">
        <x:v>180000</x:v>
      </x:c>
      <x:c r="C152" s="55" t="n">
        <x:v>180000</x:v>
      </x:c>
      <x:c r="D152" s="55" t="n">
        <x:f>C152-B152</x:f>
        <x:v>0</x:v>
      </x:c>
      <x:c r="E152" s="19" t="str">
        <x:v>R02 tartalom megtartva</x:v>
      </x:c>
    </x:row>
    <x:row r="153" ht="48" customHeight="1">
      <x:c r="A153" s="19" t="str">
        <x:v>KI-152</x:v>
      </x:c>
      <x:c r="B153" s="55" t="n">
        <x:v>100000</x:v>
      </x:c>
      <x:c r="C153" s="55" t="n">
        <x:v>100000</x:v>
      </x:c>
      <x:c r="D153" s="55" t="n">
        <x:f>C153-B153</x:f>
        <x:v>0</x:v>
      </x:c>
      <x:c r="E153" s="19" t="str">
        <x:v>R02 tartalom megtartva</x:v>
      </x:c>
    </x:row>
    <x:row r="154" ht="48" customHeight="1">
      <x:c r="A154" s="19" t="str">
        <x:v>KI-153</x:v>
      </x:c>
      <x:c r="B154" s="55" t="n">
        <x:v>60000</x:v>
      </x:c>
      <x:c r="C154" s="55" t="n">
        <x:v>60000</x:v>
      </x:c>
      <x:c r="D154" s="55" t="n">
        <x:f>C154-B154</x:f>
        <x:v>0</x:v>
      </x:c>
      <x:c r="E154" s="19" t="str">
        <x:v>R02 tartalom megtartva</x:v>
      </x:c>
    </x:row>
    <x:row r="155" ht="48" customHeight="1">
      <x:c r="A155" s="19" t="str">
        <x:v>KI-154</x:v>
      </x:c>
      <x:c r="B155" s="55" t="n">
        <x:v>70000</x:v>
      </x:c>
      <x:c r="C155" s="55" t="n">
        <x:v>70000</x:v>
      </x:c>
      <x:c r="D155" s="55" t="n">
        <x:f>C155-B155</x:f>
        <x:v>0</x:v>
      </x:c>
      <x:c r="E155" s="19" t="str">
        <x:v>R02 tartalom megtartva</x:v>
      </x:c>
    </x:row>
    <x:row r="156" ht="48" customHeight="1">
      <x:c r="A156" s="19" t="str">
        <x:v>KI-155</x:v>
      </x:c>
      <x:c r="B156" s="55" t="n">
        <x:v>70000</x:v>
      </x:c>
      <x:c r="C156" s="55" t="n">
        <x:v>70000</x:v>
      </x:c>
      <x:c r="D156" s="55" t="n">
        <x:f>C156-B156</x:f>
        <x:v>0</x:v>
      </x:c>
      <x:c r="E156" s="19" t="str">
        <x:v>R02 tartalom megtartva</x:v>
      </x:c>
    </x:row>
    <x:row r="157" ht="48" customHeight="1">
      <x:c r="A157" s="19" t="str">
        <x:v>KI-156</x:v>
      </x:c>
      <x:c r="B157" s="55" t="n">
        <x:v>30000</x:v>
      </x:c>
      <x:c r="C157" s="55" t="n">
        <x:v>30000</x:v>
      </x:c>
      <x:c r="D157" s="55" t="n">
        <x:f>C157-B157</x:f>
        <x:v>0</x:v>
      </x:c>
      <x:c r="E157" s="19" t="str">
        <x:v>R02 tartalom megtartva</x:v>
      </x:c>
    </x:row>
    <x:row r="158" ht="48" customHeight="1">
      <x:c r="A158" s="19" t="str">
        <x:v>KI-157</x:v>
      </x:c>
      <x:c r="B158" s="55" t="n">
        <x:v>150000</x:v>
      </x:c>
      <x:c r="C158" s="55" t="n">
        <x:v>150000</x:v>
      </x:c>
      <x:c r="D158" s="55" t="n">
        <x:f>C158-B158</x:f>
        <x:v>0</x:v>
      </x:c>
      <x:c r="E158" s="19" t="str">
        <x:v>R02 tartalom megtartva</x:v>
      </x:c>
    </x:row>
    <x:row r="159" ht="48" customHeight="1">
      <x:c r="A159" s="19" t="str">
        <x:v>KI-158</x:v>
      </x:c>
      <x:c r="B159" s="55" t="n">
        <x:v>60000</x:v>
      </x:c>
      <x:c r="C159" s="55" t="n">
        <x:v>60000</x:v>
      </x:c>
      <x:c r="D159" s="55" t="n">
        <x:f>C159-B159</x:f>
        <x:v>0</x:v>
      </x:c>
      <x:c r="E159" s="19" t="str">
        <x:v>R02 tartalom megtartva</x:v>
      </x:c>
    </x:row>
    <x:row r="160" ht="48" customHeight="1">
      <x:c r="A160" s="19" t="str">
        <x:v>KI-159</x:v>
      </x:c>
      <x:c r="B160" s="55" t="n">
        <x:v>300000</x:v>
      </x:c>
      <x:c r="C160" s="55" t="n">
        <x:v>300000</x:v>
      </x:c>
      <x:c r="D160" s="55" t="n">
        <x:f>C160-B160</x:f>
        <x:v>0</x:v>
      </x:c>
      <x:c r="E160" s="19" t="str">
        <x:v>R02 tartalom megtartva</x:v>
      </x:c>
    </x:row>
    <x:row r="161" ht="48" customHeight="1">
      <x:c r="A161" s="19" t="str">
        <x:v>KI-CP3-L01</x:v>
      </x:c>
      <x:c r="B161" s="55" t="n">
        <x:v>0</x:v>
      </x:c>
      <x:c r="C161" s="55" t="n">
        <x:v>334890</x:v>
      </x:c>
      <x:c r="D161" s="55" t="n">
        <x:f>C161-B161</x:f>
        <x:v>334890</x:v>
      </x:c>
      <x:c r="E161" s="19" t="str">
        <x:v>Lámpánként gyári kábel és profil. CRI / Kelvin adat még nem igazolt; minta szükséges.</x:v>
      </x:c>
    </x:row>
    <x:row r="162" ht="48" customHeight="1">
      <x:c r="A162" s="19" t="str">
        <x:v>KI-CP3-L02</x:v>
      </x:c>
      <x:c r="B162" s="55" t="n">
        <x:v>0</x:v>
      </x:c>
      <x:c r="C162" s="55" t="n">
        <x:v>43890</x:v>
      </x:c>
      <x:c r="D162" s="55" t="n">
        <x:f>C162-B162</x:f>
        <x:v>43890</x:v>
      </x:c>
      <x:c r="E162" s="19" t="str">
        <x:v>Önálló belső funkcionális rendszer; nincs állított Hue-kompatibilitás.</x:v>
      </x:c>
    </x:row>
    <x:row r="163" ht="48" customHeight="1">
      <x:c r="A163" s="19" t="str">
        <x:v>KI-CP3-L03</x:v>
      </x:c>
      <x:c r="B163" s="55" t="n">
        <x:v>0</x:v>
      </x:c>
      <x:c r="C163" s="55" t="n">
        <x:v>32890</x:v>
      </x:c>
      <x:c r="D163" s="55" t="n">
        <x:f>C163-B163</x:f>
        <x:v>32890</x:v>
      </x:c>
      <x:c r="E163" s="19" t="str"/>
    </x:row>
    <x:row r="164" ht="48" customHeight="1">
      <x:c r="A164" s="19" t="str">
        <x:v>KI-CP3-L04</x:v>
      </x:c>
      <x:c r="B164" s="55" t="n">
        <x:v>0</x:v>
      </x:c>
      <x:c r="C164" s="55" t="n">
        <x:v>138000</x:v>
      </x:c>
      <x:c r="D164" s="55" t="n">
        <x:f>C164-B164</x:f>
        <x:v>138000</x:v>
      </x:c>
      <x:c r="E164" s="19" t="str">
        <x:v>12×250 mm szalag + opál profil + érzékelő / csatlakozás. Összesen 2 db 24 V driver költsége a készletbe osztva; nem kerül külön még egyszer hozzá. Pontos HU készlet és cikkszám ajánlatra vár.</x:v>
      </x:c>
    </x:row>
    <x:row r="165" ht="48" customHeight="1">
      <x:c r="A165" s="19" t="str">
        <x:v>KI-CP3-S01</x:v>
      </x:c>
      <x:c r="B165" s="55" t="n">
        <x:v>0</x:v>
      </x:c>
      <x:c r="C165" s="55" t="n">
        <x:v>46000</x:v>
      </x:c>
      <x:c r="D165" s="55" t="n">
        <x:f>C165-B165</x:f>
        <x:v>46000</x:v>
      </x:c>
      <x:c r="E165" s="19" t="str">
        <x:v>Fehér készpolc; fali borulásgátlás. R03 kép 2 db-ot tartalmaz.</x:v>
      </x:c>
    </x:row>
    <x:row r="166" ht="48" customHeight="1">
      <x:c r="A166" s="19" t="str">
        <x:v>KI-CP3-S02</x:v>
      </x:c>
      <x:c r="B166" s="55" t="n">
        <x:v>0</x:v>
      </x:c>
      <x:c r="C166" s="55" t="n">
        <x:v>95000</x:v>
      </x:c>
      <x:c r="D166" s="55" t="n">
        <x:f>C166-B166</x:f>
        <x:v>95000</x:v>
      </x:c>
      <x:c r="E166" s="19" t="str">
        <x:v>Fekete acél a világos helyiségben; polcszám és címkés teherbírás a rendelési készlettel egyeztetendő.</x:v>
      </x:c>
    </x:row>
    <x:row r="167" ht="48" customHeight="1">
      <x:c r="A167" s="19" t="str">
        <x:v>KI-CP3-S03</x:v>
      </x:c>
      <x:c r="B167" s="55" t="n">
        <x:v>0</x:v>
      </x:c>
      <x:c r="C167" s="55" t="n">
        <x:v>90000</x:v>
      </x:c>
      <x:c r="D167" s="55" t="n">
        <x:f>C167-B167</x:f>
        <x:v>90000</x:v>
      </x:c>
      <x:c r="E167" s="19" t="str">
        <x:v>4 polc összeállítás 40 000; 4 rögzítés alapanyag / munka 20 000; külön szállítás / felhordás 30 000 Ft. Aljzat/fal fúrás engedélye ellenőrizendő.</x:v>
      </x:c>
    </x:row>
    <x:row r="168" ht="48" customHeight="1">
      <x:c r="A168" s="19" t="str">
        <x:v>KI-CP3-S04</x:v>
      </x:c>
      <x:c r="B168" s="55" t="n">
        <x:v>0</x:v>
      </x:c>
      <x:c r="C168" s="55" t="n">
        <x:v>48000</x:v>
      </x:c>
      <x:c r="D168" s="55" t="n">
        <x:f>C168-B168</x:f>
        <x:v>48000</x:v>
      </x:c>
      <x:c r="E168" s="19" t="str">
        <x:v>12 db hozzáférhető, emelhető doboz előirányzat; pontos típus a rekeszhez választandó. Nehéz gép alul.</x:v>
      </x:c>
    </x:row>
    <x:row r="169" ht="48" customHeight="1">
      <x:c r="A169" s="19" t="str">
        <x:v>KI-CP3-F01</x:v>
      </x:c>
      <x:c r="B169" s="55" t="n">
        <x:v>0</x:v>
      </x:c>
      <x:c r="C169" s="55" t="n">
        <x:v>289990</x:v>
      </x:c>
      <x:c r="D169" s="55" t="n">
        <x:f>C169-B169</x:f>
        <x:v>289990</x:v>
      </x:c>
      <x:c r="E169" s="19" t="str">
        <x:v>Külön kimutatott opcionális vásárlás; a fő, fagyasztót mutató forgatókönyv tartalmazza. A termékoldal megnevezése eltér az URL-től: pontos EAN, klíma és nyitási hely kell.</x:v>
      </x:c>
    </x:row>
    <x:row r="170" ht="48" customHeight="1">
      <x:c r="A170" s="19" t="str">
        <x:v>KI-CP3-F02</x:v>
      </x:c>
      <x:c r="B170" s="55" t="n">
        <x:v>0</x:v>
      </x:c>
      <x:c r="C170" s="55" t="n">
        <x:v>45000</x:v>
      </x:c>
      <x:c r="D170" s="55" t="n">
        <x:f>C170-B170</x:f>
        <x:v>45000</x:v>
      </x:c>
      <x:c r="E170" s="19" t="str">
        <x:v>Szállítás/felhordás25 000; meglévő két tervi dugalj és áramkör ellenőrzése20 000. Új áramkör nincs igazolva vagy benne.</x:v>
      </x:c>
    </x:row>
    <x:row r="171" ht="48" customHeight="1">
      <x:c r="A171" s="19" t="str">
        <x:v>KI-CP3-B01</x:v>
      </x:c>
      <x:c r="B171" s="55" t="n">
        <x:v>0</x:v>
      </x:c>
      <x:c r="C171" s="55" t="n">
        <x:v>145000</x:v>
      </x:c>
      <x:c r="D171" s="55" t="n">
        <x:f>C171-B171</x:f>
        <x:v>145000</x:v>
      </x:c>
      <x:c r="E171" s="19" t="str">
        <x:v>230 V EU rendszer ESS.B01FA.2 jelölt, illesztett kábelvezetéssel és 25 000 Ft szereléssel együtt. Hazai ajánlat és rövid mosdófiók kompatibilitás nincs igazolva. Alternatíva: fix hozzáférhető konnektor 40 000 Ft; nincs hosszabbító a mozgó fiókban.</x:v>
      </x:c>
    </x:row>
    <x:row r="172" ht="48" customHeight="1">
      <x:c r="A172" s="19" t="str">
        <x:v>KI-CP3-H01</x:v>
      </x:c>
      <x:c r="B172" s="55" t="n">
        <x:v>0</x:v>
      </x:c>
      <x:c r="C172" s="55" t="n">
        <x:v>70000</x:v>
      </x:c>
      <x:c r="D172" s="55" t="n">
        <x:f>C172-B172</x:f>
        <x:v>70000</x:v>
      </x:c>
      <x:c r="E172" s="19" t="str">
        <x:v>Csak igazolt meglévő háztartási mosdó / csatlakozás után. Nincs új mosdó vagy kitalált vizes hely. Csap50 000 + bekötés20 000 előirányzat; műszaki hely még nyitott.</x:v>
      </x:c>
    </x:row>
    <x:row r="173" ht="48" customHeight="1">
      <x:c r="A173" s="19" t="str">
        <x:v>KI-CP3-D01</x:v>
      </x:c>
      <x:c r="B173" s="55" t="n">
        <x:v>0</x:v>
      </x:c>
      <x:c r="C173" s="55" t="n">
        <x:v>65000</x:v>
      </x:c>
      <x:c r="D173" s="55" t="n">
        <x:f>C173-B173</x:f>
        <x:v>65000</x:v>
      </x:c>
      <x:c r="E173" s="19" t="str">
        <x:v>2 kivehető játékdoboz12 000; nedves/száraz tálca8 000; 3 kampó6 000; zárható vegyszer/gyógyszer elválasztás24 000; állítható géptartó15 000. Nem becsült csavardarabszám.</x:v>
      </x:c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48" hidden="0" customWidth="1"/>
    <x:col min="3" max="3" width="35" hidden="0" customWidth="1"/>
    <x:col min="4" max="4" width="85" hidden="0" customWidth="1"/>
    <x:col min="5" max="5" width="70" hidden="0" customWidth="1"/>
    <x:col min="6" max="6" width="65" hidden="0" customWidth="1"/>
    <x:col min="7" max="7" width="70" hidden="0" customWidth="1"/>
  </x:cols>
  <x:sheetData>
    <x:row r="1" ht="78" customHeight="1">
      <x:c r="A1" s="61" t="str">
        <x:v>Kód</x:v>
      </x:c>
      <x:c r="B1" s="61" t="str">
        <x:v>Anyag / jelölt</x:v>
      </x:c>
      <x:c r="C1" s="61" t="str">
        <x:v>Alkalmazás</x:v>
      </x:c>
      <x:c r="D1" s="61" t="str">
        <x:v>Gyártás / vastagság</x:v>
      </x:c>
      <x:c r="E1" s="61" t="str">
        <x:v>Ellenőrzendő</x:v>
      </x:c>
      <x:c r="F1" s="61" t="str">
        <x:v>Árkezelés</x:v>
      </x:c>
      <x:c r="G1" s="61" t="str">
        <x:v>Forrás</x:v>
      </x:c>
    </x:row>
    <x:row r="2" ht="78" customHeight="1">
      <x:c r="A2" s="19" t="str">
        <x:v>MAT-01</x:v>
      </x:c>
      <x:c r="B2" s="19" t="str">
        <x:v>Világos matt, kész gyári front — EGGER U702 PM Cashmere Grey</x:v>
      </x:c>
      <x:c r="C2" s="19" t="str">
        <x:v>K-01,K-02,K-07; nem a 2837 mm magas gardróbfront</x:v>
      </x:c>
      <x:c r="D2" s="19" t="str">
        <x:v>19 mm PerfectSense MDF jelölt; színazonos ABS él. Csak a 2800 mm táblaméretbe beleférő frontokra. A hazai vastagság/tabla és hátoldal beszállítói egyeztetés.</x:v>
      </x:c>
      <x:c r="E2" s="19" t="str">
        <x:v>Fizikai minta, hazai termékkód és táblaformátum; nem fényképből mért szín</x:v>
      </x:c>
      <x:c r="F2" s="19" t="str">
        <x:v>A KI-009 meglévő frontkeretén belüli jelölt; írásos ár nincs.</x:v>
      </x:c>
      <x:c r="G2" s="19" t="str">
        <x:v>https://www.egger.com/en/furniture-interior-design/decors/U702_PM?country=US</x:v>
      </x:c>
    </x:row>
    <x:row r="3" ht="78" customHeight="1">
      <x:c r="A3" s="19" t="str">
        <x:v>MAT-02</x:v>
      </x:c>
      <x:c r="B3" s="19" t="str">
        <x:v>Grafit matt, kész gyári front — EGGER U961 PM Graphite Grey</x:v>
      </x:c>
      <x:c r="C3" s="19" t="str">
        <x:v>K-03..K-06,TV-02,CF-01,ST-01,NT-L,NT-R,DS52,NT-64,NT-76,HALL-01</x:v>
      </x:c>
      <x:c r="D3" s="19" t="str">
        <x:v>19 mm lakkozott MDF jelölt, egyező ABS él. Külső alsó front, éjjeli és asztal. Tartós vizes helyre nem automatikusan alkalmazható.</x:v>
      </x:c>
      <x:c r="E3" s="19" t="str">
        <x:v>Karc-, szín- és élminta; magyar szállítás, készlet, pontos vastagság nyitott</x:v>
      </x:c>
      <x:c r="F3" s="19" t="str">
        <x:v>Meglévő egyedi bútor keretében, nincs újra hozzáadva.</x:v>
      </x:c>
      <x:c r="G3" s="19" t="str">
        <x:v>https://downloads.egger.com/static/uk/FY_EGGER_PerfectSense_Portfolio_A4_Screen.pdf</x:v>
      </x:c>
    </x:row>
    <x:row r="4" ht="78" customHeight="1">
      <x:c r="A4" s="19" t="str">
        <x:v>MAT-03</x:v>
      </x:c>
      <x:c r="B4" s="19" t="str">
        <x:v>Teljes magasságú festett front — Egyedi 19 mm MDF, U702 fizikai mintához színre festve</x:v>
      </x:c>
      <x:c r="C4" s="19" t="str">
        <x:v>WN-01,WS-01,W52-01,W53-01,ENT-01; kisebb világos elemek azonos színcsalád</x:v>
      </x:c>
      <x:c r="D4" s="19" t="str">
        <x:v>2837 mm tervezett ajtóhoz legalább 2900 mm hasznos nyerslap és megfelelő prés/fülke szükséges. Kétoldali kiegyenlített bevonat, élfestés; grafika csak tapadási próba után. Nem toldható észrevétlenül 2800-as lapból.</x:v>
      </x:c>
      <x:c r="E4" s="19" t="str">
        <x:v>Nyerslap SKU, alakstabilitás, merevítő és pántszám gyártói méretezése; teljes magas front próba</x:v>
      </x:c>
      <x:c r="F4" s="19" t="str">
        <x:v>KI-051 +120000 Ft R04 felár, más egységek saját frontkerete.</x:v>
      </x:c>
      <x:c r="G4" s="19" t="str">
        <x:v>R04/data/WN-01_R04A_alternative.json</x:v>
      </x:c>
    </x:row>
    <x:row r="5" ht="78" customHeight="1">
      <x:c r="A5" s="19" t="str">
        <x:v>MAT-04</x:v>
      </x:c>
      <x:c r="B5" s="19" t="str">
        <x:v>W01 médiafal textúra és tus — Egyedi matt ásványi hatású, mintázott felület + védett nyomat</x:v>
      </x:c>
      <x:c r="C5" s="19" t="str">
        <x:v>TV-01,TV-03</x:v>
      </x:c>
      <x:c r="D5" s="19" t="str">
        <x:v>TV-03: 18 mm hordozó + 18 mm szerelőlégrés a 36 mm befoglalóban. Toronyfront: 19 mm MDF, sötét alapszín. Nyomat az elfogadott kép kompozíciójából külön grafikai masterrel. Legfeljebb 1 mm próbatextúra; nincs automatikus dombormű.</x:v>
      </x:c>
      <x:c r="E5" s="19" t="str">
        <x:v>600×600 minta, világító sarok és nyomatpróba; eredeti 1:1 tusmaster nincs; az AI-kép nem nyomdakész fájl</x:v>
      </x:c>
      <x:c r="F5" s="19" t="str">
        <x:v>KI-030 690000 + KI-031 320000; teljes csomagbontás R05 költséglapon.</x:v>
      </x:c>
      <x:c r="G5" s="19" t="str">
        <x:v>CP3/reviews/20261027_csomag_es_mediafal/A902_KyotoInk_V01_KI-CP3-R03_VISUAL_RESCUE_v3_CONDITIONAL.png</x:v>
      </x:c>
    </x:row>
    <x:row r="6" ht="78" customHeight="1">
      <x:c r="A6" s="19" t="str">
        <x:v>MAT-05</x:v>
      </x:c>
      <x:c r="B6" s="19" t="str">
        <x:v>W02 teljes falgrafika nyomtatható hordozója — Vescom Bely+Print 1040.01</x:v>
      </x:c>
      <x:c r="C6" s="19" t="str">
        <x:v>ART-02</x:v>
      </x:c>
      <x:c r="D6" s="19" t="str">
        <x:v>Vinil felület viszkóz/poliészter hátoldallal, 350 g/m²; 134 cm teljes / 133 cm nyomtatható szélesség. Két 1050 mm tervezett mező, 50 mm technológiai ráhagyás a széleken. Nyomdai illesztés és ICC a gyártóval véglegesítendő.</x:v>
      </x:c>
      <x:c r="E6" s="19" t="str">
        <x:v>Nem valódi lenvászon és nem relief. Tónus, szövés, fekete, ragasztó és hordozó együtt mintázandó; nyomda még nincs kiválasztva</x:v>
      </x:c>
      <x:c r="F6" s="19" t="str">
        <x:v>8,0 m² rendelendő előirányzat ×28000 Ft =224000 Ft; nem webshopár.</x:v>
      </x:c>
      <x:c r="G6" s="19" t="str">
        <x:v>https://vescom.com/en/products/belyprint</x:v>
      </x:c>
    </x:row>
    <x:row r="7" ht="78" customHeight="1">
      <x:c r="A7" s="19" t="str">
        <x:v>MAT-06</x:v>
      </x:c>
      <x:c r="B7" s="19" t="str">
        <x:v>Csendes csatlakozó fal — Festett, finoman szemcsés greige felület</x:v>
      </x:c>
      <x:c r="C7" s="19" t="str">
        <x:v>ART-07</x:v>
      </x:c>
      <x:c r="D7" s="19" t="str">
        <x:v>Az ART-02 színmintájához helyszíni próbafal; W07 és csatlakozó sarok. A falgrafika nyomtatott hordozóját nem számítjuk automatikusan erre is.</x:v>
      </x:c>
      <x:c r="E7" s="19" t="str">
        <x:v>A szög és súrolófény miatt eltérhet a fényesség; 1 m² próbafal</x:v>
      </x:c>
      <x:c r="F7" s="19" t="str">
        <x:v>KI-124/127/128 meglévő falkezelési keret.</x:v>
      </x:c>
      <x:c r="G7" s="19" t="str">
        <x:v>targets/A902_S01_KyotoInk_Cam_12__V33_C_v1.png</x:v>
      </x:c>
    </x:row>
    <x:row r="8" ht="78" customHeight="1">
      <x:c r="A8" s="19" t="str">
        <x:v>MAT-07</x:v>
      </x:c>
      <x:c r="B8" s="19" t="str">
        <x:v>Világos betonhatású konyhapult — EGGER F274 ST9 Light Concrete dekor</x:v>
      </x:c>
      <x:c r="C8" s="19" t="str">
        <x:v>K-08,K-09</x:v>
      </x:c>
      <x:c r="D8" s="19" t="str">
        <x:v>38 mm munkalap és illesztett hátfal jelölt. Konkrét hazai munkalap SKU és élprofil még igazolandó; nem kő és nem vékony kerámia.</x:v>
      </x:c>
      <x:c r="E8" s="19" t="str">
        <x:v>Kivágási rajz, vízzárás, géphő és hátfal alkalmasság; 38 mm él a renderen is látszódjon</x:v>
      </x:c>
      <x:c r="F8" s="19" t="str">
        <x:v>KI-011/012/014 meglévő keretek, egy tétel csak egyszer.</x:v>
      </x:c>
      <x:c r="G8" s="19" t="str">
        <x:v>https://www.egger.com/get_download/1ed4150d-4c94-4717-a4d9-81d28cacddf0/Product_Availability_Industrial_Decors_English.pdf?country=NL</x:v>
      </x:c>
    </x:row>
    <x:row r="9" ht="78" customHeight="1">
      <x:c r="A9" s="19" t="str">
        <x:v>MAT-08</x:v>
      </x:c>
      <x:c r="B9" s="19" t="str">
        <x:v>Aszimmetrikus taupe–grafit kárpit — Kárpitos által biztosítandó két színű szövet, SKU nyitott</x:v>
      </x:c>
      <x:c r="C9" s="19" t="str">
        <x:v>HB-01,ENT-02</x:v>
      </x:c>
      <x:c r="D9" s="19" t="str">
        <x:v>18 mm hordozó + kb.30 mm hab + vatelin és szövet; 60 mm befoglaló. Két külön levehető színmező, varratkiosztás a célkép szerint.</x:v>
      </x:c>
      <x:c r="E9" s="19" t="str">
        <x:v>Szövet SKU, kopásállóság, tisztíthatóság és színminta; végleges shader még nincs</x:v>
      </x:c>
      <x:c r="F9" s="19" t="str">
        <x:v>KI-046/047 meglévő keret; a grafit mező nem törlődik az olcsóbb változatban.</x:v>
      </x:c>
      <x:c r="G9" s="19" t="str">
        <x:v>targets/A902_S01_KyotoInk_3_master_Cam_04_A__ASTRA_V3_1__v1.png</x:v>
      </x:c>
    </x:row>
    <x:row r="10" ht="78" customHeight="1">
      <x:c r="A10" s="19" t="str">
        <x:v>MAT-09</x:v>
      </x:c>
      <x:c r="B10" s="19" t="str">
        <x:v>Fürdő sötét front és lezárt élek — 19 mm nedvességálló MDF + kétoldali matt bevonat</x:v>
      </x:c>
      <x:c r="C10" s="19" t="str">
        <x:v>B62-01,B62-02,B61-01</x:v>
      </x:c>
      <x:c r="D10" s="19" t="str">
        <x:v>Minden furat és vágott él lezárva. Kivehető szifonos fiók, fröccsenési és ragasztási próba. Az MDF nem vízálló.</x:v>
      </x:c>
      <x:c r="E10" s="19" t="str">
        <x:v>Bevonatrendszer pontos gyártó/SKU, mosdó, szifon, falrögzítés</x:v>
      </x:c>
      <x:c r="F10" s="19" t="str">
        <x:v>KI-092 270000 Ft, többi külön fürdősor. Szifon-kivágás felárát ajánlat igazolja.</x:v>
      </x:c>
      <x:c r="G10" s="19" t="str">
        <x:v>R04/data/B62-01_R04A_alternative.json</x:v>
      </x:c>
    </x:row>
    <x:row r="11" ht="78" customHeight="1">
      <x:c r="A11" s="19" t="str">
        <x:v>MAT-10</x:v>
      </x:c>
      <x:c r="B11" s="19" t="str">
        <x:v>Belső laminált korpusz — 18 mm világos melaminbevonatú bútorlap; konkrét dekor nyitott</x:v>
      </x:c>
      <x:c r="C11" s="19" t="str">
        <x:v>Valamennyi száraz szekrénybelső</x:v>
      </x:c>
      <x:c r="D11" s="19" t="str">
        <x:v>18 mm korpusz/polc,8 mm hát; látható él2 mm, belső1 mm ABS. Festett MDF-re nem írunk ABS-t. Nagy fesztávú polc terhelési ellenőrzéssel.</x:v>
      </x:c>
      <x:c r="E11" s="19" t="str">
        <x:v>Lap-/élgyártó és dekor összehangolása, emissziós igazolás; előzetes szerkezet nem gyártási darabjegyzék</x:v>
      </x:c>
      <x:c r="F11" s="19" t="str">
        <x:v>Korpusz és belső sorokban; nincs külön dupla elszámolás.</x:v>
      </x:c>
      <x:c r="G11" s="19" t="str">
        <x:v>R04/data/design_R04.json</x:v>
      </x:c>
    </x:row>
  </x:sheetData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1" hidden="0" customWidth="1"/>
    <x:col min="3" max="3" width="21" hidden="0" customWidth="1"/>
    <x:col min="4" max="4" width="21" hidden="0" customWidth="1"/>
    <x:col min="5" max="5" width="23" hidden="0" customWidth="1"/>
    <x:col min="6" max="6" width="21" hidden="0" customWidth="1"/>
    <x:col min="7" max="7" width="110" hidden="0" customWidth="1"/>
  </x:cols>
  <x:sheetData>
    <x:row r="1" ht="78" customHeight="1">
      <x:c r="A1" s="61" t="str">
        <x:v>Elem</x:v>
      </x:c>
      <x:c r="B1" s="61" t="str">
        <x:v>CP3 bruttó Ft</x:v>
      </x:c>
      <x:c r="C1" s="61" t="str">
        <x:v>R05 bruttó Ft</x:v>
      </x:c>
      <x:c r="D1" s="61" t="str">
        <x:v>Eltérés Ft</x:v>
      </x:c>
      <x:c r="E1" s="61" t="str">
        <x:v>R05 gazdaságos Ft</x:v>
      </x:c>
      <x:c r="F1" s="61" t="str">
        <x:v>Megtak. Ft</x:v>
      </x:c>
      <x:c r="G1" s="61" t="str">
        <x:v>Műszaki ok</x:v>
      </x:c>
    </x:row>
    <x:row r="2" ht="78" customHeight="1">
      <x:c r="A2" s="19" t="str">
        <x:v>KI-030</x:v>
      </x:c>
      <x:c r="B2" s="55" t="n">
        <x:v>450000</x:v>
      </x:c>
      <x:c r="C2" s="55" t="n">
        <x:f>'Elemregiszter'!U31</x:f>
        <x:v>690000</x:v>
      </x:c>
      <x:c r="D2" s="55" t="n">
        <x:f>C2-B2</x:f>
        <x:v>240000</x:v>
      </x:c>
      <x:c r="E2" s="55" t="n">
        <x:f>'Elemregiszter'!AH31</x:f>
        <x:v>590000</x:v>
      </x:c>
      <x:c r="F2" s="55" t="n">
        <x:f>C2-E2</x:f>
        <x:v>100000</x:v>
      </x:c>
      <x:c r="G2" s="19" t="str">
        <x:v>R04 médiafal +240000: 160000 felületi többlet és80000 grafika/minta; különbözeti becslés, nem új teljes csomag. Gazdaságos összehasonlítás külön.</x:v>
      </x:c>
    </x:row>
    <x:row r="3" ht="78" customHeight="1">
      <x:c r="A3" s="19" t="str">
        <x:v>KI-031</x:v>
      </x:c>
      <x:c r="B3" s="55" t="n">
        <x:v>260000</x:v>
      </x:c>
      <x:c r="C3" s="55" t="n">
        <x:f>'Elemregiszter'!U32</x:f>
        <x:v>320000</x:v>
      </x:c>
      <x:c r="D3" s="55" t="n">
        <x:f>C3-B3</x:f>
        <x:v>60000</x:v>
      </x:c>
      <x:c r="E3" s="55" t="n">
        <x:f>'Elemregiszter'!AH32</x:f>
        <x:v>320000</x:v>
      </x:c>
      <x:c r="F3" s="55" t="n">
        <x:f>C3-E3</x:f>
        <x:v>0</x:v>
      </x:c>
      <x:c r="G3" s="19" t="str">
        <x:v>R04 +60000 nagy front merevítés/új osztás; az alsó700 mm a torony alá igazítva.</x:v>
      </x:c>
    </x:row>
    <x:row r="4" ht="78" customHeight="1">
      <x:c r="A4" s="19" t="str">
        <x:v>KI-050</x:v>
      </x:c>
      <x:c r="B4" s="55" t="n">
        <x:v>786000</x:v>
      </x:c>
      <x:c r="C4" s="55" t="n">
        <x:f>'Elemregiszter'!U51</x:f>
        <x:v>806000</x:v>
      </x:c>
      <x:c r="D4" s="55" t="n">
        <x:f>C4-B4</x:f>
        <x:v>20000</x:v>
      </x:c>
      <x:c r="E4" s="55" t="n">
        <x:f>'Elemregiszter'!AH51</x:f>
        <x:v>806000</x:v>
      </x:c>
      <x:c r="F4" s="55" t="n">
        <x:f>C4-E4</x:f>
        <x:v>0</x:v>
      </x:c>
      <x:c r="G4" s="19" t="str">
        <x:v>WN 8 szélesebb fiók+60000; 5 polc+1rúd elmarad−40000. A polckapacitás csökkenése jóváhagyásra vár.</x:v>
      </x:c>
    </x:row>
    <x:row r="5" ht="78" customHeight="1">
      <x:c r="A5" s="19" t="str">
        <x:v>KI-051</x:v>
      </x:c>
      <x:c r="B5" s="55" t="n">
        <x:v>250000</x:v>
      </x:c>
      <x:c r="C5" s="55" t="n">
        <x:f>'Elemregiszter'!U52</x:f>
        <x:v>450000</x:v>
      </x:c>
      <x:c r="D5" s="55" t="n">
        <x:f>C5-B5</x:f>
        <x:v>200000</x:v>
      </x:c>
      <x:c r="E5" s="55" t="n">
        <x:f>'Elemregiszter'!AH52</x:f>
        <x:v>450000</x:v>
      </x:c>
      <x:c r="F5" s="55" t="n">
        <x:f>C5-E5</x:f>
        <x:v>0</x:v>
      </x:c>
      <x:c r="G5" s="19" t="str">
        <x:v>6 teljes magas front ×20000 felár; nem2800 mm táblából toldva.</x:v>
      </x:c>
    </x:row>
    <x:row r="6" ht="78" customHeight="1">
      <x:c r="A6" s="19" t="str">
        <x:v>KI-092</x:v>
      </x:c>
      <x:c r="B6" s="55" t="n">
        <x:v>250000</x:v>
      </x:c>
      <x:c r="C6" s="55" t="n">
        <x:f>'Elemregiszter'!U93</x:f>
        <x:v>270000</x:v>
      </x:c>
      <x:c r="D6" s="55" t="n">
        <x:f>C6-B6</x:f>
        <x:v>20000</x:v>
      </x:c>
      <x:c r="E6" s="55" t="n">
        <x:f>'Elemregiszter'!AH93</x:f>
        <x:v>270000</x:v>
      </x:c>
      <x:c r="F6" s="55" t="n">
        <x:f>C6-E6</x:f>
        <x:v>0</x:v>
      </x:c>
      <x:c r="G6" s="19" t="str">
        <x:v>Két egymás melletti600/300fiók; szifon és vasalat módosítása.</x:v>
      </x:c>
    </x:row>
    <x:row r="7" ht="78" customHeight="1">
      <x:c r="A7" s="19" t="str">
        <x:v>KI-CP3-L01</x:v>
      </x:c>
      <x:c r="B7" s="55" t="n">
        <x:v>334890</x:v>
      </x:c>
      <x:c r="C7" s="55" t="n">
        <x:f>'Elemregiszter'!U161</x:f>
        <x:v>269010</x:v>
      </x:c>
      <x:c r="D7" s="55" t="n">
        <x:f>C7-B7</x:f>
        <x:v>-65880</x:v>
      </x:c>
      <x:c r="E7" s="55" t="n">
        <x:f>'Elemregiszter'!AH161</x:f>
        <x:v>269010</x:v>
      </x:c>
      <x:c r="F7" s="55" t="n">
        <x:f>C7-E7</x:f>
        <x:v>0</x:v>
      </x:c>
      <x:c r="G7" s="19" t="str">
        <x:v>12régiWN lámpa kivéve; új7 hosszabb külön KI-R05-L01.</x:v>
      </x:c>
    </x:row>
    <x:row r="8" ht="78" customHeight="1">
      <x:c r="A8" s="19" t="str">
        <x:v>KI-119</x:v>
      </x:c>
      <x:c r="B8" s="55" t="n">
        <x:v>144500</x:v>
      </x:c>
      <x:c r="C8" s="55" t="n">
        <x:f>'Elemregiszter'!U120</x:f>
        <x:v>137000</x:v>
      </x:c>
      <x:c r="D8" s="55" t="n">
        <x:f>C8-B8</x:f>
        <x:v>-7500</x:v>
      </x:c>
      <x:c r="E8" s="55" t="n">
        <x:f>'Elemregiszter'!AH120</x:f>
        <x:v>137000</x:v>
      </x:c>
      <x:c r="F8" s="55" t="n">
        <x:f>C8-E8</x:f>
        <x:v>0</x:v>
      </x:c>
      <x:c r="G8" s="19" t="str">
        <x:v>Öttel kevesebb belső lámpa.73helyett68×1500+35000.</x:v>
      </x:c>
    </x:row>
    <x:row r="9" ht="78" customHeight="1">
      <x:c r="A9" s="19" t="str">
        <x:v>KI-CP3-S04</x:v>
      </x:c>
      <x:c r="B9" s="55" t="n">
        <x:v>48000</x:v>
      </x:c>
      <x:c r="C9" s="55" t="n">
        <x:f>'Elemregiszter'!U168</x:f>
        <x:v>84000</x:v>
      </x:c>
      <x:c r="D9" s="55" t="n">
        <x:f>C9-B9</x:f>
        <x:v>36000</x:v>
      </x:c>
      <x:c r="E9" s="55" t="n">
        <x:f>'Elemregiszter'!AH168</x:f>
        <x:v>84000</x:v>
      </x:c>
      <x:c r="F9" s="55" t="n">
        <x:f>C9-E9</x:f>
        <x:v>0</x:v>
      </x:c>
      <x:c r="G9" s="19" t="str">
        <x:v>AT8:12,T026:9tervezett próbadoboz; valós típus még nincs.</x:v>
      </x:c>
    </x:row>
    <x:row r="10" ht="78" customHeight="1">
      <x:c r="A10" s="19" t="str">
        <x:v>KI-132</x:v>
      </x:c>
      <x:c r="B10" s="55" t="n">
        <x:v>185000</x:v>
      </x:c>
      <x:c r="C10" s="55" t="n">
        <x:f>'Elemregiszter'!U133</x:f>
        <x:v>224000</x:v>
      </x:c>
      <x:c r="D10" s="55" t="n">
        <x:f>C10-B10</x:f>
        <x:v>39000</x:v>
      </x:c>
      <x:c r="E10" s="55" t="n">
        <x:f>'Elemregiszter'!AH133</x:f>
        <x:v>176000</x:v>
      </x:c>
      <x:c r="F10" s="55" t="n">
        <x:f>C10-E10</x:f>
        <x:v>48000</x:v>
      </x:c>
      <x:c r="G10" s="19" t="str">
        <x:v>Régi150×220kép helyett teljes2100×2880falmező.2×2,98fm×1,34m=7,9864m²,8,0m²előirányzat. Gazdaságos összehasonlítás külön.</x:v>
      </x:c>
    </x:row>
    <x:row r="11" ht="78" customHeight="1">
      <x:c r="A11" s="19" t="str">
        <x:v>KI-133</x:v>
      </x:c>
      <x:c r="B11" s="55" t="n">
        <x:v>95000</x:v>
      </x:c>
      <x:c r="C11" s="55" t="n">
        <x:f>'Elemregiszter'!U134</x:f>
        <x:v>177000</x:v>
      </x:c>
      <x:c r="D11" s="55" t="n">
        <x:f>C11-B11</x:f>
        <x:v>82000</x:v>
      </x:c>
      <x:c r="E11" s="55" t="n">
        <x:f>'Elemregiszter'!AH134</x:f>
        <x:v>177000</x:v>
      </x:c>
      <x:c r="F11" s="55" t="n">
        <x:f>C11-E11</x:f>
        <x:v>0</x:v>
      </x:c>
      <x:c r="G11" s="19" t="str">
        <x:v>Keretezett kép helyett36mm teljes falpanel és oldható rögzítés.</x:v>
      </x:c>
    </x:row>
    <x:row r="12" ht="78" customHeight="1">
      <x:c r="A12" s="19" t="str">
        <x:v>KI-123</x:v>
      </x:c>
      <x:c r="B12" s="55" t="n">
        <x:v>0</x:v>
      </x:c>
      <x:c r="C12" s="55" t="n">
        <x:f>'Elemregiszter'!U124</x:f>
        <x:v>0</x:v>
      </x:c>
      <x:c r="D12" s="55" t="n">
        <x:f>C12-B12</x:f>
        <x:v>0</x:v>
      </x:c>
      <x:c r="E12" s="55" t="n">
        <x:f>'Elemregiszter'!AH124</x:f>
        <x:v>0</x:v>
      </x:c>
      <x:c r="F12" s="55" t="n">
        <x:f>C12-E12</x:f>
        <x:v>0</x:v>
      </x:c>
      <x:c r="G12" s="19" t="str">
        <x:v>Nincs önálló nullaértékű hiány: a W02 felületet KI-132/133 tartalmazza.</x:v>
      </x:c>
    </x:row>
    <x:row r="13" ht="78" customHeight="1">
      <x:c r="A13" s="19" t="str">
        <x:v>KI-114</x:v>
      </x:c>
      <x:c r="B13" s="55" t="n">
        <x:v>150000</x:v>
      </x:c>
      <x:c r="C13" s="55" t="n">
        <x:f>'Elemregiszter'!U115</x:f>
        <x:v>150000</x:v>
      </x:c>
      <x:c r="D13" s="55" t="n">
        <x:f>C13-B13</x:f>
        <x:v>0</x:v>
      </x:c>
      <x:c r="E13" s="55" t="n">
        <x:f>'Elemregiszter'!AH115</x:f>
        <x:v>150000</x:v>
      </x:c>
      <x:c r="F13" s="55" t="n">
        <x:f>C13-E13</x:f>
        <x:v>0</x:v>
      </x:c>
      <x:c r="G13" s="19" t="str">
        <x:v>R05 konkrét fényforrás és áramköri bontás, a150000Ft előirányzat változatlan.</x:v>
      </x:c>
    </x:row>
    <x:row r="14" ht="78" customHeight="1">
      <x:c r="A14" s="19" t="str">
        <x:v>KI-009</x:v>
      </x:c>
      <x:c r="B14" s="55" t="n">
        <x:v>230000</x:v>
      </x:c>
      <x:c r="C14" s="55" t="n">
        <x:f>'Elemregiszter'!U10</x:f>
        <x:v>230000</x:v>
      </x:c>
      <x:c r="D14" s="55" t="n">
        <x:f>C14-B14</x:f>
        <x:v>0</x:v>
      </x:c>
      <x:c r="E14" s="55" t="n">
        <x:f>'Elemregiszter'!AH10</x:f>
        <x:v>230000</x:v>
      </x:c>
      <x:c r="F14" s="55" t="n">
        <x:f>C14-E14</x:f>
        <x:v>0</x:v>
      </x:c>
      <x:c r="G14" s="19" t="str">
        <x:v>R05 anyagkód hozzárendelése; ár változatlan.</x:v>
      </x:c>
    </x:row>
    <x:row r="15" ht="78" customHeight="1">
      <x:c r="A15" s="19" t="str">
        <x:v>KI-011</x:v>
      </x:c>
      <x:c r="B15" s="55" t="n">
        <x:v>150000</x:v>
      </x:c>
      <x:c r="C15" s="55" t="n">
        <x:f>'Elemregiszter'!U12</x:f>
        <x:v>150000</x:v>
      </x:c>
      <x:c r="D15" s="55" t="n">
        <x:f>C15-B15</x:f>
        <x:v>0</x:v>
      </x:c>
      <x:c r="E15" s="55" t="n">
        <x:f>'Elemregiszter'!AH12</x:f>
        <x:v>150000</x:v>
      </x:c>
      <x:c r="F15" s="55" t="n">
        <x:f>C15-E15</x:f>
        <x:v>0</x:v>
      </x:c>
      <x:c r="G15" s="19" t="str">
        <x:v>R05 anyagkód hozzárendelése; ár változatlan.</x:v>
      </x:c>
    </x:row>
    <x:row r="16" ht="78" customHeight="1">
      <x:c r="A16" s="19" t="str">
        <x:v>KI-012</x:v>
      </x:c>
      <x:c r="B16" s="55" t="n">
        <x:v>100000</x:v>
      </x:c>
      <x:c r="C16" s="55" t="n">
        <x:f>'Elemregiszter'!U13</x:f>
        <x:v>100000</x:v>
      </x:c>
      <x:c r="D16" s="55" t="n">
        <x:f>C16-B16</x:f>
        <x:v>0</x:v>
      </x:c>
      <x:c r="E16" s="55" t="n">
        <x:f>'Elemregiszter'!AH13</x:f>
        <x:v>100000</x:v>
      </x:c>
      <x:c r="F16" s="55" t="n">
        <x:f>C16-E16</x:f>
        <x:v>0</x:v>
      </x:c>
      <x:c r="G16" s="19" t="str">
        <x:v>R05 anyagkód hozzárendelése; ár változatlan.</x:v>
      </x:c>
    </x:row>
    <x:row r="17" ht="78" customHeight="1">
      <x:c r="A17" s="19" t="str">
        <x:v>KI-037</x:v>
      </x:c>
      <x:c r="B17" s="55" t="n">
        <x:v>105000</x:v>
      </x:c>
      <x:c r="C17" s="55" t="n">
        <x:f>'Elemregiszter'!U38</x:f>
        <x:v>105000</x:v>
      </x:c>
      <x:c r="D17" s="55" t="n">
        <x:f>C17-B17</x:f>
        <x:v>0</x:v>
      </x:c>
      <x:c r="E17" s="55" t="n">
        <x:f>'Elemregiszter'!AH38</x:f>
        <x:v>105000</x:v>
      </x:c>
      <x:c r="F17" s="55" t="n">
        <x:f>C17-E17</x:f>
        <x:v>0</x:v>
      </x:c>
      <x:c r="G17" s="19" t="str">
        <x:v>R05 anyagkód hozzárendelése; ár változatlan.</x:v>
      </x:c>
    </x:row>
    <x:row r="18" ht="78" customHeight="1">
      <x:c r="A18" s="19" t="str">
        <x:v>KI-038</x:v>
      </x:c>
      <x:c r="B18" s="55" t="n">
        <x:v>55000</x:v>
      </x:c>
      <x:c r="C18" s="55" t="n">
        <x:f>'Elemregiszter'!U39</x:f>
        <x:v>55000</x:v>
      </x:c>
      <x:c r="D18" s="55" t="n">
        <x:f>C18-B18</x:f>
        <x:v>0</x:v>
      </x:c>
      <x:c r="E18" s="55" t="n">
        <x:f>'Elemregiszter'!AH39</x:f>
        <x:v>55000</x:v>
      </x:c>
      <x:c r="F18" s="55" t="n">
        <x:f>C18-E18</x:f>
        <x:v>0</x:v>
      </x:c>
      <x:c r="G18" s="19" t="str">
        <x:v>R05 anyagkód hozzárendelése; ár változatlan.</x:v>
      </x:c>
    </x:row>
    <x:row r="19" ht="78" customHeight="1">
      <x:c r="A19" s="19" t="str">
        <x:v>KI-046</x:v>
      </x:c>
      <x:c r="B19" s="55" t="n">
        <x:v>300000</x:v>
      </x:c>
      <x:c r="C19" s="55" t="n">
        <x:f>'Elemregiszter'!U47</x:f>
        <x:v>300000</x:v>
      </x:c>
      <x:c r="D19" s="55" t="n">
        <x:f>C19-B19</x:f>
        <x:v>0</x:v>
      </x:c>
      <x:c r="E19" s="55" t="n">
        <x:f>'Elemregiszter'!AH47</x:f>
        <x:v>300000</x:v>
      </x:c>
      <x:c r="F19" s="55" t="n">
        <x:f>C19-E19</x:f>
        <x:v>0</x:v>
      </x:c>
      <x:c r="G19" s="19" t="str">
        <x:v>R05 anyagkód hozzárendelése; ár változatlan.</x:v>
      </x:c>
    </x:row>
    <x:row r="20" ht="78" customHeight="1">
      <x:c r="A20" s="19" t="str">
        <x:v>KI-048</x:v>
      </x:c>
      <x:c r="B20" s="55" t="n">
        <x:v>350000</x:v>
      </x:c>
      <x:c r="C20" s="55" t="n">
        <x:f>'Elemregiszter'!U49</x:f>
        <x:v>350000</x:v>
      </x:c>
      <x:c r="D20" s="55" t="n">
        <x:f>C20-B20</x:f>
        <x:v>0</x:v>
      </x:c>
      <x:c r="E20" s="55" t="n">
        <x:f>'Elemregiszter'!AH49</x:f>
        <x:v>350000</x:v>
      </x:c>
      <x:c r="F20" s="55" t="n">
        <x:f>C20-E20</x:f>
        <x:v>0</x:v>
      </x:c>
      <x:c r="G20" s="19" t="str">
        <x:v>R05 anyagkód hozzárendelése; ár változatlan.</x:v>
      </x:c>
    </x:row>
    <x:row r="21" ht="78" customHeight="1">
      <x:c r="A21" s="19" t="str">
        <x:v>KI-049</x:v>
      </x:c>
      <x:c r="B21" s="55" t="n">
        <x:v>230000</x:v>
      </x:c>
      <x:c r="C21" s="55" t="n">
        <x:f>'Elemregiszter'!U50</x:f>
        <x:v>230000</x:v>
      </x:c>
      <x:c r="D21" s="55" t="n">
        <x:f>C21-B21</x:f>
        <x:v>0</x:v>
      </x:c>
      <x:c r="E21" s="55" t="n">
        <x:f>'Elemregiszter'!AH50</x:f>
        <x:v>230000</x:v>
      </x:c>
      <x:c r="F21" s="55" t="n">
        <x:f>C21-E21</x:f>
        <x:v>0</x:v>
      </x:c>
      <x:c r="G21" s="19" t="str">
        <x:v>R05 anyagkód hozzárendelése; ár változatlan.</x:v>
      </x:c>
    </x:row>
    <x:row r="22" ht="78" customHeight="1">
      <x:c r="A22" s="19" t="str">
        <x:v>KI-124</x:v>
      </x:c>
      <x:c r="B22" s="55" t="n">
        <x:v>45000</x:v>
      </x:c>
      <x:c r="C22" s="55" t="n">
        <x:f>'Elemregiszter'!U125</x:f>
        <x:v>45000</x:v>
      </x:c>
      <x:c r="D22" s="55" t="n">
        <x:f>C22-B22</x:f>
        <x:v>0</x:v>
      </x:c>
      <x:c r="E22" s="55" t="n">
        <x:f>'Elemregiszter'!AH125</x:f>
        <x:v>45000</x:v>
      </x:c>
      <x:c r="F22" s="55" t="n">
        <x:f>C22-E22</x:f>
        <x:v>0</x:v>
      </x:c>
      <x:c r="G22" s="19" t="str">
        <x:v>R05 anyagkód hozzárendelése; ár változatlan.</x:v>
      </x:c>
    </x:row>
    <x:row r="23" ht="78" customHeight="1">
      <x:c r="A23" s="19" t="str">
        <x:v>KI-138</x:v>
      </x:c>
      <x:c r="B23" s="55" t="n">
        <x:v>350000</x:v>
      </x:c>
      <x:c r="C23" s="55" t="n">
        <x:f>'Elemregiszter'!U139</x:f>
        <x:v>350000</x:v>
      </x:c>
      <x:c r="D23" s="55" t="n">
        <x:f>C23-B23</x:f>
        <x:v>0</x:v>
      </x:c>
      <x:c r="E23" s="55" t="n">
        <x:f>'Elemregiszter'!AH139</x:f>
        <x:v>350000</x:v>
      </x:c>
      <x:c r="F23" s="55" t="n">
        <x:f>C23-E23</x:f>
        <x:v>0</x:v>
      </x:c>
      <x:c r="G23" s="19" t="str">
        <x:v>Új R05 tétel</x:v>
      </x:c>
    </x:row>
    <x:row r="24" ht="78" customHeight="1">
      <x:c r="A24" s="19" t="str">
        <x:v>KI-CP3-B01</x:v>
      </x:c>
      <x:c r="B24" s="55" t="n">
        <x:v>145000</x:v>
      </x:c>
      <x:c r="C24" s="55" t="n">
        <x:f>'Elemregiszter'!U171</x:f>
        <x:v>145000</x:v>
      </x:c>
      <x:c r="D24" s="55" t="n">
        <x:f>C24-B24</x:f>
        <x:v>0</x:v>
      </x:c>
      <x:c r="E24" s="55" t="n">
        <x:f>'Elemregiszter'!AH171</x:f>
        <x:v>40000</x:v>
      </x:c>
      <x:c r="F24" s="55" t="n">
        <x:f>C24-E24</x:f>
        <x:v>105000</x:v>
      </x:c>
      <x:c r="G24" s="19" t="str">
        <x:v> Gazdaságos összehasonlítás külön.</x:v>
      </x:c>
    </x:row>
    <x:row r="25" ht="78" customHeight="1">
      <x:c r="A25" s="19" t="str">
        <x:v>KI-R05-L01</x:v>
      </x:c>
      <x:c r="B25" s="55" t="n">
        <x:v>0</x:v>
      </x:c>
      <x:c r="C25" s="55" t="n">
        <x:f>'Elemregiszter'!U174</x:f>
        <x:v>45430</x:v>
      </x:c>
      <x:c r="D25" s="55" t="n">
        <x:f>C25-B25</x:f>
        <x:v>45430</x:v>
      </x:c>
      <x:c r="E25" s="55" t="n">
        <x:f>'Elemregiszter'!AH174</x:f>
        <x:v>45430</x:v>
      </x:c>
      <x:c r="F25" s="55" t="n">
        <x:f>C25-E25</x:f>
        <x:v>0</x:v>
      </x:c>
      <x:c r="G25" s="19" t="str">
        <x:v>24,5W összesen;30Wdriveren81,7%. Táp/kábel meglévőCP3sorokban, szerelésKI-119.</x:v>
      </x:c>
    </x:row>
    <x:row r="26" ht="78" customHeight="1">
      <x:c r="A26" s="19" t="str">
        <x:v>KI-R05-B01</x:v>
      </x:c>
      <x:c r="B26" s="55" t="n">
        <x:v>0</x:v>
      </x:c>
      <x:c r="C26" s="55" t="n">
        <x:f>'Elemregiszter'!U175</x:f>
        <x:v>70000</x:v>
      </x:c>
      <x:c r="D26" s="55" t="n">
        <x:f>C26-B26</x:f>
        <x:v>70000</x:v>
      </x:c>
      <x:c r="E26" s="55" t="n">
        <x:f>'Elemregiszter'!AH175</x:f>
        <x:v>70000</x:v>
      </x:c>
      <x:c r="F26" s="55" t="n">
        <x:f>C26-E26</x:f>
        <x:v>0</x:v>
      </x:c>
      <x:c r="G26" s="19" t="str">
        <x:v>89,99EUR gyártói oldal;420Ft tervezési árfolyammal37796Ft,45000Ft beszerzési keret+25000Ft falrögzítés.35kg,20–29col,max2,1colgumi,sárvédő nélkül. Valós bicikli és fal/ajtó ismeretlen. HU szállítás nem igazolt.</x:v>
      </x:c>
    </x:row>
  </x:sheetData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5" hidden="0" customWidth="1"/>
    <x:col min="3" max="3" width="48" hidden="0" customWidth="1"/>
    <x:col min="4" max="4" width="17" hidden="0" customWidth="1"/>
    <x:col min="5" max="5" width="17" hidden="0" customWidth="1"/>
    <x:col min="6" max="6" width="12" hidden="0" customWidth="1"/>
    <x:col min="7" max="7" width="16" hidden="0" customWidth="1"/>
    <x:col min="8" max="8" width="12" hidden="0" customWidth="1"/>
    <x:col min="9" max="9" width="18" hidden="0" customWidth="1"/>
    <x:col min="10" max="10" width="18" hidden="0" customWidth="1"/>
    <x:col min="11" max="11" width="18" hidden="0" customWidth="1"/>
    <x:col min="12" max="12" width="16" hidden="0" customWidth="1"/>
    <x:col min="13" max="13" width="16" hidden="0" customWidth="1"/>
    <x:col min="14" max="14" width="16" hidden="0" customWidth="1"/>
    <x:col min="15" max="15" width="65" hidden="0" customWidth="1"/>
  </x:cols>
  <x:sheetData>
    <x:row r="1" ht="78" customHeight="1">
      <x:c r="A1" s="61" t="str">
        <x:v>Elem</x:v>
      </x:c>
      <x:c r="B1" s="61" t="str">
        <x:v>Rekesz</x:v>
      </x:c>
      <x:c r="C1" s="61" t="str">
        <x:v>Használat</x:v>
      </x:c>
      <x:c r="D1" s="61" t="str">
        <x:v>Nettó szél. mm</x:v>
      </x:c>
      <x:c r="E1" s="61" t="str">
        <x:v>Nettó mély. mm</x:v>
      </x:c>
      <x:c r="F1" s="61" t="str">
        <x:v>Polc db</x:v>
      </x:c>
      <x:c r="G1" s="61" t="str">
        <x:v>Rúd mm</x:v>
      </x:c>
      <x:c r="H1" s="61" t="str">
        <x:v>Fiók db</x:v>
      </x:c>
      <x:c r="I1" s="61" t="str">
        <x:v>Fiók belszél. mm</x:v>
      </x:c>
      <x:c r="J1" s="61" t="str">
        <x:v>Fiók belmély. mm</x:v>
      </x:c>
      <x:c r="K1" s="61" t="str">
        <x:v>Fiók belmag. mm</x:v>
      </x:c>
      <x:c r="L1" s="61" t="str">
        <x:v>Akasztás m</x:v>
      </x:c>
      <x:c r="M1" s="61" t="str">
        <x:v>Polc m²</x:v>
      </x:c>
      <x:c r="N1" s="61" t="str">
        <x:v>Fiók liter</x:v>
      </x:c>
      <x:c r="O1" s="61" t="str">
        <x:v>Státusz</x:v>
      </x:c>
    </x:row>
    <x:row r="2" ht="78" customHeight="1">
      <x:c r="A2" s="19" t="str">
        <x:v>K-01</x:v>
      </x:c>
      <x:c r="B2" s="19" t="str">
        <x:v>K-01-B01</x:v>
      </x:c>
      <x:c r="C2" s="19" t="str">
        <x:v>Sütő / mikro; zárt felső éléskamra</x:v>
      </x:c>
      <x:c r="D2" s="19" t="n">
        <x:v>564</x:v>
      </x:c>
      <x:c r="E2" s="19" t="n">
        <x:v>543</x:v>
      </x:c>
      <x:c r="F2" s="19" t="n">
        <x:v>4</x:v>
      </x:c>
      <x:c r="G2" s="19" t="n">
        <x:v>0</x:v>
      </x:c>
      <x:c r="H2" s="19" t="n">
        <x:v>0</x:v>
      </x:c>
      <x:c r="I2" s="19" t="n">
        <x:v>464</x:v>
      </x:c>
      <x:c r="J2" s="19" t="n">
        <x:v>450</x:v>
      </x:c>
      <x:c r="K2" s="19" t="n">
        <x:v>150</x:v>
      </x:c>
      <x:c r="L2" s="51" t="n">
        <x:f>G2/1000</x:f>
        <x:v>0</x:v>
      </x:c>
      <x:c r="M2" s="51" t="n">
        <x:f>D2*E2*F2/1000000</x:f>
        <x:v>1.225008</x:v>
      </x:c>
      <x:c r="N2" s="51" t="n">
        <x:f>H2*I2*J2*K2/1000000</x:f>
        <x:v>0</x:v>
      </x:c>
      <x:c r="O2" s="19" t="str">
        <x:v>Tervi kapacitás, nem felmért vagy garantált tárgybeférés.</x:v>
      </x:c>
    </x:row>
    <x:row r="3" ht="78" customHeight="1">
      <x:c r="A3" s="19" t="str">
        <x:v>K-02</x:v>
      </x:c>
      <x:c r="B3" s="19" t="str">
        <x:v>K-02-B01</x:v>
      </x:c>
      <x:c r="C3" s="19" t="str">
        <x:v>Beépített hűtő + ritka felső tároló</x:v>
      </x:c>
      <x:c r="D3" s="19" t="n">
        <x:v>564</x:v>
      </x:c>
      <x:c r="E3" s="19" t="n">
        <x:v>563</x:v>
      </x:c>
      <x:c r="F3" s="19" t="n">
        <x:v>1</x:v>
      </x:c>
      <x:c r="G3" s="19" t="n">
        <x:v>0</x:v>
      </x:c>
      <x:c r="H3" s="19" t="n">
        <x:v>0</x:v>
      </x:c>
      <x:c r="I3" s="19" t="n">
        <x:v>464</x:v>
      </x:c>
      <x:c r="J3" s="19" t="n">
        <x:v>450</x:v>
      </x:c>
      <x:c r="K3" s="19" t="n">
        <x:v>150</x:v>
      </x:c>
      <x:c r="L3" s="51" t="n">
        <x:f>G3/1000</x:f>
        <x:v>0</x:v>
      </x:c>
      <x:c r="M3" s="51" t="n">
        <x:f>D3*E3*F3/1000000</x:f>
        <x:v>0.317532</x:v>
      </x:c>
      <x:c r="N3" s="51" t="n">
        <x:f>H3*I3*J3*K3/1000000</x:f>
        <x:v>0</x:v>
      </x:c>
      <x:c r="O3" s="19" t="str">
        <x:v>Tervi kapacitás, nem felmért vagy garantált tárgybeférés.</x:v>
      </x:c>
    </x:row>
    <x:row r="4" ht="78" customHeight="1">
      <x:c r="A4" s="19" t="str">
        <x:v>K-03</x:v>
      </x:c>
      <x:c r="B4" s="19" t="str">
        <x:v>K-03-B01</x:v>
      </x:c>
      <x:c r="C4" s="19" t="str">
        <x:v>Mosogató / hulladék / kihúzható csap tömlője</x:v>
      </x:c>
      <x:c r="D4" s="19" t="n">
        <x:v>764</x:v>
      </x:c>
      <x:c r="E4" s="19" t="n">
        <x:v>463</x:v>
      </x:c>
      <x:c r="F4" s="19" t="n">
        <x:v>0</x:v>
      </x:c>
      <x:c r="G4" s="19" t="n">
        <x:v>0</x:v>
      </x:c>
      <x:c r="H4" s="19" t="n">
        <x:v>0</x:v>
      </x:c>
      <x:c r="I4" s="19" t="n">
        <x:v>664</x:v>
      </x:c>
      <x:c r="J4" s="19" t="n">
        <x:v>450</x:v>
      </x:c>
      <x:c r="K4" s="19" t="n">
        <x:v>150</x:v>
      </x:c>
      <x:c r="L4" s="51" t="n">
        <x:f>G4/1000</x:f>
        <x:v>0</x:v>
      </x:c>
      <x:c r="M4" s="51" t="n">
        <x:f>D4*E4*F4/1000000</x:f>
        <x:v>0</x:v>
      </x:c>
      <x:c r="N4" s="51" t="n">
        <x:f>H4*I4*J4*K4/1000000</x:f>
        <x:v>0</x:v>
      </x:c>
      <x:c r="O4" s="19" t="str">
        <x:v>Tervi kapacitás, nem felmért vagy garantált tárgybeférés.</x:v>
      </x:c>
    </x:row>
    <x:row r="5" ht="78" customHeight="1">
      <x:c r="A5" s="19" t="str">
        <x:v>K-05</x:v>
      </x:c>
      <x:c r="B5" s="19" t="str">
        <x:v>K-05-B01</x:v>
      </x:c>
      <x:c r="C5" s="19" t="str">
        <x:v>Evőeszköz / főzőeszköz / edény</x:v>
      </x:c>
      <x:c r="D5" s="19" t="n">
        <x:v>564</x:v>
      </x:c>
      <x:c r="E5" s="19" t="n">
        <x:v>563</x:v>
      </x:c>
      <x:c r="F5" s="19" t="n">
        <x:v>0</x:v>
      </x:c>
      <x:c r="G5" s="19" t="n">
        <x:v>0</x:v>
      </x:c>
      <x:c r="H5" s="19" t="n">
        <x:v>3</x:v>
      </x:c>
      <x:c r="I5" s="19" t="n">
        <x:v>464</x:v>
      </x:c>
      <x:c r="J5" s="19" t="n">
        <x:v>450</x:v>
      </x:c>
      <x:c r="K5" s="19" t="n">
        <x:v>170</x:v>
      </x:c>
      <x:c r="L5" s="51" t="n">
        <x:f>G5/1000</x:f>
        <x:v>0</x:v>
      </x:c>
      <x:c r="M5" s="51" t="n">
        <x:f>D5*E5*F5/1000000</x:f>
        <x:v>0</x:v>
      </x:c>
      <x:c r="N5" s="51" t="n">
        <x:f>H5*I5*J5*K5/1000000</x:f>
        <x:v>106.488</x:v>
      </x:c>
      <x:c r="O5" s="19" t="str">
        <x:v>Tervi kapacitás, nem felmért vagy garantált tárgybeférés.</x:v>
      </x:c>
    </x:row>
    <x:row r="6" ht="78" customHeight="1">
      <x:c r="A6" s="19" t="str">
        <x:v>K-06</x:v>
      </x:c>
      <x:c r="B6" s="19" t="str">
        <x:v>K-06-B01</x:v>
      </x:c>
      <x:c r="C6" s="19" t="str">
        <x:v>Előkészítés alatti élelmiszer / eszköz</x:v>
      </x:c>
      <x:c r="D6" s="19" t="n">
        <x:v>464</x:v>
      </x:c>
      <x:c r="E6" s="19" t="n">
        <x:v>563</x:v>
      </x:c>
      <x:c r="F6" s="19" t="n">
        <x:v>0</x:v>
      </x:c>
      <x:c r="G6" s="19" t="n">
        <x:v>0</x:v>
      </x:c>
      <x:c r="H6" s="19" t="n">
        <x:v>3</x:v>
      </x:c>
      <x:c r="I6" s="19" t="n">
        <x:v>364</x:v>
      </x:c>
      <x:c r="J6" s="19" t="n">
        <x:v>450</x:v>
      </x:c>
      <x:c r="K6" s="19" t="n">
        <x:v>170</x:v>
      </x:c>
      <x:c r="L6" s="51" t="n">
        <x:f>G6/1000</x:f>
        <x:v>0</x:v>
      </x:c>
      <x:c r="M6" s="51" t="n">
        <x:f>D6*E6*F6/1000000</x:f>
        <x:v>0</x:v>
      </x:c>
      <x:c r="N6" s="51" t="n">
        <x:f>H6*I6*J6*K6/1000000</x:f>
        <x:v>83.538</x:v>
      </x:c>
      <x:c r="O6" s="19" t="str">
        <x:v>Tervi kapacitás, nem felmért vagy garantált tárgybeférés.</x:v>
      </x:c>
    </x:row>
    <x:row r="7" ht="78" customHeight="1">
      <x:c r="A7" s="19" t="str">
        <x:v>K-06</x:v>
      </x:c>
      <x:c r="B7" s="19" t="str">
        <x:v>K-06-B02</x:v>
      </x:c>
      <x:c r="C7" s="19" t="str">
        <x:v>Edény / száraz készlet</x:v>
      </x:c>
      <x:c r="D7" s="19" t="n">
        <x:v>464</x:v>
      </x:c>
      <x:c r="E7" s="19" t="n">
        <x:v>563</x:v>
      </x:c>
      <x:c r="F7" s="19" t="n">
        <x:v>0</x:v>
      </x:c>
      <x:c r="G7" s="19" t="n">
        <x:v>0</x:v>
      </x:c>
      <x:c r="H7" s="19" t="n">
        <x:v>3</x:v>
      </x:c>
      <x:c r="I7" s="19" t="n">
        <x:v>364</x:v>
      </x:c>
      <x:c r="J7" s="19" t="n">
        <x:v>450</x:v>
      </x:c>
      <x:c r="K7" s="19" t="n">
        <x:v>170</x:v>
      </x:c>
      <x:c r="L7" s="51" t="n">
        <x:f>G7/1000</x:f>
        <x:v>0</x:v>
      </x:c>
      <x:c r="M7" s="51" t="n">
        <x:f>D7*E7*F7/1000000</x:f>
        <x:v>0</x:v>
      </x:c>
      <x:c r="N7" s="51" t="n">
        <x:f>H7*I7*J7*K7/1000000</x:f>
        <x:v>83.538</x:v>
      </x:c>
      <x:c r="O7" s="19" t="str">
        <x:v>Tervi kapacitás, nem felmért vagy garantált tárgybeférés.</x:v>
      </x:c>
    </x:row>
    <x:row r="8" ht="78" customHeight="1">
      <x:c r="A8" s="19" t="str">
        <x:v>K-07</x:v>
      </x:c>
      <x:c r="B8" s="19" t="str">
        <x:v>K-07-B01</x:v>
      </x:c>
      <x:c r="C8" s="19" t="str">
        <x:v>Pohár / napi étkészlet</x:v>
      </x:c>
      <x:c r="D8" s="19" t="n">
        <x:v>564</x:v>
      </x:c>
      <x:c r="E8" s="19" t="n">
        <x:v>293</x:v>
      </x:c>
      <x:c r="F8" s="19" t="n">
        <x:v>2</x:v>
      </x:c>
      <x:c r="G8" s="19" t="n">
        <x:v>0</x:v>
      </x:c>
      <x:c r="H8" s="19" t="n">
        <x:v>0</x:v>
      </x:c>
      <x:c r="I8" s="19" t="n">
        <x:v>464</x:v>
      </x:c>
      <x:c r="J8" s="19" t="n">
        <x:v>200</x:v>
      </x:c>
      <x:c r="K8" s="19" t="n">
        <x:v>150</x:v>
      </x:c>
      <x:c r="L8" s="51" t="n">
        <x:f>G8/1000</x:f>
        <x:v>0</x:v>
      </x:c>
      <x:c r="M8" s="51" t="n">
        <x:f>D8*E8*F8/1000000</x:f>
        <x:v>0.330504</x:v>
      </x:c>
      <x:c r="N8" s="51" t="n">
        <x:f>H8*I8*J8*K8/1000000</x:f>
        <x:v>0</x:v>
      </x:c>
      <x:c r="O8" s="19" t="str">
        <x:v>Tervi kapacitás, nem felmért vagy garantált tárgybeférés.</x:v>
      </x:c>
    </x:row>
    <x:row r="9" ht="78" customHeight="1">
      <x:c r="A9" s="19" t="str">
        <x:v>K-07</x:v>
      </x:c>
      <x:c r="B9" s="19" t="str">
        <x:v>K-07-B02</x:v>
      </x:c>
      <x:c r="C9" s="19" t="str">
        <x:v>Tányér / száraz készlet</x:v>
      </x:c>
      <x:c r="D9" s="19" t="n">
        <x:v>764</x:v>
      </x:c>
      <x:c r="E9" s="19" t="n">
        <x:v>293</x:v>
      </x:c>
      <x:c r="F9" s="19" t="n">
        <x:v>2</x:v>
      </x:c>
      <x:c r="G9" s="19" t="n">
        <x:v>0</x:v>
      </x:c>
      <x:c r="H9" s="19" t="n">
        <x:v>0</x:v>
      </x:c>
      <x:c r="I9" s="19" t="n">
        <x:v>664</x:v>
      </x:c>
      <x:c r="J9" s="19" t="n">
        <x:v>200</x:v>
      </x:c>
      <x:c r="K9" s="19" t="n">
        <x:v>150</x:v>
      </x:c>
      <x:c r="L9" s="51" t="n">
        <x:f>G9/1000</x:f>
        <x:v>0</x:v>
      </x:c>
      <x:c r="M9" s="51" t="n">
        <x:f>D9*E9*F9/1000000</x:f>
        <x:v>0.447704</x:v>
      </x:c>
      <x:c r="N9" s="51" t="n">
        <x:f>H9*I9*J9*K9/1000000</x:f>
        <x:v>0</x:v>
      </x:c>
      <x:c r="O9" s="19" t="str">
        <x:v>Tervi kapacitás, nem felmért vagy garantált tárgybeférés.</x:v>
      </x:c>
    </x:row>
    <x:row r="10" ht="78" customHeight="1">
      <x:c r="A10" s="19" t="str">
        <x:v>TV-01</x:v>
      </x:c>
      <x:c r="B10" s="19" t="str">
        <x:v>TV-01-B01</x:v>
      </x:c>
      <x:c r="C10" s="19" t="str">
        <x:v>Könyv / dekor; terhelt polcpróba</x:v>
      </x:c>
      <x:c r="D10" s="19" t="n">
        <x:v>314</x:v>
      </x:c>
      <x:c r="E10" s="19" t="n">
        <x:v>343</x:v>
      </x:c>
      <x:c r="F10" s="19" t="n">
        <x:v>5</x:v>
      </x:c>
      <x:c r="G10" s="19" t="n">
        <x:v>0</x:v>
      </x:c>
      <x:c r="H10" s="19" t="n">
        <x:v>0</x:v>
      </x:c>
      <x:c r="I10" s="19" t="n">
        <x:v>214</x:v>
      </x:c>
      <x:c r="J10" s="19" t="n">
        <x:v>200</x:v>
      </x:c>
      <x:c r="K10" s="19" t="n">
        <x:v>150</x:v>
      </x:c>
      <x:c r="L10" s="51" t="n">
        <x:f>G10/1000</x:f>
        <x:v>0</x:v>
      </x:c>
      <x:c r="M10" s="51" t="n">
        <x:f>D10*E10*F10/1000000</x:f>
        <x:v>0.53851</x:v>
      </x:c>
      <x:c r="N10" s="51" t="n">
        <x:f>H10*I10*J10*K10/1000000</x:f>
        <x:v>0</x:v>
      </x:c>
      <x:c r="O10" s="19" t="str">
        <x:v>Tervi kapacitás, nem felmért vagy garantált tárgybeférés.</x:v>
      </x:c>
    </x:row>
    <x:row r="11" ht="78" customHeight="1">
      <x:c r="A11" s="19" t="str">
        <x:v>TV-01</x:v>
      </x:c>
      <x:c r="B11" s="19" t="str">
        <x:v>TV-01-B02</x:v>
      </x:c>
      <x:c r="C11" s="19" t="str">
        <x:v>Könyv / dekor; terhelt polcpróba</x:v>
      </x:c>
      <x:c r="D11" s="19" t="n">
        <x:v>314</x:v>
      </x:c>
      <x:c r="E11" s="19" t="n">
        <x:v>343</x:v>
      </x:c>
      <x:c r="F11" s="19" t="n">
        <x:v>5</x:v>
      </x:c>
      <x:c r="G11" s="19" t="n">
        <x:v>0</x:v>
      </x:c>
      <x:c r="H11" s="19" t="n">
        <x:v>0</x:v>
      </x:c>
      <x:c r="I11" s="19" t="n">
        <x:v>214</x:v>
      </x:c>
      <x:c r="J11" s="19" t="n">
        <x:v>200</x:v>
      </x:c>
      <x:c r="K11" s="19" t="n">
        <x:v>150</x:v>
      </x:c>
      <x:c r="L11" s="51" t="n">
        <x:f>G11/1000</x:f>
        <x:v>0</x:v>
      </x:c>
      <x:c r="M11" s="51" t="n">
        <x:f>D11*E11*F11/1000000</x:f>
        <x:v>0.53851</x:v>
      </x:c>
      <x:c r="N11" s="51" t="n">
        <x:f>H11*I11*J11*K11/1000000</x:f>
        <x:v>0</x:v>
      </x:c>
      <x:c r="O11" s="19" t="str">
        <x:v>Tervi kapacitás, nem felmért vagy garantált tárgybeférés.</x:v>
      </x:c>
    </x:row>
    <x:row r="12" ht="78" customHeight="1">
      <x:c r="A12" s="19" t="str">
        <x:v>TV-02</x:v>
      </x:c>
      <x:c r="B12" s="19" t="str">
        <x:v>TV-02-B01</x:v>
      </x:c>
      <x:c r="C12" s="19" t="str">
        <x:v>AV; szellőző hát</x:v>
      </x:c>
      <x:c r="D12" s="19" t="n">
        <x:v>664</x:v>
      </x:c>
      <x:c r="E12" s="19" t="n">
        <x:v>343</x:v>
      </x:c>
      <x:c r="F12" s="19" t="n">
        <x:v>1</x:v>
      </x:c>
      <x:c r="G12" s="19" t="n">
        <x:v>0</x:v>
      </x:c>
      <x:c r="H12" s="19" t="n">
        <x:v>0</x:v>
      </x:c>
      <x:c r="I12" s="19" t="n">
        <x:v>464</x:v>
      </x:c>
      <x:c r="J12" s="19" t="n">
        <x:v>200</x:v>
      </x:c>
      <x:c r="K12" s="19" t="n">
        <x:v>140</x:v>
      </x:c>
      <x:c r="L12" s="51" t="n">
        <x:f>G12/1000</x:f>
        <x:v>0</x:v>
      </x:c>
      <x:c r="M12" s="51" t="n">
        <x:f>D12*E12*F12/1000000</x:f>
        <x:v>0.227752</x:v>
      </x:c>
      <x:c r="N12" s="51" t="n">
        <x:f>H12*I12*J12*K12/1000000</x:f>
        <x:v>0</x:v>
      </x:c>
      <x:c r="O12" s="19" t="str">
        <x:v>Tervi kapacitás, nem felmért vagy garantált tárgybeférés.</x:v>
      </x:c>
    </x:row>
    <x:row r="13" ht="78" customHeight="1">
      <x:c r="A13" s="19" t="str">
        <x:v>TV-02</x:v>
      </x:c>
      <x:c r="B13" s="19" t="str">
        <x:v>TV-02-B02</x:v>
      </x:c>
      <x:c r="C13" s="19" t="str">
        <x:v>AV; kábelút</x:v>
      </x:c>
      <x:c r="D13" s="19" t="n">
        <x:v>614</x:v>
      </x:c>
      <x:c r="E13" s="19" t="n">
        <x:v>343</x:v>
      </x:c>
      <x:c r="F13" s="19" t="n">
        <x:v>1</x:v>
      </x:c>
      <x:c r="G13" s="19" t="n">
        <x:v>0</x:v>
      </x:c>
      <x:c r="H13" s="19" t="n">
        <x:v>0</x:v>
      </x:c>
      <x:c r="I13" s="19" t="n">
        <x:v>464</x:v>
      </x:c>
      <x:c r="J13" s="19" t="n">
        <x:v>200</x:v>
      </x:c>
      <x:c r="K13" s="19" t="n">
        <x:v>140</x:v>
      </x:c>
      <x:c r="L13" s="51" t="n">
        <x:f>G13/1000</x:f>
        <x:v>0</x:v>
      </x:c>
      <x:c r="M13" s="51" t="n">
        <x:f>D13*E13*F13/1000000</x:f>
        <x:v>0.210602</x:v>
      </x:c>
      <x:c r="N13" s="51" t="n">
        <x:f>H13*I13*J13*K13/1000000</x:f>
        <x:v>0</x:v>
      </x:c>
      <x:c r="O13" s="19" t="str">
        <x:v>Tervi kapacitás, nem felmért vagy garantált tárgybeférés.</x:v>
      </x:c>
    </x:row>
    <x:row r="14" ht="78" customHeight="1">
      <x:c r="A14" s="19" t="str">
        <x:v>TV-02</x:v>
      </x:c>
      <x:c r="B14" s="19" t="str">
        <x:v>TV-02-B03</x:v>
      </x:c>
      <x:c r="C14" s="19" t="str">
        <x:v>Társasjáték / média</x:v>
      </x:c>
      <x:c r="D14" s="19" t="n">
        <x:v>614</x:v>
      </x:c>
      <x:c r="E14" s="19" t="n">
        <x:v>343</x:v>
      </x:c>
      <x:c r="F14" s="19" t="n">
        <x:v>0</x:v>
      </x:c>
      <x:c r="G14" s="19" t="n">
        <x:v>0</x:v>
      </x:c>
      <x:c r="H14" s="19" t="n">
        <x:v>0</x:v>
      </x:c>
      <x:c r="I14" s="19" t="n">
        <x:v>464</x:v>
      </x:c>
      <x:c r="J14" s="19" t="n">
        <x:v>200</x:v>
      </x:c>
      <x:c r="K14" s="19" t="n">
        <x:v>140</x:v>
      </x:c>
      <x:c r="L14" s="51" t="n">
        <x:f>G14/1000</x:f>
        <x:v>0</x:v>
      </x:c>
      <x:c r="M14" s="51" t="n">
        <x:f>D14*E14*F14/1000000</x:f>
        <x:v>0</x:v>
      </x:c>
      <x:c r="N14" s="51" t="n">
        <x:f>H14*I14*J14*K14/1000000</x:f>
        <x:v>0</x:v>
      </x:c>
      <x:c r="O14" s="19" t="str">
        <x:v>Tervi kapacitás, nem felmért vagy garantált tárgybeférés.</x:v>
      </x:c>
    </x:row>
    <x:row r="15" ht="78" customHeight="1">
      <x:c r="A15" s="19" t="str">
        <x:v>TV-02</x:v>
      </x:c>
      <x:c r="B15" s="19" t="str">
        <x:v>TV-02-B04</x:v>
      </x:c>
      <x:c r="C15" s="19" t="str">
        <x:v>Kivehető játékdoboz</x:v>
      </x:c>
      <x:c r="D15" s="19" t="n">
        <x:v>614</x:v>
      </x:c>
      <x:c r="E15" s="19" t="n">
        <x:v>343</x:v>
      </x:c>
      <x:c r="F15" s="19" t="n">
        <x:v>0</x:v>
      </x:c>
      <x:c r="G15" s="19" t="n">
        <x:v>0</x:v>
      </x:c>
      <x:c r="H15" s="19" t="n">
        <x:v>0</x:v>
      </x:c>
      <x:c r="I15" s="19" t="n">
        <x:v>614</x:v>
      </x:c>
      <x:c r="J15" s="19" t="n">
        <x:v>200</x:v>
      </x:c>
      <x:c r="K15" s="19" t="n">
        <x:v>140</x:v>
      </x:c>
      <x:c r="L15" s="51" t="n">
        <x:f>G15/1000</x:f>
        <x:v>0</x:v>
      </x:c>
      <x:c r="M15" s="51" t="n">
        <x:f>D15*E15*F15/1000000</x:f>
        <x:v>0</x:v>
      </x:c>
      <x:c r="N15" s="51" t="n">
        <x:f>H15*I15*J15*K15/1000000</x:f>
        <x:v>0</x:v>
      </x:c>
      <x:c r="O15" s="19" t="str">
        <x:v>Tervi kapacitás, nem felmért vagy garantált tárgybeférés.</x:v>
      </x:c>
    </x:row>
    <x:row r="16" ht="78" customHeight="1">
      <x:c r="A16" s="19" t="str">
        <x:v>TV-02</x:v>
      </x:c>
      <x:c r="B16" s="19" t="str">
        <x:v>TV-02-B05</x:v>
      </x:c>
      <x:c r="C16" s="19" t="str">
        <x:v>Kivehető játékdoboz</x:v>
      </x:c>
      <x:c r="D16" s="19" t="n">
        <x:v>614</x:v>
      </x:c>
      <x:c r="E16" s="19" t="n">
        <x:v>343</x:v>
      </x:c>
      <x:c r="F16" s="19" t="n">
        <x:v>0</x:v>
      </x:c>
      <x:c r="G16" s="19" t="n">
        <x:v>0</x:v>
      </x:c>
      <x:c r="H16" s="19" t="n">
        <x:v>0</x:v>
      </x:c>
      <x:c r="I16" s="19" t="n">
        <x:v>614</x:v>
      </x:c>
      <x:c r="J16" s="19" t="n">
        <x:v>200</x:v>
      </x:c>
      <x:c r="K16" s="19" t="n">
        <x:v>140</x:v>
      </x:c>
      <x:c r="L16" s="51" t="n">
        <x:f>G16/1000</x:f>
        <x:v>0</x:v>
      </x:c>
      <x:c r="M16" s="51" t="n">
        <x:f>D16*E16*F16/1000000</x:f>
        <x:v>0</x:v>
      </x:c>
      <x:c r="N16" s="51" t="n">
        <x:f>H16*I16*J16*K16/1000000</x:f>
        <x:v>0</x:v>
      </x:c>
      <x:c r="O16" s="19" t="str">
        <x:v>Tervi kapacitás, nem felmért vagy garantált tárgybeférés.</x:v>
      </x:c>
    </x:row>
    <x:row r="17" ht="78" customHeight="1">
      <x:c r="A17" s="19" t="str">
        <x:v>WN-01</x:v>
      </x:c>
      <x:c r="B17" s="19" t="str">
        <x:v>WN-01-R04A-B01</x:v>
      </x:c>
      <x:c r="C17" s="19" t="str">
        <x:v>Hosszú ruhák + 2 fiók</x:v>
      </x:c>
      <x:c r="D17" s="19" t="n">
        <x:v>937</x:v>
      </x:c>
      <x:c r="E17" s="19" t="n">
        <x:v>543</x:v>
      </x:c>
      <x:c r="F17" s="19" t="n">
        <x:v>1</x:v>
      </x:c>
      <x:c r="G17" s="19" t="n">
        <x:v>897</x:v>
      </x:c>
      <x:c r="H17" s="19" t="n">
        <x:v>2</x:v>
      </x:c>
      <x:c r="I17" s="19" t="n">
        <x:v>837</x:v>
      </x:c>
      <x:c r="J17" s="19" t="n">
        <x:v>450</x:v>
      </x:c>
      <x:c r="K17" s="19" t="n">
        <x:v>130</x:v>
      </x:c>
      <x:c r="L17" s="51" t="n">
        <x:f>G17/1000</x:f>
        <x:v>0.897</x:v>
      </x:c>
      <x:c r="M17" s="51" t="n">
        <x:f>D17*E17*F17/1000000</x:f>
        <x:v>0.508791</x:v>
      </x:c>
      <x:c r="N17" s="51" t="n">
        <x:f>H17*I17*J17*K17/1000000</x:f>
        <x:v>97.929</x:v>
      </x:c>
      <x:c r="O17" s="19" t="str">
        <x:v>Tervi kapacitás, nem felmért vagy garantált tárgybeférés.</x:v>
      </x:c>
    </x:row>
    <x:row r="18" ht="78" customHeight="1">
      <x:c r="A18" s="19" t="str">
        <x:v>WN-01</x:v>
      </x:c>
      <x:c r="B18" s="19" t="str">
        <x:v>WN-01-R04A-B02</x:v>
      </x:c>
      <x:c r="C18" s="19" t="str">
        <x:v>Dupla akasztás / felső lift</x:v>
      </x:c>
      <x:c r="D18" s="19" t="n">
        <x:v>938</x:v>
      </x:c>
      <x:c r="E18" s="19" t="n">
        <x:v>543</x:v>
      </x:c>
      <x:c r="F18" s="19" t="n">
        <x:v>2</x:v>
      </x:c>
      <x:c r="G18" s="19" t="n">
        <x:v>1676</x:v>
      </x:c>
      <x:c r="H18" s="19" t="n">
        <x:v>0</x:v>
      </x:c>
      <x:c r="I18" s="19" t="n">
        <x:v>838</x:v>
      </x:c>
      <x:c r="J18" s="19" t="n">
        <x:v>450</x:v>
      </x:c>
      <x:c r="K18" s="19" t="n">
        <x:v>150</x:v>
      </x:c>
      <x:c r="L18" s="51" t="n">
        <x:f>G18/1000</x:f>
        <x:v>1.676</x:v>
      </x:c>
      <x:c r="M18" s="51" t="n">
        <x:f>D18*E18*F18/1000000</x:f>
        <x:v>1.018668</x:v>
      </x:c>
      <x:c r="N18" s="51" t="n">
        <x:f>H18*I18*J18*K18/1000000</x:f>
        <x:v>0</x:v>
      </x:c>
      <x:c r="O18" s="19" t="str">
        <x:v>Tervi kapacitás, nem felmért vagy garantált tárgybeférés.</x:v>
      </x:c>
    </x:row>
    <x:row r="19" ht="78" customHeight="1">
      <x:c r="A19" s="19" t="str">
        <x:v>WN-01</x:v>
      </x:c>
      <x:c r="B19" s="19" t="str">
        <x:v>WN-01-R04A-B03</x:v>
      </x:c>
      <x:c r="C19" s="19" t="str">
        <x:v>6 fiók / rövid ruhák liften</x:v>
      </x:c>
      <x:c r="D19" s="19" t="n">
        <x:v>937</x:v>
      </x:c>
      <x:c r="E19" s="19" t="n">
        <x:v>543</x:v>
      </x:c>
      <x:c r="F19" s="19" t="n">
        <x:v>1</x:v>
      </x:c>
      <x:c r="G19" s="19" t="n">
        <x:v>777</x:v>
      </x:c>
      <x:c r="H19" s="19" t="n">
        <x:v>6</x:v>
      </x:c>
      <x:c r="I19" s="19" t="n">
        <x:v>837</x:v>
      </x:c>
      <x:c r="J19" s="19" t="n">
        <x:v>450</x:v>
      </x:c>
      <x:c r="K19" s="19" t="n">
        <x:v>150</x:v>
      </x:c>
      <x:c r="L19" s="51" t="n">
        <x:f>G19/1000</x:f>
        <x:v>0.777</x:v>
      </x:c>
      <x:c r="M19" s="51" t="n">
        <x:f>D19*E19*F19/1000000</x:f>
        <x:v>0.508791</x:v>
      </x:c>
      <x:c r="N19" s="51" t="n">
        <x:f>H19*I19*J19*K19/1000000</x:f>
        <x:v>338.985</x:v>
      </x:c>
      <x:c r="O19" s="19" t="str">
        <x:v>Tervi kapacitás, nem felmért vagy garantált tárgybeférés.</x:v>
      </x:c>
    </x:row>
    <x:row r="20" ht="78" customHeight="1">
      <x:c r="A20" s="19" t="str">
        <x:v>WS-01</x:v>
      </x:c>
      <x:c r="B20" s="19" t="str">
        <x:v>WS-01-B01</x:v>
      </x:c>
      <x:c r="C20" s="19" t="str">
        <x:v>Cipők; sík, állítható polcok</x:v>
      </x:c>
      <x:c r="D20" s="19" t="n">
        <x:v>559</x:v>
      </x:c>
      <x:c r="E20" s="19" t="n">
        <x:v>423</x:v>
      </x:c>
      <x:c r="F20" s="19" t="n">
        <x:v>8</x:v>
      </x:c>
      <x:c r="G20" s="19" t="n">
        <x:v>0</x:v>
      </x:c>
      <x:c r="H20" s="19" t="n">
        <x:v>0</x:v>
      </x:c>
      <x:c r="I20" s="19" t="n">
        <x:v>459</x:v>
      </x:c>
      <x:c r="J20" s="19" t="n">
        <x:v>350</x:v>
      </x:c>
      <x:c r="K20" s="19" t="n">
        <x:v>150</x:v>
      </x:c>
      <x:c r="L20" s="51" t="n">
        <x:f>G20/1000</x:f>
        <x:v>0</x:v>
      </x:c>
      <x:c r="M20" s="51" t="n">
        <x:f>D20*E20*F20/1000000</x:f>
        <x:v>1.891656</x:v>
      </x:c>
      <x:c r="N20" s="51" t="n">
        <x:f>H20*I20*J20*K20/1000000</x:f>
        <x:v>0</x:v>
      </x:c>
      <x:c r="O20" s="19" t="str">
        <x:v>Tervi kapacitás, nem felmért vagy garantált tárgybeférés.</x:v>
      </x:c>
    </x:row>
    <x:row r="21" ht="78" customHeight="1">
      <x:c r="A21" s="19" t="str">
        <x:v>WS-01</x:v>
      </x:c>
      <x:c r="B21" s="19" t="str">
        <x:v>WS-01-B02</x:v>
      </x:c>
      <x:c r="C21" s="19" t="str">
        <x:v>Cipők; magas csizmák alsó 540 mm</x:v>
      </x:c>
      <x:c r="D21" s="19" t="n">
        <x:v>559</x:v>
      </x:c>
      <x:c r="E21" s="19" t="n">
        <x:v>423</x:v>
      </x:c>
      <x:c r="F21" s="19" t="n">
        <x:v>7</x:v>
      </x:c>
      <x:c r="G21" s="19" t="n">
        <x:v>0</x:v>
      </x:c>
      <x:c r="H21" s="19" t="n">
        <x:v>0</x:v>
      </x:c>
      <x:c r="I21" s="19" t="n">
        <x:v>459</x:v>
      </x:c>
      <x:c r="J21" s="19" t="n">
        <x:v>350</x:v>
      </x:c>
      <x:c r="K21" s="19" t="n">
        <x:v>150</x:v>
      </x:c>
      <x:c r="L21" s="51" t="n">
        <x:f>G21/1000</x:f>
        <x:v>0</x:v>
      </x:c>
      <x:c r="M21" s="51" t="n">
        <x:f>D21*E21*F21/1000000</x:f>
        <x:v>1.655199</x:v>
      </x:c>
      <x:c r="N21" s="51" t="n">
        <x:f>H21*I21*J21*K21/1000000</x:f>
        <x:v>0</x:v>
      </x:c>
      <x:c r="O21" s="19" t="str">
        <x:v>Tervi kapacitás, nem felmért vagy garantált tárgybeférés.</x:v>
      </x:c>
    </x:row>
    <x:row r="22" ht="78" customHeight="1">
      <x:c r="A22" s="19" t="str">
        <x:v>WS-01</x:v>
      </x:c>
      <x:c r="B22" s="19" t="str">
        <x:v>WS-01-B03</x:v>
      </x:c>
      <x:c r="C22" s="19" t="str">
        <x:v>Táskák + négy fiók</x:v>
      </x:c>
      <x:c r="D22" s="19" t="n">
        <x:v>559</x:v>
      </x:c>
      <x:c r="E22" s="19" t="n">
        <x:v>423</x:v>
      </x:c>
      <x:c r="F22" s="19" t="n">
        <x:v>5</x:v>
      </x:c>
      <x:c r="G22" s="19" t="n">
        <x:v>0</x:v>
      </x:c>
      <x:c r="H22" s="19" t="n">
        <x:v>4</x:v>
      </x:c>
      <x:c r="I22" s="19" t="n">
        <x:v>459</x:v>
      </x:c>
      <x:c r="J22" s="19" t="n">
        <x:v>350</x:v>
      </x:c>
      <x:c r="K22" s="19" t="n">
        <x:v>150</x:v>
      </x:c>
      <x:c r="L22" s="51" t="n">
        <x:f>G22/1000</x:f>
        <x:v>0</x:v>
      </x:c>
      <x:c r="M22" s="51" t="n">
        <x:f>D22*E22*F22/1000000</x:f>
        <x:v>1.182285</x:v>
      </x:c>
      <x:c r="N22" s="51" t="n">
        <x:f>H22*I22*J22*K22/1000000</x:f>
        <x:v>96.39</x:v>
      </x:c>
      <x:c r="O22" s="19" t="str">
        <x:v>Tervi kapacitás, nem felmért vagy garantált tárgybeférés.</x:v>
      </x:c>
    </x:row>
    <x:row r="23" ht="78" customHeight="1">
      <x:c r="A23" s="19" t="str">
        <x:v>WS-01</x:v>
      </x:c>
      <x:c r="B23" s="19" t="str">
        <x:v>WS-01-B04</x:v>
      </x:c>
      <x:c r="C23" s="19" t="str">
        <x:v>Napi háztartási eszközök; felső zárható vegyszer</x:v>
      </x:c>
      <x:c r="D23" s="19" t="n">
        <x:v>559</x:v>
      </x:c>
      <x:c r="E23" s="19" t="n">
        <x:v>423</x:v>
      </x:c>
      <x:c r="F23" s="19" t="n">
        <x:v>2</x:v>
      </x:c>
      <x:c r="G23" s="19" t="n">
        <x:v>0</x:v>
      </x:c>
      <x:c r="H23" s="19" t="n">
        <x:v>0</x:v>
      </x:c>
      <x:c r="I23" s="19" t="n">
        <x:v>459</x:v>
      </x:c>
      <x:c r="J23" s="19" t="n">
        <x:v>350</x:v>
      </x:c>
      <x:c r="K23" s="19" t="n">
        <x:v>150</x:v>
      </x:c>
      <x:c r="L23" s="51" t="n">
        <x:f>G23/1000</x:f>
        <x:v>0</x:v>
      </x:c>
      <x:c r="M23" s="51" t="n">
        <x:f>D23*E23*F23/1000000</x:f>
        <x:v>0.472914</x:v>
      </x:c>
      <x:c r="N23" s="51" t="n">
        <x:f>H23*I23*J23*K23/1000000</x:f>
        <x:v>0</x:v>
      </x:c>
      <x:c r="O23" s="19" t="str">
        <x:v>Tervi kapacitás, nem felmért vagy garantált tárgybeférés.</x:v>
      </x:c>
    </x:row>
    <x:row r="24" ht="78" customHeight="1">
      <x:c r="A24" s="19" t="str">
        <x:v>NT-L</x:v>
      </x:c>
      <x:c r="B24" s="19" t="str">
        <x:v>NT-L-B01</x:v>
      </x:c>
      <x:c r="C24" s="19" t="str">
        <x:v>Két éjjeli fiók</x:v>
      </x:c>
      <x:c r="D24" s="19" t="n">
        <x:v>264</x:v>
      </x:c>
      <x:c r="E24" s="19" t="n">
        <x:v>363</x:v>
      </x:c>
      <x:c r="F24" s="19" t="n">
        <x:v>0</x:v>
      </x:c>
      <x:c r="G24" s="19" t="n">
        <x:v>0</x:v>
      </x:c>
      <x:c r="H24" s="19" t="n">
        <x:v>2</x:v>
      </x:c>
      <x:c r="I24" s="19" t="n">
        <x:v>164</x:v>
      </x:c>
      <x:c r="J24" s="19" t="n">
        <x:v>300</x:v>
      </x:c>
      <x:c r="K24" s="19" t="n">
        <x:v>140</x:v>
      </x:c>
      <x:c r="L24" s="51" t="n">
        <x:f>G24/1000</x:f>
        <x:v>0</x:v>
      </x:c>
      <x:c r="M24" s="51" t="n">
        <x:f>D24*E24*F24/1000000</x:f>
        <x:v>0</x:v>
      </x:c>
      <x:c r="N24" s="51" t="n">
        <x:f>H24*I24*J24*K24/1000000</x:f>
        <x:v>13.776</x:v>
      </x:c>
      <x:c r="O24" s="19" t="str">
        <x:v>Tervi kapacitás, nem felmért vagy garantált tárgybeférés.</x:v>
      </x:c>
    </x:row>
    <x:row r="25" ht="78" customHeight="1">
      <x:c r="A25" s="19" t="str">
        <x:v>NT-R</x:v>
      </x:c>
      <x:c r="B25" s="19" t="str">
        <x:v>NT-R-B01</x:v>
      </x:c>
      <x:c r="C25" s="19" t="str">
        <x:v>Két éjjeli fiók</x:v>
      </x:c>
      <x:c r="D25" s="19" t="n">
        <x:v>264</x:v>
      </x:c>
      <x:c r="E25" s="19" t="n">
        <x:v>363</x:v>
      </x:c>
      <x:c r="F25" s="19" t="n">
        <x:v>0</x:v>
      </x:c>
      <x:c r="G25" s="19" t="n">
        <x:v>0</x:v>
      </x:c>
      <x:c r="H25" s="19" t="n">
        <x:v>2</x:v>
      </x:c>
      <x:c r="I25" s="19" t="n">
        <x:v>164</x:v>
      </x:c>
      <x:c r="J25" s="19" t="n">
        <x:v>300</x:v>
      </x:c>
      <x:c r="K25" s="19" t="n">
        <x:v>140</x:v>
      </x:c>
      <x:c r="L25" s="51" t="n">
        <x:f>G25/1000</x:f>
        <x:v>0</x:v>
      </x:c>
      <x:c r="M25" s="51" t="n">
        <x:f>D25*E25*F25/1000000</x:f>
        <x:v>0</x:v>
      </x:c>
      <x:c r="N25" s="51" t="n">
        <x:f>H25*I25*J25*K25/1000000</x:f>
        <x:v>13.776</x:v>
      </x:c>
      <x:c r="O25" s="19" t="str">
        <x:v>Tervi kapacitás, nem felmért vagy garantált tárgybeférés.</x:v>
      </x:c>
    </x:row>
    <x:row r="26" ht="78" customHeight="1">
      <x:c r="A26" s="19" t="str">
        <x:v>W52-01</x:v>
      </x:c>
      <x:c r="B26" s="19" t="str">
        <x:v>W52-01-B01</x:v>
      </x:c>
      <x:c r="C26" s="19" t="str">
        <x:v>Felnőtt ruhatöbblet; dupla rúd, felső lift</x:v>
      </x:c>
      <x:c r="D26" s="19" t="n">
        <x:v>559</x:v>
      </x:c>
      <x:c r="E26" s="19" t="n">
        <x:v>543</x:v>
      </x:c>
      <x:c r="F26" s="19" t="n">
        <x:v>2</x:v>
      </x:c>
      <x:c r="G26" s="19" t="n">
        <x:v>918</x:v>
      </x:c>
      <x:c r="H26" s="19" t="n">
        <x:v>0</x:v>
      </x:c>
      <x:c r="I26" s="19" t="n">
        <x:v>459</x:v>
      </x:c>
      <x:c r="J26" s="19" t="n">
        <x:v>450</x:v>
      </x:c>
      <x:c r="K26" s="19" t="n">
        <x:v>150</x:v>
      </x:c>
      <x:c r="L26" s="51" t="n">
        <x:f>G26/1000</x:f>
        <x:v>0.918</x:v>
      </x:c>
      <x:c r="M26" s="51" t="n">
        <x:f>D26*E26*F26/1000000</x:f>
        <x:v>0.607074</x:v>
      </x:c>
      <x:c r="N26" s="51" t="n">
        <x:f>H26*I26*J26*K26/1000000</x:f>
        <x:v>0</x:v>
      </x:c>
      <x:c r="O26" s="19" t="str">
        <x:v>Tervi kapacitás, nem felmért vagy garantált tárgybeférés.</x:v>
      </x:c>
    </x:row>
    <x:row r="27" ht="78" customHeight="1">
      <x:c r="A27" s="19" t="str">
        <x:v>W52-01</x:v>
      </x:c>
      <x:c r="B27" s="19" t="str">
        <x:v>W52-01-B02</x:v>
      </x:c>
      <x:c r="C27" s="19" t="str">
        <x:v>Hosszú ruhák; később alacsony gyerekrúd</x:v>
      </x:c>
      <x:c r="D27" s="19" t="n">
        <x:v>559</x:v>
      </x:c>
      <x:c r="E27" s="19" t="n">
        <x:v>543</x:v>
      </x:c>
      <x:c r="F27" s="19" t="n">
        <x:v>1</x:v>
      </x:c>
      <x:c r="G27" s="19" t="n">
        <x:v>519</x:v>
      </x:c>
      <x:c r="H27" s="19" t="n">
        <x:v>0</x:v>
      </x:c>
      <x:c r="I27" s="19" t="n">
        <x:v>459</x:v>
      </x:c>
      <x:c r="J27" s="19" t="n">
        <x:v>450</x:v>
      </x:c>
      <x:c r="K27" s="19" t="n">
        <x:v>150</x:v>
      </x:c>
      <x:c r="L27" s="51" t="n">
        <x:f>G27/1000</x:f>
        <x:v>0.519</x:v>
      </x:c>
      <x:c r="M27" s="51" t="n">
        <x:f>D27*E27*F27/1000000</x:f>
        <x:v>0.303537</x:v>
      </x:c>
      <x:c r="N27" s="51" t="n">
        <x:f>H27*I27*J27*K27/1000000</x:f>
        <x:v>0</x:v>
      </x:c>
      <x:c r="O27" s="19" t="str">
        <x:v>Tervi kapacitás, nem felmért vagy garantált tárgybeférés.</x:v>
      </x:c>
    </x:row>
    <x:row r="28" ht="78" customHeight="1">
      <x:c r="A28" s="19" t="str">
        <x:v>W52-01</x:v>
      </x:c>
      <x:c r="B28" s="19" t="str">
        <x:v>W52-01-B03</x:v>
      </x:c>
      <x:c r="C28" s="19" t="str">
        <x:v>Négy fiók; hajtogatott ruhák</x:v>
      </x:c>
      <x:c r="D28" s="19" t="n">
        <x:v>559</x:v>
      </x:c>
      <x:c r="E28" s="19" t="n">
        <x:v>543</x:v>
      </x:c>
      <x:c r="F28" s="19" t="n">
        <x:v>5</x:v>
      </x:c>
      <x:c r="G28" s="19" t="n">
        <x:v>0</x:v>
      </x:c>
      <x:c r="H28" s="19" t="n">
        <x:v>4</x:v>
      </x:c>
      <x:c r="I28" s="19" t="n">
        <x:v>459</x:v>
      </x:c>
      <x:c r="J28" s="19" t="n">
        <x:v>450</x:v>
      </x:c>
      <x:c r="K28" s="19" t="n">
        <x:v>150</x:v>
      </x:c>
      <x:c r="L28" s="51" t="n">
        <x:f>G28/1000</x:f>
        <x:v>0</x:v>
      </x:c>
      <x:c r="M28" s="51" t="n">
        <x:f>D28*E28*F28/1000000</x:f>
        <x:v>1.517685</x:v>
      </x:c>
      <x:c r="N28" s="51" t="n">
        <x:f>H28*I28*J28*K28/1000000</x:f>
        <x:v>123.93</x:v>
      </x:c>
      <x:c r="O28" s="19" t="str">
        <x:v>Tervi kapacitás, nem felmért vagy garantált tárgybeférés.</x:v>
      </x:c>
    </x:row>
    <x:row r="29" ht="78" customHeight="1">
      <x:c r="A29" s="19" t="str">
        <x:v>W52-01</x:v>
      </x:c>
      <x:c r="B29" s="19" t="str">
        <x:v>W52-01-B04</x:v>
      </x:c>
      <x:c r="C29" s="19" t="str">
        <x:v>Játék alul; ruhák felül; állítható polc</x:v>
      </x:c>
      <x:c r="D29" s="19" t="n">
        <x:v>559</x:v>
      </x:c>
      <x:c r="E29" s="19" t="n">
        <x:v>543</x:v>
      </x:c>
      <x:c r="F29" s="19" t="n">
        <x:v>6</x:v>
      </x:c>
      <x:c r="G29" s="19" t="n">
        <x:v>0</x:v>
      </x:c>
      <x:c r="H29" s="19" t="n">
        <x:v>0</x:v>
      </x:c>
      <x:c r="I29" s="19" t="n">
        <x:v>459</x:v>
      </x:c>
      <x:c r="J29" s="19" t="n">
        <x:v>450</x:v>
      </x:c>
      <x:c r="K29" s="19" t="n">
        <x:v>150</x:v>
      </x:c>
      <x:c r="L29" s="51" t="n">
        <x:f>G29/1000</x:f>
        <x:v>0</x:v>
      </x:c>
      <x:c r="M29" s="51" t="n">
        <x:f>D29*E29*F29/1000000</x:f>
        <x:v>1.821222</x:v>
      </x:c>
      <x:c r="N29" s="51" t="n">
        <x:f>H29*I29*J29*K29/1000000</x:f>
        <x:v>0</x:v>
      </x:c>
      <x:c r="O29" s="19" t="str">
        <x:v>Tervi kapacitás, nem felmért vagy garantált tárgybeférés.</x:v>
      </x:c>
    </x:row>
    <x:row r="30" ht="78" customHeight="1">
      <x:c r="A30" s="19" t="str">
        <x:v>W53-01</x:v>
      </x:c>
      <x:c r="B30" s="19" t="str">
        <x:v>W53-01-B01</x:v>
      </x:c>
      <x:c r="C30" s="19" t="str">
        <x:v>Vendégruha; előre kihúzható 350 mm rúd</x:v>
      </x:c>
      <x:c r="D30" s="19" t="n">
        <x:v>564</x:v>
      </x:c>
      <x:c r="E30" s="19" t="n">
        <x:v>393</x:v>
      </x:c>
      <x:c r="F30" s="19" t="n">
        <x:v>3</x:v>
      </x:c>
      <x:c r="G30" s="19" t="n">
        <x:v>350</x:v>
      </x:c>
      <x:c r="H30" s="19" t="n">
        <x:v>0</x:v>
      </x:c>
      <x:c r="I30" s="19" t="n">
        <x:v>464</x:v>
      </x:c>
      <x:c r="J30" s="19" t="n">
        <x:v>300</x:v>
      </x:c>
      <x:c r="K30" s="19" t="n">
        <x:v>150</x:v>
      </x:c>
      <x:c r="L30" s="51" t="n">
        <x:f>G30/1000</x:f>
        <x:v>0.35</x:v>
      </x:c>
      <x:c r="M30" s="51" t="n">
        <x:f>D30*E30*F30/1000000</x:f>
        <x:v>0.664956</x:v>
      </x:c>
      <x:c r="N30" s="51" t="n">
        <x:f>H30*I30*J30*K30/1000000</x:f>
        <x:v>0</x:v>
      </x:c>
      <x:c r="O30" s="19" t="str">
        <x:v>Tervi kapacitás, nem felmért vagy garantált tárgybeférés.</x:v>
      </x:c>
    </x:row>
    <x:row r="31" ht="78" customHeight="1">
      <x:c r="A31" s="19" t="str">
        <x:v>W53-01</x:v>
      </x:c>
      <x:c r="B31" s="19" t="str">
        <x:v>W53-01-B02</x:v>
      </x:c>
      <x:c r="C31" s="19" t="str">
        <x:v>Iratok / mappák; 5 állítható polc</x:v>
      </x:c>
      <x:c r="D31" s="19" t="n">
        <x:v>564</x:v>
      </x:c>
      <x:c r="E31" s="19" t="n">
        <x:v>393</x:v>
      </x:c>
      <x:c r="F31" s="19" t="n">
        <x:v>6</x:v>
      </x:c>
      <x:c r="G31" s="19" t="n">
        <x:v>0</x:v>
      </x:c>
      <x:c r="H31" s="19" t="n">
        <x:v>0</x:v>
      </x:c>
      <x:c r="I31" s="19" t="n">
        <x:v>464</x:v>
      </x:c>
      <x:c r="J31" s="19" t="n">
        <x:v>300</x:v>
      </x:c>
      <x:c r="K31" s="19" t="n">
        <x:v>150</x:v>
      </x:c>
      <x:c r="L31" s="51" t="n">
        <x:f>G31/1000</x:f>
        <x:v>0</x:v>
      </x:c>
      <x:c r="M31" s="51" t="n">
        <x:f>D31*E31*F31/1000000</x:f>
        <x:v>1.329912</x:v>
      </x:c>
      <x:c r="N31" s="51" t="n">
        <x:f>H31*I31*J31*K31/1000000</x:f>
        <x:v>0</x:v>
      </x:c>
      <x:c r="O31" s="19" t="str">
        <x:v>Tervi kapacitás, nem felmért vagy garantált tárgybeférés.</x:v>
      </x:c>
    </x:row>
    <x:row r="32" ht="78" customHeight="1">
      <x:c r="A32" s="19" t="str">
        <x:v>W53-01</x:v>
      </x:c>
      <x:c r="B32" s="19" t="str">
        <x:v>W53-01-B03</x:v>
      </x:c>
      <x:c r="C32" s="19" t="str">
        <x:v>Négy fiók; irodaszer / vendégtextil</x:v>
      </x:c>
      <x:c r="D32" s="19" t="n">
        <x:v>564</x:v>
      </x:c>
      <x:c r="E32" s="19" t="n">
        <x:v>393</x:v>
      </x:c>
      <x:c r="F32" s="19" t="n">
        <x:v>5</x:v>
      </x:c>
      <x:c r="G32" s="19" t="n">
        <x:v>0</x:v>
      </x:c>
      <x:c r="H32" s="19" t="n">
        <x:v>4</x:v>
      </x:c>
      <x:c r="I32" s="19" t="n">
        <x:v>464</x:v>
      </x:c>
      <x:c r="J32" s="19" t="n">
        <x:v>300</x:v>
      </x:c>
      <x:c r="K32" s="19" t="n">
        <x:v>150</x:v>
      </x:c>
      <x:c r="L32" s="51" t="n">
        <x:f>G32/1000</x:f>
        <x:v>0</x:v>
      </x:c>
      <x:c r="M32" s="51" t="n">
        <x:f>D32*E32*F32/1000000</x:f>
        <x:v>1.10826</x:v>
      </x:c>
      <x:c r="N32" s="51" t="n">
        <x:f>H32*I32*J32*K32/1000000</x:f>
        <x:v>83.52</x:v>
      </x:c>
      <x:c r="O32" s="19" t="str">
        <x:v>Tervi kapacitás, nem felmért vagy garantált tárgybeférés.</x:v>
      </x:c>
    </x:row>
    <x:row r="33" ht="78" customHeight="1">
      <x:c r="A33" s="19" t="str">
        <x:v>ENT-01</x:v>
      </x:c>
      <x:c r="B33" s="19" t="str">
        <x:v>ENT-01-B01</x:v>
      </x:c>
      <x:c r="C33" s="19" t="str">
        <x:v>Napi kabát előre kihúzható rúdon</x:v>
      </x:c>
      <x:c r="D33" s="19" t="n">
        <x:v>394</x:v>
      </x:c>
      <x:c r="E33" s="19" t="n">
        <x:v>483</x:v>
      </x:c>
      <x:c r="F33" s="19" t="n">
        <x:v>3</x:v>
      </x:c>
      <x:c r="G33" s="19" t="n">
        <x:v>350</x:v>
      </x:c>
      <x:c r="H33" s="19" t="n">
        <x:v>0</x:v>
      </x:c>
      <x:c r="I33" s="19" t="n">
        <x:v>294</x:v>
      </x:c>
      <x:c r="J33" s="19" t="n">
        <x:v>350</x:v>
      </x:c>
      <x:c r="K33" s="19" t="n">
        <x:v>150</x:v>
      </x:c>
      <x:c r="L33" s="51" t="n">
        <x:f>G33/1000</x:f>
        <x:v>0.35</x:v>
      </x:c>
      <x:c r="M33" s="51" t="n">
        <x:f>D33*E33*F33/1000000</x:f>
        <x:v>0.570906</x:v>
      </x:c>
      <x:c r="N33" s="51" t="n">
        <x:f>H33*I33*J33*K33/1000000</x:f>
        <x:v>0</x:v>
      </x:c>
      <x:c r="O33" s="19" t="str">
        <x:v>Tervi kapacitás, nem felmért vagy garantált tárgybeférés.</x:v>
      </x:c>
    </x:row>
    <x:row r="34" ht="78" customHeight="1">
      <x:c r="A34" s="19" t="str">
        <x:v>ENT-01</x:v>
      </x:c>
      <x:c r="B34" s="19" t="str">
        <x:v>ENT-01-B02</x:v>
      </x:c>
      <x:c r="C34" s="19" t="str">
        <x:v>Cipő, kutyapóráz, tiszta törlő; zárható felső</x:v>
      </x:c>
      <x:c r="D34" s="19" t="n">
        <x:v>394</x:v>
      </x:c>
      <x:c r="E34" s="19" t="n">
        <x:v>483</x:v>
      </x:c>
      <x:c r="F34" s="19" t="n">
        <x:v>7</x:v>
      </x:c>
      <x:c r="G34" s="19" t="n">
        <x:v>0</x:v>
      </x:c>
      <x:c r="H34" s="19" t="n">
        <x:v>0</x:v>
      </x:c>
      <x:c r="I34" s="19" t="n">
        <x:v>294</x:v>
      </x:c>
      <x:c r="J34" s="19" t="n">
        <x:v>350</x:v>
      </x:c>
      <x:c r="K34" s="19" t="n">
        <x:v>150</x:v>
      </x:c>
      <x:c r="L34" s="51" t="n">
        <x:f>G34/1000</x:f>
        <x:v>0</x:v>
      </x:c>
      <x:c r="M34" s="51" t="n">
        <x:f>D34*E34*F34/1000000</x:f>
        <x:v>1.332114</x:v>
      </x:c>
      <x:c r="N34" s="51" t="n">
        <x:f>H34*I34*J34*K34/1000000</x:f>
        <x:v>0</x:v>
      </x:c>
      <x:c r="O34" s="19" t="str">
        <x:v>Tervi kapacitás, nem felmért vagy garantált tárgybeférés.</x:v>
      </x:c>
    </x:row>
    <x:row r="35" ht="78" customHeight="1">
      <x:c r="A35" s="19" t="str">
        <x:v>B62-01</x:v>
      </x:c>
      <x:c r="B35" s="19" t="str">
        <x:v>B62-01-R04A-B01</x:v>
      </x:c>
      <x:c r="C35" s="19" t="str">
        <x:v>Napi pipere / szifonkivágás</x:v>
      </x:c>
      <x:c r="D35" s="19" t="n">
        <x:v>564</x:v>
      </x:c>
      <x:c r="E35" s="19" t="n">
        <x:v>473</x:v>
      </x:c>
      <x:c r="F35" s="19" t="n">
        <x:v>0</x:v>
      </x:c>
      <x:c r="G35" s="19" t="n">
        <x:v>0</x:v>
      </x:c>
      <x:c r="H35" s="19" t="n">
        <x:v>1</x:v>
      </x:c>
      <x:c r="I35" s="19" t="n">
        <x:v>464</x:v>
      </x:c>
      <x:c r="J35" s="19" t="n">
        <x:v>400</x:v>
      </x:c>
      <x:c r="K35" s="19" t="n">
        <x:v>220</x:v>
      </x:c>
      <x:c r="L35" s="51" t="n">
        <x:f>G35/1000</x:f>
        <x:v>0</x:v>
      </x:c>
      <x:c r="M35" s="51" t="n">
        <x:f>D35*E35*F35/1000000</x:f>
        <x:v>0</x:v>
      </x:c>
      <x:c r="N35" s="51" t="n">
        <x:f>H35*I35*J35*K35/1000000</x:f>
        <x:v>40.832</x:v>
      </x:c>
      <x:c r="O35" s="19" t="str">
        <x:v>Szifon levonása még nincs véglegesítve.</x:v>
      </x:c>
    </x:row>
    <x:row r="36" ht="78" customHeight="1">
      <x:c r="A36" s="19" t="str">
        <x:v>B62-01</x:v>
      </x:c>
      <x:c r="B36" s="19" t="str">
        <x:v>B62-01-R04A-B02</x:v>
      </x:c>
      <x:c r="C36" s="19" t="str">
        <x:v>Hajszárító / kefék</x:v>
      </x:c>
      <x:c r="D36" s="19" t="n">
        <x:v>264</x:v>
      </x:c>
      <x:c r="E36" s="19" t="n">
        <x:v>473</x:v>
      </x:c>
      <x:c r="F36" s="19" t="n">
        <x:v>0</x:v>
      </x:c>
      <x:c r="G36" s="19" t="n">
        <x:v>0</x:v>
      </x:c>
      <x:c r="H36" s="19" t="n">
        <x:v>1</x:v>
      </x:c>
      <x:c r="I36" s="19" t="n">
        <x:v>164</x:v>
      </x:c>
      <x:c r="J36" s="19" t="n">
        <x:v>400</x:v>
      </x:c>
      <x:c r="K36" s="19" t="n">
        <x:v>220</x:v>
      </x:c>
      <x:c r="L36" s="51" t="n">
        <x:f>G36/1000</x:f>
        <x:v>0</x:v>
      </x:c>
      <x:c r="M36" s="51" t="n">
        <x:f>D36*E36*F36/1000000</x:f>
        <x:v>0</x:v>
      </x:c>
      <x:c r="N36" s="51" t="n">
        <x:f>H36*I36*J36*K36/1000000</x:f>
        <x:v>14.432</x:v>
      </x:c>
      <x:c r="O36" s="19" t="str">
        <x:v>Szifon levonása még nincs véglegesítve.</x:v>
      </x:c>
    </x:row>
    <x:row r="37" ht="78" customHeight="1">
      <x:c r="A37" s="19" t="str">
        <x:v>B62-02</x:v>
      </x:c>
      <x:c r="B37" s="19" t="str">
        <x:v>B62-02-B01</x:v>
      </x:c>
      <x:c r="C37" s="19" t="str">
        <x:v>Kis pipere; nem mély flakon</x:v>
      </x:c>
      <x:c r="D37" s="19" t="n">
        <x:v>264</x:v>
      </x:c>
      <x:c r="E37" s="19" t="n">
        <x:v>143</x:v>
      </x:c>
      <x:c r="F37" s="19" t="n">
        <x:v>2</x:v>
      </x:c>
      <x:c r="G37" s="19" t="n">
        <x:v>0</x:v>
      </x:c>
      <x:c r="H37" s="19" t="n">
        <x:v>0</x:v>
      </x:c>
      <x:c r="I37" s="19" t="n">
        <x:v>164</x:v>
      </x:c>
      <x:c r="J37" s="19" t="n">
        <x:v>300</x:v>
      </x:c>
      <x:c r="K37" s="19" t="n">
        <x:v>150</x:v>
      </x:c>
      <x:c r="L37" s="51" t="n">
        <x:f>G37/1000</x:f>
        <x:v>0</x:v>
      </x:c>
      <x:c r="M37" s="51" t="n">
        <x:f>D37*E37*F37/1000000</x:f>
        <x:v>0.075504</x:v>
      </x:c>
      <x:c r="N37" s="51" t="n">
        <x:f>H37*I37*J37*K37/1000000</x:f>
        <x:v>0</x:v>
      </x:c>
      <x:c r="O37" s="19" t="str">
        <x:v>Szifon levonása még nincs véglegesítve.</x:v>
      </x:c>
    </x:row>
    <x:row r="38" ht="78" customHeight="1">
      <x:c r="A38" s="19" t="str">
        <x:v>B61-01</x:v>
      </x:c>
      <x:c r="B38" s="19" t="str">
        <x:v>B61-01-B01</x:v>
      </x:c>
      <x:c r="C38" s="19" t="str">
        <x:v>Szifonos felső + alsó törölköző</x:v>
      </x:c>
      <x:c r="D38" s="19" t="n">
        <x:v>564</x:v>
      </x:c>
      <x:c r="E38" s="19" t="n">
        <x:v>393</x:v>
      </x:c>
      <x:c r="F38" s="19" t="n">
        <x:v>0</x:v>
      </x:c>
      <x:c r="G38" s="19" t="n">
        <x:v>0</x:v>
      </x:c>
      <x:c r="H38" s="19" t="n">
        <x:v>2</x:v>
      </x:c>
      <x:c r="I38" s="19" t="n">
        <x:v>464</x:v>
      </x:c>
      <x:c r="J38" s="19" t="n">
        <x:v>300</x:v>
      </x:c>
      <x:c r="K38" s="19" t="n">
        <x:v>120</x:v>
      </x:c>
      <x:c r="L38" s="51" t="n">
        <x:f>G38/1000</x:f>
        <x:v>0</x:v>
      </x:c>
      <x:c r="M38" s="51" t="n">
        <x:f>D38*E38*F38/1000000</x:f>
        <x:v>0</x:v>
      </x:c>
      <x:c r="N38" s="51" t="n">
        <x:f>H38*I38*J38*K38/1000000</x:f>
        <x:v>33.408</x:v>
      </x:c>
      <x:c r="O38" s="19" t="str">
        <x:v>Szifon levonása még nincs véglegesítve.</x:v>
      </x:c>
    </x:row>
    <x:row r="39" ht="78" customHeight="1">
      <x:c r="A39" s="19" t="str">
        <x:v>WC-01</x:v>
      </x:c>
      <x:c r="B39" s="19" t="str">
        <x:v>WC-01-B01</x:v>
      </x:c>
      <x:c r="C39" s="19" t="str">
        <x:v>Papír / tiszta tartalék</x:v>
      </x:c>
      <x:c r="D39" s="19" t="n">
        <x:v>414</x:v>
      </x:c>
      <x:c r="E39" s="19" t="n">
        <x:v>123</x:v>
      </x:c>
      <x:c r="F39" s="19" t="n">
        <x:v>2</x:v>
      </x:c>
      <x:c r="G39" s="19" t="n">
        <x:v>0</x:v>
      </x:c>
      <x:c r="H39" s="19" t="n">
        <x:v>0</x:v>
      </x:c>
      <x:c r="I39" s="19" t="n">
        <x:v>314</x:v>
      </x:c>
      <x:c r="J39" s="19" t="n">
        <x:v>200</x:v>
      </x:c>
      <x:c r="K39" s="19" t="n">
        <x:v>150</x:v>
      </x:c>
      <x:c r="L39" s="51" t="n">
        <x:f>G39/1000</x:f>
        <x:v>0</x:v>
      </x:c>
      <x:c r="M39" s="51" t="n">
        <x:f>D39*E39*F39/1000000</x:f>
        <x:v>0.101844</x:v>
      </x:c>
      <x:c r="N39" s="51" t="n">
        <x:f>H39*I39*J39*K39/1000000</x:f>
        <x:v>0</x:v>
      </x:c>
      <x:c r="O39" s="19" t="str">
        <x:v>Tervi kapacitás, nem felmért vagy garantált tárgybeférés.</x:v>
      </x:c>
    </x:row>
    <x:row r="40" ht="78" customHeight="1">
      <x:c r="A40" s="19" t="str">
        <x:v>NT-64</x:v>
      </x:c>
      <x:c r="B40" s="19" t="str">
        <x:v>NT-64-B01</x:v>
      </x:c>
      <x:c r="C40" s="19" t="str">
        <x:v>Fiók + nyitott rekesz</x:v>
      </x:c>
      <x:c r="D40" s="19" t="n">
        <x:v>314</x:v>
      </x:c>
      <x:c r="E40" s="19" t="n">
        <x:v>293</x:v>
      </x:c>
      <x:c r="F40" s="19" t="n">
        <x:v>1</x:v>
      </x:c>
      <x:c r="G40" s="19" t="n">
        <x:v>0</x:v>
      </x:c>
      <x:c r="H40" s="19" t="n">
        <x:v>1</x:v>
      </x:c>
      <x:c r="I40" s="19" t="n">
        <x:v>214</x:v>
      </x:c>
      <x:c r="J40" s="19" t="n">
        <x:v>200</x:v>
      </x:c>
      <x:c r="K40" s="19" t="n">
        <x:v>140</x:v>
      </x:c>
      <x:c r="L40" s="51" t="n">
        <x:f>G40/1000</x:f>
        <x:v>0</x:v>
      </x:c>
      <x:c r="M40" s="51" t="n">
        <x:f>D40*E40*F40/1000000</x:f>
        <x:v>0.092002</x:v>
      </x:c>
      <x:c r="N40" s="51" t="n">
        <x:f>H40*I40*J40*K40/1000000</x:f>
        <x:v>5.992</x:v>
      </x:c>
      <x:c r="O40" s="19" t="str">
        <x:v>Tervi kapacitás, nem felmért vagy garantált tárgybeférés.</x:v>
      </x:c>
    </x:row>
    <x:row r="41" ht="78" customHeight="1">
      <x:c r="A41" s="19" t="str">
        <x:v>NT-76</x:v>
      </x:c>
      <x:c r="B41" s="19" t="str">
        <x:v>NT-76-B01</x:v>
      </x:c>
      <x:c r="C41" s="19" t="str">
        <x:v>Fiók + nyitott rekesz</x:v>
      </x:c>
      <x:c r="D41" s="19" t="n">
        <x:v>314</x:v>
      </x:c>
      <x:c r="E41" s="19" t="n">
        <x:v>293</x:v>
      </x:c>
      <x:c r="F41" s="19" t="n">
        <x:v>1</x:v>
      </x:c>
      <x:c r="G41" s="19" t="n">
        <x:v>0</x:v>
      </x:c>
      <x:c r="H41" s="19" t="n">
        <x:v>1</x:v>
      </x:c>
      <x:c r="I41" s="19" t="n">
        <x:v>214</x:v>
      </x:c>
      <x:c r="J41" s="19" t="n">
        <x:v>200</x:v>
      </x:c>
      <x:c r="K41" s="19" t="n">
        <x:v>140</x:v>
      </x:c>
      <x:c r="L41" s="51" t="n">
        <x:f>G41/1000</x:f>
        <x:v>0</x:v>
      </x:c>
      <x:c r="M41" s="51" t="n">
        <x:f>D41*E41*F41/1000000</x:f>
        <x:v>0.092002</x:v>
      </x:c>
      <x:c r="N41" s="51" t="n">
        <x:f>H41*I41*J41*K41/1000000</x:f>
        <x:v>5.992</x:v>
      </x:c>
      <x:c r="O41" s="19" t="str">
        <x:v>Tervi kapacitás, nem felmért vagy garantált tárgybeférés.</x:v>
      </x:c>
    </x:row>
  </x:sheetData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105" hidden="0" customWidth="1"/>
  </x:cols>
  <x:sheetData>
    <x:row r="1" ht="70" customHeight="1">
      <x:c r="A1" s="63" t="str">
        <x:v>Elem</x:v>
      </x:c>
      <x:c r="B1" s="63" t="str">
        <x:v>R05 Ft</x:v>
      </x:c>
      <x:c r="C1" s="63" t="str">
        <x:v>R06 Ft</x:v>
      </x:c>
      <x:c r="D1" s="63" t="str">
        <x:v>Eltérés Ft</x:v>
      </x:c>
      <x:c r="E1" s="63" t="str">
        <x:v>Műszaki változás</x:v>
      </x:c>
    </x:row>
    <x:row r="2" ht="70" customHeight="1">
      <x:c r="A2" s="1" t="str">
        <x:v>KI-044</x:v>
      </x:c>
      <x:c r="B2" s="29" t="n">
        <x:v>260000</x:v>
      </x:c>
      <x:c r="C2" s="29" t="n">
        <x:f>'Elemregiszter'!U45</x:f>
        <x:v>229900</x:v>
      </x:c>
      <x:c r="D2" s="29" t="n">
        <x:f>C2-B2</x:f>
        <x:v>-30100</x:v>
      </x:c>
      <x:c r="E2" s="1" t="str">
        <x:v>VÅGSTRANDA pontos méret és friss ár, -30100 Ft; keménység kipróbálandó.</x:v>
      </x:c>
    </x:row>
    <x:row r="3" ht="70" customHeight="1">
      <x:c r="A3" s="1" t="str">
        <x:v>KI-117</x:v>
      </x:c>
      <x:c r="B3" s="29" t="n">
        <x:v>35980</x:v>
      </x:c>
      <x:c r="C3" s="29" t="n">
        <x:f>'Elemregiszter'!U118</x:f>
        <x:v>45980</x:v>
      </x:c>
      <x:c r="D3" s="29" t="n">
        <x:f>C3-B3</x:f>
        <x:v>10000</x:v>
      </x:c>
      <x:c r="E3" s="1" t="str">
        <x:v>FADO25cm helyett20cm Rondo; +10000Ft. Összetett csomag, nem teljes fix ajánlat.</x:v>
      </x:c>
    </x:row>
    <x:row r="4" ht="70" customHeight="1">
      <x:c r="A4" s="1" t="str">
        <x:v>KI-043</x:v>
      </x:c>
      <x:c r="B4" s="29" t="n">
        <x:v>189900</x:v>
      </x:c>
      <x:c r="C4" s="29" t="n">
        <x:f>'Elemregiszter'!U44</x:f>
        <x:v>250000</x:v>
      </x:c>
      <x:c r="D4" s="29" t="n">
        <x:f>C4-B4</x:f>
        <x:v>60100</x:v>
      </x:c>
      <x:c r="E4" s="1" t="str">
        <x:v>NORDLI oldalfiókok helyett felnyíló tároló: éjjelikkel való használati ütközés csökkentése. +60100Ft becslés.</x:v>
      </x:c>
    </x:row>
    <x:row r="5" ht="70" customHeight="1">
      <x:c r="A5" s="1" t="str">
        <x:v>KI-051</x:v>
      </x:c>
      <x:c r="B5" s="29" t="n">
        <x:v>370000</x:v>
      </x:c>
      <x:c r="C5" s="29" t="n">
        <x:f>'Elemregiszter'!U52</x:f>
        <x:v>450000</x:v>
      </x:c>
      <x:c r="D5" s="29" t="n">
        <x:f>C5-B5</x:f>
        <x:v>80000</x:v>
      </x:c>
      <x:c r="E5" s="1" t="str">
        <x:v>Déli vízszintes frontosztás elhagyva a T05 alapján; belső kapacitás megmarad. +80000Ft előirányzat.</x:v>
      </x:c>
    </x:row>
    <x:row r="6" ht="70" customHeight="1">
      <x:c r="A6" s="1" t="str">
        <x:v>KI-011</x:v>
      </x:c>
      <x:c r="B6" s="29" t="n">
        <x:v>150000</x:v>
      </x:c>
      <x:c r="C6" s="29" t="n">
        <x:f>'Elemregiszter'!U12</x:f>
        <x:v>150000</x:v>
      </x:c>
      <x:c r="D6" s="29" t="n">
        <x:f>C6-B6</x:f>
        <x:v>0</x:v>
      </x:c>
      <x:c r="E6" s="1" t="str">
        <x:v>F274 beton helyett F243 finom erezetű kődekor.150000Ft csomagkeret nem változik; széles lapra külön ajánlat.</x:v>
      </x:c>
    </x:row>
    <x:row r="7" ht="70" customHeight="1">
      <x:c r="A7" s="1" t="str">
        <x:v>KI-012</x:v>
      </x:c>
      <x:c r="B7" s="29" t="n">
        <x:v>100000</x:v>
      </x:c>
      <x:c r="C7" s="29" t="n">
        <x:f>'Elemregiszter'!U13</x:f>
        <x:v>100000</x:v>
      </x:c>
      <x:c r="D7" s="29" t="n">
        <x:f>C7-B7</x:f>
        <x:v>0</x:v>
      </x:c>
      <x:c r="E7" s="1" t="str">
        <x:v>Konyha minden nézetében egységes kődekor; költség változatlan.</x:v>
      </x:c>
    </x:row>
    <x:row r="8" ht="70" customHeight="1">
      <x:c r="A8" s="1" t="str">
        <x:v>KI-036</x:v>
      </x:c>
      <x:c r="B8" s="29" t="n">
        <x:v>800000</x:v>
      </x:c>
      <x:c r="C8" s="29" t="n">
        <x:f>'Elemregiszter'!U37</x:f>
        <x:v>800000</x:v>
      </x:c>
      <x:c r="D8" s="29" t="n">
        <x:f>C8-B8</x:f>
        <x:v>0</x:v>
      </x:c>
      <x:c r="E8" s="1" t="str">
        <x:v>Pontos SKU megerősítve; új méretezett forma a régi dobozproxy helyett.</x:v>
      </x:c>
    </x:row>
    <x:row r="9" ht="70" customHeight="1">
      <x:c r="A9" s="1" t="str">
        <x:v>KI-028</x:v>
      </x:c>
      <x:c r="B9" s="29" t="n">
        <x:v>259990</x:v>
      </x:c>
      <x:c r="C9" s="29" t="n">
        <x:f>'Elemregiszter'!U29</x:f>
        <x:v>259990</x:v>
      </x:c>
      <x:c r="D9" s="29" t="n">
        <x:f>C9-B9</x:f>
        <x:v>0</x:v>
      </x:c>
      <x:c r="E9" s="1" t="str">
        <x:v>Valódi lábszerkezetet mutató modell.</x:v>
      </x:c>
    </x:row>
    <x:row r="10" ht="70" customHeight="1">
      <x:c r="A10" s="1" t="str">
        <x:v>KI-029</x:v>
      </x:c>
      <x:c r="B10" s="29" t="n">
        <x:v>451080</x:v>
      </x:c>
      <x:c r="C10" s="29" t="n">
        <x:f>'Elemregiszter'!U30</x:f>
        <x:v>451080</x:v>
      </x:c>
      <x:c r="D10" s="29" t="n">
        <x:f>C10-B10</x:f>
        <x:v>0</x:v>
      </x:c>
      <x:c r="E10" s="1" t="str">
        <x:v>Hajlított kőris háttámla, világosszürke zsenília és fekete acélláb a képeken is.</x:v>
      </x:c>
    </x:row>
    <x:row r="11" ht="70" customHeight="1">
      <x:c r="A11" s="1" t="str">
        <x:v>KI-109</x:v>
      </x:c>
      <x:c r="B11" s="29" t="n">
        <x:v>260000</x:v>
      </x:c>
      <x:c r="C11" s="29" t="n">
        <x:f>'Elemregiszter'!U110</x:f>
        <x:v>260000</x:v>
      </x:c>
      <x:c r="D11" s="29" t="n">
        <x:f>C11-B11</x:f>
        <x:v>0</x:v>
      </x:c>
      <x:c r="E11" s="1" t="str">
        <x:v>A tényleges760mm Somar forma követése.</x:v>
      </x:c>
    </x:row>
    <x:row r="12" ht="70" customHeight="1">
      <x:c r="A12" s="1" t="str">
        <x:v>KI-076</x:v>
      </x:c>
      <x:c r="B12" s="29" t="n">
        <x:v>35000</x:v>
      </x:c>
      <x:c r="C12" s="29" t="n">
        <x:f>'Elemregiszter'!U77</x:f>
        <x:v>35000</x:v>
      </x:c>
      <x:c r="D12" s="29" t="n">
        <x:f>C12-B12</x:f>
        <x:v>0</x:v>
      </x:c>
      <x:c r="E12" s="1" t="str">
        <x:v>Vendégszobai éjjeli a munkaszék kihúzási sávjából az ágy fejrészéhez kerül.</x:v>
      </x:c>
    </x:row>
    <x:row r="13" ht="70" customHeight="1">
      <x:c r="A13" s="1" t="str">
        <x:v>KI-091</x:v>
      </x:c>
      <x:c r="B13" s="29" t="n">
        <x:v>180000</x:v>
      </x:c>
      <x:c r="C13" s="29" t="n">
        <x:f>'Elemregiszter'!U92</x:f>
        <x:v>180000</x:v>
      </x:c>
      <x:c r="D13" s="29" t="n">
        <x:f>C13-B13</x:f>
        <x:v>0</x:v>
      </x:c>
      <x:c r="E13" s="1" t="str">
        <x:v>Az örökölt, zuhanytálcán keresztbe álló üveg helyett a tálca éléhez igazított tervváltozat.</x:v>
      </x:c>
    </x:row>
    <x:row r="14" ht="70" customHeight="1">
      <x:c r="A14" s="1" t="str">
        <x:v>KI-R06-01</x:v>
      </x:c>
      <x:c r="B14" s="29" t="n">
        <x:v>0</x:v>
      </x:c>
      <x:c r="C14" s="29" t="n">
        <x:f>'Elemregiszter'!U176</x:f>
        <x:v>220000</x:v>
      </x:c>
      <x:c r="D14" s="29" t="n">
        <x:f>C14-B14</x:f>
        <x:v>220000</x:v>
      </x:c>
      <x:c r="E14" s="1" t="str">
        <x:v>900×200×1400mm; z1300;600ajtó+300nyitottfülke. Korpusz45000+front/lamella65000+vasalat20000+LED/táp25000+szerelés65000.</x:v>
      </x:c>
    </x:row>
    <x:row r="15" ht="70" customHeight="1">
      <x:c r="A15" s="1" t="str">
        <x:v>KI-R06-02</x:v>
      </x:c>
      <x:c r="B15" s="29" t="n">
        <x:v>0</x:v>
      </x:c>
      <x:c r="C15" s="29" t="n">
        <x:f>'Elemregiszter'!U177</x:f>
        <x:v>110000</x:v>
      </x:c>
      <x:c r="D15" s="29" t="n">
        <x:f>C15-B15</x:f>
        <x:v>110000</x:v>
      </x:c>
      <x:c r="E15" s="1" t="str">
        <x:v>900×2400mm tervi felület; 2.16m²+15%rendelési ráhagyás. Védett hátoldali nyomat, üveg/szakági rendszer50000+grafika/nyomat25000+rögzítés35000. Zuhanyzónában akasztó/pad nem kerülhet elé.</x:v>
      </x:c>
    </x:row>
    <x:row r="16" ht="70" customHeight="1">
      <x:c r="A16" s="1" t="str">
        <x:v>KI-R06-03</x:v>
      </x:c>
      <x:c r="B16" s="29" t="n">
        <x:v>0</x:v>
      </x:c>
      <x:c r="C16" s="29" t="n">
        <x:f>'Elemregiszter'!U178</x:f>
        <x:v>120000</x:v>
      </x:c>
      <x:c r="D16" s="29" t="n">
        <x:f>C16-B16</x:f>
        <x:v>120000</x:v>
      </x:c>
      <x:c r="E16" s="1" t="str">
        <x:v>400×1200mm tervi befoglaló; késztermék70000+bekötés/rögzítés50000. Pontos modell, hőigény, zóna és kiállás nyitott; meglévő esetén csak igazolás után levonható.</x:v>
      </x:c>
    </x:row>
  </x:sheetData>
  <x:pageMargins left="0.7" right="0.7" top="0.75" bottom="0.75" header="0.3" footer="0.3"/>
</x:worksheet>
</file>